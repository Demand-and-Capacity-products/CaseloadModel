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0A2D24B8-EE24-4113-8684-6B0FB62C20A4}" xr6:coauthVersionLast="47" xr6:coauthVersionMax="47" xr10:uidLastSave="{00000000-0000-0000-0000-000000000000}"/>
  <bookViews>
    <workbookView xWindow="-120" yWindow="16080" windowWidth="29040" windowHeight="15840" tabRatio="735" firstSheet="6" activeTab="13"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R Backing (Hide)" sheetId="23" r:id="rId15"/>
    <sheet name="Capacity Summary" sheetId="11" r:id="rId16"/>
    <sheet name="Capacity Backing (Hide)2" sheetId="21" r:id="rId17"/>
    <sheet name="Summary" sheetId="8" r:id="rId18"/>
    <sheet name="Clinical resource summary" sheetId="24" r:id="rId19"/>
    <sheet name="Planning" sheetId="12" r:id="rId20"/>
    <sheet name="Waiting List Modelling" sheetId="19" state="hidden" r:id="rId21"/>
    <sheet name="WL Modelling (Hide)" sheetId="20" state="hidden" r:id="rId22"/>
    <sheet name="Planning Backing (Hide)" sheetId="13" state="hidden" r:id="rId23"/>
  </sheets>
  <functionGroups builtInGroupCount="19"/>
  <definedNames>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7" i="24" l="1"/>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A57" i="24"/>
  <c r="A58" i="24"/>
  <c r="A59" i="24"/>
  <c r="A60" i="24"/>
  <c r="A61" i="24"/>
  <c r="A62" i="24"/>
  <c r="A63" i="24"/>
  <c r="A64" i="24"/>
  <c r="A65" i="24"/>
  <c r="A66" i="24"/>
  <c r="A67" i="24"/>
  <c r="A68" i="24"/>
  <c r="A69" i="24"/>
  <c r="A70" i="24"/>
  <c r="A71" i="24"/>
  <c r="A72" i="24"/>
  <c r="A73" i="24"/>
  <c r="A74" i="24"/>
  <c r="A75" i="24"/>
  <c r="A76" i="24"/>
  <c r="A77" i="24"/>
  <c r="A78" i="24"/>
  <c r="A79" i="24"/>
  <c r="A80" i="24"/>
  <c r="A81" i="24"/>
  <c r="A82" i="24"/>
  <c r="A83" i="24"/>
  <c r="A84" i="24"/>
  <c r="A85" i="24"/>
  <c r="A86" i="24"/>
  <c r="A87" i="24"/>
  <c r="A88" i="24"/>
  <c r="A89" i="24"/>
  <c r="A90" i="24"/>
  <c r="A91" i="24"/>
  <c r="A92" i="24"/>
  <c r="A93" i="24"/>
  <c r="A94" i="24"/>
  <c r="A95" i="24"/>
  <c r="A96" i="24"/>
  <c r="A97" i="24"/>
  <c r="A98" i="24"/>
  <c r="A99" i="24"/>
  <c r="A100" i="24"/>
  <c r="A101" i="24"/>
  <c r="A102" i="24"/>
  <c r="A103" i="24"/>
  <c r="A104" i="24"/>
  <c r="A105" i="24"/>
  <c r="A106" i="24"/>
  <c r="A107" i="24"/>
  <c r="A108" i="24"/>
  <c r="A9" i="24"/>
  <c r="A106" i="22"/>
  <c r="A102" i="22"/>
  <c r="A103" i="22"/>
  <c r="A104" i="22"/>
  <c r="A105"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7" i="22"/>
  <c r="ZL4" i="23"/>
  <c r="NV3" i="23"/>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RW6" i="22"/>
  <c r="RV6" i="22"/>
  <c r="RU6" i="22"/>
  <c r="RT6" i="22"/>
  <c r="RS6" i="22"/>
  <c r="RR6" i="22"/>
  <c r="RP6" i="22"/>
  <c r="RQ3" i="23" s="1"/>
  <c r="RO6" i="22"/>
  <c r="RP3" i="23" s="1"/>
  <c r="RN6" i="22"/>
  <c r="RO3" i="23" s="1"/>
  <c r="RM6" i="22"/>
  <c r="RN3" i="23" s="1"/>
  <c r="RL6" i="22"/>
  <c r="RM3" i="23" s="1"/>
  <c r="RK6" i="22"/>
  <c r="RL3" i="23" s="1"/>
  <c r="RJ6" i="22"/>
  <c r="RK3" i="23" s="1"/>
  <c r="RI6" i="22"/>
  <c r="RJ3" i="23" s="1"/>
  <c r="RH6" i="22"/>
  <c r="RI3" i="23" s="1"/>
  <c r="RG6" i="22"/>
  <c r="RH3" i="23" s="1"/>
  <c r="RF6" i="22"/>
  <c r="RG3" i="23" s="1"/>
  <c r="RE6" i="22"/>
  <c r="RF3" i="23" s="1"/>
  <c r="RD6" i="22"/>
  <c r="RE3" i="23" s="1"/>
  <c r="RC6" i="22"/>
  <c r="RD3" i="23" s="1"/>
  <c r="RB6" i="22"/>
  <c r="RC3" i="23" s="1"/>
  <c r="RA6" i="22"/>
  <c r="RB3" i="23" s="1"/>
  <c r="QZ6" i="22"/>
  <c r="RA3" i="23" s="1"/>
  <c r="QY6" i="22"/>
  <c r="QZ3" i="23" s="1"/>
  <c r="QX6" i="22"/>
  <c r="QY3" i="23" s="1"/>
  <c r="QW6" i="22"/>
  <c r="QX3" i="23" s="1"/>
  <c r="QV6" i="22"/>
  <c r="QW3" i="23" s="1"/>
  <c r="QU6" i="22"/>
  <c r="QV3" i="23" s="1"/>
  <c r="QT6" i="22"/>
  <c r="QU3" i="23" s="1"/>
  <c r="QS6" i="22"/>
  <c r="QT3" i="23" s="1"/>
  <c r="QR6" i="22"/>
  <c r="QS3" i="23" s="1"/>
  <c r="QQ6" i="22"/>
  <c r="QR3" i="23" s="1"/>
  <c r="QP6" i="22"/>
  <c r="QQ3" i="23" s="1"/>
  <c r="QO6" i="22"/>
  <c r="QP3" i="23" s="1"/>
  <c r="QN6" i="22"/>
  <c r="QO3" i="23" s="1"/>
  <c r="QM6" i="22"/>
  <c r="QN3" i="23" s="1"/>
  <c r="QL6" i="22"/>
  <c r="QM3" i="23" s="1"/>
  <c r="QK6" i="22"/>
  <c r="QL3" i="23" s="1"/>
  <c r="QJ6" i="22"/>
  <c r="QK3" i="23" s="1"/>
  <c r="QI6" i="22"/>
  <c r="QJ3" i="23" s="1"/>
  <c r="QH6" i="22"/>
  <c r="QI3" i="23" s="1"/>
  <c r="QG6" i="22"/>
  <c r="QH3" i="23" s="1"/>
  <c r="QF6" i="22"/>
  <c r="QG3" i="23" s="1"/>
  <c r="QE6" i="22"/>
  <c r="QF3" i="23" s="1"/>
  <c r="QD6" i="22"/>
  <c r="QE3" i="23" s="1"/>
  <c r="QC6" i="22"/>
  <c r="QD3" i="23" s="1"/>
  <c r="QB6" i="22"/>
  <c r="QC3" i="23" s="1"/>
  <c r="QA6" i="22"/>
  <c r="QB3" i="23" s="1"/>
  <c r="PZ6" i="22"/>
  <c r="QA3" i="23" s="1"/>
  <c r="PY6" i="22"/>
  <c r="PZ3" i="23" s="1"/>
  <c r="PX6" i="22"/>
  <c r="PY3" i="23" s="1"/>
  <c r="PW6" i="22"/>
  <c r="PX3" i="23" s="1"/>
  <c r="PV6" i="22"/>
  <c r="PW3" i="23" s="1"/>
  <c r="PU6" i="22"/>
  <c r="PV3" i="23" s="1"/>
  <c r="PT6" i="22"/>
  <c r="PU3" i="23" s="1"/>
  <c r="PS6" i="22"/>
  <c r="PT3" i="23" s="1"/>
  <c r="PR6" i="22"/>
  <c r="PS3" i="23" s="1"/>
  <c r="PQ6" i="22"/>
  <c r="PR3" i="23" s="1"/>
  <c r="PP6" i="22"/>
  <c r="PQ3" i="23" s="1"/>
  <c r="PO6" i="22"/>
  <c r="PP3" i="23" s="1"/>
  <c r="PN6" i="22"/>
  <c r="PO3" i="23" s="1"/>
  <c r="PM6" i="22"/>
  <c r="PN3" i="23" s="1"/>
  <c r="PL6" i="22"/>
  <c r="PM3" i="23" s="1"/>
  <c r="PK6" i="22"/>
  <c r="PL3" i="23" s="1"/>
  <c r="PJ6" i="22"/>
  <c r="PK3" i="23" s="1"/>
  <c r="PI6" i="22"/>
  <c r="PJ3" i="23" s="1"/>
  <c r="PH6" i="22"/>
  <c r="PI3" i="23" s="1"/>
  <c r="PG6" i="22"/>
  <c r="PH3" i="23" s="1"/>
  <c r="PF6" i="22"/>
  <c r="PG3" i="23" s="1"/>
  <c r="PE6" i="22"/>
  <c r="PF3" i="23" s="1"/>
  <c r="PD6" i="22"/>
  <c r="PE3" i="23" s="1"/>
  <c r="PC6" i="22"/>
  <c r="PD3" i="23" s="1"/>
  <c r="PB6" i="22"/>
  <c r="PC3" i="23" s="1"/>
  <c r="PA6" i="22"/>
  <c r="PB3" i="23" s="1"/>
  <c r="OZ6" i="22"/>
  <c r="PA3" i="23" s="1"/>
  <c r="OY6" i="22"/>
  <c r="OZ3" i="23" s="1"/>
  <c r="OX6" i="22"/>
  <c r="OY3" i="23" s="1"/>
  <c r="OW6" i="22"/>
  <c r="OX3" i="23" s="1"/>
  <c r="OV6" i="22"/>
  <c r="OW3" i="23" s="1"/>
  <c r="OU6" i="22"/>
  <c r="OV3" i="23" s="1"/>
  <c r="OT6" i="22"/>
  <c r="OU3" i="23" s="1"/>
  <c r="OS6" i="22"/>
  <c r="OT3" i="23" s="1"/>
  <c r="OR6" i="22"/>
  <c r="OS3" i="23" s="1"/>
  <c r="OQ6" i="22"/>
  <c r="OR3" i="23" s="1"/>
  <c r="OP6" i="22"/>
  <c r="OQ3" i="23" s="1"/>
  <c r="OO6" i="22"/>
  <c r="OP3" i="23" s="1"/>
  <c r="ON6" i="22"/>
  <c r="OO3" i="23" s="1"/>
  <c r="OM6" i="22"/>
  <c r="ON3" i="23" s="1"/>
  <c r="OL6" i="22"/>
  <c r="OM3" i="23" s="1"/>
  <c r="OK6" i="22"/>
  <c r="OL3" i="23" s="1"/>
  <c r="OJ6" i="22"/>
  <c r="OK3" i="23" s="1"/>
  <c r="OI6" i="22"/>
  <c r="OJ3" i="23" s="1"/>
  <c r="OH6" i="22"/>
  <c r="OI3" i="23" s="1"/>
  <c r="OG6" i="22"/>
  <c r="OH3" i="23" s="1"/>
  <c r="OF6" i="22"/>
  <c r="OG3" i="23" s="1"/>
  <c r="OE6" i="22"/>
  <c r="OF3" i="23" s="1"/>
  <c r="OD6" i="22"/>
  <c r="OE3" i="23" s="1"/>
  <c r="OC6" i="22"/>
  <c r="OD3" i="23" s="1"/>
  <c r="OB6" i="22"/>
  <c r="OC3" i="23" s="1"/>
  <c r="OA6" i="22"/>
  <c r="OB3" i="23" s="1"/>
  <c r="NZ6" i="22"/>
  <c r="OA3" i="23" s="1"/>
  <c r="NY6" i="22"/>
  <c r="NZ3" i="23" s="1"/>
  <c r="NX6" i="22"/>
  <c r="NY3" i="23" s="1"/>
  <c r="NW6" i="22"/>
  <c r="NX3" i="23" s="1"/>
  <c r="NV6" i="22"/>
  <c r="NW3" i="23" s="1"/>
  <c r="NU2" i="22"/>
  <c r="CF3" i="23"/>
  <c r="CF6" i="22"/>
  <c r="CG3" i="23" s="1"/>
  <c r="CG6" i="22"/>
  <c r="CH3" i="23" s="1"/>
  <c r="CH6" i="22"/>
  <c r="CI3" i="23" s="1"/>
  <c r="CI6" i="22"/>
  <c r="CJ3" i="23" s="1"/>
  <c r="CJ6" i="22"/>
  <c r="CK3" i="23" s="1"/>
  <c r="CK6" i="22"/>
  <c r="CL3" i="23" s="1"/>
  <c r="CL6" i="22"/>
  <c r="CM3" i="23" s="1"/>
  <c r="CM6" i="22"/>
  <c r="CN3" i="23" s="1"/>
  <c r="CN6" i="22"/>
  <c r="CO3" i="23" s="1"/>
  <c r="CO6" i="22"/>
  <c r="CP3" i="23" s="1"/>
  <c r="CP6" i="22"/>
  <c r="CQ3" i="23" s="1"/>
  <c r="CQ6" i="22"/>
  <c r="CR3" i="23" s="1"/>
  <c r="CR6" i="22"/>
  <c r="CS3" i="23" s="1"/>
  <c r="CS6" i="22"/>
  <c r="CT3" i="23" s="1"/>
  <c r="CT6" i="22"/>
  <c r="CU3" i="23" s="1"/>
  <c r="CU6" i="22"/>
  <c r="CV3" i="23" s="1"/>
  <c r="CV6" i="22"/>
  <c r="CW3" i="23" s="1"/>
  <c r="CW6" i="22"/>
  <c r="CX3" i="23" s="1"/>
  <c r="CX6" i="22"/>
  <c r="CY3" i="23" s="1"/>
  <c r="CY6" i="22"/>
  <c r="CZ3" i="23" s="1"/>
  <c r="CZ6" i="22"/>
  <c r="DA3" i="23" s="1"/>
  <c r="DA6" i="22"/>
  <c r="DB3" i="23" s="1"/>
  <c r="DB6" i="22"/>
  <c r="DC3" i="23" s="1"/>
  <c r="DC6" i="22"/>
  <c r="DD3" i="23" s="1"/>
  <c r="DD6" i="22"/>
  <c r="DE3" i="23" s="1"/>
  <c r="DE6" i="22"/>
  <c r="DF3" i="23" s="1"/>
  <c r="DF6" i="22"/>
  <c r="DG3" i="23" s="1"/>
  <c r="DG6" i="22"/>
  <c r="DH3" i="23" s="1"/>
  <c r="DH6" i="22"/>
  <c r="DI3" i="23" s="1"/>
  <c r="DI6" i="22"/>
  <c r="DJ3" i="23" s="1"/>
  <c r="DJ6" i="22"/>
  <c r="DK3" i="23" s="1"/>
  <c r="DK6" i="22"/>
  <c r="DL3" i="23" s="1"/>
  <c r="DL6" i="22"/>
  <c r="DM3" i="23" s="1"/>
  <c r="DM6" i="22"/>
  <c r="DN3" i="23" s="1"/>
  <c r="DN6" i="22"/>
  <c r="DO3" i="23" s="1"/>
  <c r="DO6" i="22"/>
  <c r="DP3" i="23" s="1"/>
  <c r="DP6" i="22"/>
  <c r="DQ3" i="23" s="1"/>
  <c r="DQ6" i="22"/>
  <c r="DR3" i="23" s="1"/>
  <c r="DR6" i="22"/>
  <c r="DS3" i="23" s="1"/>
  <c r="DS6" i="22"/>
  <c r="DT3" i="23" s="1"/>
  <c r="DT6" i="22"/>
  <c r="DU3" i="23" s="1"/>
  <c r="DU6" i="22"/>
  <c r="DV3" i="23" s="1"/>
  <c r="DV6" i="22"/>
  <c r="DW3" i="23" s="1"/>
  <c r="DW6" i="22"/>
  <c r="DX3" i="23" s="1"/>
  <c r="DX6" i="22"/>
  <c r="DY3" i="23" s="1"/>
  <c r="DY6" i="22"/>
  <c r="DZ3" i="23" s="1"/>
  <c r="DZ6" i="22"/>
  <c r="EA3" i="23" s="1"/>
  <c r="EA6" i="22"/>
  <c r="EB3" i="23" s="1"/>
  <c r="EB6" i="22"/>
  <c r="EC3" i="23" s="1"/>
  <c r="EC6" i="22"/>
  <c r="ED3" i="23" s="1"/>
  <c r="ED6" i="22"/>
  <c r="EE3" i="23" s="1"/>
  <c r="EE6" i="22"/>
  <c r="EF3" i="23" s="1"/>
  <c r="EF6" i="22"/>
  <c r="EG3" i="23" s="1"/>
  <c r="EG6" i="22"/>
  <c r="EH3" i="23" s="1"/>
  <c r="EH6" i="22"/>
  <c r="EI3" i="23" s="1"/>
  <c r="EI6" i="22"/>
  <c r="EJ3" i="23" s="1"/>
  <c r="EJ6" i="22"/>
  <c r="EK3" i="23" s="1"/>
  <c r="EK6" i="22"/>
  <c r="EL3" i="23" s="1"/>
  <c r="EL6" i="22"/>
  <c r="EM3" i="23" s="1"/>
  <c r="EM6" i="22"/>
  <c r="EN3" i="23" s="1"/>
  <c r="EN6" i="22"/>
  <c r="EO3" i="23" s="1"/>
  <c r="EO6" i="22"/>
  <c r="EP3" i="23" s="1"/>
  <c r="EP6" i="22"/>
  <c r="EQ3" i="23" s="1"/>
  <c r="EQ6" i="22"/>
  <c r="ER3" i="23" s="1"/>
  <c r="ER6" i="22"/>
  <c r="ES3" i="23" s="1"/>
  <c r="ES6" i="22"/>
  <c r="ET3" i="23" s="1"/>
  <c r="ET6" i="22"/>
  <c r="EU3" i="23" s="1"/>
  <c r="EU6" i="22"/>
  <c r="EV3" i="23" s="1"/>
  <c r="EV6" i="22"/>
  <c r="EW3" i="23" s="1"/>
  <c r="EW6" i="22"/>
  <c r="EX3" i="23" s="1"/>
  <c r="EX6" i="22"/>
  <c r="EY3" i="23" s="1"/>
  <c r="EY6" i="22"/>
  <c r="EZ3" i="23" s="1"/>
  <c r="EZ6" i="22"/>
  <c r="FA3" i="23" s="1"/>
  <c r="FA6" i="22"/>
  <c r="FB3" i="23" s="1"/>
  <c r="FB6" i="22"/>
  <c r="FC3" i="23" s="1"/>
  <c r="FC6" i="22"/>
  <c r="FD3" i="23" s="1"/>
  <c r="FD6" i="22"/>
  <c r="FE3" i="23" s="1"/>
  <c r="FE6" i="22"/>
  <c r="FF3" i="23" s="1"/>
  <c r="FF6" i="22"/>
  <c r="FG3" i="23" s="1"/>
  <c r="FG6" i="22"/>
  <c r="FH3" i="23" s="1"/>
  <c r="FH6" i="22"/>
  <c r="FI3" i="23" s="1"/>
  <c r="FI6" i="22"/>
  <c r="FJ3" i="23" s="1"/>
  <c r="FJ6" i="22"/>
  <c r="FK3" i="23" s="1"/>
  <c r="FK6" i="22"/>
  <c r="FL3" i="23" s="1"/>
  <c r="FL6" i="22"/>
  <c r="FM3" i="23" s="1"/>
  <c r="FM6" i="22"/>
  <c r="FN3" i="23" s="1"/>
  <c r="FN6" i="22"/>
  <c r="FO3" i="23" s="1"/>
  <c r="FO6" i="22"/>
  <c r="FP3" i="23" s="1"/>
  <c r="FP6" i="22"/>
  <c r="FQ3" i="23" s="1"/>
  <c r="FQ6" i="22"/>
  <c r="FR3" i="23" s="1"/>
  <c r="FR6" i="22"/>
  <c r="FS3" i="23" s="1"/>
  <c r="FS6" i="22"/>
  <c r="FT3" i="23" s="1"/>
  <c r="FT6" i="22"/>
  <c r="FU3" i="23" s="1"/>
  <c r="FU6" i="22"/>
  <c r="FV3" i="23" s="1"/>
  <c r="FV6" i="22"/>
  <c r="FW3" i="23" s="1"/>
  <c r="FW6" i="22"/>
  <c r="FX3" i="23" s="1"/>
  <c r="FX6" i="22"/>
  <c r="FY3" i="23" s="1"/>
  <c r="FY6" i="22"/>
  <c r="FZ3" i="23" s="1"/>
  <c r="FZ6" i="22"/>
  <c r="GA3" i="23" s="1"/>
  <c r="GB6" i="22"/>
  <c r="GC6" i="22"/>
  <c r="GD6" i="22"/>
  <c r="GE6" i="22"/>
  <c r="GF6" i="22"/>
  <c r="GG6" i="22"/>
  <c r="GH6" i="22"/>
  <c r="GI6" i="22"/>
  <c r="GJ6" i="22"/>
  <c r="GK6" i="22"/>
  <c r="GL6" i="22"/>
  <c r="GM6" i="22"/>
  <c r="GN6" i="22"/>
  <c r="GO6" i="22"/>
  <c r="GP6" i="22"/>
  <c r="GQ6" i="22"/>
  <c r="GR6" i="22"/>
  <c r="GS6" i="22"/>
  <c r="GT6" i="22"/>
  <c r="GU6" i="22"/>
  <c r="GV6" i="22"/>
  <c r="GW6" i="22"/>
  <c r="GX6" i="22"/>
  <c r="GY6" i="22"/>
  <c r="GZ6" i="22"/>
  <c r="HA6" i="22"/>
  <c r="HB6" i="22"/>
  <c r="HC6" i="22"/>
  <c r="HD6" i="22"/>
  <c r="HE6" i="22"/>
  <c r="HF6" i="22"/>
  <c r="HG6" i="22"/>
  <c r="HH6" i="22"/>
  <c r="HI6" i="22"/>
  <c r="HJ6" i="22"/>
  <c r="HK6" i="22"/>
  <c r="HL6" i="22"/>
  <c r="HM6" i="22"/>
  <c r="HN6" i="22"/>
  <c r="HO6" i="22"/>
  <c r="HP6" i="22"/>
  <c r="HQ6" i="22"/>
  <c r="HR6" i="22"/>
  <c r="HS6" i="22"/>
  <c r="HT6" i="22"/>
  <c r="HU6" i="22"/>
  <c r="HV6" i="22"/>
  <c r="HW6" i="22"/>
  <c r="HX6" i="22"/>
  <c r="HY6" i="22"/>
  <c r="HZ6" i="22"/>
  <c r="IA6" i="22"/>
  <c r="IB6" i="22"/>
  <c r="IC6" i="22"/>
  <c r="ID6" i="22"/>
  <c r="IE6" i="22"/>
  <c r="IF6" i="22"/>
  <c r="IG6" i="22"/>
  <c r="IH6" i="22"/>
  <c r="II6" i="22"/>
  <c r="IJ6" i="22"/>
  <c r="IK6" i="22"/>
  <c r="IL6" i="22"/>
  <c r="IM6" i="22"/>
  <c r="IN6" i="22"/>
  <c r="IO6" i="22"/>
  <c r="IP6" i="22"/>
  <c r="IQ6" i="22"/>
  <c r="IR6" i="22"/>
  <c r="IS6" i="22"/>
  <c r="IT6" i="22"/>
  <c r="IU6" i="22"/>
  <c r="IV6" i="22"/>
  <c r="IW6" i="22"/>
  <c r="IX6" i="22"/>
  <c r="IY6" i="22"/>
  <c r="IZ6" i="22"/>
  <c r="JA6" i="22"/>
  <c r="JB6" i="22"/>
  <c r="JC6" i="22"/>
  <c r="JD6" i="22"/>
  <c r="JE6" i="22"/>
  <c r="JF6" i="22"/>
  <c r="JG6" i="22"/>
  <c r="JH6" i="22"/>
  <c r="JI6" i="22"/>
  <c r="JJ6" i="22"/>
  <c r="JK6" i="22"/>
  <c r="JL6" i="22"/>
  <c r="JM6" i="22"/>
  <c r="JN6" i="22"/>
  <c r="JO6" i="22"/>
  <c r="JP6" i="22"/>
  <c r="JQ6" i="22"/>
  <c r="JR6" i="22"/>
  <c r="JS6" i="22"/>
  <c r="JT6" i="22"/>
  <c r="JU6" i="22"/>
  <c r="JV6" i="22"/>
  <c r="JW6" i="22"/>
  <c r="JX6" i="22"/>
  <c r="JY6" i="22"/>
  <c r="JZ6" i="22"/>
  <c r="KA6" i="22"/>
  <c r="KB6" i="22"/>
  <c r="KC6" i="22"/>
  <c r="KD6" i="22"/>
  <c r="KE6" i="22"/>
  <c r="KF6" i="22"/>
  <c r="KG6" i="22"/>
  <c r="KH6" i="22"/>
  <c r="KI6" i="22"/>
  <c r="KJ6" i="22"/>
  <c r="KK6" i="22"/>
  <c r="KL6" i="22"/>
  <c r="KM6" i="22"/>
  <c r="KN6" i="22"/>
  <c r="KO6" i="22"/>
  <c r="KP6" i="22"/>
  <c r="KQ6" i="22"/>
  <c r="KR6" i="22"/>
  <c r="KS6" i="22"/>
  <c r="KT6" i="22"/>
  <c r="KU6" i="22"/>
  <c r="KV6" i="22"/>
  <c r="KW6" i="22"/>
  <c r="KX6" i="22"/>
  <c r="KY6" i="22"/>
  <c r="KZ6" i="22"/>
  <c r="LA6" i="22"/>
  <c r="LB6" i="22"/>
  <c r="LC6" i="22"/>
  <c r="LD6" i="22"/>
  <c r="LE6" i="22"/>
  <c r="LF6" i="22"/>
  <c r="LG6" i="22"/>
  <c r="LH6" i="22"/>
  <c r="LI6" i="22"/>
  <c r="LJ6" i="22"/>
  <c r="LK6" i="22"/>
  <c r="LL6" i="22"/>
  <c r="LM6" i="22"/>
  <c r="LN6" i="22"/>
  <c r="LO6" i="22"/>
  <c r="LP6" i="22"/>
  <c r="LQ6" i="22"/>
  <c r="LR6" i="22"/>
  <c r="LS6" i="22"/>
  <c r="LT6" i="22"/>
  <c r="LU6" i="22"/>
  <c r="LV6" i="22"/>
  <c r="LW6" i="22"/>
  <c r="LX6" i="22"/>
  <c r="LY6" i="22"/>
  <c r="LZ6" i="22"/>
  <c r="MA6" i="22"/>
  <c r="MB6" i="22"/>
  <c r="MC6" i="22"/>
  <c r="MD6" i="22"/>
  <c r="ME6" i="22"/>
  <c r="MF6" i="22"/>
  <c r="MG6" i="22"/>
  <c r="MH6" i="22"/>
  <c r="MI6" i="22"/>
  <c r="MJ6" i="22"/>
  <c r="MK6" i="22"/>
  <c r="ML6" i="22"/>
  <c r="MM6" i="22"/>
  <c r="MN6" i="22"/>
  <c r="MO6" i="22"/>
  <c r="MP6" i="22"/>
  <c r="MQ6" i="22"/>
  <c r="MR6" i="22"/>
  <c r="MS6" i="22"/>
  <c r="MT6" i="22"/>
  <c r="MU6" i="22"/>
  <c r="MV6" i="22"/>
  <c r="MW6" i="22"/>
  <c r="MX6" i="22"/>
  <c r="MY6" i="22"/>
  <c r="MZ6" i="22"/>
  <c r="NA6" i="22"/>
  <c r="NB6" i="22"/>
  <c r="NC6" i="22"/>
  <c r="ND6" i="22"/>
  <c r="NE6" i="22"/>
  <c r="NF6" i="22"/>
  <c r="NG6" i="22"/>
  <c r="NH6" i="22"/>
  <c r="NI6" i="22"/>
  <c r="NJ6" i="22"/>
  <c r="NK6" i="22"/>
  <c r="NL6" i="22"/>
  <c r="NM6" i="22"/>
  <c r="NN6" i="22"/>
  <c r="NO6" i="22"/>
  <c r="NP6" i="22"/>
  <c r="NQ6" i="22"/>
  <c r="NR6" i="22"/>
  <c r="NS6" i="22"/>
  <c r="CE2" i="22"/>
  <c r="E97" i="23"/>
  <c r="E98" i="23"/>
  <c r="E99" i="23"/>
  <c r="E100" i="23"/>
  <c r="E101" i="23"/>
  <c r="E102" i="23"/>
  <c r="E103"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5" i="23"/>
  <c r="A10" i="24" s="1"/>
  <c r="E6" i="23"/>
  <c r="A11" i="24" s="1"/>
  <c r="E7" i="23"/>
  <c r="A12" i="24" s="1"/>
  <c r="E8" i="23"/>
  <c r="A13" i="24" s="1"/>
  <c r="E9" i="23"/>
  <c r="A14" i="24" s="1"/>
  <c r="E10" i="23"/>
  <c r="A15" i="24" s="1"/>
  <c r="E11" i="23"/>
  <c r="A16" i="24" s="1"/>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4" i="23"/>
  <c r="CB6" i="22"/>
  <c r="CB3" i="23" s="1"/>
  <c r="CA6" i="22"/>
  <c r="CA3" i="23" s="1"/>
  <c r="BZ6" i="22"/>
  <c r="BZ3" i="23" s="1"/>
  <c r="BY6" i="22"/>
  <c r="BY3" i="23" s="1"/>
  <c r="BX6" i="22"/>
  <c r="BX3" i="23" s="1"/>
  <c r="BW6" i="22"/>
  <c r="BW3" i="23" s="1"/>
  <c r="BV6" i="22"/>
  <c r="BV3" i="23" s="1"/>
  <c r="BU6" i="22"/>
  <c r="BU3" i="23" s="1"/>
  <c r="BT6" i="22"/>
  <c r="BT3" i="23" s="1"/>
  <c r="BS6" i="22"/>
  <c r="BS3" i="23" s="1"/>
  <c r="BR6" i="22"/>
  <c r="BR3" i="23" s="1"/>
  <c r="BQ6" i="22"/>
  <c r="BQ3" i="23" s="1"/>
  <c r="BP6" i="22"/>
  <c r="BP3" i="23" s="1"/>
  <c r="BO6" i="22"/>
  <c r="BO3" i="23" s="1"/>
  <c r="BN6" i="22"/>
  <c r="BN3" i="23" s="1"/>
  <c r="BM6" i="22"/>
  <c r="BM3" i="23" s="1"/>
  <c r="BL6" i="22"/>
  <c r="BL3" i="23" s="1"/>
  <c r="BK6" i="22"/>
  <c r="BK3" i="23" s="1"/>
  <c r="BJ6" i="22"/>
  <c r="BJ3" i="23" s="1"/>
  <c r="BI6" i="22"/>
  <c r="BI3" i="23" s="1"/>
  <c r="BH6" i="22"/>
  <c r="BH3" i="23" s="1"/>
  <c r="BG6" i="22"/>
  <c r="BG3" i="23" s="1"/>
  <c r="BF6" i="22"/>
  <c r="BF3" i="23" s="1"/>
  <c r="BE6" i="22"/>
  <c r="BE3" i="23" s="1"/>
  <c r="BD6" i="22"/>
  <c r="BD3" i="23" s="1"/>
  <c r="BC6" i="22"/>
  <c r="BC3" i="23" s="1"/>
  <c r="BB6" i="22"/>
  <c r="BB3" i="23" s="1"/>
  <c r="BA6" i="22"/>
  <c r="BA3" i="23" s="1"/>
  <c r="AZ6" i="22"/>
  <c r="AZ3" i="23" s="1"/>
  <c r="AY6" i="22"/>
  <c r="AY3" i="23" s="1"/>
  <c r="AX6" i="22"/>
  <c r="AX3" i="23" s="1"/>
  <c r="AW6" i="22"/>
  <c r="AW3" i="23" s="1"/>
  <c r="AV6" i="22"/>
  <c r="AV3" i="23" s="1"/>
  <c r="AU6" i="22"/>
  <c r="AU3" i="23" s="1"/>
  <c r="AT6" i="22"/>
  <c r="AT3" i="23" s="1"/>
  <c r="AS6" i="22"/>
  <c r="AS3" i="23" s="1"/>
  <c r="AR6" i="22"/>
  <c r="AR3" i="23" s="1"/>
  <c r="AQ6" i="22"/>
  <c r="AQ3" i="23" s="1"/>
  <c r="AP6" i="22"/>
  <c r="AP3" i="23" s="1"/>
  <c r="AO6" i="22"/>
  <c r="AO3" i="23" s="1"/>
  <c r="AN6" i="22"/>
  <c r="AN3" i="23" s="1"/>
  <c r="AM6" i="22"/>
  <c r="AM3" i="23" s="1"/>
  <c r="AL6" i="22"/>
  <c r="AL3" i="23" s="1"/>
  <c r="AK6" i="22"/>
  <c r="AK3" i="23" s="1"/>
  <c r="AJ6" i="22"/>
  <c r="AJ3" i="23" s="1"/>
  <c r="AI6" i="22"/>
  <c r="AI3" i="23" s="1"/>
  <c r="AH6" i="22"/>
  <c r="AH3" i="23" s="1"/>
  <c r="AG6" i="22"/>
  <c r="AG3" i="23" s="1"/>
  <c r="AF6" i="22"/>
  <c r="AF3" i="23" s="1"/>
  <c r="AE6" i="22"/>
  <c r="AE3" i="23" s="1"/>
  <c r="AD6" i="22"/>
  <c r="AD3" i="23" s="1"/>
  <c r="AC6" i="22"/>
  <c r="AC3" i="23" s="1"/>
  <c r="AB6" i="22"/>
  <c r="AB3" i="23" s="1"/>
  <c r="AA6" i="22"/>
  <c r="AA3" i="23" s="1"/>
  <c r="Z6" i="22"/>
  <c r="Z3" i="23" s="1"/>
  <c r="Y6" i="22"/>
  <c r="Y3" i="23" s="1"/>
  <c r="X6" i="22"/>
  <c r="X3" i="23" s="1"/>
  <c r="W6" i="22"/>
  <c r="W3" i="23" s="1"/>
  <c r="V6" i="22"/>
  <c r="V3" i="23" s="1"/>
  <c r="U6" i="22"/>
  <c r="U3" i="23" s="1"/>
  <c r="T6" i="22"/>
  <c r="T3" i="23" s="1"/>
  <c r="S6" i="22"/>
  <c r="S3" i="23" s="1"/>
  <c r="R6" i="22"/>
  <c r="R3" i="23" s="1"/>
  <c r="Q6" i="22"/>
  <c r="Q3" i="23" s="1"/>
  <c r="P6" i="22"/>
  <c r="P3" i="23" s="1"/>
  <c r="O6" i="22"/>
  <c r="O3" i="23" s="1"/>
  <c r="N6" i="22"/>
  <c r="N3" i="23" s="1"/>
  <c r="M6" i="22"/>
  <c r="M3" i="23" s="1"/>
  <c r="L6" i="22"/>
  <c r="L3" i="23" s="1"/>
  <c r="K6" i="22"/>
  <c r="K3" i="23" s="1"/>
  <c r="J6" i="22"/>
  <c r="J3" i="23" s="1"/>
  <c r="I6" i="22"/>
  <c r="I3" i="23" s="1"/>
  <c r="H6" i="22"/>
  <c r="H3" i="23" s="1"/>
  <c r="G6" i="22"/>
  <c r="G3" i="23" s="1"/>
  <c r="F6" i="22"/>
  <c r="F3" i="23" s="1"/>
  <c r="BX5" i="22"/>
  <c r="BX2" i="23" s="1"/>
  <c r="BY2" i="23" s="1"/>
  <c r="BZ2" i="23" s="1"/>
  <c r="CA2" i="23" s="1"/>
  <c r="CB2" i="23" s="1"/>
  <c r="BS5" i="22"/>
  <c r="BS2" i="23" s="1"/>
  <c r="BT2" i="23" s="1"/>
  <c r="BU2" i="23" s="1"/>
  <c r="BV2" i="23" s="1"/>
  <c r="BW2" i="23" s="1"/>
  <c r="BN5" i="22"/>
  <c r="BN2" i="23" s="1"/>
  <c r="BO2" i="23" s="1"/>
  <c r="BP2" i="23" s="1"/>
  <c r="BQ2" i="23" s="1"/>
  <c r="BR2" i="23" s="1"/>
  <c r="BI5" i="22"/>
  <c r="BI2" i="23" s="1"/>
  <c r="BJ2" i="23" s="1"/>
  <c r="BK2" i="23" s="1"/>
  <c r="BL2" i="23" s="1"/>
  <c r="BM2" i="23" s="1"/>
  <c r="BD5" i="22"/>
  <c r="BD2" i="23" s="1"/>
  <c r="BE2" i="23" s="1"/>
  <c r="BF2" i="23" s="1"/>
  <c r="BG2" i="23" s="1"/>
  <c r="BH2" i="23" s="1"/>
  <c r="AY5" i="22"/>
  <c r="AY2" i="23" s="1"/>
  <c r="AZ2" i="23" s="1"/>
  <c r="BA2" i="23" s="1"/>
  <c r="BB2" i="23" s="1"/>
  <c r="BC2" i="23" s="1"/>
  <c r="AT5" i="22"/>
  <c r="AT2" i="23" s="1"/>
  <c r="AU2" i="23" s="1"/>
  <c r="AV2" i="23" s="1"/>
  <c r="AW2" i="23" s="1"/>
  <c r="AX2" i="23" s="1"/>
  <c r="AO5" i="22"/>
  <c r="AO2" i="23" s="1"/>
  <c r="AP2" i="23" s="1"/>
  <c r="AQ2" i="23" s="1"/>
  <c r="AR2" i="23" s="1"/>
  <c r="AS2" i="23" s="1"/>
  <c r="AJ5" i="22"/>
  <c r="AJ2" i="23" s="1"/>
  <c r="AK2" i="23" s="1"/>
  <c r="AL2" i="23" s="1"/>
  <c r="AM2" i="23" s="1"/>
  <c r="AN2" i="23" s="1"/>
  <c r="AE5" i="22"/>
  <c r="AE2" i="23" s="1"/>
  <c r="AF2" i="23" s="1"/>
  <c r="AG2" i="23" s="1"/>
  <c r="AH2" i="23" s="1"/>
  <c r="AI2" i="23" s="1"/>
  <c r="Z5" i="22"/>
  <c r="Z2" i="23" s="1"/>
  <c r="AA2" i="23" s="1"/>
  <c r="AB2" i="23" s="1"/>
  <c r="AC2" i="23" s="1"/>
  <c r="AD2" i="23" s="1"/>
  <c r="U5" i="22"/>
  <c r="U2" i="23" s="1"/>
  <c r="V2" i="23" s="1"/>
  <c r="W2" i="23" s="1"/>
  <c r="X2" i="23" s="1"/>
  <c r="Y2" i="23" s="1"/>
  <c r="P5" i="22"/>
  <c r="P2" i="23" s="1"/>
  <c r="Q2" i="23" s="1"/>
  <c r="R2" i="23" s="1"/>
  <c r="S2" i="23" s="1"/>
  <c r="T2" i="23" s="1"/>
  <c r="K5" i="22"/>
  <c r="K2" i="23" s="1"/>
  <c r="L2" i="23" s="1"/>
  <c r="M2" i="23" s="1"/>
  <c r="N2" i="23" s="1"/>
  <c r="O2" i="23" s="1"/>
  <c r="F5" i="22"/>
  <c r="F2" i="23" s="1"/>
  <c r="G2" i="23" s="1"/>
  <c r="H2" i="23" s="1"/>
  <c r="I2" i="23" s="1"/>
  <c r="J2" i="23" s="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5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D540" i="21"/>
  <c r="D541" i="21"/>
  <c r="D534" i="21"/>
  <c r="D535" i="21"/>
  <c r="D536" i="21"/>
  <c r="D537" i="21"/>
  <c r="D538" i="21"/>
  <c r="D539" i="21"/>
  <c r="D519" i="21"/>
  <c r="D520" i="21"/>
  <c r="D521" i="21"/>
  <c r="D522" i="21"/>
  <c r="D523" i="21"/>
  <c r="D524" i="21"/>
  <c r="D525" i="21"/>
  <c r="D526" i="21"/>
  <c r="D527" i="21"/>
  <c r="D528" i="21"/>
  <c r="D529" i="21"/>
  <c r="D530" i="21"/>
  <c r="D531" i="21"/>
  <c r="D532" i="21"/>
  <c r="D533" i="21"/>
  <c r="D503" i="21"/>
  <c r="D504" i="21"/>
  <c r="D505" i="21"/>
  <c r="D506" i="21"/>
  <c r="D507" i="21"/>
  <c r="D508" i="21"/>
  <c r="D509" i="21"/>
  <c r="D510" i="21"/>
  <c r="D511" i="21"/>
  <c r="D512" i="21"/>
  <c r="D513" i="21"/>
  <c r="D514" i="21"/>
  <c r="D515" i="21"/>
  <c r="D516" i="21"/>
  <c r="D517" i="21"/>
  <c r="D518" i="21"/>
  <c r="D485" i="21"/>
  <c r="D486" i="21"/>
  <c r="D487" i="21"/>
  <c r="D488" i="21"/>
  <c r="D489" i="21"/>
  <c r="D490" i="21"/>
  <c r="D491" i="21"/>
  <c r="D492" i="21"/>
  <c r="D493" i="21"/>
  <c r="D494" i="21"/>
  <c r="D495" i="21"/>
  <c r="D496" i="21"/>
  <c r="D497" i="21"/>
  <c r="D498" i="21"/>
  <c r="D499" i="21"/>
  <c r="D500" i="21"/>
  <c r="D501" i="21"/>
  <c r="D502" i="21"/>
  <c r="D443" i="21"/>
  <c r="D444" i="21"/>
  <c r="B38" i="11" s="1"/>
  <c r="D445" i="21"/>
  <c r="B39" i="11" s="1"/>
  <c r="D446" i="21"/>
  <c r="B40" i="11" s="1"/>
  <c r="D447" i="21"/>
  <c r="B41" i="11" s="1"/>
  <c r="D448" i="21"/>
  <c r="B42" i="11" s="1"/>
  <c r="D449" i="21"/>
  <c r="B43" i="11" s="1"/>
  <c r="D450" i="21"/>
  <c r="B44" i="11" s="1"/>
  <c r="D451" i="21"/>
  <c r="D452" i="21"/>
  <c r="B46" i="11" s="1"/>
  <c r="D453" i="21"/>
  <c r="B47" i="11" s="1"/>
  <c r="D454" i="21"/>
  <c r="B48" i="11" s="1"/>
  <c r="D455" i="21"/>
  <c r="B49" i="11" s="1"/>
  <c r="D456" i="21"/>
  <c r="B50" i="11" s="1"/>
  <c r="D457" i="21"/>
  <c r="B51" i="11" s="1"/>
  <c r="D458" i="21"/>
  <c r="B52" i="11" s="1"/>
  <c r="D459" i="21"/>
  <c r="D460" i="21"/>
  <c r="D461" i="21"/>
  <c r="D462" i="21"/>
  <c r="D463" i="21"/>
  <c r="D464" i="21"/>
  <c r="D465" i="21"/>
  <c r="D466" i="21"/>
  <c r="D467" i="21"/>
  <c r="D468" i="21"/>
  <c r="D469" i="21"/>
  <c r="D470" i="21"/>
  <c r="D471" i="21"/>
  <c r="D472" i="21"/>
  <c r="D473" i="21"/>
  <c r="D474" i="21"/>
  <c r="D475" i="21"/>
  <c r="D476" i="21"/>
  <c r="D477" i="21"/>
  <c r="D478" i="21"/>
  <c r="D479" i="21"/>
  <c r="D480" i="21"/>
  <c r="D481" i="21"/>
  <c r="D482" i="21"/>
  <c r="D483" i="21"/>
  <c r="D484" i="21"/>
  <c r="B37" i="11"/>
  <c r="B45"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E442" i="21"/>
  <c r="D442" i="21"/>
  <c r="B36" i="11" s="1"/>
  <c r="A6" i="22" l="1"/>
  <c r="N203" i="21" a="1"/>
  <c r="N203" i="21" s="1"/>
  <c r="O203" i="21" a="1"/>
  <c r="O203" i="21" s="1"/>
  <c r="P203" i="21" a="1"/>
  <c r="P203" i="21" s="1"/>
  <c r="Q203" i="21" a="1"/>
  <c r="Q203" i="21" s="1"/>
  <c r="R203" i="21" a="1"/>
  <c r="R203" i="21" s="1"/>
  <c r="S203" i="21" a="1"/>
  <c r="S203" i="21" s="1"/>
  <c r="T203" i="21" a="1"/>
  <c r="T203" i="21" s="1"/>
  <c r="U203" i="21" a="1"/>
  <c r="U203" i="21" s="1"/>
  <c r="V203" i="21" a="1"/>
  <c r="V203" i="21" s="1"/>
  <c r="W203" i="21" a="1"/>
  <c r="W203" i="21" s="1"/>
  <c r="X203" i="21" a="1"/>
  <c r="X203" i="21" s="1"/>
  <c r="Y203" i="21" a="1"/>
  <c r="Y203" i="21" s="1"/>
  <c r="Z203" i="21" a="1"/>
  <c r="Z203" i="21" s="1"/>
  <c r="AA203" i="21" a="1"/>
  <c r="AA203" i="21" s="1"/>
  <c r="AB203" i="21" a="1"/>
  <c r="AB203" i="21" s="1"/>
  <c r="AC203" i="21" a="1"/>
  <c r="AC203" i="21" s="1"/>
  <c r="AD203" i="21" a="1"/>
  <c r="AD203" i="21" s="1"/>
  <c r="AE203" i="21" a="1"/>
  <c r="AE203" i="21" s="1"/>
  <c r="AF203" i="21" a="1"/>
  <c r="AF203" i="21" s="1"/>
  <c r="AG203" i="21" a="1"/>
  <c r="AG203" i="21" s="1"/>
  <c r="AH203" i="21" a="1"/>
  <c r="AH203" i="21" s="1"/>
  <c r="AI203" i="21" a="1"/>
  <c r="AI203" i="21" s="1"/>
  <c r="AJ203" i="21" a="1"/>
  <c r="AJ203" i="21" s="1"/>
  <c r="AK203" i="21" a="1"/>
  <c r="AK203" i="21" s="1"/>
  <c r="AL203" i="21" a="1"/>
  <c r="AL203" i="21" s="1"/>
  <c r="AM203" i="21" a="1"/>
  <c r="AM203" i="21" s="1"/>
  <c r="AN203" i="21" a="1"/>
  <c r="AN203" i="21" s="1"/>
  <c r="AO203" i="21" a="1"/>
  <c r="AO203" i="21" s="1"/>
  <c r="AP203" i="21" a="1"/>
  <c r="AP203" i="21" s="1"/>
  <c r="AQ203" i="21" a="1"/>
  <c r="AQ203" i="21" s="1"/>
  <c r="AR203" i="21" a="1"/>
  <c r="AR203" i="21" s="1"/>
  <c r="AS203" i="21" a="1"/>
  <c r="AS203" i="21" s="1"/>
  <c r="AT203" i="21" a="1"/>
  <c r="AT203" i="21" s="1"/>
  <c r="AU203" i="21" a="1"/>
  <c r="AU203" i="21" s="1"/>
  <c r="AV203" i="21" a="1"/>
  <c r="AV203" i="21" s="1"/>
  <c r="AW203" i="21" a="1"/>
  <c r="AW203" i="21" s="1"/>
  <c r="AX203" i="21" a="1"/>
  <c r="AX203" i="21" s="1"/>
  <c r="AY203" i="21" a="1"/>
  <c r="AY203" i="21" s="1"/>
  <c r="AZ203" i="21" a="1"/>
  <c r="AZ203" i="21" s="1"/>
  <c r="BA203" i="21" a="1"/>
  <c r="BA203" i="21" s="1"/>
  <c r="BB203" i="21" a="1"/>
  <c r="BB203" i="21" s="1"/>
  <c r="BC203" i="21" a="1"/>
  <c r="BC203" i="21" s="1"/>
  <c r="BD203" i="21" a="1"/>
  <c r="BD203" i="21" s="1"/>
  <c r="BE203" i="21" a="1"/>
  <c r="BE203" i="21" s="1"/>
  <c r="BF203" i="21" a="1"/>
  <c r="BF203" i="21" s="1"/>
  <c r="BG203" i="21" a="1"/>
  <c r="BG203" i="21" s="1"/>
  <c r="BH203" i="21" a="1"/>
  <c r="BH203" i="21" s="1"/>
  <c r="BI203" i="21" a="1"/>
  <c r="BI203" i="21" s="1"/>
  <c r="BJ203" i="21" a="1"/>
  <c r="BJ203" i="21" s="1"/>
  <c r="BK203" i="21" a="1"/>
  <c r="BK203" i="21" s="1"/>
  <c r="BL203" i="21" a="1"/>
  <c r="BL203" i="21" s="1"/>
  <c r="BM203" i="21" a="1"/>
  <c r="BM203" i="21" s="1"/>
  <c r="BN203" i="21" a="1"/>
  <c r="BN203" i="21" s="1"/>
  <c r="BO203" i="21" a="1"/>
  <c r="BO203" i="21" s="1"/>
  <c r="BP203" i="21" a="1"/>
  <c r="BP203" i="21" s="1"/>
  <c r="BQ203" i="21" a="1"/>
  <c r="BQ203" i="21" s="1"/>
  <c r="BR203" i="21" a="1"/>
  <c r="BR203" i="21" s="1"/>
  <c r="BS203" i="21" a="1"/>
  <c r="BS203" i="21" s="1"/>
  <c r="BT203" i="21" a="1"/>
  <c r="BT203" i="21" s="1"/>
  <c r="BU203" i="21" a="1"/>
  <c r="BU203" i="21" s="1"/>
  <c r="BV203" i="21" a="1"/>
  <c r="BV203" i="21" s="1"/>
  <c r="BW203" i="21" a="1"/>
  <c r="BW203" i="21" s="1"/>
  <c r="BX203" i="21" a="1"/>
  <c r="BX203" i="21" s="1"/>
  <c r="BY203" i="21" a="1"/>
  <c r="BY203" i="21" s="1"/>
  <c r="BZ203" i="21" a="1"/>
  <c r="BZ203" i="21" s="1"/>
  <c r="CA203" i="21" a="1"/>
  <c r="CA203" i="21" s="1"/>
  <c r="CB203" i="21" a="1"/>
  <c r="CB203" i="21" s="1"/>
  <c r="CC203" i="21" a="1"/>
  <c r="CC203" i="21" s="1"/>
  <c r="CD203" i="21" a="1"/>
  <c r="CD203" i="21" s="1"/>
  <c r="CE203" i="21" a="1"/>
  <c r="CE203" i="21" s="1"/>
  <c r="CF203" i="21" a="1"/>
  <c r="CF203" i="21" s="1"/>
  <c r="CG203" i="21" a="1"/>
  <c r="CG203" i="21" s="1"/>
  <c r="CH203" i="21" a="1"/>
  <c r="CH203" i="21" s="1"/>
  <c r="CI203" i="21" a="1"/>
  <c r="CI203" i="21" s="1"/>
  <c r="CJ203" i="21" a="1"/>
  <c r="CJ203" i="21" s="1"/>
  <c r="CK203" i="21" a="1"/>
  <c r="CK203" i="21" s="1"/>
  <c r="CL203" i="21" a="1"/>
  <c r="CL203" i="21" s="1"/>
  <c r="CM203" i="21" a="1"/>
  <c r="CM203" i="21" s="1"/>
  <c r="CN203" i="21" a="1"/>
  <c r="CN203" i="21" s="1"/>
  <c r="CO203" i="21" a="1"/>
  <c r="CO203" i="21" s="1"/>
  <c r="CP203" i="21" a="1"/>
  <c r="CP203" i="21" s="1"/>
  <c r="CQ203" i="21" a="1"/>
  <c r="CQ203" i="21" s="1"/>
  <c r="CR203" i="21" a="1"/>
  <c r="CR203" i="21" s="1"/>
  <c r="CS203" i="21" a="1"/>
  <c r="CS203" i="21" s="1"/>
  <c r="CT203" i="21" a="1"/>
  <c r="CT203" i="21" s="1"/>
  <c r="CU203" i="21" a="1"/>
  <c r="CU203" i="21" s="1"/>
  <c r="CV203" i="21" a="1"/>
  <c r="CV203" i="21" s="1"/>
  <c r="CW203" i="21" a="1"/>
  <c r="CW203" i="21" s="1"/>
  <c r="N204" i="21" a="1"/>
  <c r="N204" i="21" s="1"/>
  <c r="O204" i="21" a="1"/>
  <c r="O204" i="21" s="1"/>
  <c r="P204" i="21" a="1"/>
  <c r="P204" i="21" s="1"/>
  <c r="Q204" i="21" a="1"/>
  <c r="Q204" i="21" s="1"/>
  <c r="R204" i="21" a="1"/>
  <c r="R204" i="21" s="1"/>
  <c r="S204" i="21" a="1"/>
  <c r="S204" i="21" s="1"/>
  <c r="T204" i="21" a="1"/>
  <c r="T204" i="21" s="1"/>
  <c r="U204" i="21" a="1"/>
  <c r="U204" i="21" s="1"/>
  <c r="V204" i="21" a="1"/>
  <c r="V204" i="21" s="1"/>
  <c r="W204" i="21" a="1"/>
  <c r="W204" i="21" s="1"/>
  <c r="X204" i="21" a="1"/>
  <c r="X204" i="21" s="1"/>
  <c r="Y204" i="21" a="1"/>
  <c r="Y204" i="21" s="1"/>
  <c r="Z204" i="21" a="1"/>
  <c r="Z204" i="21" s="1"/>
  <c r="AA204" i="21" a="1"/>
  <c r="AA204" i="21" s="1"/>
  <c r="AB204" i="21" a="1"/>
  <c r="AB204" i="21" s="1"/>
  <c r="AC204" i="21" a="1"/>
  <c r="AC204" i="21" s="1"/>
  <c r="AD204" i="21" a="1"/>
  <c r="AD204" i="21" s="1"/>
  <c r="AE204" i="21" a="1"/>
  <c r="AE204" i="21" s="1"/>
  <c r="AF204" i="21" a="1"/>
  <c r="AF204" i="21" s="1"/>
  <c r="AG204" i="21" a="1"/>
  <c r="AG204" i="21" s="1"/>
  <c r="AH204" i="21" a="1"/>
  <c r="AH204" i="21" s="1"/>
  <c r="AI204" i="21" a="1"/>
  <c r="AI204" i="21" s="1"/>
  <c r="AJ204" i="21" a="1"/>
  <c r="AJ204" i="21" s="1"/>
  <c r="AK204" i="21" a="1"/>
  <c r="AK204" i="21" s="1"/>
  <c r="AL204" i="21" a="1"/>
  <c r="AL204" i="21" s="1"/>
  <c r="AM204" i="21" a="1"/>
  <c r="AM204" i="21" s="1"/>
  <c r="AN204" i="21" a="1"/>
  <c r="AN204" i="21" s="1"/>
  <c r="AO204" i="21" a="1"/>
  <c r="AO204" i="21" s="1"/>
  <c r="AP204" i="21" a="1"/>
  <c r="AP204" i="21" s="1"/>
  <c r="AQ204" i="21" a="1"/>
  <c r="AQ204" i="21" s="1"/>
  <c r="AR204" i="21" a="1"/>
  <c r="AR204" i="21" s="1"/>
  <c r="AS204" i="21" a="1"/>
  <c r="AS204" i="21" s="1"/>
  <c r="AT204" i="21" a="1"/>
  <c r="AT204" i="21" s="1"/>
  <c r="AU204" i="21" a="1"/>
  <c r="AU204" i="21" s="1"/>
  <c r="AV204" i="21" a="1"/>
  <c r="AV204" i="21" s="1"/>
  <c r="AW204" i="21" a="1"/>
  <c r="AW204" i="21" s="1"/>
  <c r="AX204" i="21" a="1"/>
  <c r="AX204" i="21" s="1"/>
  <c r="AY204" i="21" a="1"/>
  <c r="AY204" i="21" s="1"/>
  <c r="AZ204" i="21" a="1"/>
  <c r="AZ204" i="21" s="1"/>
  <c r="BA204" i="21" a="1"/>
  <c r="BA204" i="21" s="1"/>
  <c r="BB204" i="21" a="1"/>
  <c r="BB204" i="21" s="1"/>
  <c r="BC204" i="21" a="1"/>
  <c r="BC204" i="21" s="1"/>
  <c r="BD204" i="21" a="1"/>
  <c r="BD204" i="21" s="1"/>
  <c r="BE204" i="21" a="1"/>
  <c r="BE204" i="21" s="1"/>
  <c r="BF204" i="21" a="1"/>
  <c r="BF204" i="21" s="1"/>
  <c r="BG204" i="21" a="1"/>
  <c r="BG204" i="21" s="1"/>
  <c r="BH204" i="21" a="1"/>
  <c r="BH204" i="21" s="1"/>
  <c r="BI204" i="21" a="1"/>
  <c r="BI204" i="21" s="1"/>
  <c r="BJ204" i="21" a="1"/>
  <c r="BJ204" i="21" s="1"/>
  <c r="BK204" i="21" a="1"/>
  <c r="BK204" i="21" s="1"/>
  <c r="BL204" i="21" a="1"/>
  <c r="BL204" i="21" s="1"/>
  <c r="BM204" i="21" a="1"/>
  <c r="BM204" i="21" s="1"/>
  <c r="BN204" i="21" a="1"/>
  <c r="BN204" i="21" s="1"/>
  <c r="BO204" i="21" a="1"/>
  <c r="BO204" i="21" s="1"/>
  <c r="BP204" i="21" a="1"/>
  <c r="BP204" i="21" s="1"/>
  <c r="BQ204" i="21" a="1"/>
  <c r="BQ204" i="21" s="1"/>
  <c r="BR204" i="21" a="1"/>
  <c r="BR204" i="21" s="1"/>
  <c r="BS204" i="21" a="1"/>
  <c r="BS204" i="21" s="1"/>
  <c r="BT204" i="21" a="1"/>
  <c r="BT204" i="21" s="1"/>
  <c r="BU204" i="21" a="1"/>
  <c r="BU204" i="21" s="1"/>
  <c r="BV204" i="21" a="1"/>
  <c r="BV204" i="21" s="1"/>
  <c r="BW204" i="21" a="1"/>
  <c r="BW204" i="21" s="1"/>
  <c r="BX204" i="21" a="1"/>
  <c r="BX204" i="21" s="1"/>
  <c r="BY204" i="21" a="1"/>
  <c r="BY204" i="21" s="1"/>
  <c r="BZ204" i="21" a="1"/>
  <c r="BZ204" i="21" s="1"/>
  <c r="CA204" i="21" a="1"/>
  <c r="CA204" i="21" s="1"/>
  <c r="CB204" i="21" a="1"/>
  <c r="CB204" i="21" s="1"/>
  <c r="CC204" i="21" a="1"/>
  <c r="CC204" i="21" s="1"/>
  <c r="CD204" i="21" a="1"/>
  <c r="CD204" i="21" s="1"/>
  <c r="CE204" i="21" a="1"/>
  <c r="CE204" i="21" s="1"/>
  <c r="CF204" i="21" a="1"/>
  <c r="CF204" i="21" s="1"/>
  <c r="CG204" i="21" a="1"/>
  <c r="CG204" i="21" s="1"/>
  <c r="CH204" i="21" a="1"/>
  <c r="CH204" i="21" s="1"/>
  <c r="CI204" i="21" a="1"/>
  <c r="CI204" i="21" s="1"/>
  <c r="CJ204" i="21" a="1"/>
  <c r="CJ204" i="21" s="1"/>
  <c r="CK204" i="21" a="1"/>
  <c r="CK204" i="21" s="1"/>
  <c r="CL204" i="21" a="1"/>
  <c r="CL204" i="21" s="1"/>
  <c r="CM204" i="21" a="1"/>
  <c r="CM204" i="21" s="1"/>
  <c r="CN204" i="21" a="1"/>
  <c r="CN204" i="21" s="1"/>
  <c r="CO204" i="21" a="1"/>
  <c r="CO204" i="21" s="1"/>
  <c r="CP204" i="21" a="1"/>
  <c r="CP204" i="21" s="1"/>
  <c r="CQ204" i="21" a="1"/>
  <c r="CQ204" i="21" s="1"/>
  <c r="CR204" i="21" a="1"/>
  <c r="CR204" i="21" s="1"/>
  <c r="CS204" i="21" a="1"/>
  <c r="CS204" i="21" s="1"/>
  <c r="CT204" i="21" a="1"/>
  <c r="CT204" i="21" s="1"/>
  <c r="CU204" i="21" a="1"/>
  <c r="CU204" i="21" s="1"/>
  <c r="CV204" i="21" a="1"/>
  <c r="CV204" i="21" s="1"/>
  <c r="CW204" i="21" a="1"/>
  <c r="CW204" i="21" s="1"/>
  <c r="N205" i="21" a="1"/>
  <c r="N205" i="21" s="1"/>
  <c r="O205" i="21" a="1"/>
  <c r="O205" i="21" s="1"/>
  <c r="P205" i="21" a="1"/>
  <c r="P205" i="21" s="1"/>
  <c r="Q205" i="21" a="1"/>
  <c r="Q205" i="21" s="1"/>
  <c r="R205" i="21" a="1"/>
  <c r="R205" i="21" s="1"/>
  <c r="S205" i="21" a="1"/>
  <c r="S205" i="21" s="1"/>
  <c r="T205" i="21" a="1"/>
  <c r="T205" i="21" s="1"/>
  <c r="U205" i="21" a="1"/>
  <c r="U205" i="21" s="1"/>
  <c r="V205" i="21" a="1"/>
  <c r="V205" i="21" s="1"/>
  <c r="W205" i="21" a="1"/>
  <c r="W205" i="21" s="1"/>
  <c r="X205" i="21" a="1"/>
  <c r="X205" i="21" s="1"/>
  <c r="Y205" i="21" a="1"/>
  <c r="Y205" i="21" s="1"/>
  <c r="Z205" i="21" a="1"/>
  <c r="Z205" i="21" s="1"/>
  <c r="AA205" i="21" a="1"/>
  <c r="AA205" i="21" s="1"/>
  <c r="AB205" i="21" a="1"/>
  <c r="AB205" i="21" s="1"/>
  <c r="AC205" i="21" a="1"/>
  <c r="AC205" i="21" s="1"/>
  <c r="AD205" i="21" a="1"/>
  <c r="AD205" i="21" s="1"/>
  <c r="AE205" i="21" a="1"/>
  <c r="AE205" i="21" s="1"/>
  <c r="AF205" i="21" a="1"/>
  <c r="AF205" i="21" s="1"/>
  <c r="AG205" i="21" a="1"/>
  <c r="AG205" i="21" s="1"/>
  <c r="AH205" i="21" a="1"/>
  <c r="AH205" i="21" s="1"/>
  <c r="AI205" i="21" a="1"/>
  <c r="AI205" i="21" s="1"/>
  <c r="AJ205" i="21" a="1"/>
  <c r="AJ205" i="21" s="1"/>
  <c r="AK205" i="21" a="1"/>
  <c r="AK205" i="21" s="1"/>
  <c r="AL205" i="21" a="1"/>
  <c r="AL205" i="21" s="1"/>
  <c r="AM205" i="21" a="1"/>
  <c r="AM205" i="21" s="1"/>
  <c r="AN205" i="21" a="1"/>
  <c r="AN205" i="21" s="1"/>
  <c r="AO205" i="21" a="1"/>
  <c r="AO205" i="21" s="1"/>
  <c r="AP205" i="21" a="1"/>
  <c r="AP205" i="21" s="1"/>
  <c r="AQ205" i="21" a="1"/>
  <c r="AQ205" i="21" s="1"/>
  <c r="AR205" i="21" a="1"/>
  <c r="AR205" i="21" s="1"/>
  <c r="AS205" i="21" a="1"/>
  <c r="AS205" i="21" s="1"/>
  <c r="AT205" i="21" a="1"/>
  <c r="AT205" i="21" s="1"/>
  <c r="AU205" i="21" a="1"/>
  <c r="AU205" i="21" s="1"/>
  <c r="AV205" i="21" a="1"/>
  <c r="AV205" i="21" s="1"/>
  <c r="AW205" i="21" a="1"/>
  <c r="AW205" i="21" s="1"/>
  <c r="AX205" i="21" a="1"/>
  <c r="AX205" i="21" s="1"/>
  <c r="AY205" i="21" a="1"/>
  <c r="AY205" i="21" s="1"/>
  <c r="AZ205" i="21" a="1"/>
  <c r="AZ205" i="21" s="1"/>
  <c r="BA205" i="21" a="1"/>
  <c r="BA205" i="21" s="1"/>
  <c r="BB205" i="21" a="1"/>
  <c r="BB205" i="21" s="1"/>
  <c r="BC205" i="21" a="1"/>
  <c r="BC205" i="21" s="1"/>
  <c r="BD205" i="21" a="1"/>
  <c r="BD205" i="21" s="1"/>
  <c r="BE205" i="21" a="1"/>
  <c r="BE205" i="21" s="1"/>
  <c r="BF205" i="21" a="1"/>
  <c r="BF205" i="21" s="1"/>
  <c r="BG205" i="21" a="1"/>
  <c r="BG205" i="21" s="1"/>
  <c r="BH205" i="21" a="1"/>
  <c r="BH205" i="21" s="1"/>
  <c r="BI205" i="21" a="1"/>
  <c r="BI205" i="21" s="1"/>
  <c r="BJ205" i="21" a="1"/>
  <c r="BJ205" i="21" s="1"/>
  <c r="BK205" i="21" a="1"/>
  <c r="BK205" i="21" s="1"/>
  <c r="BL205" i="21" a="1"/>
  <c r="BL205" i="21" s="1"/>
  <c r="BM205" i="21" a="1"/>
  <c r="BM205" i="21" s="1"/>
  <c r="BN205" i="21" a="1"/>
  <c r="BN205" i="21" s="1"/>
  <c r="BO205" i="21" a="1"/>
  <c r="BO205" i="21" s="1"/>
  <c r="BP205" i="21" a="1"/>
  <c r="BP205" i="21" s="1"/>
  <c r="BQ205" i="21" a="1"/>
  <c r="BQ205" i="21" s="1"/>
  <c r="BR205" i="21" a="1"/>
  <c r="BR205" i="21" s="1"/>
  <c r="BS205" i="21" a="1"/>
  <c r="BS205" i="21" s="1"/>
  <c r="BT205" i="21" a="1"/>
  <c r="BT205" i="21" s="1"/>
  <c r="BU205" i="21" a="1"/>
  <c r="BU205" i="21" s="1"/>
  <c r="BV205" i="21" a="1"/>
  <c r="BV205" i="21" s="1"/>
  <c r="BW205" i="21" a="1"/>
  <c r="BW205" i="21" s="1"/>
  <c r="BX205" i="21" a="1"/>
  <c r="BX205" i="21" s="1"/>
  <c r="BY205" i="21" a="1"/>
  <c r="BY205" i="21" s="1"/>
  <c r="BZ205" i="21" a="1"/>
  <c r="BZ205" i="21" s="1"/>
  <c r="CA205" i="21" a="1"/>
  <c r="CA205" i="21" s="1"/>
  <c r="CB205" i="21" a="1"/>
  <c r="CB205" i="21" s="1"/>
  <c r="CC205" i="21" a="1"/>
  <c r="CC205" i="21" s="1"/>
  <c r="CD205" i="21" a="1"/>
  <c r="CD205" i="21" s="1"/>
  <c r="CE205" i="21" a="1"/>
  <c r="CE205" i="21" s="1"/>
  <c r="CF205" i="21" a="1"/>
  <c r="CF205" i="21" s="1"/>
  <c r="CG205" i="21" a="1"/>
  <c r="CG205" i="21" s="1"/>
  <c r="CH205" i="21" a="1"/>
  <c r="CH205" i="21" s="1"/>
  <c r="CI205" i="21" a="1"/>
  <c r="CI205" i="21" s="1"/>
  <c r="CJ205" i="21" a="1"/>
  <c r="CJ205" i="21" s="1"/>
  <c r="CK205" i="21" a="1"/>
  <c r="CK205" i="21" s="1"/>
  <c r="CL205" i="21" a="1"/>
  <c r="CL205" i="21" s="1"/>
  <c r="CM205" i="21" a="1"/>
  <c r="CM205" i="21" s="1"/>
  <c r="CN205" i="21" a="1"/>
  <c r="CN205" i="21" s="1"/>
  <c r="CO205" i="21" a="1"/>
  <c r="CO205" i="21" s="1"/>
  <c r="CP205" i="21" a="1"/>
  <c r="CP205" i="21" s="1"/>
  <c r="CQ205" i="21" a="1"/>
  <c r="CQ205" i="21" s="1"/>
  <c r="CR205" i="21" a="1"/>
  <c r="CR205" i="21" s="1"/>
  <c r="CS205" i="21" a="1"/>
  <c r="CS205" i="21" s="1"/>
  <c r="CT205" i="21" a="1"/>
  <c r="CT205" i="21" s="1"/>
  <c r="CU205" i="21" a="1"/>
  <c r="CU205" i="21" s="1"/>
  <c r="CV205" i="21" a="1"/>
  <c r="CV205" i="21" s="1"/>
  <c r="CW205" i="21" a="1"/>
  <c r="CW205" i="21" s="1"/>
  <c r="N206" i="21" a="1"/>
  <c r="N206" i="21" s="1"/>
  <c r="O206" i="21" a="1"/>
  <c r="O206" i="21" s="1"/>
  <c r="P206" i="21" a="1"/>
  <c r="P206" i="21" s="1"/>
  <c r="Q206" i="21" a="1"/>
  <c r="Q206" i="21" s="1"/>
  <c r="R206" i="21" a="1"/>
  <c r="R206" i="21" s="1"/>
  <c r="S206" i="21" a="1"/>
  <c r="S206" i="21" s="1"/>
  <c r="T206" i="21" a="1"/>
  <c r="T206" i="21" s="1"/>
  <c r="U206" i="21" a="1"/>
  <c r="U206" i="21" s="1"/>
  <c r="V206" i="21" a="1"/>
  <c r="V206" i="21" s="1"/>
  <c r="W206" i="21" a="1"/>
  <c r="W206" i="21" s="1"/>
  <c r="X206" i="21" a="1"/>
  <c r="X206" i="21" s="1"/>
  <c r="Y206" i="21" a="1"/>
  <c r="Y206" i="21" s="1"/>
  <c r="Z206" i="21" a="1"/>
  <c r="Z206" i="21" s="1"/>
  <c r="AA206" i="21" a="1"/>
  <c r="AA206" i="21" s="1"/>
  <c r="AB206" i="21" a="1"/>
  <c r="AB206" i="21" s="1"/>
  <c r="AC206" i="21" a="1"/>
  <c r="AC206" i="21" s="1"/>
  <c r="AD206" i="21" a="1"/>
  <c r="AD206" i="21" s="1"/>
  <c r="AE206" i="21" a="1"/>
  <c r="AE206" i="21" s="1"/>
  <c r="AF206" i="21" a="1"/>
  <c r="AF206" i="21" s="1"/>
  <c r="AG206" i="21" a="1"/>
  <c r="AG206" i="21" s="1"/>
  <c r="AH206" i="21" a="1"/>
  <c r="AH206" i="21" s="1"/>
  <c r="AI206" i="21" a="1"/>
  <c r="AI206" i="21" s="1"/>
  <c r="AJ206" i="21" a="1"/>
  <c r="AJ206" i="21" s="1"/>
  <c r="AK206" i="21" a="1"/>
  <c r="AK206" i="21" s="1"/>
  <c r="AL206" i="21" a="1"/>
  <c r="AL206" i="21" s="1"/>
  <c r="AM206" i="21" a="1"/>
  <c r="AM206" i="21" s="1"/>
  <c r="AN206" i="21" a="1"/>
  <c r="AN206" i="21" s="1"/>
  <c r="AO206" i="21" a="1"/>
  <c r="AO206" i="21" s="1"/>
  <c r="AP206" i="21" a="1"/>
  <c r="AP206" i="21" s="1"/>
  <c r="AQ206" i="21" a="1"/>
  <c r="AQ206" i="21" s="1"/>
  <c r="AR206" i="21" a="1"/>
  <c r="AR206" i="21" s="1"/>
  <c r="AS206" i="21" a="1"/>
  <c r="AS206" i="21" s="1"/>
  <c r="AT206" i="21" a="1"/>
  <c r="AT206" i="21" s="1"/>
  <c r="AU206" i="21" a="1"/>
  <c r="AU206" i="21" s="1"/>
  <c r="AV206" i="21" a="1"/>
  <c r="AV206" i="21" s="1"/>
  <c r="AW206" i="21" a="1"/>
  <c r="AW206" i="21" s="1"/>
  <c r="AX206" i="21" a="1"/>
  <c r="AX206" i="21" s="1"/>
  <c r="AY206" i="21" a="1"/>
  <c r="AY206" i="21" s="1"/>
  <c r="AZ206" i="21" a="1"/>
  <c r="AZ206" i="21" s="1"/>
  <c r="BA206" i="21" a="1"/>
  <c r="BA206" i="21" s="1"/>
  <c r="BB206" i="21" a="1"/>
  <c r="BB206" i="21" s="1"/>
  <c r="BC206" i="21" a="1"/>
  <c r="BC206" i="21" s="1"/>
  <c r="BD206" i="21" a="1"/>
  <c r="BD206" i="21" s="1"/>
  <c r="BE206" i="21" a="1"/>
  <c r="BE206" i="21" s="1"/>
  <c r="BF206" i="21" a="1"/>
  <c r="BF206" i="21" s="1"/>
  <c r="BG206" i="21" a="1"/>
  <c r="BG206" i="21" s="1"/>
  <c r="BH206" i="21" a="1"/>
  <c r="BH206" i="21" s="1"/>
  <c r="BI206" i="21" a="1"/>
  <c r="BI206" i="21" s="1"/>
  <c r="BJ206" i="21" a="1"/>
  <c r="BJ206" i="21" s="1"/>
  <c r="BK206" i="21" a="1"/>
  <c r="BK206" i="21" s="1"/>
  <c r="BL206" i="21" a="1"/>
  <c r="BL206" i="21" s="1"/>
  <c r="BM206" i="21" a="1"/>
  <c r="BM206" i="21" s="1"/>
  <c r="BN206" i="21" a="1"/>
  <c r="BN206" i="21" s="1"/>
  <c r="BO206" i="21" a="1"/>
  <c r="BO206" i="21" s="1"/>
  <c r="BP206" i="21" a="1"/>
  <c r="BP206" i="21" s="1"/>
  <c r="BQ206" i="21" a="1"/>
  <c r="BQ206" i="21" s="1"/>
  <c r="BR206" i="21" a="1"/>
  <c r="BR206" i="21" s="1"/>
  <c r="BS206" i="21" a="1"/>
  <c r="BS206" i="21" s="1"/>
  <c r="BT206" i="21" a="1"/>
  <c r="BT206" i="21" s="1"/>
  <c r="BU206" i="21" a="1"/>
  <c r="BU206" i="21" s="1"/>
  <c r="BV206" i="21" a="1"/>
  <c r="BV206" i="21" s="1"/>
  <c r="BW206" i="21" a="1"/>
  <c r="BW206" i="21" s="1"/>
  <c r="BX206" i="21" a="1"/>
  <c r="BX206" i="21" s="1"/>
  <c r="BY206" i="21" a="1"/>
  <c r="BY206" i="21" s="1"/>
  <c r="BZ206" i="21" a="1"/>
  <c r="BZ206" i="21" s="1"/>
  <c r="CA206" i="21" a="1"/>
  <c r="CA206" i="21" s="1"/>
  <c r="CB206" i="21" a="1"/>
  <c r="CB206" i="21" s="1"/>
  <c r="CC206" i="21" a="1"/>
  <c r="CC206" i="21" s="1"/>
  <c r="CD206" i="21" a="1"/>
  <c r="CD206" i="21" s="1"/>
  <c r="CE206" i="21" a="1"/>
  <c r="CE206" i="21" s="1"/>
  <c r="CF206" i="21" a="1"/>
  <c r="CF206" i="21" s="1"/>
  <c r="CG206" i="21" a="1"/>
  <c r="CG206" i="21" s="1"/>
  <c r="CH206" i="21" a="1"/>
  <c r="CH206" i="21" s="1"/>
  <c r="CI206" i="21" a="1"/>
  <c r="CI206" i="21" s="1"/>
  <c r="CJ206" i="21" a="1"/>
  <c r="CJ206" i="21" s="1"/>
  <c r="CK206" i="21" a="1"/>
  <c r="CK206" i="21" s="1"/>
  <c r="CL206" i="21" a="1"/>
  <c r="CL206" i="21" s="1"/>
  <c r="CM206" i="21" a="1"/>
  <c r="CM206" i="21" s="1"/>
  <c r="CN206" i="21" a="1"/>
  <c r="CN206" i="21" s="1"/>
  <c r="CO206" i="21" a="1"/>
  <c r="CO206" i="21" s="1"/>
  <c r="CP206" i="21" a="1"/>
  <c r="CP206" i="21" s="1"/>
  <c r="CQ206" i="21" a="1"/>
  <c r="CQ206" i="21" s="1"/>
  <c r="CR206" i="21" a="1"/>
  <c r="CR206" i="21" s="1"/>
  <c r="CS206" i="21" a="1"/>
  <c r="CS206" i="21" s="1"/>
  <c r="CT206" i="21" a="1"/>
  <c r="CT206" i="21" s="1"/>
  <c r="CU206" i="21" a="1"/>
  <c r="CU206" i="21" s="1"/>
  <c r="CV206" i="21" a="1"/>
  <c r="CV206" i="21" s="1"/>
  <c r="CW206" i="21" a="1"/>
  <c r="CW206" i="21" s="1"/>
  <c r="N207" i="21" a="1"/>
  <c r="N207" i="21" s="1"/>
  <c r="O207" i="21" a="1"/>
  <c r="O207" i="21" s="1"/>
  <c r="P207" i="21" a="1"/>
  <c r="P207" i="21" s="1"/>
  <c r="Q207" i="21" a="1"/>
  <c r="Q207" i="21" s="1"/>
  <c r="R207" i="21" a="1"/>
  <c r="R207" i="21" s="1"/>
  <c r="S207" i="21" a="1"/>
  <c r="S207" i="21" s="1"/>
  <c r="T207" i="21" a="1"/>
  <c r="T207" i="21" s="1"/>
  <c r="U207" i="21" a="1"/>
  <c r="U207" i="21" s="1"/>
  <c r="V207" i="21" a="1"/>
  <c r="V207" i="21" s="1"/>
  <c r="W207" i="21" a="1"/>
  <c r="W207" i="21" s="1"/>
  <c r="X207" i="21" a="1"/>
  <c r="X207" i="21" s="1"/>
  <c r="Y207" i="21" a="1"/>
  <c r="Y207" i="21" s="1"/>
  <c r="Z207" i="21" a="1"/>
  <c r="Z207" i="21" s="1"/>
  <c r="AA207" i="21" a="1"/>
  <c r="AA207" i="21" s="1"/>
  <c r="AB207" i="21" a="1"/>
  <c r="AB207" i="21" s="1"/>
  <c r="AC207" i="21" a="1"/>
  <c r="AC207" i="21" s="1"/>
  <c r="AD207" i="21" a="1"/>
  <c r="AD207" i="21" s="1"/>
  <c r="AE207" i="21" a="1"/>
  <c r="AE207" i="21" s="1"/>
  <c r="AF207" i="21" a="1"/>
  <c r="AF207" i="21" s="1"/>
  <c r="AG207" i="21" a="1"/>
  <c r="AG207" i="21" s="1"/>
  <c r="AH207" i="21" a="1"/>
  <c r="AH207" i="21" s="1"/>
  <c r="AI207" i="21" a="1"/>
  <c r="AI207" i="21" s="1"/>
  <c r="AJ207" i="21" a="1"/>
  <c r="AJ207" i="21" s="1"/>
  <c r="AK207" i="21" a="1"/>
  <c r="AK207" i="21" s="1"/>
  <c r="AL207" i="21" a="1"/>
  <c r="AL207" i="21" s="1"/>
  <c r="AM207" i="21" a="1"/>
  <c r="AM207" i="21" s="1"/>
  <c r="AN207" i="21" a="1"/>
  <c r="AN207" i="21" s="1"/>
  <c r="AO207" i="21" a="1"/>
  <c r="AO207" i="21" s="1"/>
  <c r="AP207" i="21" a="1"/>
  <c r="AP207" i="21" s="1"/>
  <c r="AQ207" i="21" a="1"/>
  <c r="AQ207" i="21" s="1"/>
  <c r="AR207" i="21" a="1"/>
  <c r="AR207" i="21" s="1"/>
  <c r="AS207" i="21" a="1"/>
  <c r="AS207" i="21" s="1"/>
  <c r="AT207" i="21" a="1"/>
  <c r="AT207" i="21" s="1"/>
  <c r="AU207" i="21" a="1"/>
  <c r="AU207" i="21" s="1"/>
  <c r="AV207" i="21" a="1"/>
  <c r="AV207" i="21" s="1"/>
  <c r="AW207" i="21" a="1"/>
  <c r="AW207" i="21" s="1"/>
  <c r="AX207" i="21" a="1"/>
  <c r="AX207" i="21" s="1"/>
  <c r="AY207" i="21" a="1"/>
  <c r="AY207" i="21" s="1"/>
  <c r="AZ207" i="21" a="1"/>
  <c r="AZ207" i="21" s="1"/>
  <c r="BA207" i="21" a="1"/>
  <c r="BA207" i="21" s="1"/>
  <c r="BB207" i="21" a="1"/>
  <c r="BB207" i="21" s="1"/>
  <c r="BC207" i="21" a="1"/>
  <c r="BC207" i="21" s="1"/>
  <c r="BD207" i="21" a="1"/>
  <c r="BD207" i="21" s="1"/>
  <c r="BE207" i="21" a="1"/>
  <c r="BE207" i="21" s="1"/>
  <c r="BF207" i="21" a="1"/>
  <c r="BF207" i="21" s="1"/>
  <c r="BG207" i="21" a="1"/>
  <c r="BG207" i="21" s="1"/>
  <c r="BH207" i="21" a="1"/>
  <c r="BH207" i="21" s="1"/>
  <c r="BI207" i="21" a="1"/>
  <c r="BI207" i="21" s="1"/>
  <c r="BJ207" i="21" a="1"/>
  <c r="BJ207" i="21" s="1"/>
  <c r="BK207" i="21" a="1"/>
  <c r="BK207" i="21" s="1"/>
  <c r="BL207" i="21" a="1"/>
  <c r="BL207" i="21" s="1"/>
  <c r="BM207" i="21" a="1"/>
  <c r="BM207" i="21" s="1"/>
  <c r="BN207" i="21" a="1"/>
  <c r="BN207" i="21" s="1"/>
  <c r="BO207" i="21" a="1"/>
  <c r="BO207" i="21" s="1"/>
  <c r="BP207" i="21" a="1"/>
  <c r="BP207" i="21" s="1"/>
  <c r="BQ207" i="21" a="1"/>
  <c r="BQ207" i="21" s="1"/>
  <c r="BR207" i="21" a="1"/>
  <c r="BR207" i="21" s="1"/>
  <c r="BS207" i="21" a="1"/>
  <c r="BS207" i="21" s="1"/>
  <c r="BT207" i="21" a="1"/>
  <c r="BT207" i="21" s="1"/>
  <c r="BU207" i="21" a="1"/>
  <c r="BU207" i="21" s="1"/>
  <c r="BV207" i="21" a="1"/>
  <c r="BV207" i="21" s="1"/>
  <c r="BW207" i="21" a="1"/>
  <c r="BW207" i="21" s="1"/>
  <c r="BX207" i="21" a="1"/>
  <c r="BX207" i="21" s="1"/>
  <c r="BY207" i="21" a="1"/>
  <c r="BY207" i="21" s="1"/>
  <c r="BZ207" i="21" a="1"/>
  <c r="BZ207" i="21" s="1"/>
  <c r="CA207" i="21" a="1"/>
  <c r="CA207" i="21" s="1"/>
  <c r="CB207" i="21" a="1"/>
  <c r="CB207" i="21" s="1"/>
  <c r="CC207" i="21" a="1"/>
  <c r="CC207" i="21" s="1"/>
  <c r="CD207" i="21" a="1"/>
  <c r="CD207" i="21" s="1"/>
  <c r="CE207" i="21" a="1"/>
  <c r="CE207" i="21" s="1"/>
  <c r="CF207" i="21" a="1"/>
  <c r="CF207" i="21" s="1"/>
  <c r="CG207" i="21" a="1"/>
  <c r="CG207" i="21" s="1"/>
  <c r="CH207" i="21" a="1"/>
  <c r="CH207" i="21" s="1"/>
  <c r="CI207" i="21" a="1"/>
  <c r="CI207" i="21" s="1"/>
  <c r="CJ207" i="21" a="1"/>
  <c r="CJ207" i="21" s="1"/>
  <c r="CK207" i="21" a="1"/>
  <c r="CK207" i="21" s="1"/>
  <c r="CL207" i="21" a="1"/>
  <c r="CL207" i="21" s="1"/>
  <c r="CM207" i="21" a="1"/>
  <c r="CM207" i="21" s="1"/>
  <c r="CN207" i="21" a="1"/>
  <c r="CN207" i="21" s="1"/>
  <c r="CO207" i="21" a="1"/>
  <c r="CO207" i="21" s="1"/>
  <c r="CP207" i="21" a="1"/>
  <c r="CP207" i="21" s="1"/>
  <c r="CQ207" i="21" a="1"/>
  <c r="CQ207" i="21" s="1"/>
  <c r="CR207" i="21" a="1"/>
  <c r="CR207" i="21" s="1"/>
  <c r="CS207" i="21" a="1"/>
  <c r="CS207" i="21" s="1"/>
  <c r="CT207" i="21" a="1"/>
  <c r="CT207" i="21" s="1"/>
  <c r="CU207" i="21" a="1"/>
  <c r="CU207" i="21" s="1"/>
  <c r="CV207" i="21" a="1"/>
  <c r="CV207" i="21" s="1"/>
  <c r="CW207" i="21" a="1"/>
  <c r="CW207" i="21" s="1"/>
  <c r="N208" i="21" a="1"/>
  <c r="N208" i="21" s="1"/>
  <c r="O208" i="21" a="1"/>
  <c r="O208" i="21" s="1"/>
  <c r="P208" i="21" a="1"/>
  <c r="P208" i="21" s="1"/>
  <c r="Q208" i="21" a="1"/>
  <c r="Q208" i="21" s="1"/>
  <c r="R208" i="21" a="1"/>
  <c r="R208" i="21" s="1"/>
  <c r="S208" i="21" a="1"/>
  <c r="S208" i="21" s="1"/>
  <c r="T208" i="21" a="1"/>
  <c r="T208" i="21" s="1"/>
  <c r="U208" i="21" a="1"/>
  <c r="U208" i="21" s="1"/>
  <c r="V208" i="21" a="1"/>
  <c r="V208" i="21" s="1"/>
  <c r="W208" i="21" a="1"/>
  <c r="W208" i="21" s="1"/>
  <c r="X208" i="21" a="1"/>
  <c r="X208" i="21" s="1"/>
  <c r="Y208" i="21" a="1"/>
  <c r="Y208" i="21" s="1"/>
  <c r="Z208" i="21" a="1"/>
  <c r="Z208" i="21" s="1"/>
  <c r="AA208" i="21" a="1"/>
  <c r="AA208" i="21" s="1"/>
  <c r="AB208" i="21" a="1"/>
  <c r="AB208" i="21" s="1"/>
  <c r="AC208" i="21" a="1"/>
  <c r="AC208" i="21" s="1"/>
  <c r="AD208" i="21" a="1"/>
  <c r="AD208" i="21" s="1"/>
  <c r="AE208" i="21" a="1"/>
  <c r="AE208" i="21" s="1"/>
  <c r="AF208" i="21" a="1"/>
  <c r="AF208" i="21" s="1"/>
  <c r="AG208" i="21" a="1"/>
  <c r="AG208" i="21" s="1"/>
  <c r="AH208" i="21" a="1"/>
  <c r="AH208" i="21" s="1"/>
  <c r="AI208" i="21" a="1"/>
  <c r="AI208" i="21" s="1"/>
  <c r="AJ208" i="21" a="1"/>
  <c r="AJ208" i="21" s="1"/>
  <c r="AK208" i="21" a="1"/>
  <c r="AK208" i="21" s="1"/>
  <c r="AL208" i="21" a="1"/>
  <c r="AL208" i="21" s="1"/>
  <c r="AM208" i="21" a="1"/>
  <c r="AM208" i="21" s="1"/>
  <c r="AN208" i="21" a="1"/>
  <c r="AN208" i="21" s="1"/>
  <c r="AO208" i="21" a="1"/>
  <c r="AO208" i="21" s="1"/>
  <c r="AP208" i="21" a="1"/>
  <c r="AP208" i="21" s="1"/>
  <c r="AQ208" i="21" a="1"/>
  <c r="AQ208" i="21" s="1"/>
  <c r="AR208" i="21" a="1"/>
  <c r="AR208" i="21" s="1"/>
  <c r="AS208" i="21" a="1"/>
  <c r="AS208" i="21" s="1"/>
  <c r="AT208" i="21" a="1"/>
  <c r="AT208" i="21" s="1"/>
  <c r="AU208" i="21" a="1"/>
  <c r="AU208" i="21" s="1"/>
  <c r="AV208" i="21" a="1"/>
  <c r="AV208" i="21" s="1"/>
  <c r="AW208" i="21" a="1"/>
  <c r="AW208" i="21" s="1"/>
  <c r="AX208" i="21" a="1"/>
  <c r="AX208" i="21" s="1"/>
  <c r="AY208" i="21" a="1"/>
  <c r="AY208" i="21" s="1"/>
  <c r="AZ208" i="21" a="1"/>
  <c r="AZ208" i="21" s="1"/>
  <c r="BA208" i="21" a="1"/>
  <c r="BA208" i="21" s="1"/>
  <c r="BB208" i="21" a="1"/>
  <c r="BB208" i="21" s="1"/>
  <c r="BC208" i="21" a="1"/>
  <c r="BC208" i="21" s="1"/>
  <c r="BD208" i="21" a="1"/>
  <c r="BD208" i="21" s="1"/>
  <c r="BE208" i="21" a="1"/>
  <c r="BE208" i="21" s="1"/>
  <c r="BF208" i="21" a="1"/>
  <c r="BF208" i="21" s="1"/>
  <c r="BG208" i="21" a="1"/>
  <c r="BG208" i="21" s="1"/>
  <c r="BH208" i="21" a="1"/>
  <c r="BH208" i="21" s="1"/>
  <c r="BI208" i="21" a="1"/>
  <c r="BI208" i="21" s="1"/>
  <c r="BJ208" i="21" a="1"/>
  <c r="BJ208" i="21" s="1"/>
  <c r="BK208" i="21" a="1"/>
  <c r="BK208" i="21" s="1"/>
  <c r="BL208" i="21" a="1"/>
  <c r="BL208" i="21" s="1"/>
  <c r="BM208" i="21" a="1"/>
  <c r="BM208" i="21" s="1"/>
  <c r="BN208" i="21" a="1"/>
  <c r="BN208" i="21" s="1"/>
  <c r="BO208" i="21" a="1"/>
  <c r="BO208" i="21" s="1"/>
  <c r="BP208" i="21" a="1"/>
  <c r="BP208" i="21" s="1"/>
  <c r="BQ208" i="21" a="1"/>
  <c r="BQ208" i="21" s="1"/>
  <c r="BR208" i="21" a="1"/>
  <c r="BR208" i="21" s="1"/>
  <c r="BS208" i="21" a="1"/>
  <c r="BS208" i="21" s="1"/>
  <c r="BT208" i="21" a="1"/>
  <c r="BT208" i="21" s="1"/>
  <c r="BU208" i="21" a="1"/>
  <c r="BU208" i="21" s="1"/>
  <c r="BV208" i="21" a="1"/>
  <c r="BV208" i="21" s="1"/>
  <c r="BW208" i="21" a="1"/>
  <c r="BW208" i="21" s="1"/>
  <c r="BX208" i="21" a="1"/>
  <c r="BX208" i="21" s="1"/>
  <c r="BY208" i="21" a="1"/>
  <c r="BY208" i="21" s="1"/>
  <c r="BZ208" i="21" a="1"/>
  <c r="BZ208" i="21" s="1"/>
  <c r="CA208" i="21" a="1"/>
  <c r="CA208" i="21" s="1"/>
  <c r="CB208" i="21" a="1"/>
  <c r="CB208" i="21" s="1"/>
  <c r="CC208" i="21" a="1"/>
  <c r="CC208" i="21" s="1"/>
  <c r="CD208" i="21" a="1"/>
  <c r="CD208" i="21" s="1"/>
  <c r="CE208" i="21" a="1"/>
  <c r="CE208" i="21" s="1"/>
  <c r="CF208" i="21" a="1"/>
  <c r="CF208" i="21" s="1"/>
  <c r="CG208" i="21" a="1"/>
  <c r="CG208" i="21" s="1"/>
  <c r="CH208" i="21" a="1"/>
  <c r="CH208" i="21" s="1"/>
  <c r="CI208" i="21" a="1"/>
  <c r="CI208" i="21" s="1"/>
  <c r="CJ208" i="21" a="1"/>
  <c r="CJ208" i="21" s="1"/>
  <c r="CK208" i="21" a="1"/>
  <c r="CK208" i="21" s="1"/>
  <c r="CL208" i="21" a="1"/>
  <c r="CL208" i="21" s="1"/>
  <c r="CM208" i="21" a="1"/>
  <c r="CM208" i="21" s="1"/>
  <c r="CN208" i="21" a="1"/>
  <c r="CN208" i="21" s="1"/>
  <c r="CO208" i="21" a="1"/>
  <c r="CO208" i="21" s="1"/>
  <c r="CP208" i="21" a="1"/>
  <c r="CP208" i="21" s="1"/>
  <c r="CQ208" i="21" a="1"/>
  <c r="CQ208" i="21" s="1"/>
  <c r="CR208" i="21" a="1"/>
  <c r="CR208" i="21" s="1"/>
  <c r="CS208" i="21" a="1"/>
  <c r="CS208" i="21" s="1"/>
  <c r="CT208" i="21" a="1"/>
  <c r="CT208" i="21" s="1"/>
  <c r="CU208" i="21" a="1"/>
  <c r="CU208" i="21" s="1"/>
  <c r="CV208" i="21" a="1"/>
  <c r="CV208" i="21" s="1"/>
  <c r="CW208" i="21" a="1"/>
  <c r="CW208" i="21" s="1"/>
  <c r="N209" i="21" a="1"/>
  <c r="N209" i="21" s="1"/>
  <c r="O209" i="21" a="1"/>
  <c r="O209" i="21" s="1"/>
  <c r="P209" i="21" a="1"/>
  <c r="P209" i="21" s="1"/>
  <c r="Q209" i="21" a="1"/>
  <c r="Q209" i="21" s="1"/>
  <c r="R209" i="21" a="1"/>
  <c r="R209" i="21" s="1"/>
  <c r="S209" i="21" a="1"/>
  <c r="S209" i="21" s="1"/>
  <c r="T209" i="21" a="1"/>
  <c r="T209" i="21" s="1"/>
  <c r="U209" i="21" a="1"/>
  <c r="U209" i="21" s="1"/>
  <c r="V209" i="21" a="1"/>
  <c r="V209" i="21" s="1"/>
  <c r="W209" i="21" a="1"/>
  <c r="W209" i="21" s="1"/>
  <c r="X209" i="21" a="1"/>
  <c r="X209" i="21" s="1"/>
  <c r="Y209" i="21" a="1"/>
  <c r="Y209" i="21" s="1"/>
  <c r="Z209" i="21" a="1"/>
  <c r="Z209" i="21" s="1"/>
  <c r="AA209" i="21" a="1"/>
  <c r="AA209" i="21" s="1"/>
  <c r="AB209" i="21" a="1"/>
  <c r="AB209" i="21" s="1"/>
  <c r="AC209" i="21" a="1"/>
  <c r="AC209" i="21" s="1"/>
  <c r="AD209" i="21" a="1"/>
  <c r="AD209" i="21" s="1"/>
  <c r="AE209" i="21" a="1"/>
  <c r="AE209" i="21" s="1"/>
  <c r="AF209" i="21" a="1"/>
  <c r="AF209" i="21" s="1"/>
  <c r="AG209" i="21" a="1"/>
  <c r="AG209" i="21" s="1"/>
  <c r="AH209" i="21" a="1"/>
  <c r="AH209" i="21" s="1"/>
  <c r="AI209" i="21" a="1"/>
  <c r="AI209" i="21" s="1"/>
  <c r="AJ209" i="21" a="1"/>
  <c r="AJ209" i="21" s="1"/>
  <c r="AK209" i="21" a="1"/>
  <c r="AK209" i="21" s="1"/>
  <c r="AL209" i="21" a="1"/>
  <c r="AL209" i="21" s="1"/>
  <c r="AM209" i="21" a="1"/>
  <c r="AM209" i="21" s="1"/>
  <c r="AN209" i="21" a="1"/>
  <c r="AN209" i="21" s="1"/>
  <c r="AO209" i="21" a="1"/>
  <c r="AO209" i="21" s="1"/>
  <c r="AP209" i="21" a="1"/>
  <c r="AP209" i="21" s="1"/>
  <c r="AQ209" i="21" a="1"/>
  <c r="AQ209" i="21" s="1"/>
  <c r="AR209" i="21" a="1"/>
  <c r="AR209" i="21" s="1"/>
  <c r="AS209" i="21" a="1"/>
  <c r="AS209" i="21" s="1"/>
  <c r="AT209" i="21" a="1"/>
  <c r="AT209" i="21" s="1"/>
  <c r="AU209" i="21" a="1"/>
  <c r="AU209" i="21" s="1"/>
  <c r="AV209" i="21" a="1"/>
  <c r="AV209" i="21" s="1"/>
  <c r="AW209" i="21" a="1"/>
  <c r="AW209" i="21" s="1"/>
  <c r="AX209" i="21" a="1"/>
  <c r="AX209" i="21" s="1"/>
  <c r="AY209" i="21" a="1"/>
  <c r="AY209" i="21" s="1"/>
  <c r="AZ209" i="21" a="1"/>
  <c r="AZ209" i="21" s="1"/>
  <c r="BA209" i="21" a="1"/>
  <c r="BA209" i="21" s="1"/>
  <c r="BB209" i="21" a="1"/>
  <c r="BB209" i="21" s="1"/>
  <c r="BC209" i="21" a="1"/>
  <c r="BC209" i="21" s="1"/>
  <c r="BD209" i="21" a="1"/>
  <c r="BD209" i="21" s="1"/>
  <c r="BE209" i="21" a="1"/>
  <c r="BE209" i="21" s="1"/>
  <c r="BF209" i="21" a="1"/>
  <c r="BF209" i="21" s="1"/>
  <c r="BG209" i="21" a="1"/>
  <c r="BG209" i="21" s="1"/>
  <c r="BH209" i="21" a="1"/>
  <c r="BH209" i="21" s="1"/>
  <c r="BI209" i="21" a="1"/>
  <c r="BI209" i="21" s="1"/>
  <c r="BJ209" i="21" a="1"/>
  <c r="BJ209" i="21" s="1"/>
  <c r="BK209" i="21" a="1"/>
  <c r="BK209" i="21" s="1"/>
  <c r="BL209" i="21" a="1"/>
  <c r="BL209" i="21" s="1"/>
  <c r="BM209" i="21" a="1"/>
  <c r="BM209" i="21" s="1"/>
  <c r="BN209" i="21" a="1"/>
  <c r="BN209" i="21" s="1"/>
  <c r="BO209" i="21" a="1"/>
  <c r="BO209" i="21" s="1"/>
  <c r="BP209" i="21" a="1"/>
  <c r="BP209" i="21" s="1"/>
  <c r="BQ209" i="21" a="1"/>
  <c r="BQ209" i="21" s="1"/>
  <c r="BR209" i="21" a="1"/>
  <c r="BR209" i="21" s="1"/>
  <c r="BS209" i="21" a="1"/>
  <c r="BS209" i="21" s="1"/>
  <c r="BT209" i="21" a="1"/>
  <c r="BT209" i="21" s="1"/>
  <c r="BU209" i="21" a="1"/>
  <c r="BU209" i="21" s="1"/>
  <c r="BV209" i="21" a="1"/>
  <c r="BV209" i="21" s="1"/>
  <c r="BW209" i="21" a="1"/>
  <c r="BW209" i="21" s="1"/>
  <c r="BX209" i="21" a="1"/>
  <c r="BX209" i="21" s="1"/>
  <c r="BY209" i="21" a="1"/>
  <c r="BY209" i="21" s="1"/>
  <c r="BZ209" i="21" a="1"/>
  <c r="BZ209" i="21" s="1"/>
  <c r="CA209" i="21" a="1"/>
  <c r="CA209" i="21" s="1"/>
  <c r="CB209" i="21" a="1"/>
  <c r="CB209" i="21" s="1"/>
  <c r="CC209" i="21" a="1"/>
  <c r="CC209" i="21" s="1"/>
  <c r="CD209" i="21" a="1"/>
  <c r="CD209" i="21" s="1"/>
  <c r="CE209" i="21" a="1"/>
  <c r="CE209" i="21" s="1"/>
  <c r="CF209" i="21" a="1"/>
  <c r="CF209" i="21" s="1"/>
  <c r="CG209" i="21" a="1"/>
  <c r="CG209" i="21" s="1"/>
  <c r="CH209" i="21" a="1"/>
  <c r="CH209" i="21" s="1"/>
  <c r="CI209" i="21" a="1"/>
  <c r="CI209" i="21" s="1"/>
  <c r="CJ209" i="21" a="1"/>
  <c r="CJ209" i="21" s="1"/>
  <c r="CK209" i="21" a="1"/>
  <c r="CK209" i="21" s="1"/>
  <c r="CL209" i="21" a="1"/>
  <c r="CL209" i="21" s="1"/>
  <c r="CM209" i="21" a="1"/>
  <c r="CM209" i="21" s="1"/>
  <c r="CN209" i="21" a="1"/>
  <c r="CN209" i="21" s="1"/>
  <c r="CO209" i="21" a="1"/>
  <c r="CO209" i="21" s="1"/>
  <c r="CP209" i="21" a="1"/>
  <c r="CP209" i="21" s="1"/>
  <c r="CQ209" i="21" a="1"/>
  <c r="CQ209" i="21" s="1"/>
  <c r="CR209" i="21" a="1"/>
  <c r="CR209" i="21" s="1"/>
  <c r="CS209" i="21" a="1"/>
  <c r="CS209" i="21" s="1"/>
  <c r="CT209" i="21" a="1"/>
  <c r="CT209" i="21" s="1"/>
  <c r="CU209" i="21" a="1"/>
  <c r="CU209" i="21" s="1"/>
  <c r="CV209" i="21" a="1"/>
  <c r="CV209" i="21" s="1"/>
  <c r="CW209" i="21" a="1"/>
  <c r="CW209" i="21" s="1"/>
  <c r="N210" i="21" a="1"/>
  <c r="N210" i="21" s="1"/>
  <c r="O210" i="21" a="1"/>
  <c r="O210" i="21" s="1"/>
  <c r="P210" i="21" a="1"/>
  <c r="P210" i="21" s="1"/>
  <c r="Q210" i="21" a="1"/>
  <c r="Q210" i="21" s="1"/>
  <c r="R210" i="21" a="1"/>
  <c r="R210" i="21" s="1"/>
  <c r="S210" i="21" a="1"/>
  <c r="S210" i="21" s="1"/>
  <c r="T210" i="21" a="1"/>
  <c r="T210" i="21" s="1"/>
  <c r="U210" i="21" a="1"/>
  <c r="U210" i="21" s="1"/>
  <c r="V210" i="21" a="1"/>
  <c r="V210" i="21" s="1"/>
  <c r="W210" i="21" a="1"/>
  <c r="W210" i="21" s="1"/>
  <c r="X210" i="21" a="1"/>
  <c r="X210" i="21" s="1"/>
  <c r="Y210" i="21" a="1"/>
  <c r="Y210" i="21" s="1"/>
  <c r="Z210" i="21" a="1"/>
  <c r="Z210" i="21" s="1"/>
  <c r="AA210" i="21" a="1"/>
  <c r="AA210" i="21" s="1"/>
  <c r="AB210" i="21" a="1"/>
  <c r="AB210" i="21" s="1"/>
  <c r="AC210" i="21" a="1"/>
  <c r="AC210" i="21" s="1"/>
  <c r="AD210" i="21" a="1"/>
  <c r="AD210" i="21" s="1"/>
  <c r="AE210" i="21" a="1"/>
  <c r="AE210" i="21" s="1"/>
  <c r="AF210" i="21" a="1"/>
  <c r="AF210" i="21" s="1"/>
  <c r="AG210" i="21" a="1"/>
  <c r="AG210" i="21" s="1"/>
  <c r="AH210" i="21" a="1"/>
  <c r="AH210" i="21" s="1"/>
  <c r="AI210" i="21" a="1"/>
  <c r="AI210" i="21" s="1"/>
  <c r="AJ210" i="21" a="1"/>
  <c r="AJ210" i="21" s="1"/>
  <c r="AK210" i="21" a="1"/>
  <c r="AK210" i="21" s="1"/>
  <c r="AL210" i="21" a="1"/>
  <c r="AL210" i="21" s="1"/>
  <c r="AM210" i="21" a="1"/>
  <c r="AM210" i="21" s="1"/>
  <c r="AN210" i="21" a="1"/>
  <c r="AN210" i="21" s="1"/>
  <c r="AO210" i="21" a="1"/>
  <c r="AO210" i="21" s="1"/>
  <c r="AP210" i="21" a="1"/>
  <c r="AP210" i="21" s="1"/>
  <c r="AQ210" i="21" a="1"/>
  <c r="AQ210" i="21" s="1"/>
  <c r="AR210" i="21" a="1"/>
  <c r="AR210" i="21" s="1"/>
  <c r="AS210" i="21" a="1"/>
  <c r="AS210" i="21" s="1"/>
  <c r="AT210" i="21" a="1"/>
  <c r="AT210" i="21" s="1"/>
  <c r="AU210" i="21" a="1"/>
  <c r="AU210" i="21" s="1"/>
  <c r="AV210" i="21" a="1"/>
  <c r="AV210" i="21" s="1"/>
  <c r="AW210" i="21" a="1"/>
  <c r="AW210" i="21" s="1"/>
  <c r="AX210" i="21" a="1"/>
  <c r="AX210" i="21" s="1"/>
  <c r="AY210" i="21" a="1"/>
  <c r="AY210" i="21" s="1"/>
  <c r="AZ210" i="21" a="1"/>
  <c r="AZ210" i="21" s="1"/>
  <c r="BA210" i="21" a="1"/>
  <c r="BA210" i="21" s="1"/>
  <c r="BB210" i="21" a="1"/>
  <c r="BB210" i="21" s="1"/>
  <c r="BC210" i="21" a="1"/>
  <c r="BC210" i="21" s="1"/>
  <c r="BD210" i="21" a="1"/>
  <c r="BD210" i="21" s="1"/>
  <c r="BE210" i="21" a="1"/>
  <c r="BE210" i="21" s="1"/>
  <c r="BF210" i="21" a="1"/>
  <c r="BF210" i="21" s="1"/>
  <c r="BG210" i="21" a="1"/>
  <c r="BG210" i="21" s="1"/>
  <c r="BH210" i="21" a="1"/>
  <c r="BH210" i="21" s="1"/>
  <c r="BI210" i="21" a="1"/>
  <c r="BI210" i="21" s="1"/>
  <c r="BJ210" i="21" a="1"/>
  <c r="BJ210" i="21" s="1"/>
  <c r="BK210" i="21" a="1"/>
  <c r="BK210" i="21" s="1"/>
  <c r="BL210" i="21" a="1"/>
  <c r="BL210" i="21" s="1"/>
  <c r="BM210" i="21" a="1"/>
  <c r="BM210" i="21" s="1"/>
  <c r="BN210" i="21" a="1"/>
  <c r="BN210" i="21" s="1"/>
  <c r="BO210" i="21" a="1"/>
  <c r="BO210" i="21" s="1"/>
  <c r="BP210" i="21" a="1"/>
  <c r="BP210" i="21" s="1"/>
  <c r="BQ210" i="21" a="1"/>
  <c r="BQ210" i="21" s="1"/>
  <c r="BR210" i="21" a="1"/>
  <c r="BR210" i="21" s="1"/>
  <c r="BS210" i="21" a="1"/>
  <c r="BS210" i="21" s="1"/>
  <c r="BT210" i="21" a="1"/>
  <c r="BT210" i="21" s="1"/>
  <c r="BU210" i="21" a="1"/>
  <c r="BU210" i="21" s="1"/>
  <c r="BV210" i="21" a="1"/>
  <c r="BV210" i="21" s="1"/>
  <c r="BW210" i="21" a="1"/>
  <c r="BW210" i="21" s="1"/>
  <c r="BX210" i="21" a="1"/>
  <c r="BX210" i="21" s="1"/>
  <c r="BY210" i="21" a="1"/>
  <c r="BY210" i="21" s="1"/>
  <c r="BZ210" i="21" a="1"/>
  <c r="BZ210" i="21" s="1"/>
  <c r="CA210" i="21" a="1"/>
  <c r="CA210" i="21" s="1"/>
  <c r="CB210" i="21" a="1"/>
  <c r="CB210" i="21" s="1"/>
  <c r="CC210" i="21" a="1"/>
  <c r="CC210" i="21" s="1"/>
  <c r="CD210" i="21" a="1"/>
  <c r="CD210" i="21" s="1"/>
  <c r="CE210" i="21" a="1"/>
  <c r="CE210" i="21" s="1"/>
  <c r="CF210" i="21" a="1"/>
  <c r="CF210" i="21" s="1"/>
  <c r="CG210" i="21" a="1"/>
  <c r="CG210" i="21" s="1"/>
  <c r="CH210" i="21" a="1"/>
  <c r="CH210" i="21" s="1"/>
  <c r="CI210" i="21" a="1"/>
  <c r="CI210" i="21" s="1"/>
  <c r="CJ210" i="21" a="1"/>
  <c r="CJ210" i="21" s="1"/>
  <c r="CK210" i="21" a="1"/>
  <c r="CK210" i="21" s="1"/>
  <c r="CL210" i="21" a="1"/>
  <c r="CL210" i="21" s="1"/>
  <c r="CM210" i="21" a="1"/>
  <c r="CM210" i="21" s="1"/>
  <c r="CN210" i="21" a="1"/>
  <c r="CN210" i="21" s="1"/>
  <c r="CO210" i="21" a="1"/>
  <c r="CO210" i="21" s="1"/>
  <c r="CP210" i="21" a="1"/>
  <c r="CP210" i="21" s="1"/>
  <c r="CQ210" i="21" a="1"/>
  <c r="CQ210" i="21" s="1"/>
  <c r="CR210" i="21" a="1"/>
  <c r="CR210" i="21" s="1"/>
  <c r="CS210" i="21" a="1"/>
  <c r="CS210" i="21" s="1"/>
  <c r="CT210" i="21" a="1"/>
  <c r="CT210" i="21" s="1"/>
  <c r="CU210" i="21" a="1"/>
  <c r="CU210" i="21" s="1"/>
  <c r="CV210" i="21" a="1"/>
  <c r="CV210" i="21" s="1"/>
  <c r="CW210" i="21" a="1"/>
  <c r="CW210" i="21" s="1"/>
  <c r="N211" i="21" a="1"/>
  <c r="N211" i="21" s="1"/>
  <c r="O211" i="21" a="1"/>
  <c r="O211" i="21" s="1"/>
  <c r="P211" i="21" a="1"/>
  <c r="P211" i="21" s="1"/>
  <c r="Q211" i="21" a="1"/>
  <c r="Q211" i="21" s="1"/>
  <c r="R211" i="21" a="1"/>
  <c r="R211" i="21" s="1"/>
  <c r="S211" i="21" a="1"/>
  <c r="S211" i="21" s="1"/>
  <c r="T211" i="21" a="1"/>
  <c r="T211" i="21" s="1"/>
  <c r="U211" i="21" a="1"/>
  <c r="U211" i="21" s="1"/>
  <c r="V211" i="21" a="1"/>
  <c r="V211" i="21" s="1"/>
  <c r="W211" i="21" a="1"/>
  <c r="W211" i="21" s="1"/>
  <c r="X211" i="21" a="1"/>
  <c r="X211" i="21" s="1"/>
  <c r="Y211" i="21" a="1"/>
  <c r="Y211" i="21" s="1"/>
  <c r="Z211" i="21" a="1"/>
  <c r="Z211" i="21" s="1"/>
  <c r="AA211" i="21" a="1"/>
  <c r="AA211" i="21" s="1"/>
  <c r="AB211" i="21" a="1"/>
  <c r="AB211" i="21" s="1"/>
  <c r="AC211" i="21" a="1"/>
  <c r="AC211" i="21" s="1"/>
  <c r="AD211" i="21" a="1"/>
  <c r="AD211" i="21" s="1"/>
  <c r="AE211" i="21" a="1"/>
  <c r="AE211" i="21" s="1"/>
  <c r="AF211" i="21" a="1"/>
  <c r="AF211" i="21" s="1"/>
  <c r="AG211" i="21" a="1"/>
  <c r="AG211" i="21" s="1"/>
  <c r="AH211" i="21" a="1"/>
  <c r="AH211" i="21" s="1"/>
  <c r="AI211" i="21" a="1"/>
  <c r="AI211" i="21" s="1"/>
  <c r="AJ211" i="21" a="1"/>
  <c r="AJ211" i="21" s="1"/>
  <c r="AK211" i="21" a="1"/>
  <c r="AK211" i="21" s="1"/>
  <c r="AL211" i="21" a="1"/>
  <c r="AL211" i="21" s="1"/>
  <c r="AM211" i="21" a="1"/>
  <c r="AM211" i="21" s="1"/>
  <c r="AN211" i="21" a="1"/>
  <c r="AN211" i="21" s="1"/>
  <c r="AO211" i="21" a="1"/>
  <c r="AO211" i="21" s="1"/>
  <c r="AP211" i="21" a="1"/>
  <c r="AP211" i="21" s="1"/>
  <c r="AQ211" i="21" a="1"/>
  <c r="AQ211" i="21" s="1"/>
  <c r="AR211" i="21" a="1"/>
  <c r="AR211" i="21" s="1"/>
  <c r="AS211" i="21" a="1"/>
  <c r="AS211" i="21" s="1"/>
  <c r="AT211" i="21" a="1"/>
  <c r="AT211" i="21" s="1"/>
  <c r="AU211" i="21" a="1"/>
  <c r="AU211" i="21" s="1"/>
  <c r="AV211" i="21" a="1"/>
  <c r="AV211" i="21" s="1"/>
  <c r="AW211" i="21" a="1"/>
  <c r="AW211" i="21" s="1"/>
  <c r="AX211" i="21" a="1"/>
  <c r="AX211" i="21" s="1"/>
  <c r="AY211" i="21" a="1"/>
  <c r="AY211" i="21" s="1"/>
  <c r="AZ211" i="21" a="1"/>
  <c r="AZ211" i="21" s="1"/>
  <c r="BA211" i="21" a="1"/>
  <c r="BA211" i="21" s="1"/>
  <c r="BB211" i="21" a="1"/>
  <c r="BB211" i="21" s="1"/>
  <c r="BC211" i="21" a="1"/>
  <c r="BC211" i="21" s="1"/>
  <c r="BD211" i="21" a="1"/>
  <c r="BD211" i="21" s="1"/>
  <c r="BE211" i="21" a="1"/>
  <c r="BE211" i="21" s="1"/>
  <c r="BF211" i="21" a="1"/>
  <c r="BF211" i="21" s="1"/>
  <c r="BG211" i="21" a="1"/>
  <c r="BG211" i="21" s="1"/>
  <c r="BH211" i="21" a="1"/>
  <c r="BH211" i="21" s="1"/>
  <c r="BI211" i="21" a="1"/>
  <c r="BI211" i="21" s="1"/>
  <c r="BJ211" i="21" a="1"/>
  <c r="BJ211" i="21" s="1"/>
  <c r="BK211" i="21" a="1"/>
  <c r="BK211" i="21" s="1"/>
  <c r="BL211" i="21" a="1"/>
  <c r="BL211" i="21" s="1"/>
  <c r="BM211" i="21" a="1"/>
  <c r="BM211" i="21" s="1"/>
  <c r="BN211" i="21" a="1"/>
  <c r="BN211" i="21" s="1"/>
  <c r="BO211" i="21" a="1"/>
  <c r="BO211" i="21" s="1"/>
  <c r="BP211" i="21" a="1"/>
  <c r="BP211" i="21" s="1"/>
  <c r="BQ211" i="21" a="1"/>
  <c r="BQ211" i="21" s="1"/>
  <c r="BR211" i="21" a="1"/>
  <c r="BR211" i="21" s="1"/>
  <c r="BS211" i="21" a="1"/>
  <c r="BS211" i="21" s="1"/>
  <c r="BT211" i="21" a="1"/>
  <c r="BT211" i="21" s="1"/>
  <c r="BU211" i="21" a="1"/>
  <c r="BU211" i="21" s="1"/>
  <c r="BV211" i="21" a="1"/>
  <c r="BV211" i="21" s="1"/>
  <c r="BW211" i="21" a="1"/>
  <c r="BW211" i="21" s="1"/>
  <c r="BX211" i="21" a="1"/>
  <c r="BX211" i="21" s="1"/>
  <c r="BY211" i="21" a="1"/>
  <c r="BY211" i="21" s="1"/>
  <c r="BZ211" i="21" a="1"/>
  <c r="BZ211" i="21" s="1"/>
  <c r="CA211" i="21" a="1"/>
  <c r="CA211" i="21" s="1"/>
  <c r="CB211" i="21" a="1"/>
  <c r="CB211" i="21" s="1"/>
  <c r="CC211" i="21" a="1"/>
  <c r="CC211" i="21" s="1"/>
  <c r="CD211" i="21" a="1"/>
  <c r="CD211" i="21" s="1"/>
  <c r="CE211" i="21" a="1"/>
  <c r="CE211" i="21" s="1"/>
  <c r="CF211" i="21" a="1"/>
  <c r="CF211" i="21" s="1"/>
  <c r="CG211" i="21" a="1"/>
  <c r="CG211" i="21" s="1"/>
  <c r="CH211" i="21" a="1"/>
  <c r="CH211" i="21" s="1"/>
  <c r="CI211" i="21" a="1"/>
  <c r="CI211" i="21" s="1"/>
  <c r="CJ211" i="21" a="1"/>
  <c r="CJ211" i="21" s="1"/>
  <c r="CK211" i="21" a="1"/>
  <c r="CK211" i="21" s="1"/>
  <c r="CL211" i="21" a="1"/>
  <c r="CL211" i="21" s="1"/>
  <c r="CM211" i="21" a="1"/>
  <c r="CM211" i="21" s="1"/>
  <c r="CN211" i="21" a="1"/>
  <c r="CN211" i="21" s="1"/>
  <c r="CO211" i="21" a="1"/>
  <c r="CO211" i="21" s="1"/>
  <c r="CP211" i="21" a="1"/>
  <c r="CP211" i="21" s="1"/>
  <c r="CQ211" i="21" a="1"/>
  <c r="CQ211" i="21" s="1"/>
  <c r="CR211" i="21" a="1"/>
  <c r="CR211" i="21" s="1"/>
  <c r="CS211" i="21" a="1"/>
  <c r="CS211" i="21" s="1"/>
  <c r="CT211" i="21" a="1"/>
  <c r="CT211" i="21" s="1"/>
  <c r="CU211" i="21" a="1"/>
  <c r="CU211" i="21" s="1"/>
  <c r="CV211" i="21" a="1"/>
  <c r="CV211" i="21" s="1"/>
  <c r="CW211" i="21" a="1"/>
  <c r="CW211" i="21" s="1"/>
  <c r="N212" i="21" a="1"/>
  <c r="N212" i="21" s="1"/>
  <c r="O212" i="21" a="1"/>
  <c r="O212" i="21" s="1"/>
  <c r="P212" i="21" a="1"/>
  <c r="P212" i="21" s="1"/>
  <c r="Q212" i="21" a="1"/>
  <c r="Q212" i="21" s="1"/>
  <c r="R212" i="21" a="1"/>
  <c r="R212" i="21" s="1"/>
  <c r="S212" i="21" a="1"/>
  <c r="S212" i="21" s="1"/>
  <c r="T212" i="21" a="1"/>
  <c r="T212" i="21" s="1"/>
  <c r="U212" i="21" a="1"/>
  <c r="U212" i="21" s="1"/>
  <c r="V212" i="21" a="1"/>
  <c r="V212" i="21" s="1"/>
  <c r="W212" i="21" a="1"/>
  <c r="W212" i="21" s="1"/>
  <c r="X212" i="21" a="1"/>
  <c r="X212" i="21" s="1"/>
  <c r="Y212" i="21" a="1"/>
  <c r="Y212" i="21" s="1"/>
  <c r="Z212" i="21" a="1"/>
  <c r="Z212" i="21" s="1"/>
  <c r="AA212" i="21" a="1"/>
  <c r="AA212" i="21" s="1"/>
  <c r="AB212" i="21" a="1"/>
  <c r="AB212" i="21" s="1"/>
  <c r="AC212" i="21" a="1"/>
  <c r="AC212" i="21" s="1"/>
  <c r="AD212" i="21" a="1"/>
  <c r="AD212" i="21" s="1"/>
  <c r="AE212" i="21" a="1"/>
  <c r="AE212" i="21" s="1"/>
  <c r="AF212" i="21" a="1"/>
  <c r="AF212" i="21" s="1"/>
  <c r="AG212" i="21" a="1"/>
  <c r="AG212" i="21" s="1"/>
  <c r="AH212" i="21" a="1"/>
  <c r="AH212" i="21" s="1"/>
  <c r="AI212" i="21" a="1"/>
  <c r="AI212" i="21" s="1"/>
  <c r="AJ212" i="21" a="1"/>
  <c r="AJ212" i="21" s="1"/>
  <c r="AK212" i="21" a="1"/>
  <c r="AK212" i="21" s="1"/>
  <c r="AL212" i="21" a="1"/>
  <c r="AL212" i="21" s="1"/>
  <c r="AM212" i="21" a="1"/>
  <c r="AM212" i="21" s="1"/>
  <c r="AN212" i="21" a="1"/>
  <c r="AN212" i="21" s="1"/>
  <c r="AO212" i="21" a="1"/>
  <c r="AO212" i="21" s="1"/>
  <c r="AP212" i="21" a="1"/>
  <c r="AP212" i="21" s="1"/>
  <c r="AQ212" i="21" a="1"/>
  <c r="AQ212" i="21" s="1"/>
  <c r="AR212" i="21" a="1"/>
  <c r="AR212" i="21" s="1"/>
  <c r="AS212" i="21" a="1"/>
  <c r="AS212" i="21" s="1"/>
  <c r="AT212" i="21" a="1"/>
  <c r="AT212" i="21" s="1"/>
  <c r="AU212" i="21" a="1"/>
  <c r="AU212" i="21" s="1"/>
  <c r="AV212" i="21" a="1"/>
  <c r="AV212" i="21" s="1"/>
  <c r="AW212" i="21" a="1"/>
  <c r="AW212" i="21" s="1"/>
  <c r="AX212" i="21" a="1"/>
  <c r="AX212" i="21" s="1"/>
  <c r="AY212" i="21" a="1"/>
  <c r="AY212" i="21" s="1"/>
  <c r="AZ212" i="21" a="1"/>
  <c r="AZ212" i="21" s="1"/>
  <c r="BA212" i="21" a="1"/>
  <c r="BA212" i="21" s="1"/>
  <c r="BB212" i="21" a="1"/>
  <c r="BB212" i="21" s="1"/>
  <c r="BC212" i="21" a="1"/>
  <c r="BC212" i="21" s="1"/>
  <c r="BD212" i="21" a="1"/>
  <c r="BD212" i="21" s="1"/>
  <c r="BE212" i="21" a="1"/>
  <c r="BE212" i="21" s="1"/>
  <c r="BF212" i="21" a="1"/>
  <c r="BF212" i="21" s="1"/>
  <c r="BG212" i="21" a="1"/>
  <c r="BG212" i="21" s="1"/>
  <c r="BH212" i="21" a="1"/>
  <c r="BH212" i="21" s="1"/>
  <c r="BI212" i="21" a="1"/>
  <c r="BI212" i="21" s="1"/>
  <c r="BJ212" i="21" a="1"/>
  <c r="BJ212" i="21" s="1"/>
  <c r="BK212" i="21" a="1"/>
  <c r="BK212" i="21" s="1"/>
  <c r="BL212" i="21" a="1"/>
  <c r="BL212" i="21" s="1"/>
  <c r="BM212" i="21" a="1"/>
  <c r="BM212" i="21" s="1"/>
  <c r="BN212" i="21" a="1"/>
  <c r="BN212" i="21" s="1"/>
  <c r="BO212" i="21" a="1"/>
  <c r="BO212" i="21" s="1"/>
  <c r="BP212" i="21" a="1"/>
  <c r="BP212" i="21" s="1"/>
  <c r="BQ212" i="21" a="1"/>
  <c r="BQ212" i="21" s="1"/>
  <c r="BR212" i="21" a="1"/>
  <c r="BR212" i="21" s="1"/>
  <c r="BS212" i="21" a="1"/>
  <c r="BS212" i="21" s="1"/>
  <c r="BT212" i="21" a="1"/>
  <c r="BT212" i="21" s="1"/>
  <c r="BU212" i="21" a="1"/>
  <c r="BU212" i="21" s="1"/>
  <c r="BV212" i="21" a="1"/>
  <c r="BV212" i="21" s="1"/>
  <c r="BW212" i="21" a="1"/>
  <c r="BW212" i="21" s="1"/>
  <c r="BX212" i="21" a="1"/>
  <c r="BX212" i="21" s="1"/>
  <c r="BY212" i="21" a="1"/>
  <c r="BY212" i="21" s="1"/>
  <c r="BZ212" i="21" a="1"/>
  <c r="BZ212" i="21" s="1"/>
  <c r="CA212" i="21" a="1"/>
  <c r="CA212" i="21" s="1"/>
  <c r="CB212" i="21" a="1"/>
  <c r="CB212" i="21" s="1"/>
  <c r="CC212" i="21" a="1"/>
  <c r="CC212" i="21" s="1"/>
  <c r="CD212" i="21" a="1"/>
  <c r="CD212" i="21" s="1"/>
  <c r="CE212" i="21" a="1"/>
  <c r="CE212" i="21" s="1"/>
  <c r="CF212" i="21" a="1"/>
  <c r="CF212" i="21" s="1"/>
  <c r="CG212" i="21" a="1"/>
  <c r="CG212" i="21" s="1"/>
  <c r="CH212" i="21" a="1"/>
  <c r="CH212" i="21" s="1"/>
  <c r="CI212" i="21" a="1"/>
  <c r="CI212" i="21" s="1"/>
  <c r="CJ212" i="21" a="1"/>
  <c r="CJ212" i="21" s="1"/>
  <c r="CK212" i="21" a="1"/>
  <c r="CK212" i="21" s="1"/>
  <c r="CL212" i="21" a="1"/>
  <c r="CL212" i="21" s="1"/>
  <c r="CM212" i="21" a="1"/>
  <c r="CM212" i="21" s="1"/>
  <c r="CN212" i="21" a="1"/>
  <c r="CN212" i="21" s="1"/>
  <c r="CO212" i="21" a="1"/>
  <c r="CO212" i="21" s="1"/>
  <c r="CP212" i="21" a="1"/>
  <c r="CP212" i="21" s="1"/>
  <c r="CQ212" i="21" a="1"/>
  <c r="CQ212" i="21" s="1"/>
  <c r="CR212" i="21" a="1"/>
  <c r="CR212" i="21" s="1"/>
  <c r="CS212" i="21" a="1"/>
  <c r="CS212" i="21" s="1"/>
  <c r="CT212" i="21" a="1"/>
  <c r="CT212" i="21" s="1"/>
  <c r="CU212" i="21" a="1"/>
  <c r="CU212" i="21" s="1"/>
  <c r="CV212" i="21" a="1"/>
  <c r="CV212" i="21" s="1"/>
  <c r="CW212" i="21" a="1"/>
  <c r="CW212" i="21" s="1"/>
  <c r="N213" i="21" a="1"/>
  <c r="N213" i="21"/>
  <c r="O213" i="21" a="1"/>
  <c r="O213" i="21" s="1"/>
  <c r="P213" i="21" a="1"/>
  <c r="P213" i="21" s="1"/>
  <c r="Q213" i="21" a="1"/>
  <c r="Q213" i="21" s="1"/>
  <c r="R213" i="21" a="1"/>
  <c r="R213" i="21"/>
  <c r="S213" i="21" a="1"/>
  <c r="S213" i="21" s="1"/>
  <c r="T213" i="21" a="1"/>
  <c r="T213" i="21" s="1"/>
  <c r="U213" i="21" a="1"/>
  <c r="U213" i="21" s="1"/>
  <c r="V213" i="21" a="1"/>
  <c r="V213" i="21"/>
  <c r="W213" i="21" a="1"/>
  <c r="W213" i="21" s="1"/>
  <c r="X213" i="21" a="1"/>
  <c r="X213" i="21" s="1"/>
  <c r="Y213" i="21" a="1"/>
  <c r="Y213" i="21" s="1"/>
  <c r="Z213" i="21" a="1"/>
  <c r="Z213" i="21"/>
  <c r="AA213" i="21" a="1"/>
  <c r="AA213" i="21" s="1"/>
  <c r="AB213" i="21" a="1"/>
  <c r="AB213" i="21" s="1"/>
  <c r="AC213" i="21" a="1"/>
  <c r="AC213" i="21" s="1"/>
  <c r="AD213" i="21" a="1"/>
  <c r="AD213" i="21"/>
  <c r="AE213" i="21" a="1"/>
  <c r="AE213" i="21" s="1"/>
  <c r="AF213" i="21" a="1"/>
  <c r="AF213" i="21" s="1"/>
  <c r="AG213" i="21" a="1"/>
  <c r="AG213" i="21" s="1"/>
  <c r="AH213" i="21" a="1"/>
  <c r="AH213" i="21"/>
  <c r="AI213" i="21" a="1"/>
  <c r="AI213" i="21" s="1"/>
  <c r="AJ213" i="21" a="1"/>
  <c r="AJ213" i="21" s="1"/>
  <c r="AK213" i="21" a="1"/>
  <c r="AK213" i="21" s="1"/>
  <c r="AL213" i="21" a="1"/>
  <c r="AL213" i="21"/>
  <c r="AM213" i="21" a="1"/>
  <c r="AM213" i="21" s="1"/>
  <c r="AN213" i="21" a="1"/>
  <c r="AN213" i="21" s="1"/>
  <c r="AO213" i="21" a="1"/>
  <c r="AO213" i="21" s="1"/>
  <c r="AP213" i="21" a="1"/>
  <c r="AP213" i="21"/>
  <c r="AQ213" i="21" a="1"/>
  <c r="AQ213" i="21" s="1"/>
  <c r="AR213" i="21" a="1"/>
  <c r="AR213" i="21" s="1"/>
  <c r="AS213" i="21" a="1"/>
  <c r="AS213" i="21" s="1"/>
  <c r="AT213" i="21" a="1"/>
  <c r="AT213" i="21"/>
  <c r="AU213" i="21" a="1"/>
  <c r="AU213" i="21" s="1"/>
  <c r="AV213" i="21" a="1"/>
  <c r="AV213" i="21" s="1"/>
  <c r="AW213" i="21" a="1"/>
  <c r="AW213" i="21" s="1"/>
  <c r="AX213" i="21" a="1"/>
  <c r="AX213" i="21"/>
  <c r="AY213" i="21" a="1"/>
  <c r="AY213" i="21" s="1"/>
  <c r="AZ213" i="21" a="1"/>
  <c r="AZ213" i="21" s="1"/>
  <c r="BA213" i="21" a="1"/>
  <c r="BA213" i="21" s="1"/>
  <c r="BB213" i="21" a="1"/>
  <c r="BB213" i="21"/>
  <c r="BC213" i="21" a="1"/>
  <c r="BC213" i="21" s="1"/>
  <c r="BD213" i="21" a="1"/>
  <c r="BD213" i="21" s="1"/>
  <c r="BE213" i="21" a="1"/>
  <c r="BE213" i="21" s="1"/>
  <c r="BF213" i="21" a="1"/>
  <c r="BF213" i="21"/>
  <c r="BG213" i="21" a="1"/>
  <c r="BG213" i="21" s="1"/>
  <c r="BH213" i="21" a="1"/>
  <c r="BH213" i="21" s="1"/>
  <c r="BI213" i="21" a="1"/>
  <c r="BI213" i="21" s="1"/>
  <c r="BJ213" i="21" a="1"/>
  <c r="BJ213" i="21"/>
  <c r="BK213" i="21" a="1"/>
  <c r="BK213" i="21" s="1"/>
  <c r="BL213" i="21" a="1"/>
  <c r="BL213" i="21" s="1"/>
  <c r="BM213" i="21" a="1"/>
  <c r="BM213" i="21" s="1"/>
  <c r="BN213" i="21" a="1"/>
  <c r="BN213" i="21"/>
  <c r="BO213" i="21" a="1"/>
  <c r="BO213" i="21" s="1"/>
  <c r="BP213" i="21" a="1"/>
  <c r="BP213" i="21" s="1"/>
  <c r="BQ213" i="21" a="1"/>
  <c r="BQ213" i="21" s="1"/>
  <c r="BR213" i="21" a="1"/>
  <c r="BR213" i="21"/>
  <c r="BS213" i="21" a="1"/>
  <c r="BS213" i="21" s="1"/>
  <c r="BT213" i="21" a="1"/>
  <c r="BT213" i="21" s="1"/>
  <c r="BU213" i="21" a="1"/>
  <c r="BU213" i="21" s="1"/>
  <c r="BV213" i="21" a="1"/>
  <c r="BV213" i="21"/>
  <c r="BW213" i="21" a="1"/>
  <c r="BW213" i="21" s="1"/>
  <c r="BX213" i="21" a="1"/>
  <c r="BX213" i="21" s="1"/>
  <c r="BY213" i="21" a="1"/>
  <c r="BY213" i="21" s="1"/>
  <c r="BZ213" i="21" a="1"/>
  <c r="BZ213" i="21" s="1"/>
  <c r="CA213" i="21" a="1"/>
  <c r="CA213" i="21" s="1"/>
  <c r="CB213" i="21" a="1"/>
  <c r="CB213" i="21" s="1"/>
  <c r="CC213" i="21" a="1"/>
  <c r="CC213" i="21" s="1"/>
  <c r="CD213" i="21" a="1"/>
  <c r="CD213" i="21"/>
  <c r="CE213" i="21" a="1"/>
  <c r="CE213" i="21" s="1"/>
  <c r="CF213" i="21" a="1"/>
  <c r="CF213" i="21" s="1"/>
  <c r="CG213" i="21" a="1"/>
  <c r="CG213" i="21" s="1"/>
  <c r="CH213" i="21" a="1"/>
  <c r="CH213" i="21"/>
  <c r="CI213" i="21" a="1"/>
  <c r="CI213" i="21" s="1"/>
  <c r="CJ213" i="21" a="1"/>
  <c r="CJ213" i="21" s="1"/>
  <c r="CK213" i="21" a="1"/>
  <c r="CK213" i="21" s="1"/>
  <c r="CL213" i="21" a="1"/>
  <c r="CL213" i="21"/>
  <c r="CM213" i="21" a="1"/>
  <c r="CM213" i="21" s="1"/>
  <c r="CN213" i="21" a="1"/>
  <c r="CN213" i="21" s="1"/>
  <c r="CO213" i="21" a="1"/>
  <c r="CO213" i="21" s="1"/>
  <c r="CP213" i="21" a="1"/>
  <c r="CP213" i="21"/>
  <c r="CQ213" i="21" a="1"/>
  <c r="CQ213" i="21" s="1"/>
  <c r="CR213" i="21" a="1"/>
  <c r="CR213" i="21" s="1"/>
  <c r="CS213" i="21" a="1"/>
  <c r="CS213" i="21" s="1"/>
  <c r="CT213" i="21" a="1"/>
  <c r="CT213" i="21"/>
  <c r="CU213" i="21" a="1"/>
  <c r="CU213" i="21" s="1"/>
  <c r="CV213" i="21" a="1"/>
  <c r="CV213" i="21" s="1"/>
  <c r="CW213" i="21" a="1"/>
  <c r="CW213" i="21" s="1"/>
  <c r="N214" i="21" a="1"/>
  <c r="N214" i="21"/>
  <c r="O214" i="21" a="1"/>
  <c r="O214" i="21" s="1"/>
  <c r="P214" i="21" a="1"/>
  <c r="P214" i="21" s="1"/>
  <c r="Q214" i="21" a="1"/>
  <c r="Q214" i="21" s="1"/>
  <c r="R214" i="21" a="1"/>
  <c r="R214" i="21"/>
  <c r="S214" i="21" a="1"/>
  <c r="S214" i="21" s="1"/>
  <c r="T214" i="21" a="1"/>
  <c r="T214" i="21" s="1"/>
  <c r="U214" i="21" a="1"/>
  <c r="U214" i="21" s="1"/>
  <c r="V214" i="21" a="1"/>
  <c r="V214" i="21"/>
  <c r="W214" i="21" a="1"/>
  <c r="W214" i="21" s="1"/>
  <c r="X214" i="21" a="1"/>
  <c r="X214" i="21" s="1"/>
  <c r="Y214" i="21" a="1"/>
  <c r="Y214" i="21" s="1"/>
  <c r="Z214" i="21" a="1"/>
  <c r="Z214" i="21"/>
  <c r="AA214" i="21" a="1"/>
  <c r="AA214" i="21" s="1"/>
  <c r="AB214" i="21" a="1"/>
  <c r="AB214" i="21" s="1"/>
  <c r="AC214" i="21" a="1"/>
  <c r="AC214" i="21" s="1"/>
  <c r="AD214" i="21" a="1"/>
  <c r="AD214" i="21" s="1"/>
  <c r="AE214" i="21" a="1"/>
  <c r="AE214" i="21" s="1"/>
  <c r="AF214" i="21" a="1"/>
  <c r="AF214" i="21" s="1"/>
  <c r="AG214" i="21" a="1"/>
  <c r="AG214" i="21" s="1"/>
  <c r="AH214" i="21" a="1"/>
  <c r="AH214" i="21"/>
  <c r="AI214" i="21" a="1"/>
  <c r="AI214" i="21" s="1"/>
  <c r="AJ214" i="21" a="1"/>
  <c r="AJ214" i="21" s="1"/>
  <c r="AK214" i="21" a="1"/>
  <c r="AK214" i="21" s="1"/>
  <c r="AL214" i="21" a="1"/>
  <c r="AL214" i="21"/>
  <c r="AM214" i="21" a="1"/>
  <c r="AM214" i="21" s="1"/>
  <c r="AN214" i="21" a="1"/>
  <c r="AN214" i="21" s="1"/>
  <c r="AO214" i="21" a="1"/>
  <c r="AO214" i="21" s="1"/>
  <c r="AP214" i="21" a="1"/>
  <c r="AP214" i="21"/>
  <c r="AQ214" i="21" a="1"/>
  <c r="AQ214" i="21" s="1"/>
  <c r="AR214" i="21" a="1"/>
  <c r="AR214" i="21" s="1"/>
  <c r="AS214" i="21" a="1"/>
  <c r="AS214" i="21" s="1"/>
  <c r="AT214" i="21" a="1"/>
  <c r="AT214" i="21"/>
  <c r="AU214" i="21" a="1"/>
  <c r="AU214" i="21" s="1"/>
  <c r="AV214" i="21" a="1"/>
  <c r="AV214" i="21" s="1"/>
  <c r="AW214" i="21" a="1"/>
  <c r="AW214" i="21" s="1"/>
  <c r="AX214" i="21" a="1"/>
  <c r="AX214" i="21"/>
  <c r="AY214" i="21" a="1"/>
  <c r="AY214" i="21" s="1"/>
  <c r="AZ214" i="21" a="1"/>
  <c r="AZ214" i="21" s="1"/>
  <c r="BA214" i="21" a="1"/>
  <c r="BA214" i="21" s="1"/>
  <c r="BB214" i="21" a="1"/>
  <c r="BB214" i="21"/>
  <c r="BC214" i="21" a="1"/>
  <c r="BC214" i="21" s="1"/>
  <c r="BD214" i="21" a="1"/>
  <c r="BD214" i="21" s="1"/>
  <c r="BE214" i="21" a="1"/>
  <c r="BE214" i="21" s="1"/>
  <c r="BF214" i="21" a="1"/>
  <c r="BF214" i="21"/>
  <c r="BG214" i="21" a="1"/>
  <c r="BG214" i="21" s="1"/>
  <c r="BH214" i="21" a="1"/>
  <c r="BH214" i="21" s="1"/>
  <c r="BI214" i="21" a="1"/>
  <c r="BI214" i="21" s="1"/>
  <c r="BJ214" i="21" a="1"/>
  <c r="BJ214" i="21" s="1"/>
  <c r="BK214" i="21" a="1"/>
  <c r="BK214" i="21" s="1"/>
  <c r="BL214" i="21" a="1"/>
  <c r="BL214" i="21" s="1"/>
  <c r="BM214" i="21" a="1"/>
  <c r="BM214" i="21" s="1"/>
  <c r="BN214" i="21" a="1"/>
  <c r="BN214" i="21"/>
  <c r="BO214" i="21" a="1"/>
  <c r="BO214" i="21" s="1"/>
  <c r="BP214" i="21" a="1"/>
  <c r="BP214" i="21" s="1"/>
  <c r="BQ214" i="21" a="1"/>
  <c r="BQ214" i="21" s="1"/>
  <c r="BR214" i="21" a="1"/>
  <c r="BR214" i="21"/>
  <c r="BS214" i="21" a="1"/>
  <c r="BS214" i="21" s="1"/>
  <c r="BT214" i="21" a="1"/>
  <c r="BT214" i="21" s="1"/>
  <c r="BU214" i="21" a="1"/>
  <c r="BU214" i="21" s="1"/>
  <c r="BV214" i="21" a="1"/>
  <c r="BV214" i="21"/>
  <c r="BW214" i="21" a="1"/>
  <c r="BW214" i="21" s="1"/>
  <c r="BX214" i="21" a="1"/>
  <c r="BX214" i="21" s="1"/>
  <c r="BY214" i="21" a="1"/>
  <c r="BY214" i="21" s="1"/>
  <c r="BZ214" i="21" a="1"/>
  <c r="BZ214" i="21" s="1"/>
  <c r="CA214" i="21" a="1"/>
  <c r="CA214" i="21" s="1"/>
  <c r="CB214" i="21" a="1"/>
  <c r="CB214" i="21" s="1"/>
  <c r="CC214" i="21" a="1"/>
  <c r="CC214" i="21" s="1"/>
  <c r="CD214" i="21" a="1"/>
  <c r="CD214" i="21"/>
  <c r="CE214" i="21" a="1"/>
  <c r="CE214" i="21" s="1"/>
  <c r="CF214" i="21" a="1"/>
  <c r="CF214" i="21" s="1"/>
  <c r="CG214" i="21" a="1"/>
  <c r="CG214" i="21" s="1"/>
  <c r="CH214" i="21" a="1"/>
  <c r="CH214" i="21" s="1"/>
  <c r="CI214" i="21" a="1"/>
  <c r="CI214" i="21" s="1"/>
  <c r="CJ214" i="21" a="1"/>
  <c r="CJ214" i="21" s="1"/>
  <c r="CK214" i="21" a="1"/>
  <c r="CK214" i="21" s="1"/>
  <c r="CL214" i="21" a="1"/>
  <c r="CL214" i="21"/>
  <c r="CM214" i="21" a="1"/>
  <c r="CM214" i="21" s="1"/>
  <c r="CN214" i="21" a="1"/>
  <c r="CN214" i="21" s="1"/>
  <c r="CO214" i="21" a="1"/>
  <c r="CO214" i="21" s="1"/>
  <c r="CP214" i="21" a="1"/>
  <c r="CP214" i="21"/>
  <c r="CQ214" i="21" a="1"/>
  <c r="CQ214" i="21" s="1"/>
  <c r="CR214" i="21" a="1"/>
  <c r="CR214" i="21" s="1"/>
  <c r="CS214" i="21" a="1"/>
  <c r="CS214" i="21" s="1"/>
  <c r="CT214" i="21" a="1"/>
  <c r="CT214" i="21"/>
  <c r="CU214" i="21" a="1"/>
  <c r="CU214" i="21" s="1"/>
  <c r="CV214" i="21" a="1"/>
  <c r="CV214" i="21" s="1"/>
  <c r="CW214" i="21" a="1"/>
  <c r="CW214" i="21" s="1"/>
  <c r="N215" i="21" a="1"/>
  <c r="N215" i="21" s="1"/>
  <c r="O215" i="21" a="1"/>
  <c r="O215" i="21" s="1"/>
  <c r="P215" i="21" a="1"/>
  <c r="P215" i="21" s="1"/>
  <c r="Q215" i="21" a="1"/>
  <c r="Q215" i="21" s="1"/>
  <c r="R215" i="21" a="1"/>
  <c r="R215" i="21" s="1"/>
  <c r="S215" i="21" a="1"/>
  <c r="S215" i="21" s="1"/>
  <c r="T215" i="21" a="1"/>
  <c r="T215" i="21" s="1"/>
  <c r="U215" i="21" a="1"/>
  <c r="U215" i="21" s="1"/>
  <c r="V215" i="21" a="1"/>
  <c r="V215" i="21" s="1"/>
  <c r="W215" i="21" a="1"/>
  <c r="W215" i="21" s="1"/>
  <c r="X215" i="21" a="1"/>
  <c r="X215" i="21" s="1"/>
  <c r="Y215" i="21" a="1"/>
  <c r="Y215" i="21" s="1"/>
  <c r="Z215" i="21" a="1"/>
  <c r="Z215" i="21" s="1"/>
  <c r="AA215" i="21" a="1"/>
  <c r="AA215" i="21" s="1"/>
  <c r="AB215" i="21" a="1"/>
  <c r="AB215" i="21" s="1"/>
  <c r="AC215" i="21" a="1"/>
  <c r="AC215" i="21" s="1"/>
  <c r="AD215" i="21" a="1"/>
  <c r="AD215" i="21" s="1"/>
  <c r="AE215" i="21" a="1"/>
  <c r="AE215" i="21" s="1"/>
  <c r="AF215" i="21" a="1"/>
  <c r="AF215" i="21" s="1"/>
  <c r="AG215" i="21" a="1"/>
  <c r="AG215" i="21" s="1"/>
  <c r="AH215" i="21" a="1"/>
  <c r="AH215" i="21" s="1"/>
  <c r="AI215" i="21" a="1"/>
  <c r="AI215" i="21" s="1"/>
  <c r="AJ215" i="21" a="1"/>
  <c r="AJ215" i="21" s="1"/>
  <c r="AK215" i="21" a="1"/>
  <c r="AK215" i="21" s="1"/>
  <c r="AL215" i="21" a="1"/>
  <c r="AL215" i="21" s="1"/>
  <c r="AM215" i="21" a="1"/>
  <c r="AM215" i="21" s="1"/>
  <c r="AN215" i="21" a="1"/>
  <c r="AN215" i="21" s="1"/>
  <c r="AO215" i="21" a="1"/>
  <c r="AO215" i="21" s="1"/>
  <c r="AP215" i="21" a="1"/>
  <c r="AP215" i="21" s="1"/>
  <c r="AQ215" i="21" a="1"/>
  <c r="AQ215" i="21" s="1"/>
  <c r="AR215" i="21" a="1"/>
  <c r="AR215" i="21" s="1"/>
  <c r="AS215" i="21" a="1"/>
  <c r="AS215" i="21" s="1"/>
  <c r="AT215" i="21" a="1"/>
  <c r="AT215" i="21" s="1"/>
  <c r="AU215" i="21" a="1"/>
  <c r="AU215" i="21" s="1"/>
  <c r="AV215" i="21" a="1"/>
  <c r="AV215" i="21" s="1"/>
  <c r="AW215" i="21" a="1"/>
  <c r="AW215" i="21" s="1"/>
  <c r="AX215" i="21" a="1"/>
  <c r="AX215" i="21" s="1"/>
  <c r="AY215" i="21" a="1"/>
  <c r="AY215" i="21" s="1"/>
  <c r="AZ215" i="21" a="1"/>
  <c r="AZ215" i="21" s="1"/>
  <c r="BA215" i="21" a="1"/>
  <c r="BA215" i="21" s="1"/>
  <c r="BB215" i="21" a="1"/>
  <c r="BB215" i="21" s="1"/>
  <c r="BC215" i="21" a="1"/>
  <c r="BC215" i="21" s="1"/>
  <c r="BD215" i="21" a="1"/>
  <c r="BD215" i="21" s="1"/>
  <c r="BE215" i="21" a="1"/>
  <c r="BE215" i="21" s="1"/>
  <c r="BF215" i="21" a="1"/>
  <c r="BF215" i="21" s="1"/>
  <c r="BG215" i="21" a="1"/>
  <c r="BG215" i="21" s="1"/>
  <c r="BH215" i="21" a="1"/>
  <c r="BH215" i="21" s="1"/>
  <c r="BI215" i="21" a="1"/>
  <c r="BI215" i="21" s="1"/>
  <c r="BJ215" i="21" a="1"/>
  <c r="BJ215" i="21" s="1"/>
  <c r="BK215" i="21" a="1"/>
  <c r="BK215" i="21" s="1"/>
  <c r="BL215" i="21" a="1"/>
  <c r="BL215" i="21" s="1"/>
  <c r="BM215" i="21" a="1"/>
  <c r="BM215" i="21" s="1"/>
  <c r="BN215" i="21" a="1"/>
  <c r="BN215" i="21" s="1"/>
  <c r="BO215" i="21" a="1"/>
  <c r="BO215" i="21" s="1"/>
  <c r="BP215" i="21" a="1"/>
  <c r="BP215" i="21" s="1"/>
  <c r="BQ215" i="21" a="1"/>
  <c r="BQ215" i="21" s="1"/>
  <c r="BR215" i="21" a="1"/>
  <c r="BR215" i="21" s="1"/>
  <c r="BS215" i="21" a="1"/>
  <c r="BS215" i="21" s="1"/>
  <c r="BT215" i="21" a="1"/>
  <c r="BT215" i="21" s="1"/>
  <c r="BU215" i="21" a="1"/>
  <c r="BU215" i="21" s="1"/>
  <c r="BV215" i="21" a="1"/>
  <c r="BV215" i="21" s="1"/>
  <c r="BW215" i="21" a="1"/>
  <c r="BW215" i="21" s="1"/>
  <c r="BX215" i="21" a="1"/>
  <c r="BX215" i="21" s="1"/>
  <c r="BY215" i="21" a="1"/>
  <c r="BY215" i="21" s="1"/>
  <c r="BZ215" i="21" a="1"/>
  <c r="BZ215" i="21" s="1"/>
  <c r="CA215" i="21" a="1"/>
  <c r="CA215" i="21" s="1"/>
  <c r="CB215" i="21" a="1"/>
  <c r="CB215" i="21" s="1"/>
  <c r="CC215" i="21" a="1"/>
  <c r="CC215" i="21" s="1"/>
  <c r="CD215" i="21" a="1"/>
  <c r="CD215" i="21" s="1"/>
  <c r="CE215" i="21" a="1"/>
  <c r="CE215" i="21" s="1"/>
  <c r="CF215" i="21" a="1"/>
  <c r="CF215" i="21" s="1"/>
  <c r="CG215" i="21" a="1"/>
  <c r="CG215" i="21" s="1"/>
  <c r="CH215" i="21" a="1"/>
  <c r="CH215" i="21" s="1"/>
  <c r="CI215" i="21" a="1"/>
  <c r="CI215" i="21" s="1"/>
  <c r="CJ215" i="21" a="1"/>
  <c r="CJ215" i="21" s="1"/>
  <c r="CK215" i="21" a="1"/>
  <c r="CK215" i="21" s="1"/>
  <c r="CL215" i="21" a="1"/>
  <c r="CL215" i="21" s="1"/>
  <c r="CM215" i="21" a="1"/>
  <c r="CM215" i="21" s="1"/>
  <c r="CN215" i="21" a="1"/>
  <c r="CN215" i="21" s="1"/>
  <c r="CO215" i="21" a="1"/>
  <c r="CO215" i="21" s="1"/>
  <c r="CP215" i="21" a="1"/>
  <c r="CP215" i="21" s="1"/>
  <c r="CQ215" i="21" a="1"/>
  <c r="CQ215" i="21" s="1"/>
  <c r="CR215" i="21" a="1"/>
  <c r="CR215" i="21" s="1"/>
  <c r="CS215" i="21" a="1"/>
  <c r="CS215" i="21" s="1"/>
  <c r="CT215" i="21" a="1"/>
  <c r="CT215" i="21" s="1"/>
  <c r="CU215" i="21" a="1"/>
  <c r="CU215" i="21" s="1"/>
  <c r="CV215" i="21" a="1"/>
  <c r="CV215" i="21" s="1"/>
  <c r="CW215" i="21" a="1"/>
  <c r="CW215" i="21" s="1"/>
  <c r="N216" i="21" a="1"/>
  <c r="N216" i="21" s="1"/>
  <c r="O216" i="21" a="1"/>
  <c r="O216" i="21" s="1"/>
  <c r="P216" i="21" a="1"/>
  <c r="P216" i="21" s="1"/>
  <c r="Q216" i="21" a="1"/>
  <c r="Q216" i="21" s="1"/>
  <c r="R216" i="21" a="1"/>
  <c r="R216" i="21" s="1"/>
  <c r="S216" i="21" a="1"/>
  <c r="S216" i="21" s="1"/>
  <c r="T216" i="21" a="1"/>
  <c r="T216" i="21" s="1"/>
  <c r="U216" i="21" a="1"/>
  <c r="U216" i="21" s="1"/>
  <c r="V216" i="21" a="1"/>
  <c r="V216" i="21" s="1"/>
  <c r="W216" i="21" a="1"/>
  <c r="W216" i="21" s="1"/>
  <c r="X216" i="21" a="1"/>
  <c r="X216" i="21" s="1"/>
  <c r="Y216" i="21" a="1"/>
  <c r="Y216" i="21" s="1"/>
  <c r="Z216" i="21" a="1"/>
  <c r="Z216" i="21" s="1"/>
  <c r="AA216" i="21" a="1"/>
  <c r="AA216" i="21" s="1"/>
  <c r="AB216" i="21" a="1"/>
  <c r="AB216" i="21" s="1"/>
  <c r="AC216" i="21" a="1"/>
  <c r="AC216" i="21" s="1"/>
  <c r="AD216" i="21" a="1"/>
  <c r="AD216" i="21" s="1"/>
  <c r="AE216" i="21" a="1"/>
  <c r="AE216" i="21" s="1"/>
  <c r="AF216" i="21" a="1"/>
  <c r="AF216" i="21" s="1"/>
  <c r="AG216" i="21" a="1"/>
  <c r="AG216" i="21" s="1"/>
  <c r="AH216" i="21" a="1"/>
  <c r="AH216" i="21" s="1"/>
  <c r="AI216" i="21" a="1"/>
  <c r="AI216" i="21" s="1"/>
  <c r="AJ216" i="21" a="1"/>
  <c r="AJ216" i="21" s="1"/>
  <c r="AK216" i="21" a="1"/>
  <c r="AK216" i="21" s="1"/>
  <c r="AL216" i="21" a="1"/>
  <c r="AL216" i="21" s="1"/>
  <c r="AM216" i="21" a="1"/>
  <c r="AM216" i="21" s="1"/>
  <c r="AN216" i="21" a="1"/>
  <c r="AN216" i="21" s="1"/>
  <c r="AO216" i="21" a="1"/>
  <c r="AO216" i="21" s="1"/>
  <c r="AP216" i="21" a="1"/>
  <c r="AP216" i="21" s="1"/>
  <c r="AQ216" i="21" a="1"/>
  <c r="AQ216" i="21" s="1"/>
  <c r="AR216" i="21" a="1"/>
  <c r="AR216" i="21" s="1"/>
  <c r="AS216" i="21" a="1"/>
  <c r="AS216" i="21" s="1"/>
  <c r="AT216" i="21" a="1"/>
  <c r="AT216" i="21" s="1"/>
  <c r="AU216" i="21" a="1"/>
  <c r="AU216" i="21" s="1"/>
  <c r="AV216" i="21" a="1"/>
  <c r="AV216" i="21" s="1"/>
  <c r="AW216" i="21" a="1"/>
  <c r="AW216" i="21" s="1"/>
  <c r="AX216" i="21" a="1"/>
  <c r="AX216" i="21" s="1"/>
  <c r="AY216" i="21" a="1"/>
  <c r="AY216" i="21" s="1"/>
  <c r="AZ216" i="21" a="1"/>
  <c r="AZ216" i="21" s="1"/>
  <c r="BA216" i="21" a="1"/>
  <c r="BA216" i="21" s="1"/>
  <c r="BB216" i="21" a="1"/>
  <c r="BB216" i="21" s="1"/>
  <c r="BC216" i="21" a="1"/>
  <c r="BC216" i="21" s="1"/>
  <c r="BD216" i="21" a="1"/>
  <c r="BD216" i="21" s="1"/>
  <c r="BE216" i="21" a="1"/>
  <c r="BE216" i="21" s="1"/>
  <c r="BF216" i="21" a="1"/>
  <c r="BF216" i="21" s="1"/>
  <c r="BG216" i="21" a="1"/>
  <c r="BG216" i="21" s="1"/>
  <c r="BH216" i="21" a="1"/>
  <c r="BH216" i="21" s="1"/>
  <c r="BI216" i="21" a="1"/>
  <c r="BI216" i="21" s="1"/>
  <c r="BJ216" i="21" a="1"/>
  <c r="BJ216" i="21" s="1"/>
  <c r="BK216" i="21" a="1"/>
  <c r="BK216" i="21" s="1"/>
  <c r="BL216" i="21" a="1"/>
  <c r="BL216" i="21" s="1"/>
  <c r="BM216" i="21" a="1"/>
  <c r="BM216" i="21" s="1"/>
  <c r="BN216" i="21" a="1"/>
  <c r="BN216" i="21" s="1"/>
  <c r="BO216" i="21" a="1"/>
  <c r="BO216" i="21" s="1"/>
  <c r="BP216" i="21" a="1"/>
  <c r="BP216" i="21" s="1"/>
  <c r="BQ216" i="21" a="1"/>
  <c r="BQ216" i="21" s="1"/>
  <c r="BR216" i="21" a="1"/>
  <c r="BR216" i="21" s="1"/>
  <c r="BS216" i="21" a="1"/>
  <c r="BS216" i="21" s="1"/>
  <c r="BT216" i="21" a="1"/>
  <c r="BT216" i="21" s="1"/>
  <c r="BU216" i="21" a="1"/>
  <c r="BU216" i="21" s="1"/>
  <c r="BV216" i="21" a="1"/>
  <c r="BV216" i="21" s="1"/>
  <c r="BW216" i="21" a="1"/>
  <c r="BW216" i="21" s="1"/>
  <c r="BX216" i="21" a="1"/>
  <c r="BX216" i="21" s="1"/>
  <c r="BY216" i="21" a="1"/>
  <c r="BY216" i="21" s="1"/>
  <c r="BZ216" i="21" a="1"/>
  <c r="BZ216" i="21" s="1"/>
  <c r="CA216" i="21" a="1"/>
  <c r="CA216" i="21" s="1"/>
  <c r="CB216" i="21" a="1"/>
  <c r="CB216" i="21" s="1"/>
  <c r="CC216" i="21" a="1"/>
  <c r="CC216" i="21" s="1"/>
  <c r="CD216" i="21" a="1"/>
  <c r="CD216" i="21" s="1"/>
  <c r="CE216" i="21" a="1"/>
  <c r="CE216" i="21" s="1"/>
  <c r="CF216" i="21" a="1"/>
  <c r="CF216" i="21" s="1"/>
  <c r="CG216" i="21" a="1"/>
  <c r="CG216" i="21" s="1"/>
  <c r="CH216" i="21" a="1"/>
  <c r="CH216" i="21" s="1"/>
  <c r="CI216" i="21" a="1"/>
  <c r="CI216" i="21" s="1"/>
  <c r="CJ216" i="21" a="1"/>
  <c r="CJ216" i="21" s="1"/>
  <c r="CK216" i="21" a="1"/>
  <c r="CK216" i="21" s="1"/>
  <c r="CL216" i="21" a="1"/>
  <c r="CL216" i="21" s="1"/>
  <c r="CM216" i="21" a="1"/>
  <c r="CM216" i="21" s="1"/>
  <c r="CN216" i="21" a="1"/>
  <c r="CN216" i="21" s="1"/>
  <c r="CO216" i="21" a="1"/>
  <c r="CO216" i="21" s="1"/>
  <c r="CP216" i="21" a="1"/>
  <c r="CP216" i="21" s="1"/>
  <c r="CQ216" i="21" a="1"/>
  <c r="CQ216" i="21" s="1"/>
  <c r="CR216" i="21" a="1"/>
  <c r="CR216" i="21" s="1"/>
  <c r="CS216" i="21" a="1"/>
  <c r="CS216" i="21" s="1"/>
  <c r="CT216" i="21" a="1"/>
  <c r="CT216" i="21" s="1"/>
  <c r="CU216" i="21" a="1"/>
  <c r="CU216" i="21" s="1"/>
  <c r="CV216" i="21" a="1"/>
  <c r="CV216" i="21" s="1"/>
  <c r="CW216" i="21" a="1"/>
  <c r="CW216" i="21" s="1"/>
  <c r="N217" i="21" a="1"/>
  <c r="N217" i="21" s="1"/>
  <c r="O217" i="21" a="1"/>
  <c r="O217" i="21" s="1"/>
  <c r="P217" i="21" a="1"/>
  <c r="P217" i="21" s="1"/>
  <c r="Q217" i="21" a="1"/>
  <c r="Q217" i="21" s="1"/>
  <c r="R217" i="21" a="1"/>
  <c r="R217" i="21" s="1"/>
  <c r="S217" i="21" a="1"/>
  <c r="S217" i="21" s="1"/>
  <c r="T217" i="21" a="1"/>
  <c r="T217" i="21" s="1"/>
  <c r="U217" i="21" a="1"/>
  <c r="U217" i="21" s="1"/>
  <c r="V217" i="21" a="1"/>
  <c r="V217" i="21" s="1"/>
  <c r="W217" i="21" a="1"/>
  <c r="W217" i="21" s="1"/>
  <c r="X217" i="21" a="1"/>
  <c r="X217" i="21" s="1"/>
  <c r="Y217" i="21" a="1"/>
  <c r="Y217" i="21" s="1"/>
  <c r="Z217" i="21" a="1"/>
  <c r="Z217" i="21" s="1"/>
  <c r="AA217" i="21" a="1"/>
  <c r="AA217" i="21" s="1"/>
  <c r="AB217" i="21" a="1"/>
  <c r="AB217" i="21" s="1"/>
  <c r="AC217" i="21" a="1"/>
  <c r="AC217" i="21" s="1"/>
  <c r="AD217" i="21" a="1"/>
  <c r="AD217" i="21" s="1"/>
  <c r="AE217" i="21" a="1"/>
  <c r="AE217" i="21" s="1"/>
  <c r="AF217" i="21" a="1"/>
  <c r="AF217" i="21" s="1"/>
  <c r="AG217" i="21" a="1"/>
  <c r="AG217" i="21" s="1"/>
  <c r="AH217" i="21" a="1"/>
  <c r="AH217" i="21" s="1"/>
  <c r="AI217" i="21" a="1"/>
  <c r="AI217" i="21" s="1"/>
  <c r="AJ217" i="21" a="1"/>
  <c r="AJ217" i="21" s="1"/>
  <c r="AK217" i="21" a="1"/>
  <c r="AK217" i="21" s="1"/>
  <c r="AL217" i="21" a="1"/>
  <c r="AL217" i="21" s="1"/>
  <c r="AM217" i="21" a="1"/>
  <c r="AM217" i="21" s="1"/>
  <c r="AN217" i="21" a="1"/>
  <c r="AN217" i="21" s="1"/>
  <c r="AO217" i="21" a="1"/>
  <c r="AO217" i="21" s="1"/>
  <c r="AP217" i="21" a="1"/>
  <c r="AP217" i="21" s="1"/>
  <c r="AQ217" i="21" a="1"/>
  <c r="AQ217" i="21" s="1"/>
  <c r="AR217" i="21" a="1"/>
  <c r="AR217" i="21" s="1"/>
  <c r="AS217" i="21" a="1"/>
  <c r="AS217" i="21" s="1"/>
  <c r="AT217" i="21" a="1"/>
  <c r="AT217" i="21" s="1"/>
  <c r="AU217" i="21" a="1"/>
  <c r="AU217" i="21" s="1"/>
  <c r="AV217" i="21" a="1"/>
  <c r="AV217" i="21" s="1"/>
  <c r="AW217" i="21" a="1"/>
  <c r="AW217" i="21" s="1"/>
  <c r="AX217" i="21" a="1"/>
  <c r="AX217" i="21" s="1"/>
  <c r="AY217" i="21" a="1"/>
  <c r="AY217" i="21" s="1"/>
  <c r="AZ217" i="21" a="1"/>
  <c r="AZ217" i="21" s="1"/>
  <c r="BA217" i="21" a="1"/>
  <c r="BA217" i="21" s="1"/>
  <c r="BB217" i="21" a="1"/>
  <c r="BB217" i="21" s="1"/>
  <c r="BC217" i="21" a="1"/>
  <c r="BC217" i="21" s="1"/>
  <c r="BD217" i="21" a="1"/>
  <c r="BD217" i="21" s="1"/>
  <c r="BE217" i="21" a="1"/>
  <c r="BE217" i="21" s="1"/>
  <c r="BF217" i="21" a="1"/>
  <c r="BF217" i="21" s="1"/>
  <c r="BG217" i="21" a="1"/>
  <c r="BG217" i="21" s="1"/>
  <c r="BH217" i="21" a="1"/>
  <c r="BH217" i="21" s="1"/>
  <c r="BI217" i="21" a="1"/>
  <c r="BI217" i="21" s="1"/>
  <c r="BJ217" i="21" a="1"/>
  <c r="BJ217" i="21" s="1"/>
  <c r="BK217" i="21" a="1"/>
  <c r="BK217" i="21" s="1"/>
  <c r="BL217" i="21" a="1"/>
  <c r="BL217" i="21" s="1"/>
  <c r="BM217" i="21" a="1"/>
  <c r="BM217" i="21" s="1"/>
  <c r="BN217" i="21" a="1"/>
  <c r="BN217" i="21" s="1"/>
  <c r="BO217" i="21" a="1"/>
  <c r="BO217" i="21" s="1"/>
  <c r="BP217" i="21" a="1"/>
  <c r="BP217" i="21" s="1"/>
  <c r="BQ217" i="21" a="1"/>
  <c r="BQ217" i="21" s="1"/>
  <c r="BR217" i="21" a="1"/>
  <c r="BR217" i="21" s="1"/>
  <c r="BS217" i="21" a="1"/>
  <c r="BS217" i="21" s="1"/>
  <c r="BT217" i="21" a="1"/>
  <c r="BT217" i="21" s="1"/>
  <c r="BU217" i="21" a="1"/>
  <c r="BU217" i="21" s="1"/>
  <c r="BV217" i="21" a="1"/>
  <c r="BV217" i="21" s="1"/>
  <c r="BW217" i="21" a="1"/>
  <c r="BW217" i="21" s="1"/>
  <c r="BX217" i="21" a="1"/>
  <c r="BX217" i="21" s="1"/>
  <c r="BY217" i="21" a="1"/>
  <c r="BY217" i="21" s="1"/>
  <c r="BZ217" i="21" a="1"/>
  <c r="BZ217" i="21" s="1"/>
  <c r="CA217" i="21" a="1"/>
  <c r="CA217" i="21" s="1"/>
  <c r="CB217" i="21" a="1"/>
  <c r="CB217" i="21" s="1"/>
  <c r="CC217" i="21" a="1"/>
  <c r="CC217" i="21" s="1"/>
  <c r="CD217" i="21" a="1"/>
  <c r="CD217" i="21" s="1"/>
  <c r="CE217" i="21" a="1"/>
  <c r="CE217" i="21" s="1"/>
  <c r="CF217" i="21" a="1"/>
  <c r="CF217" i="21" s="1"/>
  <c r="CG217" i="21" a="1"/>
  <c r="CG217" i="21" s="1"/>
  <c r="CH217" i="21" a="1"/>
  <c r="CH217" i="21" s="1"/>
  <c r="CI217" i="21" a="1"/>
  <c r="CI217" i="21" s="1"/>
  <c r="CJ217" i="21" a="1"/>
  <c r="CJ217" i="21" s="1"/>
  <c r="CK217" i="21" a="1"/>
  <c r="CK217" i="21" s="1"/>
  <c r="CL217" i="21" a="1"/>
  <c r="CL217" i="21" s="1"/>
  <c r="CM217" i="21" a="1"/>
  <c r="CM217" i="21" s="1"/>
  <c r="CN217" i="21" a="1"/>
  <c r="CN217" i="21" s="1"/>
  <c r="CO217" i="21" a="1"/>
  <c r="CO217" i="21" s="1"/>
  <c r="CP217" i="21" a="1"/>
  <c r="CP217" i="21" s="1"/>
  <c r="CQ217" i="21" a="1"/>
  <c r="CQ217" i="21" s="1"/>
  <c r="CR217" i="21" a="1"/>
  <c r="CR217" i="21" s="1"/>
  <c r="CS217" i="21" a="1"/>
  <c r="CS217" i="21" s="1"/>
  <c r="CT217" i="21" a="1"/>
  <c r="CT217" i="21" s="1"/>
  <c r="CU217" i="21" a="1"/>
  <c r="CU217" i="21" s="1"/>
  <c r="CV217" i="21" a="1"/>
  <c r="CV217" i="21" s="1"/>
  <c r="CW217" i="21" a="1"/>
  <c r="CW217" i="21" s="1"/>
  <c r="N149" i="21" a="1"/>
  <c r="N149" i="21" s="1"/>
  <c r="O149" i="21" a="1"/>
  <c r="O149" i="21" s="1"/>
  <c r="P149" i="21" a="1"/>
  <c r="P149" i="21" s="1"/>
  <c r="Q149" i="21" a="1"/>
  <c r="Q149" i="21" s="1"/>
  <c r="R149" i="21" a="1"/>
  <c r="R149" i="21" s="1"/>
  <c r="S149" i="21" a="1"/>
  <c r="S149" i="21" s="1"/>
  <c r="T149" i="21" a="1"/>
  <c r="T149" i="21" s="1"/>
  <c r="U149" i="21" a="1"/>
  <c r="U149" i="21" s="1"/>
  <c r="V149" i="21" a="1"/>
  <c r="V149" i="21" s="1"/>
  <c r="W149" i="21" a="1"/>
  <c r="W149" i="21" s="1"/>
  <c r="X149" i="21" a="1"/>
  <c r="X149" i="21" s="1"/>
  <c r="Y149" i="21" a="1"/>
  <c r="Y149" i="21" s="1"/>
  <c r="Z149" i="21" a="1"/>
  <c r="Z149" i="21" s="1"/>
  <c r="AA149" i="21" a="1"/>
  <c r="AA149" i="21" s="1"/>
  <c r="AB149" i="21" a="1"/>
  <c r="AB149" i="21" s="1"/>
  <c r="AC149" i="21" a="1"/>
  <c r="AC149" i="21" s="1"/>
  <c r="AD149" i="21" a="1"/>
  <c r="AD149" i="21" s="1"/>
  <c r="AE149" i="21" a="1"/>
  <c r="AE149" i="21" s="1"/>
  <c r="AF149" i="21" a="1"/>
  <c r="AF149" i="21" s="1"/>
  <c r="AG149" i="21" a="1"/>
  <c r="AG149" i="21" s="1"/>
  <c r="AH149" i="21" a="1"/>
  <c r="AH149" i="21" s="1"/>
  <c r="AI149" i="21" a="1"/>
  <c r="AI149" i="21" s="1"/>
  <c r="AJ149" i="21" a="1"/>
  <c r="AJ149" i="21" s="1"/>
  <c r="AK149" i="21" a="1"/>
  <c r="AK149" i="21" s="1"/>
  <c r="AL149" i="21" a="1"/>
  <c r="AL149" i="21" s="1"/>
  <c r="AM149" i="21" a="1"/>
  <c r="AM149" i="21" s="1"/>
  <c r="AN149" i="21" a="1"/>
  <c r="AN149" i="21" s="1"/>
  <c r="AO149" i="21" a="1"/>
  <c r="AO149" i="21" s="1"/>
  <c r="AP149" i="21" a="1"/>
  <c r="AP149" i="21" s="1"/>
  <c r="AQ149" i="21" a="1"/>
  <c r="AQ149" i="21" s="1"/>
  <c r="AR149" i="21" a="1"/>
  <c r="AR149" i="21" s="1"/>
  <c r="AS149" i="21" a="1"/>
  <c r="AS149" i="21" s="1"/>
  <c r="AT149" i="21" a="1"/>
  <c r="AT149" i="21" s="1"/>
  <c r="AU149" i="21" a="1"/>
  <c r="AU149" i="21" s="1"/>
  <c r="AV149" i="21" a="1"/>
  <c r="AV149" i="21" s="1"/>
  <c r="AW149" i="21" a="1"/>
  <c r="AW149" i="21" s="1"/>
  <c r="AX149" i="21" a="1"/>
  <c r="AX149" i="21" s="1"/>
  <c r="AY149" i="21" a="1"/>
  <c r="AY149" i="21" s="1"/>
  <c r="AZ149" i="21" a="1"/>
  <c r="AZ149" i="21" s="1"/>
  <c r="BA149" i="21" a="1"/>
  <c r="BA149" i="21" s="1"/>
  <c r="BB149" i="21" a="1"/>
  <c r="BB149" i="21" s="1"/>
  <c r="BC149" i="21" a="1"/>
  <c r="BC149" i="21" s="1"/>
  <c r="BD149" i="21" a="1"/>
  <c r="BD149" i="21" s="1"/>
  <c r="BE149" i="21" a="1"/>
  <c r="BE149" i="21" s="1"/>
  <c r="BF149" i="21" a="1"/>
  <c r="BF149" i="21" s="1"/>
  <c r="BG149" i="21" a="1"/>
  <c r="BG149" i="21" s="1"/>
  <c r="BH149" i="21" a="1"/>
  <c r="BH149" i="21" s="1"/>
  <c r="BI149" i="21" a="1"/>
  <c r="BI149" i="21" s="1"/>
  <c r="BJ149" i="21" a="1"/>
  <c r="BJ149" i="21" s="1"/>
  <c r="BK149" i="21" a="1"/>
  <c r="BK149" i="21" s="1"/>
  <c r="BL149" i="21" a="1"/>
  <c r="BL149" i="21" s="1"/>
  <c r="BM149" i="21" a="1"/>
  <c r="BM149" i="21" s="1"/>
  <c r="BN149" i="21" a="1"/>
  <c r="BN149" i="21" s="1"/>
  <c r="BO149" i="21" a="1"/>
  <c r="BO149" i="21" s="1"/>
  <c r="BP149" i="21" a="1"/>
  <c r="BP149" i="21" s="1"/>
  <c r="BQ149" i="21" a="1"/>
  <c r="BQ149" i="21" s="1"/>
  <c r="BR149" i="21" a="1"/>
  <c r="BR149" i="21" s="1"/>
  <c r="BS149" i="21" a="1"/>
  <c r="BS149" i="21" s="1"/>
  <c r="BT149" i="21" a="1"/>
  <c r="BT149" i="21" s="1"/>
  <c r="BU149" i="21" a="1"/>
  <c r="BU149" i="21" s="1"/>
  <c r="BV149" i="21" a="1"/>
  <c r="BV149" i="21" s="1"/>
  <c r="BW149" i="21" a="1"/>
  <c r="BW149" i="21" s="1"/>
  <c r="BX149" i="21" a="1"/>
  <c r="BX149" i="21" s="1"/>
  <c r="BY149" i="21" a="1"/>
  <c r="BY149" i="21" s="1"/>
  <c r="BZ149" i="21" a="1"/>
  <c r="BZ149" i="21" s="1"/>
  <c r="CA149" i="21" a="1"/>
  <c r="CA149" i="21" s="1"/>
  <c r="CB149" i="21" a="1"/>
  <c r="CB149" i="21" s="1"/>
  <c r="CC149" i="21" a="1"/>
  <c r="CC149" i="21" s="1"/>
  <c r="CD149" i="21" a="1"/>
  <c r="CD149" i="21" s="1"/>
  <c r="CE149" i="21" a="1"/>
  <c r="CE149" i="21" s="1"/>
  <c r="CF149" i="21" a="1"/>
  <c r="CF149" i="21" s="1"/>
  <c r="CG149" i="21" a="1"/>
  <c r="CG149" i="21" s="1"/>
  <c r="CH149" i="21" a="1"/>
  <c r="CH149" i="21" s="1"/>
  <c r="CI149" i="21" a="1"/>
  <c r="CI149" i="21" s="1"/>
  <c r="CJ149" i="21" a="1"/>
  <c r="CJ149" i="21" s="1"/>
  <c r="CK149" i="21" a="1"/>
  <c r="CK149" i="21" s="1"/>
  <c r="CL149" i="21" a="1"/>
  <c r="CL149" i="21" s="1"/>
  <c r="CM149" i="21" a="1"/>
  <c r="CM149" i="21" s="1"/>
  <c r="CN149" i="21" a="1"/>
  <c r="CN149" i="21" s="1"/>
  <c r="CO149" i="21" a="1"/>
  <c r="CO149" i="21" s="1"/>
  <c r="CP149" i="21" a="1"/>
  <c r="CP149" i="21" s="1"/>
  <c r="CQ149" i="21" a="1"/>
  <c r="CQ149" i="21" s="1"/>
  <c r="CR149" i="21" a="1"/>
  <c r="CR149" i="21" s="1"/>
  <c r="CS149" i="21" a="1"/>
  <c r="CS149" i="21" s="1"/>
  <c r="CT149" i="21" a="1"/>
  <c r="CT149" i="21" s="1"/>
  <c r="CU149" i="21" a="1"/>
  <c r="CU149" i="21" s="1"/>
  <c r="CV149" i="21" a="1"/>
  <c r="CV149" i="21" s="1"/>
  <c r="CW149" i="21" a="1"/>
  <c r="CW149" i="21" s="1"/>
  <c r="N150" i="21" a="1"/>
  <c r="N150" i="21" s="1"/>
  <c r="O150" i="21" a="1"/>
  <c r="O150" i="21" s="1"/>
  <c r="P150" i="21" a="1"/>
  <c r="P150" i="21" s="1"/>
  <c r="Q150" i="21" a="1"/>
  <c r="Q150" i="21" s="1"/>
  <c r="R150" i="21" a="1"/>
  <c r="R150" i="21" s="1"/>
  <c r="S150" i="21" a="1"/>
  <c r="S150" i="21" s="1"/>
  <c r="T150" i="21" a="1"/>
  <c r="T150" i="21" s="1"/>
  <c r="U150" i="21" a="1"/>
  <c r="U150" i="21" s="1"/>
  <c r="V150" i="21" a="1"/>
  <c r="V150" i="21" s="1"/>
  <c r="W150" i="21" a="1"/>
  <c r="W150" i="21" s="1"/>
  <c r="X150" i="21" a="1"/>
  <c r="X150" i="21" s="1"/>
  <c r="Y150" i="21" a="1"/>
  <c r="Y150" i="21" s="1"/>
  <c r="Z150" i="21" a="1"/>
  <c r="Z150" i="21" s="1"/>
  <c r="AA150" i="21" a="1"/>
  <c r="AA150" i="21" s="1"/>
  <c r="AB150" i="21" a="1"/>
  <c r="AB150" i="21" s="1"/>
  <c r="AC150" i="21" a="1"/>
  <c r="AC150" i="21" s="1"/>
  <c r="AD150" i="21" a="1"/>
  <c r="AD150" i="21" s="1"/>
  <c r="AE150" i="21" a="1"/>
  <c r="AE150" i="21" s="1"/>
  <c r="AF150" i="21" a="1"/>
  <c r="AF150" i="21" s="1"/>
  <c r="AG150" i="21" a="1"/>
  <c r="AG150" i="21" s="1"/>
  <c r="AH150" i="21" a="1"/>
  <c r="AH150" i="21" s="1"/>
  <c r="AI150" i="21" a="1"/>
  <c r="AI150" i="21" s="1"/>
  <c r="AJ150" i="21" a="1"/>
  <c r="AJ150" i="21" s="1"/>
  <c r="AK150" i="21" a="1"/>
  <c r="AK150" i="21" s="1"/>
  <c r="AL150" i="21" a="1"/>
  <c r="AL150" i="21" s="1"/>
  <c r="AM150" i="21" a="1"/>
  <c r="AM150" i="21" s="1"/>
  <c r="AN150" i="21" a="1"/>
  <c r="AN150" i="21" s="1"/>
  <c r="AO150" i="21" a="1"/>
  <c r="AO150" i="21" s="1"/>
  <c r="AP150" i="21" a="1"/>
  <c r="AP150" i="21" s="1"/>
  <c r="AQ150" i="21" a="1"/>
  <c r="AQ150" i="21" s="1"/>
  <c r="AR150" i="21" a="1"/>
  <c r="AR150" i="21" s="1"/>
  <c r="AS150" i="21" a="1"/>
  <c r="AS150" i="21" s="1"/>
  <c r="AT150" i="21" a="1"/>
  <c r="AT150" i="21" s="1"/>
  <c r="AU150" i="21" a="1"/>
  <c r="AU150" i="21" s="1"/>
  <c r="AV150" i="21" a="1"/>
  <c r="AV150" i="21" s="1"/>
  <c r="AW150" i="21" a="1"/>
  <c r="AW150" i="21" s="1"/>
  <c r="AX150" i="21" a="1"/>
  <c r="AX150" i="21" s="1"/>
  <c r="AY150" i="21" a="1"/>
  <c r="AY150" i="21" s="1"/>
  <c r="AZ150" i="21" a="1"/>
  <c r="AZ150" i="21" s="1"/>
  <c r="BA150" i="21" a="1"/>
  <c r="BA150" i="21" s="1"/>
  <c r="BB150" i="21" a="1"/>
  <c r="BB150" i="21" s="1"/>
  <c r="BC150" i="21" a="1"/>
  <c r="BC150" i="21" s="1"/>
  <c r="BD150" i="21" a="1"/>
  <c r="BD150" i="21" s="1"/>
  <c r="BE150" i="21" a="1"/>
  <c r="BE150" i="21" s="1"/>
  <c r="BF150" i="21" a="1"/>
  <c r="BF150" i="21" s="1"/>
  <c r="BG150" i="21" a="1"/>
  <c r="BG150" i="21" s="1"/>
  <c r="BH150" i="21" a="1"/>
  <c r="BH150" i="21" s="1"/>
  <c r="BI150" i="21" a="1"/>
  <c r="BI150" i="21" s="1"/>
  <c r="BJ150" i="21" a="1"/>
  <c r="BJ150" i="21" s="1"/>
  <c r="BK150" i="21" a="1"/>
  <c r="BK150" i="21" s="1"/>
  <c r="BL150" i="21" a="1"/>
  <c r="BL150" i="21" s="1"/>
  <c r="BM150" i="21" a="1"/>
  <c r="BM150" i="21" s="1"/>
  <c r="BN150" i="21" a="1"/>
  <c r="BN150" i="21" s="1"/>
  <c r="BO150" i="21" a="1"/>
  <c r="BO150" i="21" s="1"/>
  <c r="BP150" i="21" a="1"/>
  <c r="BP150" i="21" s="1"/>
  <c r="BQ150" i="21" a="1"/>
  <c r="BQ150" i="21" s="1"/>
  <c r="BR150" i="21" a="1"/>
  <c r="BR150" i="21" s="1"/>
  <c r="BS150" i="21" a="1"/>
  <c r="BS150" i="21" s="1"/>
  <c r="BT150" i="21" a="1"/>
  <c r="BT150" i="21" s="1"/>
  <c r="BU150" i="21" a="1"/>
  <c r="BU150" i="21" s="1"/>
  <c r="BV150" i="21" a="1"/>
  <c r="BV150" i="21" s="1"/>
  <c r="BW150" i="21" a="1"/>
  <c r="BW150" i="21" s="1"/>
  <c r="BX150" i="21" a="1"/>
  <c r="BX150" i="21" s="1"/>
  <c r="BY150" i="21" a="1"/>
  <c r="BY150" i="21" s="1"/>
  <c r="BZ150" i="21" a="1"/>
  <c r="BZ150" i="21" s="1"/>
  <c r="CA150" i="21" a="1"/>
  <c r="CA150" i="21" s="1"/>
  <c r="CB150" i="21" a="1"/>
  <c r="CB150" i="21" s="1"/>
  <c r="CC150" i="21" a="1"/>
  <c r="CC150" i="21" s="1"/>
  <c r="CD150" i="21" a="1"/>
  <c r="CD150" i="21" s="1"/>
  <c r="CE150" i="21" a="1"/>
  <c r="CE150" i="21" s="1"/>
  <c r="CF150" i="21" a="1"/>
  <c r="CF150" i="21" s="1"/>
  <c r="CG150" i="21" a="1"/>
  <c r="CG150" i="21" s="1"/>
  <c r="CH150" i="21" a="1"/>
  <c r="CH150" i="21" s="1"/>
  <c r="CI150" i="21" a="1"/>
  <c r="CI150" i="21" s="1"/>
  <c r="CJ150" i="21" a="1"/>
  <c r="CJ150" i="21" s="1"/>
  <c r="CK150" i="21" a="1"/>
  <c r="CK150" i="21" s="1"/>
  <c r="CL150" i="21" a="1"/>
  <c r="CL150" i="21" s="1"/>
  <c r="CM150" i="21" a="1"/>
  <c r="CM150" i="21" s="1"/>
  <c r="CN150" i="21" a="1"/>
  <c r="CN150" i="21" s="1"/>
  <c r="CO150" i="21" a="1"/>
  <c r="CO150" i="21" s="1"/>
  <c r="CP150" i="21" a="1"/>
  <c r="CP150" i="21" s="1"/>
  <c r="CQ150" i="21" a="1"/>
  <c r="CQ150" i="21" s="1"/>
  <c r="CR150" i="21" a="1"/>
  <c r="CR150" i="21" s="1"/>
  <c r="CS150" i="21" a="1"/>
  <c r="CS150" i="21" s="1"/>
  <c r="CT150" i="21" a="1"/>
  <c r="CT150" i="21" s="1"/>
  <c r="CU150" i="21" a="1"/>
  <c r="CU150" i="21" s="1"/>
  <c r="CV150" i="21" a="1"/>
  <c r="CV150" i="21" s="1"/>
  <c r="CW150" i="21" a="1"/>
  <c r="CW150" i="21" s="1"/>
  <c r="N151" i="21" a="1"/>
  <c r="N151" i="21" s="1"/>
  <c r="O151" i="21" a="1"/>
  <c r="O151" i="21" s="1"/>
  <c r="P151" i="21" a="1"/>
  <c r="P151" i="21" s="1"/>
  <c r="Q151" i="21" a="1"/>
  <c r="Q151" i="21" s="1"/>
  <c r="R151" i="21" a="1"/>
  <c r="R151" i="21" s="1"/>
  <c r="S151" i="21" a="1"/>
  <c r="S151" i="21" s="1"/>
  <c r="T151" i="21" a="1"/>
  <c r="T151" i="21" s="1"/>
  <c r="U151" i="21" a="1"/>
  <c r="U151" i="21" s="1"/>
  <c r="V151" i="21" a="1"/>
  <c r="V151" i="21" s="1"/>
  <c r="W151" i="21" a="1"/>
  <c r="W151" i="21" s="1"/>
  <c r="X151" i="21" a="1"/>
  <c r="X151" i="21" s="1"/>
  <c r="Y151" i="21" a="1"/>
  <c r="Y151" i="21" s="1"/>
  <c r="Z151" i="21" a="1"/>
  <c r="Z151" i="21" s="1"/>
  <c r="AA151" i="21" a="1"/>
  <c r="AA151" i="21" s="1"/>
  <c r="AB151" i="21" a="1"/>
  <c r="AB151" i="21" s="1"/>
  <c r="AC151" i="21" a="1"/>
  <c r="AC151" i="21" s="1"/>
  <c r="AD151" i="21" a="1"/>
  <c r="AD151" i="21" s="1"/>
  <c r="AE151" i="21" a="1"/>
  <c r="AE151" i="21" s="1"/>
  <c r="AF151" i="21" a="1"/>
  <c r="AF151" i="21" s="1"/>
  <c r="AG151" i="21" a="1"/>
  <c r="AG151" i="21" s="1"/>
  <c r="AH151" i="21" a="1"/>
  <c r="AH151" i="21" s="1"/>
  <c r="AI151" i="21" a="1"/>
  <c r="AI151" i="21" s="1"/>
  <c r="AJ151" i="21" a="1"/>
  <c r="AJ151" i="21" s="1"/>
  <c r="AK151" i="21" a="1"/>
  <c r="AK151" i="21" s="1"/>
  <c r="AL151" i="21" a="1"/>
  <c r="AL151" i="21" s="1"/>
  <c r="AM151" i="21" a="1"/>
  <c r="AM151" i="21" s="1"/>
  <c r="AN151" i="21" a="1"/>
  <c r="AN151" i="21" s="1"/>
  <c r="AO151" i="21" a="1"/>
  <c r="AO151" i="21" s="1"/>
  <c r="AP151" i="21" a="1"/>
  <c r="AP151" i="21" s="1"/>
  <c r="AQ151" i="21" a="1"/>
  <c r="AQ151" i="21" s="1"/>
  <c r="AR151" i="21" a="1"/>
  <c r="AR151" i="21" s="1"/>
  <c r="AS151" i="21" a="1"/>
  <c r="AS151" i="21" s="1"/>
  <c r="AT151" i="21" a="1"/>
  <c r="AT151" i="21" s="1"/>
  <c r="AU151" i="21" a="1"/>
  <c r="AU151" i="21" s="1"/>
  <c r="AV151" i="21" a="1"/>
  <c r="AV151" i="21" s="1"/>
  <c r="AW151" i="21" a="1"/>
  <c r="AW151" i="21" s="1"/>
  <c r="AX151" i="21" a="1"/>
  <c r="AX151" i="21" s="1"/>
  <c r="AY151" i="21" a="1"/>
  <c r="AY151" i="21" s="1"/>
  <c r="AZ151" i="21" a="1"/>
  <c r="AZ151" i="21" s="1"/>
  <c r="BA151" i="21" a="1"/>
  <c r="BA151" i="21" s="1"/>
  <c r="BB151" i="21" a="1"/>
  <c r="BB151" i="21" s="1"/>
  <c r="BC151" i="21" a="1"/>
  <c r="BC151" i="21" s="1"/>
  <c r="BD151" i="21" a="1"/>
  <c r="BD151" i="21" s="1"/>
  <c r="BE151" i="21" a="1"/>
  <c r="BE151" i="21" s="1"/>
  <c r="BF151" i="21" a="1"/>
  <c r="BF151" i="21" s="1"/>
  <c r="BG151" i="21" a="1"/>
  <c r="BG151" i="21" s="1"/>
  <c r="BH151" i="21" a="1"/>
  <c r="BH151" i="21" s="1"/>
  <c r="BI151" i="21" a="1"/>
  <c r="BI151" i="21" s="1"/>
  <c r="BJ151" i="21" a="1"/>
  <c r="BJ151" i="21" s="1"/>
  <c r="BK151" i="21" a="1"/>
  <c r="BK151" i="21" s="1"/>
  <c r="BL151" i="21" a="1"/>
  <c r="BL151" i="21" s="1"/>
  <c r="BM151" i="21" a="1"/>
  <c r="BM151" i="21" s="1"/>
  <c r="BN151" i="21" a="1"/>
  <c r="BN151" i="21" s="1"/>
  <c r="BO151" i="21" a="1"/>
  <c r="BO151" i="21" s="1"/>
  <c r="BP151" i="21" a="1"/>
  <c r="BP151" i="21" s="1"/>
  <c r="BQ151" i="21" a="1"/>
  <c r="BQ151" i="21" s="1"/>
  <c r="BR151" i="21" a="1"/>
  <c r="BR151" i="21" s="1"/>
  <c r="BS151" i="21" a="1"/>
  <c r="BS151" i="21" s="1"/>
  <c r="BT151" i="21" a="1"/>
  <c r="BT151" i="21" s="1"/>
  <c r="BU151" i="21" a="1"/>
  <c r="BU151" i="21" s="1"/>
  <c r="BV151" i="21" a="1"/>
  <c r="BV151" i="21" s="1"/>
  <c r="BW151" i="21" a="1"/>
  <c r="BW151" i="21" s="1"/>
  <c r="BX151" i="21" a="1"/>
  <c r="BX151" i="21" s="1"/>
  <c r="BY151" i="21" a="1"/>
  <c r="BY151" i="21" s="1"/>
  <c r="BZ151" i="21" a="1"/>
  <c r="BZ151" i="21" s="1"/>
  <c r="CA151" i="21" a="1"/>
  <c r="CA151" i="21" s="1"/>
  <c r="CB151" i="21" a="1"/>
  <c r="CB151" i="21" s="1"/>
  <c r="CC151" i="21" a="1"/>
  <c r="CC151" i="21" s="1"/>
  <c r="CD151" i="21" a="1"/>
  <c r="CD151" i="21" s="1"/>
  <c r="CE151" i="21" a="1"/>
  <c r="CE151" i="21" s="1"/>
  <c r="CF151" i="21" a="1"/>
  <c r="CF151" i="21" s="1"/>
  <c r="CG151" i="21" a="1"/>
  <c r="CG151" i="21" s="1"/>
  <c r="CH151" i="21" a="1"/>
  <c r="CH151" i="21" s="1"/>
  <c r="CI151" i="21" a="1"/>
  <c r="CI151" i="21" s="1"/>
  <c r="CJ151" i="21" a="1"/>
  <c r="CJ151" i="21" s="1"/>
  <c r="CK151" i="21" a="1"/>
  <c r="CK151" i="21" s="1"/>
  <c r="CL151" i="21" a="1"/>
  <c r="CL151" i="21" s="1"/>
  <c r="CM151" i="21" a="1"/>
  <c r="CM151" i="21" s="1"/>
  <c r="CN151" i="21" a="1"/>
  <c r="CN151" i="21" s="1"/>
  <c r="CO151" i="21" a="1"/>
  <c r="CO151" i="21" s="1"/>
  <c r="CP151" i="21" a="1"/>
  <c r="CP151" i="21" s="1"/>
  <c r="CQ151" i="21" a="1"/>
  <c r="CQ151" i="21" s="1"/>
  <c r="CR151" i="21" a="1"/>
  <c r="CR151" i="21" s="1"/>
  <c r="CS151" i="21" a="1"/>
  <c r="CS151" i="21" s="1"/>
  <c r="CT151" i="21" a="1"/>
  <c r="CT151" i="21" s="1"/>
  <c r="CU151" i="21" a="1"/>
  <c r="CU151" i="21" s="1"/>
  <c r="CV151" i="21" a="1"/>
  <c r="CV151" i="21" s="1"/>
  <c r="CW151" i="21" a="1"/>
  <c r="CW151" i="21" s="1"/>
  <c r="N152" i="21" a="1"/>
  <c r="N152" i="21" s="1"/>
  <c r="O152" i="21" a="1"/>
  <c r="O152" i="21" s="1"/>
  <c r="P152" i="21" a="1"/>
  <c r="P152" i="21" s="1"/>
  <c r="Q152" i="21" a="1"/>
  <c r="Q152" i="21" s="1"/>
  <c r="R152" i="21" a="1"/>
  <c r="R152" i="21" s="1"/>
  <c r="S152" i="21" a="1"/>
  <c r="S152" i="21" s="1"/>
  <c r="T152" i="21" a="1"/>
  <c r="T152" i="21" s="1"/>
  <c r="U152" i="21" a="1"/>
  <c r="U152" i="21" s="1"/>
  <c r="V152" i="21" a="1"/>
  <c r="V152" i="21" s="1"/>
  <c r="W152" i="21" a="1"/>
  <c r="W152" i="21" s="1"/>
  <c r="X152" i="21" a="1"/>
  <c r="X152" i="21" s="1"/>
  <c r="Y152" i="21" a="1"/>
  <c r="Y152" i="21" s="1"/>
  <c r="Z152" i="21" a="1"/>
  <c r="Z152" i="21" s="1"/>
  <c r="AA152" i="21" a="1"/>
  <c r="AA152" i="21" s="1"/>
  <c r="AB152" i="21" a="1"/>
  <c r="AB152" i="21" s="1"/>
  <c r="AC152" i="21" a="1"/>
  <c r="AC152" i="21" s="1"/>
  <c r="AD152" i="21" a="1"/>
  <c r="AD152" i="21" s="1"/>
  <c r="AE152" i="21" a="1"/>
  <c r="AE152" i="21" s="1"/>
  <c r="AF152" i="21" a="1"/>
  <c r="AF152" i="21" s="1"/>
  <c r="AG152" i="21" a="1"/>
  <c r="AG152" i="21" s="1"/>
  <c r="AH152" i="21" a="1"/>
  <c r="AH152" i="21" s="1"/>
  <c r="AI152" i="21" a="1"/>
  <c r="AI152" i="21" s="1"/>
  <c r="AJ152" i="21" a="1"/>
  <c r="AJ152" i="21" s="1"/>
  <c r="AK152" i="21" a="1"/>
  <c r="AK152" i="21" s="1"/>
  <c r="AL152" i="21" a="1"/>
  <c r="AL152" i="21" s="1"/>
  <c r="AM152" i="21" a="1"/>
  <c r="AM152" i="21" s="1"/>
  <c r="AN152" i="21" a="1"/>
  <c r="AN152" i="21" s="1"/>
  <c r="AO152" i="21" a="1"/>
  <c r="AO152" i="21" s="1"/>
  <c r="AP152" i="21" a="1"/>
  <c r="AP152" i="21" s="1"/>
  <c r="AQ152" i="21" a="1"/>
  <c r="AQ152" i="21" s="1"/>
  <c r="AR152" i="21" a="1"/>
  <c r="AR152" i="21" s="1"/>
  <c r="AS152" i="21" a="1"/>
  <c r="AS152" i="21" s="1"/>
  <c r="AT152" i="21" a="1"/>
  <c r="AT152" i="21" s="1"/>
  <c r="AU152" i="21" a="1"/>
  <c r="AU152" i="21" s="1"/>
  <c r="AV152" i="21" a="1"/>
  <c r="AV152" i="21" s="1"/>
  <c r="AW152" i="21" a="1"/>
  <c r="AW152" i="21" s="1"/>
  <c r="AX152" i="21" a="1"/>
  <c r="AX152" i="21" s="1"/>
  <c r="AY152" i="21" a="1"/>
  <c r="AY152" i="21" s="1"/>
  <c r="AZ152" i="21" a="1"/>
  <c r="AZ152" i="21" s="1"/>
  <c r="BA152" i="21" a="1"/>
  <c r="BA152" i="21" s="1"/>
  <c r="BB152" i="21" a="1"/>
  <c r="BB152" i="21" s="1"/>
  <c r="BC152" i="21" a="1"/>
  <c r="BC152" i="21" s="1"/>
  <c r="BD152" i="21" a="1"/>
  <c r="BD152" i="21" s="1"/>
  <c r="BE152" i="21" a="1"/>
  <c r="BE152" i="21" s="1"/>
  <c r="BF152" i="21" a="1"/>
  <c r="BF152" i="21" s="1"/>
  <c r="BG152" i="21" a="1"/>
  <c r="BG152" i="21" s="1"/>
  <c r="BH152" i="21" a="1"/>
  <c r="BH152" i="21" s="1"/>
  <c r="BI152" i="21" a="1"/>
  <c r="BI152" i="21" s="1"/>
  <c r="BJ152" i="21" a="1"/>
  <c r="BJ152" i="21" s="1"/>
  <c r="BK152" i="21" a="1"/>
  <c r="BK152" i="21" s="1"/>
  <c r="BL152" i="21" a="1"/>
  <c r="BL152" i="21" s="1"/>
  <c r="BM152" i="21" a="1"/>
  <c r="BM152" i="21" s="1"/>
  <c r="BN152" i="21" a="1"/>
  <c r="BN152" i="21" s="1"/>
  <c r="BO152" i="21" a="1"/>
  <c r="BO152" i="21" s="1"/>
  <c r="BP152" i="21" a="1"/>
  <c r="BP152" i="21" s="1"/>
  <c r="BQ152" i="21" a="1"/>
  <c r="BQ152" i="21" s="1"/>
  <c r="BR152" i="21" a="1"/>
  <c r="BR152" i="21" s="1"/>
  <c r="BS152" i="21" a="1"/>
  <c r="BS152" i="21" s="1"/>
  <c r="BT152" i="21" a="1"/>
  <c r="BT152" i="21" s="1"/>
  <c r="BU152" i="21" a="1"/>
  <c r="BU152" i="21" s="1"/>
  <c r="BV152" i="21" a="1"/>
  <c r="BV152" i="21" s="1"/>
  <c r="BW152" i="21" a="1"/>
  <c r="BW152" i="21" s="1"/>
  <c r="BX152" i="21" a="1"/>
  <c r="BX152" i="21" s="1"/>
  <c r="BY152" i="21" a="1"/>
  <c r="BY152" i="21" s="1"/>
  <c r="BZ152" i="21" a="1"/>
  <c r="BZ152" i="21" s="1"/>
  <c r="CA152" i="21" a="1"/>
  <c r="CA152" i="21" s="1"/>
  <c r="CB152" i="21" a="1"/>
  <c r="CB152" i="21" s="1"/>
  <c r="CC152" i="21" a="1"/>
  <c r="CC152" i="21" s="1"/>
  <c r="CD152" i="21" a="1"/>
  <c r="CD152" i="21" s="1"/>
  <c r="CE152" i="21" a="1"/>
  <c r="CE152" i="21" s="1"/>
  <c r="CF152" i="21" a="1"/>
  <c r="CF152" i="21" s="1"/>
  <c r="CG152" i="21" a="1"/>
  <c r="CG152" i="21" s="1"/>
  <c r="CH152" i="21" a="1"/>
  <c r="CH152" i="21" s="1"/>
  <c r="CI152" i="21" a="1"/>
  <c r="CI152" i="21" s="1"/>
  <c r="CJ152" i="21" a="1"/>
  <c r="CJ152" i="21" s="1"/>
  <c r="CK152" i="21" a="1"/>
  <c r="CK152" i="21" s="1"/>
  <c r="CL152" i="21" a="1"/>
  <c r="CL152" i="21" s="1"/>
  <c r="CM152" i="21" a="1"/>
  <c r="CM152" i="21" s="1"/>
  <c r="CN152" i="21" a="1"/>
  <c r="CN152" i="21" s="1"/>
  <c r="CO152" i="21" a="1"/>
  <c r="CO152" i="21" s="1"/>
  <c r="CP152" i="21" a="1"/>
  <c r="CP152" i="21" s="1"/>
  <c r="CQ152" i="21" a="1"/>
  <c r="CQ152" i="21" s="1"/>
  <c r="CR152" i="21" a="1"/>
  <c r="CR152" i="21" s="1"/>
  <c r="CS152" i="21" a="1"/>
  <c r="CS152" i="21" s="1"/>
  <c r="CT152" i="21" a="1"/>
  <c r="CT152" i="21" s="1"/>
  <c r="CU152" i="21" a="1"/>
  <c r="CU152" i="21" s="1"/>
  <c r="CV152" i="21" a="1"/>
  <c r="CV152" i="21" s="1"/>
  <c r="CW152" i="21" a="1"/>
  <c r="CW152" i="21" s="1"/>
  <c r="N153" i="21" a="1"/>
  <c r="N153" i="21" s="1"/>
  <c r="O153" i="21" a="1"/>
  <c r="O153" i="21" s="1"/>
  <c r="P153" i="21" a="1"/>
  <c r="P153" i="21" s="1"/>
  <c r="Q153" i="21" a="1"/>
  <c r="Q153" i="21" s="1"/>
  <c r="R153" i="21" a="1"/>
  <c r="R153" i="21" s="1"/>
  <c r="S153" i="21" a="1"/>
  <c r="S153" i="21" s="1"/>
  <c r="T153" i="21" a="1"/>
  <c r="T153" i="21" s="1"/>
  <c r="U153" i="21" a="1"/>
  <c r="U153" i="21" s="1"/>
  <c r="V153" i="21" a="1"/>
  <c r="V153" i="21" s="1"/>
  <c r="W153" i="21" a="1"/>
  <c r="W153" i="21" s="1"/>
  <c r="X153" i="21" a="1"/>
  <c r="X153" i="21" s="1"/>
  <c r="Y153" i="21" a="1"/>
  <c r="Y153" i="21" s="1"/>
  <c r="Z153" i="21" a="1"/>
  <c r="Z153" i="21" s="1"/>
  <c r="AA153" i="21" a="1"/>
  <c r="AA153" i="21" s="1"/>
  <c r="AB153" i="21" a="1"/>
  <c r="AB153" i="21" s="1"/>
  <c r="AC153" i="21" a="1"/>
  <c r="AC153" i="21" s="1"/>
  <c r="AD153" i="21" a="1"/>
  <c r="AD153" i="21" s="1"/>
  <c r="AE153" i="21" a="1"/>
  <c r="AE153" i="21" s="1"/>
  <c r="AF153" i="21" a="1"/>
  <c r="AF153" i="21" s="1"/>
  <c r="AG153" i="21" a="1"/>
  <c r="AG153" i="21" s="1"/>
  <c r="AH153" i="21" a="1"/>
  <c r="AH153" i="21" s="1"/>
  <c r="AI153" i="21" a="1"/>
  <c r="AI153" i="21" s="1"/>
  <c r="AJ153" i="21" a="1"/>
  <c r="AJ153" i="21" s="1"/>
  <c r="AK153" i="21" a="1"/>
  <c r="AK153" i="21" s="1"/>
  <c r="AL153" i="21" a="1"/>
  <c r="AL153" i="21" s="1"/>
  <c r="AM153" i="21" a="1"/>
  <c r="AM153" i="21" s="1"/>
  <c r="AN153" i="21" a="1"/>
  <c r="AN153" i="21" s="1"/>
  <c r="AO153" i="21" a="1"/>
  <c r="AO153" i="21" s="1"/>
  <c r="AP153" i="21" a="1"/>
  <c r="AP153" i="21" s="1"/>
  <c r="AQ153" i="21" a="1"/>
  <c r="AQ153" i="21" s="1"/>
  <c r="AR153" i="21" a="1"/>
  <c r="AR153" i="21" s="1"/>
  <c r="AS153" i="21" a="1"/>
  <c r="AS153" i="21" s="1"/>
  <c r="AT153" i="21" a="1"/>
  <c r="AT153" i="21" s="1"/>
  <c r="AU153" i="21" a="1"/>
  <c r="AU153" i="21" s="1"/>
  <c r="AV153" i="21" a="1"/>
  <c r="AV153" i="21" s="1"/>
  <c r="AW153" i="21" a="1"/>
  <c r="AW153" i="21" s="1"/>
  <c r="AX153" i="21" a="1"/>
  <c r="AX153" i="21" s="1"/>
  <c r="AY153" i="21" a="1"/>
  <c r="AY153" i="21" s="1"/>
  <c r="AZ153" i="21" a="1"/>
  <c r="AZ153" i="21" s="1"/>
  <c r="BA153" i="21" a="1"/>
  <c r="BA153" i="21" s="1"/>
  <c r="BB153" i="21" a="1"/>
  <c r="BB153" i="21" s="1"/>
  <c r="BC153" i="21" a="1"/>
  <c r="BC153" i="21" s="1"/>
  <c r="BD153" i="21" a="1"/>
  <c r="BD153" i="21" s="1"/>
  <c r="BE153" i="21" a="1"/>
  <c r="BE153" i="21" s="1"/>
  <c r="BF153" i="21" a="1"/>
  <c r="BF153" i="21" s="1"/>
  <c r="BG153" i="21" a="1"/>
  <c r="BG153" i="21" s="1"/>
  <c r="BH153" i="21" a="1"/>
  <c r="BH153" i="21" s="1"/>
  <c r="BI153" i="21" a="1"/>
  <c r="BI153" i="21" s="1"/>
  <c r="BJ153" i="21" a="1"/>
  <c r="BJ153" i="21" s="1"/>
  <c r="BK153" i="21" a="1"/>
  <c r="BK153" i="21" s="1"/>
  <c r="BL153" i="21" a="1"/>
  <c r="BL153" i="21" s="1"/>
  <c r="BM153" i="21" a="1"/>
  <c r="BM153" i="21" s="1"/>
  <c r="BN153" i="21" a="1"/>
  <c r="BN153" i="21" s="1"/>
  <c r="BO153" i="21" a="1"/>
  <c r="BO153" i="21" s="1"/>
  <c r="BP153" i="21" a="1"/>
  <c r="BP153" i="21" s="1"/>
  <c r="BQ153" i="21" a="1"/>
  <c r="BQ153" i="21" s="1"/>
  <c r="BR153" i="21" a="1"/>
  <c r="BR153" i="21" s="1"/>
  <c r="BS153" i="21" a="1"/>
  <c r="BS153" i="21" s="1"/>
  <c r="BT153" i="21" a="1"/>
  <c r="BT153" i="21" s="1"/>
  <c r="BU153" i="21" a="1"/>
  <c r="BU153" i="21" s="1"/>
  <c r="BV153" i="21" a="1"/>
  <c r="BV153" i="21" s="1"/>
  <c r="BW153" i="21" a="1"/>
  <c r="BW153" i="21" s="1"/>
  <c r="BX153" i="21" a="1"/>
  <c r="BX153" i="21" s="1"/>
  <c r="BY153" i="21" a="1"/>
  <c r="BY153" i="21" s="1"/>
  <c r="BZ153" i="21" a="1"/>
  <c r="BZ153" i="21" s="1"/>
  <c r="CA153" i="21" a="1"/>
  <c r="CA153" i="21" s="1"/>
  <c r="CB153" i="21" a="1"/>
  <c r="CB153" i="21" s="1"/>
  <c r="CC153" i="21" a="1"/>
  <c r="CC153" i="21" s="1"/>
  <c r="CD153" i="21" a="1"/>
  <c r="CD153" i="21" s="1"/>
  <c r="CE153" i="21" a="1"/>
  <c r="CE153" i="21" s="1"/>
  <c r="CF153" i="21" a="1"/>
  <c r="CF153" i="21" s="1"/>
  <c r="CG153" i="21" a="1"/>
  <c r="CG153" i="21" s="1"/>
  <c r="CH153" i="21" a="1"/>
  <c r="CH153" i="21" s="1"/>
  <c r="CI153" i="21" a="1"/>
  <c r="CI153" i="21" s="1"/>
  <c r="CJ153" i="21" a="1"/>
  <c r="CJ153" i="21" s="1"/>
  <c r="CK153" i="21" a="1"/>
  <c r="CK153" i="21" s="1"/>
  <c r="CL153" i="21" a="1"/>
  <c r="CL153" i="21" s="1"/>
  <c r="CM153" i="21" a="1"/>
  <c r="CM153" i="21" s="1"/>
  <c r="CN153" i="21" a="1"/>
  <c r="CN153" i="21" s="1"/>
  <c r="CO153" i="21" a="1"/>
  <c r="CO153" i="21" s="1"/>
  <c r="CP153" i="21" a="1"/>
  <c r="CP153" i="21" s="1"/>
  <c r="CQ153" i="21" a="1"/>
  <c r="CQ153" i="21" s="1"/>
  <c r="CR153" i="21" a="1"/>
  <c r="CR153" i="21" s="1"/>
  <c r="CS153" i="21" a="1"/>
  <c r="CS153" i="21" s="1"/>
  <c r="CT153" i="21" a="1"/>
  <c r="CT153" i="21" s="1"/>
  <c r="CU153" i="21" a="1"/>
  <c r="CU153" i="21" s="1"/>
  <c r="CV153" i="21" a="1"/>
  <c r="CV153" i="21" s="1"/>
  <c r="CW153" i="21" a="1"/>
  <c r="CW153" i="21" s="1"/>
  <c r="N154" i="21" a="1"/>
  <c r="N154" i="21" s="1"/>
  <c r="O154" i="21" a="1"/>
  <c r="O154" i="21" s="1"/>
  <c r="P154" i="21" a="1"/>
  <c r="P154" i="21" s="1"/>
  <c r="Q154" i="21" a="1"/>
  <c r="Q154" i="21" s="1"/>
  <c r="R154" i="21" a="1"/>
  <c r="R154" i="21" s="1"/>
  <c r="S154" i="21" a="1"/>
  <c r="S154" i="21" s="1"/>
  <c r="T154" i="21" a="1"/>
  <c r="T154" i="21" s="1"/>
  <c r="U154" i="21" a="1"/>
  <c r="U154" i="21" s="1"/>
  <c r="V154" i="21" a="1"/>
  <c r="V154" i="21" s="1"/>
  <c r="W154" i="21" a="1"/>
  <c r="W154" i="21" s="1"/>
  <c r="X154" i="21" a="1"/>
  <c r="X154" i="21" s="1"/>
  <c r="Y154" i="21" a="1"/>
  <c r="Y154" i="21" s="1"/>
  <c r="Z154" i="21" a="1"/>
  <c r="Z154" i="21" s="1"/>
  <c r="AA154" i="21" a="1"/>
  <c r="AA154" i="21" s="1"/>
  <c r="AB154" i="21" a="1"/>
  <c r="AB154" i="21" s="1"/>
  <c r="AC154" i="21" a="1"/>
  <c r="AC154" i="21" s="1"/>
  <c r="AD154" i="21" a="1"/>
  <c r="AD154" i="21" s="1"/>
  <c r="AE154" i="21" a="1"/>
  <c r="AE154" i="21" s="1"/>
  <c r="AF154" i="21" a="1"/>
  <c r="AF154" i="21" s="1"/>
  <c r="AG154" i="21" a="1"/>
  <c r="AG154" i="21" s="1"/>
  <c r="AH154" i="21" a="1"/>
  <c r="AH154" i="21" s="1"/>
  <c r="AI154" i="21" a="1"/>
  <c r="AI154" i="21" s="1"/>
  <c r="AJ154" i="21" a="1"/>
  <c r="AJ154" i="21" s="1"/>
  <c r="AK154" i="21" a="1"/>
  <c r="AK154" i="21" s="1"/>
  <c r="AL154" i="21" a="1"/>
  <c r="AL154" i="21" s="1"/>
  <c r="AM154" i="21" a="1"/>
  <c r="AM154" i="21" s="1"/>
  <c r="AN154" i="21" a="1"/>
  <c r="AN154" i="21" s="1"/>
  <c r="AO154" i="21" a="1"/>
  <c r="AO154" i="21" s="1"/>
  <c r="AP154" i="21" a="1"/>
  <c r="AP154" i="21" s="1"/>
  <c r="AQ154" i="21" a="1"/>
  <c r="AQ154" i="21" s="1"/>
  <c r="AR154" i="21" a="1"/>
  <c r="AR154" i="21" s="1"/>
  <c r="AS154" i="21" a="1"/>
  <c r="AS154" i="21" s="1"/>
  <c r="AT154" i="21" a="1"/>
  <c r="AT154" i="21" s="1"/>
  <c r="AU154" i="21" a="1"/>
  <c r="AU154" i="21" s="1"/>
  <c r="AV154" i="21" a="1"/>
  <c r="AV154" i="21" s="1"/>
  <c r="AW154" i="21" a="1"/>
  <c r="AW154" i="21" s="1"/>
  <c r="AX154" i="21" a="1"/>
  <c r="AX154" i="21" s="1"/>
  <c r="AY154" i="21" a="1"/>
  <c r="AY154" i="21" s="1"/>
  <c r="AZ154" i="21" a="1"/>
  <c r="AZ154" i="21" s="1"/>
  <c r="BA154" i="21" a="1"/>
  <c r="BA154" i="21" s="1"/>
  <c r="BB154" i="21" a="1"/>
  <c r="BB154" i="21" s="1"/>
  <c r="BC154" i="21" a="1"/>
  <c r="BC154" i="21" s="1"/>
  <c r="BD154" i="21" a="1"/>
  <c r="BD154" i="21" s="1"/>
  <c r="BE154" i="21" a="1"/>
  <c r="BE154" i="21" s="1"/>
  <c r="BF154" i="21" a="1"/>
  <c r="BF154" i="21" s="1"/>
  <c r="BG154" i="21" a="1"/>
  <c r="BG154" i="21" s="1"/>
  <c r="BH154" i="21" a="1"/>
  <c r="BH154" i="21" s="1"/>
  <c r="BI154" i="21" a="1"/>
  <c r="BI154" i="21" s="1"/>
  <c r="BJ154" i="21" a="1"/>
  <c r="BJ154" i="21" s="1"/>
  <c r="BK154" i="21" a="1"/>
  <c r="BK154" i="21" s="1"/>
  <c r="BL154" i="21" a="1"/>
  <c r="BL154" i="21" s="1"/>
  <c r="BM154" i="21" a="1"/>
  <c r="BM154" i="21" s="1"/>
  <c r="BN154" i="21" a="1"/>
  <c r="BN154" i="21" s="1"/>
  <c r="BO154" i="21" a="1"/>
  <c r="BO154" i="21" s="1"/>
  <c r="BP154" i="21" a="1"/>
  <c r="BP154" i="21" s="1"/>
  <c r="BQ154" i="21" a="1"/>
  <c r="BQ154" i="21" s="1"/>
  <c r="BR154" i="21" a="1"/>
  <c r="BR154" i="21" s="1"/>
  <c r="BS154" i="21" a="1"/>
  <c r="BS154" i="21" s="1"/>
  <c r="BT154" i="21" a="1"/>
  <c r="BT154" i="21" s="1"/>
  <c r="BU154" i="21" a="1"/>
  <c r="BU154" i="21" s="1"/>
  <c r="BV154" i="21" a="1"/>
  <c r="BV154" i="21" s="1"/>
  <c r="BW154" i="21" a="1"/>
  <c r="BW154" i="21" s="1"/>
  <c r="BX154" i="21" a="1"/>
  <c r="BX154" i="21" s="1"/>
  <c r="BY154" i="21" a="1"/>
  <c r="BY154" i="21" s="1"/>
  <c r="BZ154" i="21" a="1"/>
  <c r="BZ154" i="21" s="1"/>
  <c r="CA154" i="21" a="1"/>
  <c r="CA154" i="21" s="1"/>
  <c r="CB154" i="21" a="1"/>
  <c r="CB154" i="21" s="1"/>
  <c r="CC154" i="21" a="1"/>
  <c r="CC154" i="21" s="1"/>
  <c r="CD154" i="21" a="1"/>
  <c r="CD154" i="21" s="1"/>
  <c r="CE154" i="21" a="1"/>
  <c r="CE154" i="21" s="1"/>
  <c r="CF154" i="21" a="1"/>
  <c r="CF154" i="21" s="1"/>
  <c r="CG154" i="21" a="1"/>
  <c r="CG154" i="21" s="1"/>
  <c r="CH154" i="21" a="1"/>
  <c r="CH154" i="21" s="1"/>
  <c r="CI154" i="21" a="1"/>
  <c r="CI154" i="21" s="1"/>
  <c r="CJ154" i="21" a="1"/>
  <c r="CJ154" i="21" s="1"/>
  <c r="CK154" i="21" a="1"/>
  <c r="CK154" i="21" s="1"/>
  <c r="CL154" i="21" a="1"/>
  <c r="CL154" i="21" s="1"/>
  <c r="CM154" i="21" a="1"/>
  <c r="CM154" i="21" s="1"/>
  <c r="CN154" i="21" a="1"/>
  <c r="CN154" i="21" s="1"/>
  <c r="CO154" i="21" a="1"/>
  <c r="CO154" i="21" s="1"/>
  <c r="CP154" i="21" a="1"/>
  <c r="CP154" i="21" s="1"/>
  <c r="CQ154" i="21" a="1"/>
  <c r="CQ154" i="21" s="1"/>
  <c r="CR154" i="21" a="1"/>
  <c r="CR154" i="21" s="1"/>
  <c r="CS154" i="21" a="1"/>
  <c r="CS154" i="21" s="1"/>
  <c r="CT154" i="21" a="1"/>
  <c r="CT154" i="21" s="1"/>
  <c r="CU154" i="21" a="1"/>
  <c r="CU154" i="21" s="1"/>
  <c r="CV154" i="21" a="1"/>
  <c r="CV154" i="21" s="1"/>
  <c r="CW154" i="21" a="1"/>
  <c r="CW154" i="21" s="1"/>
  <c r="N155" i="21" a="1"/>
  <c r="N155" i="21" s="1"/>
  <c r="O155" i="21" a="1"/>
  <c r="O155" i="21" s="1"/>
  <c r="P155" i="21" a="1"/>
  <c r="P155" i="21" s="1"/>
  <c r="Q155" i="21" a="1"/>
  <c r="Q155" i="21" s="1"/>
  <c r="R155" i="21" a="1"/>
  <c r="R155" i="21" s="1"/>
  <c r="S155" i="21" a="1"/>
  <c r="S155" i="21" s="1"/>
  <c r="T155" i="21" a="1"/>
  <c r="T155" i="21" s="1"/>
  <c r="U155" i="21" a="1"/>
  <c r="U155" i="21" s="1"/>
  <c r="V155" i="21" a="1"/>
  <c r="V155" i="21" s="1"/>
  <c r="W155" i="21" a="1"/>
  <c r="W155" i="21" s="1"/>
  <c r="X155" i="21" a="1"/>
  <c r="X155" i="21" s="1"/>
  <c r="Y155" i="21" a="1"/>
  <c r="Y155" i="21" s="1"/>
  <c r="Z155" i="21" a="1"/>
  <c r="Z155" i="21" s="1"/>
  <c r="AA155" i="21" a="1"/>
  <c r="AA155" i="21" s="1"/>
  <c r="AB155" i="21" a="1"/>
  <c r="AB155" i="21" s="1"/>
  <c r="AC155" i="21" a="1"/>
  <c r="AC155" i="21" s="1"/>
  <c r="AD155" i="21" a="1"/>
  <c r="AD155" i="21" s="1"/>
  <c r="AE155" i="21" a="1"/>
  <c r="AE155" i="21" s="1"/>
  <c r="AF155" i="21" a="1"/>
  <c r="AF155" i="21" s="1"/>
  <c r="AG155" i="21" a="1"/>
  <c r="AG155" i="21" s="1"/>
  <c r="AH155" i="21" a="1"/>
  <c r="AH155" i="21" s="1"/>
  <c r="AI155" i="21" a="1"/>
  <c r="AI155" i="21" s="1"/>
  <c r="AJ155" i="21" a="1"/>
  <c r="AJ155" i="21" s="1"/>
  <c r="AK155" i="21" a="1"/>
  <c r="AK155" i="21" s="1"/>
  <c r="AL155" i="21" a="1"/>
  <c r="AL155" i="21" s="1"/>
  <c r="AM155" i="21" a="1"/>
  <c r="AM155" i="21" s="1"/>
  <c r="AN155" i="21" a="1"/>
  <c r="AN155" i="21" s="1"/>
  <c r="AO155" i="21" a="1"/>
  <c r="AO155" i="21" s="1"/>
  <c r="AP155" i="21" a="1"/>
  <c r="AP155" i="21" s="1"/>
  <c r="AQ155" i="21" a="1"/>
  <c r="AQ155" i="21" s="1"/>
  <c r="AR155" i="21" a="1"/>
  <c r="AR155" i="21" s="1"/>
  <c r="AS155" i="21" a="1"/>
  <c r="AS155" i="21" s="1"/>
  <c r="AT155" i="21" a="1"/>
  <c r="AT155" i="21" s="1"/>
  <c r="AU155" i="21" a="1"/>
  <c r="AU155" i="21" s="1"/>
  <c r="AV155" i="21" a="1"/>
  <c r="AV155" i="21" s="1"/>
  <c r="AW155" i="21" a="1"/>
  <c r="AW155" i="21" s="1"/>
  <c r="AX155" i="21" a="1"/>
  <c r="AX155" i="21" s="1"/>
  <c r="AY155" i="21" a="1"/>
  <c r="AY155" i="21" s="1"/>
  <c r="AZ155" i="21" a="1"/>
  <c r="AZ155" i="21" s="1"/>
  <c r="BA155" i="21" a="1"/>
  <c r="BA155" i="21" s="1"/>
  <c r="BB155" i="21" a="1"/>
  <c r="BB155" i="21" s="1"/>
  <c r="BC155" i="21" a="1"/>
  <c r="BC155" i="21" s="1"/>
  <c r="BD155" i="21" a="1"/>
  <c r="BD155" i="21" s="1"/>
  <c r="BE155" i="21" a="1"/>
  <c r="BE155" i="21" s="1"/>
  <c r="BF155" i="21" a="1"/>
  <c r="BF155" i="21" s="1"/>
  <c r="BG155" i="21" a="1"/>
  <c r="BG155" i="21" s="1"/>
  <c r="BH155" i="21" a="1"/>
  <c r="BH155" i="21" s="1"/>
  <c r="BI155" i="21" a="1"/>
  <c r="BI155" i="21" s="1"/>
  <c r="BJ155" i="21" a="1"/>
  <c r="BJ155" i="21" s="1"/>
  <c r="BK155" i="21" a="1"/>
  <c r="BK155" i="21" s="1"/>
  <c r="BL155" i="21" a="1"/>
  <c r="BL155" i="21" s="1"/>
  <c r="BM155" i="21" a="1"/>
  <c r="BM155" i="21" s="1"/>
  <c r="BN155" i="21" a="1"/>
  <c r="BN155" i="21" s="1"/>
  <c r="BO155" i="21" a="1"/>
  <c r="BO155" i="21" s="1"/>
  <c r="BP155" i="21" a="1"/>
  <c r="BP155" i="21" s="1"/>
  <c r="BQ155" i="21" a="1"/>
  <c r="BQ155" i="21" s="1"/>
  <c r="BR155" i="21" a="1"/>
  <c r="BR155" i="21" s="1"/>
  <c r="BS155" i="21" a="1"/>
  <c r="BS155" i="21" s="1"/>
  <c r="BT155" i="21" a="1"/>
  <c r="BT155" i="21" s="1"/>
  <c r="BU155" i="21" a="1"/>
  <c r="BU155" i="21" s="1"/>
  <c r="BV155" i="21" a="1"/>
  <c r="BV155" i="21" s="1"/>
  <c r="BW155" i="21" a="1"/>
  <c r="BW155" i="21" s="1"/>
  <c r="BX155" i="21" a="1"/>
  <c r="BX155" i="21" s="1"/>
  <c r="BY155" i="21" a="1"/>
  <c r="BY155" i="21" s="1"/>
  <c r="BZ155" i="21" a="1"/>
  <c r="BZ155" i="21" s="1"/>
  <c r="CA155" i="21" a="1"/>
  <c r="CA155" i="21" s="1"/>
  <c r="CB155" i="21" a="1"/>
  <c r="CB155" i="21" s="1"/>
  <c r="CC155" i="21" a="1"/>
  <c r="CC155" i="21" s="1"/>
  <c r="CD155" i="21" a="1"/>
  <c r="CD155" i="21" s="1"/>
  <c r="CE155" i="21" a="1"/>
  <c r="CE155" i="21" s="1"/>
  <c r="CF155" i="21" a="1"/>
  <c r="CF155" i="21" s="1"/>
  <c r="CG155" i="21" a="1"/>
  <c r="CG155" i="21" s="1"/>
  <c r="CH155" i="21" a="1"/>
  <c r="CH155" i="21" s="1"/>
  <c r="CI155" i="21" a="1"/>
  <c r="CI155" i="21" s="1"/>
  <c r="CJ155" i="21" a="1"/>
  <c r="CJ155" i="21" s="1"/>
  <c r="CK155" i="21" a="1"/>
  <c r="CK155" i="21" s="1"/>
  <c r="CL155" i="21" a="1"/>
  <c r="CL155" i="21" s="1"/>
  <c r="CM155" i="21" a="1"/>
  <c r="CM155" i="21" s="1"/>
  <c r="CN155" i="21" a="1"/>
  <c r="CN155" i="21" s="1"/>
  <c r="CO155" i="21" a="1"/>
  <c r="CO155" i="21" s="1"/>
  <c r="CP155" i="21" a="1"/>
  <c r="CP155" i="21" s="1"/>
  <c r="CQ155" i="21" a="1"/>
  <c r="CQ155" i="21" s="1"/>
  <c r="CR155" i="21" a="1"/>
  <c r="CR155" i="21" s="1"/>
  <c r="CS155" i="21" a="1"/>
  <c r="CS155" i="21" s="1"/>
  <c r="CT155" i="21" a="1"/>
  <c r="CT155" i="21" s="1"/>
  <c r="CU155" i="21" a="1"/>
  <c r="CU155" i="21" s="1"/>
  <c r="CV155" i="21" a="1"/>
  <c r="CV155" i="21" s="1"/>
  <c r="CW155" i="21" a="1"/>
  <c r="CW155" i="21" s="1"/>
  <c r="N156" i="21" a="1"/>
  <c r="N156" i="21" s="1"/>
  <c r="O156" i="21" a="1"/>
  <c r="O156" i="21" s="1"/>
  <c r="P156" i="21" a="1"/>
  <c r="P156" i="21" s="1"/>
  <c r="Q156" i="21" a="1"/>
  <c r="Q156" i="21" s="1"/>
  <c r="R156" i="21" a="1"/>
  <c r="R156" i="21" s="1"/>
  <c r="S156" i="21" a="1"/>
  <c r="S156" i="21" s="1"/>
  <c r="T156" i="21" a="1"/>
  <c r="T156" i="21" s="1"/>
  <c r="U156" i="21" a="1"/>
  <c r="U156" i="21" s="1"/>
  <c r="V156" i="21" a="1"/>
  <c r="V156" i="21" s="1"/>
  <c r="W156" i="21" a="1"/>
  <c r="W156" i="21" s="1"/>
  <c r="X156" i="21" a="1"/>
  <c r="X156" i="21" s="1"/>
  <c r="Y156" i="21" a="1"/>
  <c r="Y156" i="21" s="1"/>
  <c r="Z156" i="21" a="1"/>
  <c r="Z156" i="21" s="1"/>
  <c r="AA156" i="21" a="1"/>
  <c r="AA156" i="21" s="1"/>
  <c r="AB156" i="21" a="1"/>
  <c r="AB156" i="21" s="1"/>
  <c r="AC156" i="21" a="1"/>
  <c r="AC156" i="21" s="1"/>
  <c r="AD156" i="21" a="1"/>
  <c r="AD156" i="21" s="1"/>
  <c r="AE156" i="21" a="1"/>
  <c r="AE156" i="21" s="1"/>
  <c r="AF156" i="21" a="1"/>
  <c r="AF156" i="21" s="1"/>
  <c r="AG156" i="21" a="1"/>
  <c r="AG156" i="21" s="1"/>
  <c r="AH156" i="21" a="1"/>
  <c r="AH156" i="21" s="1"/>
  <c r="AI156" i="21" a="1"/>
  <c r="AI156" i="21" s="1"/>
  <c r="AJ156" i="21" a="1"/>
  <c r="AJ156" i="21" s="1"/>
  <c r="AK156" i="21" a="1"/>
  <c r="AK156" i="21" s="1"/>
  <c r="AL156" i="21" a="1"/>
  <c r="AL156" i="21" s="1"/>
  <c r="AM156" i="21" a="1"/>
  <c r="AM156" i="21" s="1"/>
  <c r="AN156" i="21" a="1"/>
  <c r="AN156" i="21" s="1"/>
  <c r="AO156" i="21" a="1"/>
  <c r="AO156" i="21" s="1"/>
  <c r="AP156" i="21" a="1"/>
  <c r="AP156" i="21" s="1"/>
  <c r="AQ156" i="21" a="1"/>
  <c r="AQ156" i="21" s="1"/>
  <c r="AR156" i="21" a="1"/>
  <c r="AR156" i="21" s="1"/>
  <c r="AS156" i="21" a="1"/>
  <c r="AS156" i="21" s="1"/>
  <c r="AT156" i="21" a="1"/>
  <c r="AT156" i="21" s="1"/>
  <c r="AU156" i="21" a="1"/>
  <c r="AU156" i="21" s="1"/>
  <c r="AV156" i="21" a="1"/>
  <c r="AV156" i="21" s="1"/>
  <c r="AW156" i="21" a="1"/>
  <c r="AW156" i="21" s="1"/>
  <c r="AX156" i="21" a="1"/>
  <c r="AX156" i="21" s="1"/>
  <c r="AY156" i="21" a="1"/>
  <c r="AY156" i="21" s="1"/>
  <c r="AZ156" i="21" a="1"/>
  <c r="AZ156" i="21" s="1"/>
  <c r="BA156" i="21" a="1"/>
  <c r="BA156" i="21" s="1"/>
  <c r="BB156" i="21" a="1"/>
  <c r="BB156" i="21" s="1"/>
  <c r="BC156" i="21" a="1"/>
  <c r="BC156" i="21" s="1"/>
  <c r="BD156" i="21" a="1"/>
  <c r="BD156" i="21" s="1"/>
  <c r="BE156" i="21" a="1"/>
  <c r="BE156" i="21" s="1"/>
  <c r="BF156" i="21" a="1"/>
  <c r="BF156" i="21" s="1"/>
  <c r="BG156" i="21" a="1"/>
  <c r="BG156" i="21" s="1"/>
  <c r="BH156" i="21" a="1"/>
  <c r="BH156" i="21" s="1"/>
  <c r="BI156" i="21" a="1"/>
  <c r="BI156" i="21" s="1"/>
  <c r="BJ156" i="21" a="1"/>
  <c r="BJ156" i="21" s="1"/>
  <c r="BK156" i="21" a="1"/>
  <c r="BK156" i="21" s="1"/>
  <c r="BL156" i="21" a="1"/>
  <c r="BL156" i="21" s="1"/>
  <c r="BM156" i="21" a="1"/>
  <c r="BM156" i="21" s="1"/>
  <c r="BN156" i="21" a="1"/>
  <c r="BN156" i="21" s="1"/>
  <c r="BO156" i="21" a="1"/>
  <c r="BO156" i="21" s="1"/>
  <c r="BP156" i="21" a="1"/>
  <c r="BP156" i="21" s="1"/>
  <c r="BQ156" i="21" a="1"/>
  <c r="BQ156" i="21" s="1"/>
  <c r="BR156" i="21" a="1"/>
  <c r="BR156" i="21" s="1"/>
  <c r="BS156" i="21" a="1"/>
  <c r="BS156" i="21" s="1"/>
  <c r="BT156" i="21" a="1"/>
  <c r="BT156" i="21" s="1"/>
  <c r="BU156" i="21" a="1"/>
  <c r="BU156" i="21" s="1"/>
  <c r="BV156" i="21" a="1"/>
  <c r="BV156" i="21" s="1"/>
  <c r="BW156" i="21" a="1"/>
  <c r="BW156" i="21" s="1"/>
  <c r="BX156" i="21" a="1"/>
  <c r="BX156" i="21" s="1"/>
  <c r="BY156" i="21" a="1"/>
  <c r="BY156" i="21" s="1"/>
  <c r="BZ156" i="21" a="1"/>
  <c r="BZ156" i="21" s="1"/>
  <c r="CA156" i="21" a="1"/>
  <c r="CA156" i="21" s="1"/>
  <c r="CB156" i="21" a="1"/>
  <c r="CB156" i="21" s="1"/>
  <c r="CC156" i="21" a="1"/>
  <c r="CC156" i="21" s="1"/>
  <c r="CD156" i="21" a="1"/>
  <c r="CD156" i="21" s="1"/>
  <c r="CE156" i="21" a="1"/>
  <c r="CE156" i="21" s="1"/>
  <c r="CF156" i="21" a="1"/>
  <c r="CF156" i="21" s="1"/>
  <c r="CG156" i="21" a="1"/>
  <c r="CG156" i="21" s="1"/>
  <c r="CH156" i="21" a="1"/>
  <c r="CH156" i="21" s="1"/>
  <c r="CI156" i="21" a="1"/>
  <c r="CI156" i="21" s="1"/>
  <c r="CJ156" i="21" a="1"/>
  <c r="CJ156" i="21" s="1"/>
  <c r="CK156" i="21" a="1"/>
  <c r="CK156" i="21" s="1"/>
  <c r="CL156" i="21" a="1"/>
  <c r="CL156" i="21" s="1"/>
  <c r="CM156" i="21" a="1"/>
  <c r="CM156" i="21" s="1"/>
  <c r="CN156" i="21" a="1"/>
  <c r="CN156" i="21" s="1"/>
  <c r="CO156" i="21" a="1"/>
  <c r="CO156" i="21" s="1"/>
  <c r="CP156" i="21" a="1"/>
  <c r="CP156" i="21" s="1"/>
  <c r="CQ156" i="21" a="1"/>
  <c r="CQ156" i="21" s="1"/>
  <c r="CR156" i="21" a="1"/>
  <c r="CR156" i="21" s="1"/>
  <c r="CS156" i="21" a="1"/>
  <c r="CS156" i="21" s="1"/>
  <c r="CT156" i="21" a="1"/>
  <c r="CT156" i="21" s="1"/>
  <c r="CU156" i="21" a="1"/>
  <c r="CU156" i="21" s="1"/>
  <c r="CV156" i="21" a="1"/>
  <c r="CV156" i="21" s="1"/>
  <c r="CW156" i="21" a="1"/>
  <c r="CW156" i="21" s="1"/>
  <c r="N157" i="21" a="1"/>
  <c r="N157" i="21" s="1"/>
  <c r="O157" i="21" a="1"/>
  <c r="O157" i="21" s="1"/>
  <c r="P157" i="21" a="1"/>
  <c r="P157" i="21" s="1"/>
  <c r="Q157" i="21" a="1"/>
  <c r="Q157" i="21" s="1"/>
  <c r="R157" i="21" a="1"/>
  <c r="R157" i="21" s="1"/>
  <c r="S157" i="21" a="1"/>
  <c r="S157" i="21" s="1"/>
  <c r="T157" i="21" a="1"/>
  <c r="T157" i="21" s="1"/>
  <c r="U157" i="21" a="1"/>
  <c r="U157" i="21" s="1"/>
  <c r="V157" i="21" a="1"/>
  <c r="V157" i="21" s="1"/>
  <c r="W157" i="21" a="1"/>
  <c r="W157" i="21" s="1"/>
  <c r="X157" i="21" a="1"/>
  <c r="X157" i="21" s="1"/>
  <c r="Y157" i="21" a="1"/>
  <c r="Y157" i="21" s="1"/>
  <c r="Z157" i="21" a="1"/>
  <c r="Z157" i="21" s="1"/>
  <c r="AA157" i="21" a="1"/>
  <c r="AA157" i="21" s="1"/>
  <c r="AB157" i="21" a="1"/>
  <c r="AB157" i="21" s="1"/>
  <c r="AC157" i="21" a="1"/>
  <c r="AC157" i="21" s="1"/>
  <c r="AD157" i="21" a="1"/>
  <c r="AD157" i="21" s="1"/>
  <c r="AE157" i="21" a="1"/>
  <c r="AE157" i="21" s="1"/>
  <c r="AF157" i="21" a="1"/>
  <c r="AF157" i="21" s="1"/>
  <c r="AG157" i="21" a="1"/>
  <c r="AG157" i="21" s="1"/>
  <c r="AH157" i="21" a="1"/>
  <c r="AH157" i="21" s="1"/>
  <c r="AI157" i="21" a="1"/>
  <c r="AI157" i="21" s="1"/>
  <c r="AJ157" i="21" a="1"/>
  <c r="AJ157" i="21" s="1"/>
  <c r="AK157" i="21" a="1"/>
  <c r="AK157" i="21" s="1"/>
  <c r="AL157" i="21" a="1"/>
  <c r="AL157" i="21" s="1"/>
  <c r="AM157" i="21" a="1"/>
  <c r="AM157" i="21" s="1"/>
  <c r="AN157" i="21" a="1"/>
  <c r="AN157" i="21" s="1"/>
  <c r="AO157" i="21" a="1"/>
  <c r="AO157" i="21" s="1"/>
  <c r="AP157" i="21" a="1"/>
  <c r="AP157" i="21" s="1"/>
  <c r="AQ157" i="21" a="1"/>
  <c r="AQ157" i="21" s="1"/>
  <c r="AR157" i="21" a="1"/>
  <c r="AR157" i="21" s="1"/>
  <c r="AS157" i="21" a="1"/>
  <c r="AS157" i="21" s="1"/>
  <c r="AT157" i="21" a="1"/>
  <c r="AT157" i="21" s="1"/>
  <c r="AU157" i="21" a="1"/>
  <c r="AU157" i="21" s="1"/>
  <c r="AV157" i="21" a="1"/>
  <c r="AV157" i="21" s="1"/>
  <c r="AW157" i="21" a="1"/>
  <c r="AW157" i="21" s="1"/>
  <c r="AX157" i="21" a="1"/>
  <c r="AX157" i="21" s="1"/>
  <c r="AY157" i="21" a="1"/>
  <c r="AY157" i="21" s="1"/>
  <c r="AZ157" i="21" a="1"/>
  <c r="AZ157" i="21" s="1"/>
  <c r="BA157" i="21" a="1"/>
  <c r="BA157" i="21" s="1"/>
  <c r="BB157" i="21" a="1"/>
  <c r="BB157" i="21" s="1"/>
  <c r="BC157" i="21" a="1"/>
  <c r="BC157" i="21" s="1"/>
  <c r="BD157" i="21" a="1"/>
  <c r="BD157" i="21" s="1"/>
  <c r="BE157" i="21" a="1"/>
  <c r="BE157" i="21" s="1"/>
  <c r="BF157" i="21" a="1"/>
  <c r="BF157" i="21" s="1"/>
  <c r="BG157" i="21" a="1"/>
  <c r="BG157" i="21" s="1"/>
  <c r="BH157" i="21" a="1"/>
  <c r="BH157" i="21" s="1"/>
  <c r="BI157" i="21" a="1"/>
  <c r="BI157" i="21" s="1"/>
  <c r="BJ157" i="21" a="1"/>
  <c r="BJ157" i="21" s="1"/>
  <c r="BK157" i="21" a="1"/>
  <c r="BK157" i="21" s="1"/>
  <c r="BL157" i="21" a="1"/>
  <c r="BL157" i="21" s="1"/>
  <c r="BM157" i="21" a="1"/>
  <c r="BM157" i="21" s="1"/>
  <c r="BN157" i="21" a="1"/>
  <c r="BN157" i="21" s="1"/>
  <c r="BO157" i="21" a="1"/>
  <c r="BO157" i="21" s="1"/>
  <c r="BP157" i="21" a="1"/>
  <c r="BP157" i="21" s="1"/>
  <c r="BQ157" i="21" a="1"/>
  <c r="BQ157" i="21" s="1"/>
  <c r="BR157" i="21" a="1"/>
  <c r="BR157" i="21" s="1"/>
  <c r="BS157" i="21" a="1"/>
  <c r="BS157" i="21" s="1"/>
  <c r="BT157" i="21" a="1"/>
  <c r="BT157" i="21" s="1"/>
  <c r="BU157" i="21" a="1"/>
  <c r="BU157" i="21" s="1"/>
  <c r="BV157" i="21" a="1"/>
  <c r="BV157" i="21" s="1"/>
  <c r="BW157" i="21" a="1"/>
  <c r="BW157" i="21" s="1"/>
  <c r="BX157" i="21" a="1"/>
  <c r="BX157" i="21" s="1"/>
  <c r="BY157" i="21" a="1"/>
  <c r="BY157" i="21" s="1"/>
  <c r="BZ157" i="21" a="1"/>
  <c r="BZ157" i="21" s="1"/>
  <c r="CA157" i="21" a="1"/>
  <c r="CA157" i="21" s="1"/>
  <c r="CB157" i="21" a="1"/>
  <c r="CB157" i="21" s="1"/>
  <c r="CC157" i="21" a="1"/>
  <c r="CC157" i="21" s="1"/>
  <c r="CD157" i="21" a="1"/>
  <c r="CD157" i="21" s="1"/>
  <c r="CE157" i="21" a="1"/>
  <c r="CE157" i="21" s="1"/>
  <c r="CF157" i="21" a="1"/>
  <c r="CF157" i="21" s="1"/>
  <c r="CG157" i="21" a="1"/>
  <c r="CG157" i="21" s="1"/>
  <c r="CH157" i="21" a="1"/>
  <c r="CH157" i="21" s="1"/>
  <c r="CI157" i="21" a="1"/>
  <c r="CI157" i="21" s="1"/>
  <c r="CJ157" i="21" a="1"/>
  <c r="CJ157" i="21" s="1"/>
  <c r="CK157" i="21" a="1"/>
  <c r="CK157" i="21" s="1"/>
  <c r="CL157" i="21" a="1"/>
  <c r="CL157" i="21" s="1"/>
  <c r="CM157" i="21" a="1"/>
  <c r="CM157" i="21" s="1"/>
  <c r="CN157" i="21" a="1"/>
  <c r="CN157" i="21" s="1"/>
  <c r="CO157" i="21" a="1"/>
  <c r="CO157" i="21" s="1"/>
  <c r="CP157" i="21" a="1"/>
  <c r="CP157" i="21" s="1"/>
  <c r="CQ157" i="21" a="1"/>
  <c r="CQ157" i="21" s="1"/>
  <c r="CR157" i="21" a="1"/>
  <c r="CR157" i="21" s="1"/>
  <c r="CS157" i="21" a="1"/>
  <c r="CS157" i="21" s="1"/>
  <c r="CT157" i="21" a="1"/>
  <c r="CT157" i="21" s="1"/>
  <c r="CU157" i="21" a="1"/>
  <c r="CU157" i="21" s="1"/>
  <c r="CV157" i="21" a="1"/>
  <c r="CV157" i="21" s="1"/>
  <c r="CW157" i="21" a="1"/>
  <c r="CW157" i="21" s="1"/>
  <c r="N158" i="21" a="1"/>
  <c r="N158" i="21" s="1"/>
  <c r="O158" i="21" a="1"/>
  <c r="O158" i="21" s="1"/>
  <c r="P158" i="21" a="1"/>
  <c r="P158" i="21" s="1"/>
  <c r="Q158" i="21" a="1"/>
  <c r="Q158" i="21" s="1"/>
  <c r="R158" i="21" a="1"/>
  <c r="R158" i="21" s="1"/>
  <c r="S158" i="21" a="1"/>
  <c r="S158" i="21" s="1"/>
  <c r="T158" i="21" a="1"/>
  <c r="T158" i="21" s="1"/>
  <c r="U158" i="21" a="1"/>
  <c r="U158" i="21" s="1"/>
  <c r="V158" i="21" a="1"/>
  <c r="V158" i="21" s="1"/>
  <c r="W158" i="21" a="1"/>
  <c r="W158" i="21" s="1"/>
  <c r="X158" i="21" a="1"/>
  <c r="X158" i="21" s="1"/>
  <c r="Y158" i="21" a="1"/>
  <c r="Y158" i="21" s="1"/>
  <c r="Z158" i="21" a="1"/>
  <c r="Z158" i="21" s="1"/>
  <c r="AA158" i="21" a="1"/>
  <c r="AA158" i="21" s="1"/>
  <c r="AB158" i="21" a="1"/>
  <c r="AB158" i="21" s="1"/>
  <c r="AC158" i="21" a="1"/>
  <c r="AC158" i="21" s="1"/>
  <c r="AD158" i="21" a="1"/>
  <c r="AD158" i="21" s="1"/>
  <c r="AE158" i="21" a="1"/>
  <c r="AE158" i="21" s="1"/>
  <c r="AF158" i="21" a="1"/>
  <c r="AF158" i="21" s="1"/>
  <c r="AG158" i="21" a="1"/>
  <c r="AG158" i="21" s="1"/>
  <c r="AH158" i="21" a="1"/>
  <c r="AH158" i="21" s="1"/>
  <c r="AI158" i="21" a="1"/>
  <c r="AI158" i="21" s="1"/>
  <c r="AJ158" i="21" a="1"/>
  <c r="AJ158" i="21" s="1"/>
  <c r="AK158" i="21" a="1"/>
  <c r="AK158" i="21" s="1"/>
  <c r="AL158" i="21" a="1"/>
  <c r="AL158" i="21" s="1"/>
  <c r="AM158" i="21" a="1"/>
  <c r="AM158" i="21" s="1"/>
  <c r="AN158" i="21" a="1"/>
  <c r="AN158" i="21" s="1"/>
  <c r="AO158" i="21" a="1"/>
  <c r="AO158" i="21" s="1"/>
  <c r="AP158" i="21" a="1"/>
  <c r="AP158" i="21" s="1"/>
  <c r="AQ158" i="21" a="1"/>
  <c r="AQ158" i="21" s="1"/>
  <c r="AR158" i="21" a="1"/>
  <c r="AR158" i="21" s="1"/>
  <c r="AS158" i="21" a="1"/>
  <c r="AS158" i="21" s="1"/>
  <c r="AT158" i="21" a="1"/>
  <c r="AT158" i="21" s="1"/>
  <c r="AU158" i="21" a="1"/>
  <c r="AU158" i="21" s="1"/>
  <c r="AV158" i="21" a="1"/>
  <c r="AV158" i="21" s="1"/>
  <c r="AW158" i="21" a="1"/>
  <c r="AW158" i="21" s="1"/>
  <c r="AX158" i="21" a="1"/>
  <c r="AX158" i="21" s="1"/>
  <c r="AY158" i="21" a="1"/>
  <c r="AY158" i="21" s="1"/>
  <c r="AZ158" i="21" a="1"/>
  <c r="AZ158" i="21" s="1"/>
  <c r="BA158" i="21" a="1"/>
  <c r="BA158" i="21" s="1"/>
  <c r="BB158" i="21" a="1"/>
  <c r="BB158" i="21" s="1"/>
  <c r="BC158" i="21" a="1"/>
  <c r="BC158" i="21" s="1"/>
  <c r="BD158" i="21" a="1"/>
  <c r="BD158" i="21" s="1"/>
  <c r="BE158" i="21" a="1"/>
  <c r="BE158" i="21" s="1"/>
  <c r="BF158" i="21" a="1"/>
  <c r="BF158" i="21" s="1"/>
  <c r="BG158" i="21" a="1"/>
  <c r="BG158" i="21" s="1"/>
  <c r="BH158" i="21" a="1"/>
  <c r="BH158" i="21" s="1"/>
  <c r="BI158" i="21" a="1"/>
  <c r="BI158" i="21" s="1"/>
  <c r="BJ158" i="21" a="1"/>
  <c r="BJ158" i="21" s="1"/>
  <c r="BK158" i="21" a="1"/>
  <c r="BK158" i="21" s="1"/>
  <c r="BL158" i="21" a="1"/>
  <c r="BL158" i="21" s="1"/>
  <c r="BM158" i="21" a="1"/>
  <c r="BM158" i="21" s="1"/>
  <c r="BN158" i="21" a="1"/>
  <c r="BN158" i="21" s="1"/>
  <c r="BO158" i="21" a="1"/>
  <c r="BO158" i="21" s="1"/>
  <c r="BP158" i="21" a="1"/>
  <c r="BP158" i="21" s="1"/>
  <c r="BQ158" i="21" a="1"/>
  <c r="BQ158" i="21" s="1"/>
  <c r="BR158" i="21" a="1"/>
  <c r="BR158" i="21" s="1"/>
  <c r="BS158" i="21" a="1"/>
  <c r="BS158" i="21" s="1"/>
  <c r="BT158" i="21" a="1"/>
  <c r="BT158" i="21" s="1"/>
  <c r="BU158" i="21" a="1"/>
  <c r="BU158" i="21" s="1"/>
  <c r="BV158" i="21" a="1"/>
  <c r="BV158" i="21" s="1"/>
  <c r="BW158" i="21" a="1"/>
  <c r="BW158" i="21" s="1"/>
  <c r="BX158" i="21" a="1"/>
  <c r="BX158" i="21" s="1"/>
  <c r="BY158" i="21" a="1"/>
  <c r="BY158" i="21" s="1"/>
  <c r="BZ158" i="21" a="1"/>
  <c r="BZ158" i="21" s="1"/>
  <c r="CA158" i="21" a="1"/>
  <c r="CA158" i="21" s="1"/>
  <c r="CB158" i="21" a="1"/>
  <c r="CB158" i="21" s="1"/>
  <c r="CC158" i="21" a="1"/>
  <c r="CC158" i="21" s="1"/>
  <c r="CD158" i="21" a="1"/>
  <c r="CD158" i="21" s="1"/>
  <c r="CE158" i="21" a="1"/>
  <c r="CE158" i="21" s="1"/>
  <c r="CF158" i="21" a="1"/>
  <c r="CF158" i="21" s="1"/>
  <c r="CG158" i="21" a="1"/>
  <c r="CG158" i="21" s="1"/>
  <c r="CH158" i="21" a="1"/>
  <c r="CH158" i="21" s="1"/>
  <c r="CI158" i="21" a="1"/>
  <c r="CI158" i="21" s="1"/>
  <c r="CJ158" i="21" a="1"/>
  <c r="CJ158" i="21" s="1"/>
  <c r="CK158" i="21" a="1"/>
  <c r="CK158" i="21" s="1"/>
  <c r="CL158" i="21" a="1"/>
  <c r="CL158" i="21" s="1"/>
  <c r="CM158" i="21" a="1"/>
  <c r="CM158" i="21" s="1"/>
  <c r="CN158" i="21" a="1"/>
  <c r="CN158" i="21" s="1"/>
  <c r="CO158" i="21" a="1"/>
  <c r="CO158" i="21" s="1"/>
  <c r="CP158" i="21" a="1"/>
  <c r="CP158" i="21" s="1"/>
  <c r="CQ158" i="21" a="1"/>
  <c r="CQ158" i="21" s="1"/>
  <c r="CR158" i="21" a="1"/>
  <c r="CR158" i="21" s="1"/>
  <c r="CS158" i="21" a="1"/>
  <c r="CS158" i="21" s="1"/>
  <c r="CT158" i="21" a="1"/>
  <c r="CT158" i="21" s="1"/>
  <c r="CU158" i="21" a="1"/>
  <c r="CU158" i="21" s="1"/>
  <c r="CV158" i="21" a="1"/>
  <c r="CV158" i="21" s="1"/>
  <c r="CW158" i="21" a="1"/>
  <c r="CW158" i="21" s="1"/>
  <c r="N159" i="21" a="1"/>
  <c r="N159" i="21" s="1"/>
  <c r="O159" i="21" a="1"/>
  <c r="O159" i="21" s="1"/>
  <c r="P159" i="21" a="1"/>
  <c r="P159" i="21" s="1"/>
  <c r="Q159" i="21" a="1"/>
  <c r="Q159" i="21" s="1"/>
  <c r="R159" i="21" a="1"/>
  <c r="R159" i="21" s="1"/>
  <c r="S159" i="21" a="1"/>
  <c r="S159" i="21" s="1"/>
  <c r="T159" i="21" a="1"/>
  <c r="T159" i="21" s="1"/>
  <c r="U159" i="21" a="1"/>
  <c r="U159" i="21" s="1"/>
  <c r="V159" i="21" a="1"/>
  <c r="V159" i="21" s="1"/>
  <c r="W159" i="21" a="1"/>
  <c r="W159" i="21" s="1"/>
  <c r="X159" i="21" a="1"/>
  <c r="X159" i="21" s="1"/>
  <c r="Y159" i="21" a="1"/>
  <c r="Y159" i="21" s="1"/>
  <c r="Z159" i="21" a="1"/>
  <c r="Z159" i="21" s="1"/>
  <c r="AA159" i="21" a="1"/>
  <c r="AA159" i="21" s="1"/>
  <c r="AB159" i="21" a="1"/>
  <c r="AB159" i="21" s="1"/>
  <c r="AC159" i="21" a="1"/>
  <c r="AC159" i="21" s="1"/>
  <c r="AD159" i="21" a="1"/>
  <c r="AD159" i="21" s="1"/>
  <c r="AE159" i="21" a="1"/>
  <c r="AE159" i="21" s="1"/>
  <c r="AF159" i="21" a="1"/>
  <c r="AF159" i="21" s="1"/>
  <c r="AG159" i="21" a="1"/>
  <c r="AG159" i="21" s="1"/>
  <c r="AH159" i="21" a="1"/>
  <c r="AH159" i="21" s="1"/>
  <c r="AI159" i="21" a="1"/>
  <c r="AI159" i="21" s="1"/>
  <c r="AJ159" i="21" a="1"/>
  <c r="AJ159" i="21" s="1"/>
  <c r="AK159" i="21" a="1"/>
  <c r="AK159" i="21" s="1"/>
  <c r="AL159" i="21" a="1"/>
  <c r="AL159" i="21" s="1"/>
  <c r="AM159" i="21" a="1"/>
  <c r="AM159" i="21" s="1"/>
  <c r="AN159" i="21" a="1"/>
  <c r="AN159" i="21" s="1"/>
  <c r="AO159" i="21" a="1"/>
  <c r="AO159" i="21" s="1"/>
  <c r="AP159" i="21" a="1"/>
  <c r="AP159" i="21" s="1"/>
  <c r="AQ159" i="21" a="1"/>
  <c r="AQ159" i="21" s="1"/>
  <c r="AR159" i="21" a="1"/>
  <c r="AR159" i="21" s="1"/>
  <c r="AS159" i="21" a="1"/>
  <c r="AS159" i="21" s="1"/>
  <c r="AT159" i="21" a="1"/>
  <c r="AT159" i="21" s="1"/>
  <c r="AU159" i="21" a="1"/>
  <c r="AU159" i="21" s="1"/>
  <c r="AV159" i="21" a="1"/>
  <c r="AV159" i="21" s="1"/>
  <c r="AW159" i="21" a="1"/>
  <c r="AW159" i="21" s="1"/>
  <c r="AX159" i="21" a="1"/>
  <c r="AX159" i="21" s="1"/>
  <c r="AY159" i="21" a="1"/>
  <c r="AY159" i="21" s="1"/>
  <c r="AZ159" i="21" a="1"/>
  <c r="AZ159" i="21" s="1"/>
  <c r="BA159" i="21" a="1"/>
  <c r="BA159" i="21" s="1"/>
  <c r="BB159" i="21" a="1"/>
  <c r="BB159" i="21" s="1"/>
  <c r="BC159" i="21" a="1"/>
  <c r="BC159" i="21" s="1"/>
  <c r="BD159" i="21" a="1"/>
  <c r="BD159" i="21" s="1"/>
  <c r="BE159" i="21" a="1"/>
  <c r="BE159" i="21" s="1"/>
  <c r="BF159" i="21" a="1"/>
  <c r="BF159" i="21" s="1"/>
  <c r="BG159" i="21" a="1"/>
  <c r="BG159" i="21" s="1"/>
  <c r="BH159" i="21" a="1"/>
  <c r="BH159" i="21" s="1"/>
  <c r="BI159" i="21" a="1"/>
  <c r="BI159" i="21" s="1"/>
  <c r="BJ159" i="21" a="1"/>
  <c r="BJ159" i="21" s="1"/>
  <c r="BK159" i="21" a="1"/>
  <c r="BK159" i="21" s="1"/>
  <c r="BL159" i="21" a="1"/>
  <c r="BL159" i="21" s="1"/>
  <c r="BM159" i="21" a="1"/>
  <c r="BM159" i="21" s="1"/>
  <c r="BN159" i="21" a="1"/>
  <c r="BN159" i="21" s="1"/>
  <c r="BO159" i="21" a="1"/>
  <c r="BO159" i="21" s="1"/>
  <c r="BP159" i="21" a="1"/>
  <c r="BP159" i="21" s="1"/>
  <c r="BQ159" i="21" a="1"/>
  <c r="BQ159" i="21" s="1"/>
  <c r="BR159" i="21" a="1"/>
  <c r="BR159" i="21" s="1"/>
  <c r="BS159" i="21" a="1"/>
  <c r="BS159" i="21" s="1"/>
  <c r="BT159" i="21" a="1"/>
  <c r="BT159" i="21" s="1"/>
  <c r="BU159" i="21" a="1"/>
  <c r="BU159" i="21" s="1"/>
  <c r="BV159" i="21" a="1"/>
  <c r="BV159" i="21" s="1"/>
  <c r="BW159" i="21" a="1"/>
  <c r="BW159" i="21" s="1"/>
  <c r="BX159" i="21" a="1"/>
  <c r="BX159" i="21" s="1"/>
  <c r="BY159" i="21" a="1"/>
  <c r="BY159" i="21" s="1"/>
  <c r="BZ159" i="21" a="1"/>
  <c r="BZ159" i="21" s="1"/>
  <c r="CA159" i="21" a="1"/>
  <c r="CA159" i="21" s="1"/>
  <c r="CB159" i="21" a="1"/>
  <c r="CB159" i="21" s="1"/>
  <c r="CC159" i="21" a="1"/>
  <c r="CC159" i="21" s="1"/>
  <c r="CD159" i="21" a="1"/>
  <c r="CD159" i="21" s="1"/>
  <c r="CE159" i="21" a="1"/>
  <c r="CE159" i="21" s="1"/>
  <c r="CF159" i="21" a="1"/>
  <c r="CF159" i="21" s="1"/>
  <c r="CG159" i="21" a="1"/>
  <c r="CG159" i="21" s="1"/>
  <c r="CH159" i="21" a="1"/>
  <c r="CH159" i="21" s="1"/>
  <c r="CI159" i="21" a="1"/>
  <c r="CI159" i="21" s="1"/>
  <c r="CJ159" i="21" a="1"/>
  <c r="CJ159" i="21" s="1"/>
  <c r="CK159" i="21" a="1"/>
  <c r="CK159" i="21" s="1"/>
  <c r="CL159" i="21" a="1"/>
  <c r="CL159" i="21" s="1"/>
  <c r="CM159" i="21" a="1"/>
  <c r="CM159" i="21" s="1"/>
  <c r="CN159" i="21" a="1"/>
  <c r="CN159" i="21" s="1"/>
  <c r="CO159" i="21" a="1"/>
  <c r="CO159" i="21" s="1"/>
  <c r="CP159" i="21" a="1"/>
  <c r="CP159" i="21" s="1"/>
  <c r="CQ159" i="21" a="1"/>
  <c r="CQ159" i="21" s="1"/>
  <c r="CR159" i="21" a="1"/>
  <c r="CR159" i="21" s="1"/>
  <c r="CS159" i="21" a="1"/>
  <c r="CS159" i="21" s="1"/>
  <c r="CT159" i="21" a="1"/>
  <c r="CT159" i="21" s="1"/>
  <c r="CU159" i="21" a="1"/>
  <c r="CU159" i="21" s="1"/>
  <c r="CV159" i="21" a="1"/>
  <c r="CV159" i="21" s="1"/>
  <c r="CW159" i="21" a="1"/>
  <c r="CW159" i="21" s="1"/>
  <c r="N160" i="21" a="1"/>
  <c r="N160" i="21" s="1"/>
  <c r="O160" i="21" a="1"/>
  <c r="O160" i="21" s="1"/>
  <c r="P160" i="21" a="1"/>
  <c r="P160" i="21" s="1"/>
  <c r="Q160" i="21" a="1"/>
  <c r="Q160" i="21" s="1"/>
  <c r="R160" i="21" a="1"/>
  <c r="R160" i="21" s="1"/>
  <c r="S160" i="21" a="1"/>
  <c r="S160" i="21" s="1"/>
  <c r="T160" i="21" a="1"/>
  <c r="T160" i="21" s="1"/>
  <c r="U160" i="21" a="1"/>
  <c r="U160" i="21" s="1"/>
  <c r="V160" i="21" a="1"/>
  <c r="V160" i="21" s="1"/>
  <c r="W160" i="21" a="1"/>
  <c r="W160" i="21" s="1"/>
  <c r="X160" i="21" a="1"/>
  <c r="X160" i="21" s="1"/>
  <c r="Y160" i="21" a="1"/>
  <c r="Y160" i="21" s="1"/>
  <c r="Z160" i="21" a="1"/>
  <c r="Z160" i="21" s="1"/>
  <c r="AA160" i="21" a="1"/>
  <c r="AA160" i="21" s="1"/>
  <c r="AB160" i="21" a="1"/>
  <c r="AB160" i="21" s="1"/>
  <c r="AC160" i="21" a="1"/>
  <c r="AC160" i="21" s="1"/>
  <c r="AD160" i="21" a="1"/>
  <c r="AD160" i="21" s="1"/>
  <c r="AE160" i="21" a="1"/>
  <c r="AE160" i="21" s="1"/>
  <c r="AF160" i="21" a="1"/>
  <c r="AF160" i="21" s="1"/>
  <c r="AG160" i="21" a="1"/>
  <c r="AG160" i="21" s="1"/>
  <c r="AH160" i="21" a="1"/>
  <c r="AH160" i="21" s="1"/>
  <c r="AI160" i="21" a="1"/>
  <c r="AI160" i="21" s="1"/>
  <c r="AJ160" i="21" a="1"/>
  <c r="AJ160" i="21" s="1"/>
  <c r="AK160" i="21" a="1"/>
  <c r="AK160" i="21" s="1"/>
  <c r="AL160" i="21" a="1"/>
  <c r="AL160" i="21" s="1"/>
  <c r="AM160" i="21" a="1"/>
  <c r="AM160" i="21" s="1"/>
  <c r="AN160" i="21" a="1"/>
  <c r="AN160" i="21" s="1"/>
  <c r="AO160" i="21" a="1"/>
  <c r="AO160" i="21" s="1"/>
  <c r="AP160" i="21" a="1"/>
  <c r="AP160" i="21" s="1"/>
  <c r="AQ160" i="21" a="1"/>
  <c r="AQ160" i="21" s="1"/>
  <c r="AR160" i="21" a="1"/>
  <c r="AR160" i="21" s="1"/>
  <c r="AS160" i="21" a="1"/>
  <c r="AS160" i="21" s="1"/>
  <c r="AT160" i="21" a="1"/>
  <c r="AT160" i="21" s="1"/>
  <c r="AU160" i="21" a="1"/>
  <c r="AU160" i="21" s="1"/>
  <c r="AV160" i="21" a="1"/>
  <c r="AV160" i="21" s="1"/>
  <c r="AW160" i="21" a="1"/>
  <c r="AW160" i="21" s="1"/>
  <c r="AX160" i="21" a="1"/>
  <c r="AX160" i="21" s="1"/>
  <c r="AY160" i="21" a="1"/>
  <c r="AY160" i="21" s="1"/>
  <c r="AZ160" i="21" a="1"/>
  <c r="AZ160" i="21" s="1"/>
  <c r="BA160" i="21" a="1"/>
  <c r="BA160" i="21" s="1"/>
  <c r="BB160" i="21" a="1"/>
  <c r="BB160" i="21" s="1"/>
  <c r="BC160" i="21" a="1"/>
  <c r="BC160" i="21" s="1"/>
  <c r="BD160" i="21" a="1"/>
  <c r="BD160" i="21" s="1"/>
  <c r="BE160" i="21" a="1"/>
  <c r="BE160" i="21" s="1"/>
  <c r="BF160" i="21" a="1"/>
  <c r="BF160" i="21" s="1"/>
  <c r="BG160" i="21" a="1"/>
  <c r="BG160" i="21" s="1"/>
  <c r="BH160" i="21" a="1"/>
  <c r="BH160" i="21" s="1"/>
  <c r="BI160" i="21" a="1"/>
  <c r="BI160" i="21" s="1"/>
  <c r="BJ160" i="21" a="1"/>
  <c r="BJ160" i="21" s="1"/>
  <c r="BK160" i="21" a="1"/>
  <c r="BK160" i="21" s="1"/>
  <c r="BL160" i="21" a="1"/>
  <c r="BL160" i="21" s="1"/>
  <c r="BM160" i="21" a="1"/>
  <c r="BM160" i="21" s="1"/>
  <c r="BN160" i="21" a="1"/>
  <c r="BN160" i="21" s="1"/>
  <c r="BO160" i="21" a="1"/>
  <c r="BO160" i="21" s="1"/>
  <c r="BP160" i="21" a="1"/>
  <c r="BP160" i="21" s="1"/>
  <c r="BQ160" i="21" a="1"/>
  <c r="BQ160" i="21" s="1"/>
  <c r="BR160" i="21" a="1"/>
  <c r="BR160" i="21" s="1"/>
  <c r="BS160" i="21" a="1"/>
  <c r="BS160" i="21" s="1"/>
  <c r="BT160" i="21" a="1"/>
  <c r="BT160" i="21" s="1"/>
  <c r="BU160" i="21" a="1"/>
  <c r="BU160" i="21" s="1"/>
  <c r="BV160" i="21" a="1"/>
  <c r="BV160" i="21" s="1"/>
  <c r="BW160" i="21" a="1"/>
  <c r="BW160" i="21" s="1"/>
  <c r="BX160" i="21" a="1"/>
  <c r="BX160" i="21" s="1"/>
  <c r="BY160" i="21" a="1"/>
  <c r="BY160" i="21" s="1"/>
  <c r="BZ160" i="21" a="1"/>
  <c r="BZ160" i="21" s="1"/>
  <c r="CA160" i="21" a="1"/>
  <c r="CA160" i="21" s="1"/>
  <c r="CB160" i="21" a="1"/>
  <c r="CB160" i="21" s="1"/>
  <c r="CC160" i="21" a="1"/>
  <c r="CC160" i="21" s="1"/>
  <c r="CD160" i="21" a="1"/>
  <c r="CD160" i="21" s="1"/>
  <c r="CE160" i="21" a="1"/>
  <c r="CE160" i="21" s="1"/>
  <c r="CF160" i="21" a="1"/>
  <c r="CF160" i="21" s="1"/>
  <c r="CG160" i="21" a="1"/>
  <c r="CG160" i="21" s="1"/>
  <c r="CH160" i="21" a="1"/>
  <c r="CH160" i="21" s="1"/>
  <c r="CI160" i="21" a="1"/>
  <c r="CI160" i="21" s="1"/>
  <c r="CJ160" i="21" a="1"/>
  <c r="CJ160" i="21" s="1"/>
  <c r="CK160" i="21" a="1"/>
  <c r="CK160" i="21" s="1"/>
  <c r="CL160" i="21" a="1"/>
  <c r="CL160" i="21" s="1"/>
  <c r="CM160" i="21" a="1"/>
  <c r="CM160" i="21" s="1"/>
  <c r="CN160" i="21" a="1"/>
  <c r="CN160" i="21" s="1"/>
  <c r="CO160" i="21" a="1"/>
  <c r="CO160" i="21" s="1"/>
  <c r="CP160" i="21" a="1"/>
  <c r="CP160" i="21" s="1"/>
  <c r="CQ160" i="21" a="1"/>
  <c r="CQ160" i="21" s="1"/>
  <c r="CR160" i="21" a="1"/>
  <c r="CR160" i="21" s="1"/>
  <c r="CS160" i="21" a="1"/>
  <c r="CS160" i="21" s="1"/>
  <c r="CT160" i="21" a="1"/>
  <c r="CT160" i="21" s="1"/>
  <c r="CU160" i="21" a="1"/>
  <c r="CU160" i="21" s="1"/>
  <c r="CV160" i="21" a="1"/>
  <c r="CV160" i="21" s="1"/>
  <c r="CW160" i="21" a="1"/>
  <c r="CW160" i="21" s="1"/>
  <c r="N161" i="21" a="1"/>
  <c r="N161" i="21" s="1"/>
  <c r="O161" i="21" a="1"/>
  <c r="O161" i="21" s="1"/>
  <c r="P161" i="21" a="1"/>
  <c r="P161" i="21" s="1"/>
  <c r="Q161" i="21" a="1"/>
  <c r="Q161" i="21" s="1"/>
  <c r="R161" i="21" a="1"/>
  <c r="R161" i="21" s="1"/>
  <c r="S161" i="21" a="1"/>
  <c r="S161" i="21" s="1"/>
  <c r="T161" i="21" a="1"/>
  <c r="T161" i="21" s="1"/>
  <c r="U161" i="21" a="1"/>
  <c r="U161" i="21" s="1"/>
  <c r="V161" i="21" a="1"/>
  <c r="V161" i="21" s="1"/>
  <c r="W161" i="21" a="1"/>
  <c r="W161" i="21" s="1"/>
  <c r="X161" i="21" a="1"/>
  <c r="X161" i="21" s="1"/>
  <c r="Y161" i="21" a="1"/>
  <c r="Y161" i="21" s="1"/>
  <c r="Z161" i="21" a="1"/>
  <c r="Z161" i="21" s="1"/>
  <c r="AA161" i="21" a="1"/>
  <c r="AA161" i="21" s="1"/>
  <c r="AB161" i="21" a="1"/>
  <c r="AB161" i="21" s="1"/>
  <c r="AC161" i="21" a="1"/>
  <c r="AC161" i="21" s="1"/>
  <c r="AD161" i="21" a="1"/>
  <c r="AD161" i="21" s="1"/>
  <c r="AE161" i="21" a="1"/>
  <c r="AE161" i="21" s="1"/>
  <c r="AF161" i="21" a="1"/>
  <c r="AF161" i="21" s="1"/>
  <c r="AG161" i="21" a="1"/>
  <c r="AG161" i="21" s="1"/>
  <c r="AH161" i="21" a="1"/>
  <c r="AH161" i="21" s="1"/>
  <c r="AI161" i="21" a="1"/>
  <c r="AI161" i="21" s="1"/>
  <c r="AJ161" i="21" a="1"/>
  <c r="AJ161" i="21" s="1"/>
  <c r="AK161" i="21" a="1"/>
  <c r="AK161" i="21" s="1"/>
  <c r="AL161" i="21" a="1"/>
  <c r="AL161" i="21" s="1"/>
  <c r="AM161" i="21" a="1"/>
  <c r="AM161" i="21" s="1"/>
  <c r="AN161" i="21" a="1"/>
  <c r="AN161" i="21" s="1"/>
  <c r="AO161" i="21" a="1"/>
  <c r="AO161" i="21" s="1"/>
  <c r="AP161" i="21" a="1"/>
  <c r="AP161" i="21" s="1"/>
  <c r="AQ161" i="21" a="1"/>
  <c r="AQ161" i="21" s="1"/>
  <c r="AR161" i="21" a="1"/>
  <c r="AR161" i="21" s="1"/>
  <c r="AS161" i="21" a="1"/>
  <c r="AS161" i="21" s="1"/>
  <c r="AT161" i="21" a="1"/>
  <c r="AT161" i="21" s="1"/>
  <c r="AU161" i="21" a="1"/>
  <c r="AU161" i="21" s="1"/>
  <c r="AV161" i="21" a="1"/>
  <c r="AV161" i="21" s="1"/>
  <c r="AW161" i="21" a="1"/>
  <c r="AW161" i="21" s="1"/>
  <c r="AX161" i="21" a="1"/>
  <c r="AX161" i="21" s="1"/>
  <c r="AY161" i="21" a="1"/>
  <c r="AY161" i="21" s="1"/>
  <c r="AZ161" i="21" a="1"/>
  <c r="AZ161" i="21" s="1"/>
  <c r="BA161" i="21" a="1"/>
  <c r="BA161" i="21" s="1"/>
  <c r="BB161" i="21" a="1"/>
  <c r="BB161" i="21" s="1"/>
  <c r="BC161" i="21" a="1"/>
  <c r="BC161" i="21" s="1"/>
  <c r="BD161" i="21" a="1"/>
  <c r="BD161" i="21" s="1"/>
  <c r="BE161" i="21" a="1"/>
  <c r="BE161" i="21" s="1"/>
  <c r="BF161" i="21" a="1"/>
  <c r="BF161" i="21" s="1"/>
  <c r="BG161" i="21" a="1"/>
  <c r="BG161" i="21" s="1"/>
  <c r="BH161" i="21" a="1"/>
  <c r="BH161" i="21" s="1"/>
  <c r="BI161" i="21" a="1"/>
  <c r="BI161" i="21" s="1"/>
  <c r="BJ161" i="21" a="1"/>
  <c r="BJ161" i="21" s="1"/>
  <c r="BK161" i="21" a="1"/>
  <c r="BK161" i="21" s="1"/>
  <c r="BL161" i="21" a="1"/>
  <c r="BL161" i="21" s="1"/>
  <c r="BM161" i="21" a="1"/>
  <c r="BM161" i="21" s="1"/>
  <c r="BN161" i="21" a="1"/>
  <c r="BN161" i="21" s="1"/>
  <c r="BO161" i="21" a="1"/>
  <c r="BO161" i="21" s="1"/>
  <c r="BP161" i="21" a="1"/>
  <c r="BP161" i="21" s="1"/>
  <c r="BQ161" i="21" a="1"/>
  <c r="BQ161" i="21" s="1"/>
  <c r="BR161" i="21" a="1"/>
  <c r="BR161" i="21" s="1"/>
  <c r="BS161" i="21" a="1"/>
  <c r="BS161" i="21" s="1"/>
  <c r="BT161" i="21" a="1"/>
  <c r="BT161" i="21" s="1"/>
  <c r="BU161" i="21" a="1"/>
  <c r="BU161" i="21" s="1"/>
  <c r="BV161" i="21" a="1"/>
  <c r="BV161" i="21" s="1"/>
  <c r="BW161" i="21" a="1"/>
  <c r="BW161" i="21" s="1"/>
  <c r="BX161" i="21" a="1"/>
  <c r="BX161" i="21" s="1"/>
  <c r="BY161" i="21" a="1"/>
  <c r="BY161" i="21" s="1"/>
  <c r="BZ161" i="21" a="1"/>
  <c r="BZ161" i="21" s="1"/>
  <c r="CA161" i="21" a="1"/>
  <c r="CA161" i="21" s="1"/>
  <c r="CB161" i="21" a="1"/>
  <c r="CB161" i="21" s="1"/>
  <c r="CC161" i="21" a="1"/>
  <c r="CC161" i="21" s="1"/>
  <c r="CD161" i="21" a="1"/>
  <c r="CD161" i="21" s="1"/>
  <c r="CE161" i="21" a="1"/>
  <c r="CE161" i="21" s="1"/>
  <c r="CF161" i="21" a="1"/>
  <c r="CF161" i="21" s="1"/>
  <c r="CG161" i="21" a="1"/>
  <c r="CG161" i="21" s="1"/>
  <c r="CH161" i="21" a="1"/>
  <c r="CH161" i="21" s="1"/>
  <c r="CI161" i="21" a="1"/>
  <c r="CI161" i="21" s="1"/>
  <c r="CJ161" i="21" a="1"/>
  <c r="CJ161" i="21" s="1"/>
  <c r="CK161" i="21" a="1"/>
  <c r="CK161" i="21" s="1"/>
  <c r="CL161" i="21" a="1"/>
  <c r="CL161" i="21" s="1"/>
  <c r="CM161" i="21" a="1"/>
  <c r="CM161" i="21" s="1"/>
  <c r="CN161" i="21" a="1"/>
  <c r="CN161" i="21" s="1"/>
  <c r="CO161" i="21" a="1"/>
  <c r="CO161" i="21" s="1"/>
  <c r="CP161" i="21" a="1"/>
  <c r="CP161" i="21" s="1"/>
  <c r="CQ161" i="21" a="1"/>
  <c r="CQ161" i="21" s="1"/>
  <c r="CR161" i="21" a="1"/>
  <c r="CR161" i="21" s="1"/>
  <c r="CS161" i="21" a="1"/>
  <c r="CS161" i="21" s="1"/>
  <c r="CT161" i="21" a="1"/>
  <c r="CT161" i="21" s="1"/>
  <c r="CU161" i="21" a="1"/>
  <c r="CU161" i="21" s="1"/>
  <c r="CV161" i="21" a="1"/>
  <c r="CV161" i="21" s="1"/>
  <c r="CW161" i="21" a="1"/>
  <c r="CW161" i="21" s="1"/>
  <c r="N162" i="21" a="1"/>
  <c r="N162" i="21" s="1"/>
  <c r="O162" i="21" a="1"/>
  <c r="O162" i="21" s="1"/>
  <c r="P162" i="21" a="1"/>
  <c r="P162" i="21" s="1"/>
  <c r="Q162" i="21" a="1"/>
  <c r="Q162" i="21" s="1"/>
  <c r="R162" i="21" a="1"/>
  <c r="R162" i="21" s="1"/>
  <c r="S162" i="21" a="1"/>
  <c r="S162" i="21" s="1"/>
  <c r="T162" i="21" a="1"/>
  <c r="T162" i="21" s="1"/>
  <c r="U162" i="21" a="1"/>
  <c r="U162" i="21" s="1"/>
  <c r="V162" i="21" a="1"/>
  <c r="V162" i="21" s="1"/>
  <c r="W162" i="21" a="1"/>
  <c r="W162" i="21" s="1"/>
  <c r="X162" i="21" a="1"/>
  <c r="X162" i="21" s="1"/>
  <c r="Y162" i="21" a="1"/>
  <c r="Y162" i="21" s="1"/>
  <c r="Z162" i="21" a="1"/>
  <c r="Z162" i="21" s="1"/>
  <c r="AA162" i="21" a="1"/>
  <c r="AA162" i="21" s="1"/>
  <c r="AB162" i="21" a="1"/>
  <c r="AB162" i="21" s="1"/>
  <c r="AC162" i="21" a="1"/>
  <c r="AC162" i="21" s="1"/>
  <c r="AD162" i="21" a="1"/>
  <c r="AD162" i="21" s="1"/>
  <c r="AE162" i="21" a="1"/>
  <c r="AE162" i="21" s="1"/>
  <c r="AF162" i="21" a="1"/>
  <c r="AF162" i="21" s="1"/>
  <c r="AG162" i="21" a="1"/>
  <c r="AG162" i="21" s="1"/>
  <c r="AH162" i="21" a="1"/>
  <c r="AH162" i="21" s="1"/>
  <c r="AI162" i="21" a="1"/>
  <c r="AI162" i="21" s="1"/>
  <c r="AJ162" i="21" a="1"/>
  <c r="AJ162" i="21" s="1"/>
  <c r="AK162" i="21" a="1"/>
  <c r="AK162" i="21" s="1"/>
  <c r="AL162" i="21" a="1"/>
  <c r="AL162" i="21" s="1"/>
  <c r="AM162" i="21" a="1"/>
  <c r="AM162" i="21" s="1"/>
  <c r="AN162" i="21" a="1"/>
  <c r="AN162" i="21" s="1"/>
  <c r="AO162" i="21" a="1"/>
  <c r="AO162" i="21" s="1"/>
  <c r="AP162" i="21" a="1"/>
  <c r="AP162" i="21" s="1"/>
  <c r="AQ162" i="21" a="1"/>
  <c r="AQ162" i="21" s="1"/>
  <c r="AR162" i="21" a="1"/>
  <c r="AR162" i="21" s="1"/>
  <c r="AS162" i="21" a="1"/>
  <c r="AS162" i="21" s="1"/>
  <c r="AT162" i="21" a="1"/>
  <c r="AT162" i="21" s="1"/>
  <c r="AU162" i="21" a="1"/>
  <c r="AU162" i="21" s="1"/>
  <c r="AV162" i="21" a="1"/>
  <c r="AV162" i="21" s="1"/>
  <c r="AW162" i="21" a="1"/>
  <c r="AW162" i="21" s="1"/>
  <c r="AX162" i="21" a="1"/>
  <c r="AX162" i="21" s="1"/>
  <c r="AY162" i="21" a="1"/>
  <c r="AY162" i="21" s="1"/>
  <c r="AZ162" i="21" a="1"/>
  <c r="AZ162" i="21" s="1"/>
  <c r="BA162" i="21" a="1"/>
  <c r="BA162" i="21" s="1"/>
  <c r="BB162" i="21" a="1"/>
  <c r="BB162" i="21" s="1"/>
  <c r="BC162" i="21" a="1"/>
  <c r="BC162" i="21" s="1"/>
  <c r="BD162" i="21" a="1"/>
  <c r="BD162" i="21" s="1"/>
  <c r="BE162" i="21" a="1"/>
  <c r="BE162" i="21" s="1"/>
  <c r="BF162" i="21" a="1"/>
  <c r="BF162" i="21" s="1"/>
  <c r="BG162" i="21" a="1"/>
  <c r="BG162" i="21" s="1"/>
  <c r="BH162" i="21" a="1"/>
  <c r="BH162" i="21" s="1"/>
  <c r="BI162" i="21" a="1"/>
  <c r="BI162" i="21" s="1"/>
  <c r="BJ162" i="21" a="1"/>
  <c r="BJ162" i="21" s="1"/>
  <c r="BK162" i="21" a="1"/>
  <c r="BK162" i="21" s="1"/>
  <c r="BL162" i="21" a="1"/>
  <c r="BL162" i="21" s="1"/>
  <c r="BM162" i="21" a="1"/>
  <c r="BM162" i="21" s="1"/>
  <c r="BN162" i="21" a="1"/>
  <c r="BN162" i="21" s="1"/>
  <c r="BO162" i="21" a="1"/>
  <c r="BO162" i="21" s="1"/>
  <c r="BP162" i="21" a="1"/>
  <c r="BP162" i="21" s="1"/>
  <c r="BQ162" i="21" a="1"/>
  <c r="BQ162" i="21" s="1"/>
  <c r="BR162" i="21" a="1"/>
  <c r="BR162" i="21" s="1"/>
  <c r="BS162" i="21" a="1"/>
  <c r="BS162" i="21" s="1"/>
  <c r="BT162" i="21" a="1"/>
  <c r="BT162" i="21" s="1"/>
  <c r="BU162" i="21" a="1"/>
  <c r="BU162" i="21" s="1"/>
  <c r="BV162" i="21" a="1"/>
  <c r="BV162" i="21" s="1"/>
  <c r="BW162" i="21" a="1"/>
  <c r="BW162" i="21" s="1"/>
  <c r="BX162" i="21" a="1"/>
  <c r="BX162" i="21" s="1"/>
  <c r="BY162" i="21" a="1"/>
  <c r="BY162" i="21" s="1"/>
  <c r="BZ162" i="21" a="1"/>
  <c r="BZ162" i="21" s="1"/>
  <c r="CA162" i="21" a="1"/>
  <c r="CA162" i="21" s="1"/>
  <c r="CB162" i="21" a="1"/>
  <c r="CB162" i="21" s="1"/>
  <c r="CC162" i="21" a="1"/>
  <c r="CC162" i="21" s="1"/>
  <c r="CD162" i="21" a="1"/>
  <c r="CD162" i="21" s="1"/>
  <c r="CE162" i="21" a="1"/>
  <c r="CE162" i="21" s="1"/>
  <c r="CF162" i="21" a="1"/>
  <c r="CF162" i="21" s="1"/>
  <c r="CG162" i="21" a="1"/>
  <c r="CG162" i="21" s="1"/>
  <c r="CH162" i="21" a="1"/>
  <c r="CH162" i="21" s="1"/>
  <c r="CI162" i="21" a="1"/>
  <c r="CI162" i="21" s="1"/>
  <c r="CJ162" i="21" a="1"/>
  <c r="CJ162" i="21" s="1"/>
  <c r="CK162" i="21" a="1"/>
  <c r="CK162" i="21" s="1"/>
  <c r="CL162" i="21" a="1"/>
  <c r="CL162" i="21" s="1"/>
  <c r="CM162" i="21" a="1"/>
  <c r="CM162" i="21" s="1"/>
  <c r="CN162" i="21" a="1"/>
  <c r="CN162" i="21" s="1"/>
  <c r="CO162" i="21" a="1"/>
  <c r="CO162" i="21" s="1"/>
  <c r="CP162" i="21" a="1"/>
  <c r="CP162" i="21" s="1"/>
  <c r="CQ162" i="21" a="1"/>
  <c r="CQ162" i="21" s="1"/>
  <c r="CR162" i="21" a="1"/>
  <c r="CR162" i="21" s="1"/>
  <c r="CS162" i="21" a="1"/>
  <c r="CS162" i="21" s="1"/>
  <c r="CT162" i="21" a="1"/>
  <c r="CT162" i="21" s="1"/>
  <c r="CU162" i="21" a="1"/>
  <c r="CU162" i="21" s="1"/>
  <c r="CV162" i="21" a="1"/>
  <c r="CV162" i="21" s="1"/>
  <c r="CW162" i="21" a="1"/>
  <c r="CW162" i="21" s="1"/>
  <c r="N163" i="21" a="1"/>
  <c r="N163" i="21" s="1"/>
  <c r="O163" i="21" a="1"/>
  <c r="O163" i="21" s="1"/>
  <c r="P163" i="21" a="1"/>
  <c r="P163" i="21" s="1"/>
  <c r="Q163" i="21" a="1"/>
  <c r="Q163" i="21" s="1"/>
  <c r="R163" i="21" a="1"/>
  <c r="R163" i="21" s="1"/>
  <c r="S163" i="21" a="1"/>
  <c r="S163" i="21" s="1"/>
  <c r="T163" i="21" a="1"/>
  <c r="T163" i="21" s="1"/>
  <c r="U163" i="21" a="1"/>
  <c r="U163" i="21" s="1"/>
  <c r="V163" i="21" a="1"/>
  <c r="V163" i="21" s="1"/>
  <c r="W163" i="21" a="1"/>
  <c r="W163" i="21" s="1"/>
  <c r="X163" i="21" a="1"/>
  <c r="X163" i="21" s="1"/>
  <c r="Y163" i="21" a="1"/>
  <c r="Y163" i="21" s="1"/>
  <c r="Z163" i="21" a="1"/>
  <c r="Z163" i="21" s="1"/>
  <c r="AA163" i="21" a="1"/>
  <c r="AA163" i="21" s="1"/>
  <c r="AB163" i="21" a="1"/>
  <c r="AB163" i="21" s="1"/>
  <c r="AC163" i="21" a="1"/>
  <c r="AC163" i="21" s="1"/>
  <c r="AD163" i="21" a="1"/>
  <c r="AD163" i="21" s="1"/>
  <c r="AE163" i="21" a="1"/>
  <c r="AE163" i="21" s="1"/>
  <c r="AF163" i="21" a="1"/>
  <c r="AF163" i="21" s="1"/>
  <c r="AG163" i="21" a="1"/>
  <c r="AG163" i="21" s="1"/>
  <c r="AH163" i="21" a="1"/>
  <c r="AH163" i="21" s="1"/>
  <c r="AI163" i="21" a="1"/>
  <c r="AI163" i="21" s="1"/>
  <c r="AJ163" i="21" a="1"/>
  <c r="AJ163" i="21" s="1"/>
  <c r="AK163" i="21" a="1"/>
  <c r="AK163" i="21" s="1"/>
  <c r="AL163" i="21" a="1"/>
  <c r="AL163" i="21" s="1"/>
  <c r="AM163" i="21" a="1"/>
  <c r="AM163" i="21" s="1"/>
  <c r="AN163" i="21" a="1"/>
  <c r="AN163" i="21" s="1"/>
  <c r="AO163" i="21" a="1"/>
  <c r="AO163" i="21" s="1"/>
  <c r="AP163" i="21" a="1"/>
  <c r="AP163" i="21" s="1"/>
  <c r="AQ163" i="21" a="1"/>
  <c r="AQ163" i="21" s="1"/>
  <c r="AR163" i="21" a="1"/>
  <c r="AR163" i="21" s="1"/>
  <c r="AS163" i="21" a="1"/>
  <c r="AS163" i="21" s="1"/>
  <c r="AT163" i="21" a="1"/>
  <c r="AT163" i="21" s="1"/>
  <c r="AU163" i="21" a="1"/>
  <c r="AU163" i="21" s="1"/>
  <c r="AV163" i="21" a="1"/>
  <c r="AV163" i="21" s="1"/>
  <c r="AW163" i="21" a="1"/>
  <c r="AW163" i="21" s="1"/>
  <c r="AX163" i="21" a="1"/>
  <c r="AX163" i="21" s="1"/>
  <c r="AY163" i="21" a="1"/>
  <c r="AY163" i="21" s="1"/>
  <c r="AZ163" i="21" a="1"/>
  <c r="AZ163" i="21" s="1"/>
  <c r="BA163" i="21" a="1"/>
  <c r="BA163" i="21" s="1"/>
  <c r="BB163" i="21" a="1"/>
  <c r="BB163" i="21" s="1"/>
  <c r="BC163" i="21" a="1"/>
  <c r="BC163" i="21" s="1"/>
  <c r="BD163" i="21" a="1"/>
  <c r="BD163" i="21" s="1"/>
  <c r="BE163" i="21" a="1"/>
  <c r="BE163" i="21" s="1"/>
  <c r="BF163" i="21" a="1"/>
  <c r="BF163" i="21" s="1"/>
  <c r="BG163" i="21" a="1"/>
  <c r="BG163" i="21" s="1"/>
  <c r="BH163" i="21" a="1"/>
  <c r="BH163" i="21" s="1"/>
  <c r="BI163" i="21" a="1"/>
  <c r="BI163" i="21" s="1"/>
  <c r="BJ163" i="21" a="1"/>
  <c r="BJ163" i="21" s="1"/>
  <c r="BK163" i="21" a="1"/>
  <c r="BK163" i="21" s="1"/>
  <c r="BL163" i="21" a="1"/>
  <c r="BL163" i="21" s="1"/>
  <c r="BM163" i="21" a="1"/>
  <c r="BM163" i="21" s="1"/>
  <c r="BN163" i="21" a="1"/>
  <c r="BN163" i="21" s="1"/>
  <c r="BO163" i="21" a="1"/>
  <c r="BO163" i="21" s="1"/>
  <c r="BP163" i="21" a="1"/>
  <c r="BP163" i="21" s="1"/>
  <c r="BQ163" i="21" a="1"/>
  <c r="BQ163" i="21" s="1"/>
  <c r="BR163" i="21" a="1"/>
  <c r="BR163" i="21" s="1"/>
  <c r="BS163" i="21" a="1"/>
  <c r="BS163" i="21" s="1"/>
  <c r="BT163" i="21" a="1"/>
  <c r="BT163" i="21" s="1"/>
  <c r="BU163" i="21" a="1"/>
  <c r="BU163" i="21" s="1"/>
  <c r="BV163" i="21" a="1"/>
  <c r="BV163" i="21" s="1"/>
  <c r="BW163" i="21" a="1"/>
  <c r="BW163" i="21" s="1"/>
  <c r="BX163" i="21" a="1"/>
  <c r="BX163" i="21" s="1"/>
  <c r="BY163" i="21" a="1"/>
  <c r="BY163" i="21" s="1"/>
  <c r="BZ163" i="21" a="1"/>
  <c r="BZ163" i="21" s="1"/>
  <c r="CA163" i="21" a="1"/>
  <c r="CA163" i="21" s="1"/>
  <c r="CB163" i="21" a="1"/>
  <c r="CB163" i="21" s="1"/>
  <c r="CC163" i="21" a="1"/>
  <c r="CC163" i="21" s="1"/>
  <c r="CD163" i="21" a="1"/>
  <c r="CD163" i="21" s="1"/>
  <c r="CE163" i="21" a="1"/>
  <c r="CE163" i="21" s="1"/>
  <c r="CF163" i="21" a="1"/>
  <c r="CF163" i="21" s="1"/>
  <c r="CG163" i="21" a="1"/>
  <c r="CG163" i="21" s="1"/>
  <c r="CH163" i="21" a="1"/>
  <c r="CH163" i="21" s="1"/>
  <c r="CI163" i="21" a="1"/>
  <c r="CI163" i="21" s="1"/>
  <c r="CJ163" i="21" a="1"/>
  <c r="CJ163" i="21" s="1"/>
  <c r="CK163" i="21" a="1"/>
  <c r="CK163" i="21" s="1"/>
  <c r="CL163" i="21" a="1"/>
  <c r="CL163" i="21" s="1"/>
  <c r="CM163" i="21" a="1"/>
  <c r="CM163" i="21" s="1"/>
  <c r="CN163" i="21" a="1"/>
  <c r="CN163" i="21" s="1"/>
  <c r="CO163" i="21" a="1"/>
  <c r="CO163" i="21" s="1"/>
  <c r="CP163" i="21" a="1"/>
  <c r="CP163" i="21" s="1"/>
  <c r="CQ163" i="21" a="1"/>
  <c r="CQ163" i="21" s="1"/>
  <c r="CR163" i="21" a="1"/>
  <c r="CR163" i="21" s="1"/>
  <c r="CS163" i="21" a="1"/>
  <c r="CS163" i="21" s="1"/>
  <c r="CT163" i="21" a="1"/>
  <c r="CT163" i="21" s="1"/>
  <c r="CU163" i="21" a="1"/>
  <c r="CU163" i="21" s="1"/>
  <c r="CV163" i="21" a="1"/>
  <c r="CV163" i="21" s="1"/>
  <c r="CW163" i="21" a="1"/>
  <c r="CW163" i="21" s="1"/>
  <c r="N164" i="21" a="1"/>
  <c r="N164" i="21" s="1"/>
  <c r="O164" i="21" a="1"/>
  <c r="O164" i="21" s="1"/>
  <c r="P164" i="21" a="1"/>
  <c r="P164" i="21" s="1"/>
  <c r="Q164" i="21" a="1"/>
  <c r="Q164" i="21" s="1"/>
  <c r="R164" i="21" a="1"/>
  <c r="R164" i="21" s="1"/>
  <c r="S164" i="21" a="1"/>
  <c r="S164" i="21" s="1"/>
  <c r="T164" i="21" a="1"/>
  <c r="T164" i="21" s="1"/>
  <c r="U164" i="21" a="1"/>
  <c r="U164" i="21" s="1"/>
  <c r="V164" i="21" a="1"/>
  <c r="V164" i="21" s="1"/>
  <c r="W164" i="21" a="1"/>
  <c r="W164" i="21" s="1"/>
  <c r="X164" i="21" a="1"/>
  <c r="X164" i="21" s="1"/>
  <c r="Y164" i="21" a="1"/>
  <c r="Y164" i="21" s="1"/>
  <c r="Z164" i="21" a="1"/>
  <c r="Z164" i="21" s="1"/>
  <c r="AA164" i="21" a="1"/>
  <c r="AA164" i="21" s="1"/>
  <c r="AB164" i="21" a="1"/>
  <c r="AB164" i="21" s="1"/>
  <c r="AC164" i="21" a="1"/>
  <c r="AC164" i="21" s="1"/>
  <c r="AD164" i="21" a="1"/>
  <c r="AD164" i="21" s="1"/>
  <c r="AE164" i="21" a="1"/>
  <c r="AE164" i="21" s="1"/>
  <c r="AF164" i="21" a="1"/>
  <c r="AF164" i="21" s="1"/>
  <c r="AG164" i="21" a="1"/>
  <c r="AG164" i="21" s="1"/>
  <c r="AH164" i="21" a="1"/>
  <c r="AH164" i="21" s="1"/>
  <c r="AI164" i="21" a="1"/>
  <c r="AI164" i="21" s="1"/>
  <c r="AJ164" i="21" a="1"/>
  <c r="AJ164" i="21" s="1"/>
  <c r="AK164" i="21" a="1"/>
  <c r="AK164" i="21" s="1"/>
  <c r="AL164" i="21" a="1"/>
  <c r="AL164" i="21" s="1"/>
  <c r="AM164" i="21" a="1"/>
  <c r="AM164" i="21" s="1"/>
  <c r="AN164" i="21" a="1"/>
  <c r="AN164" i="21" s="1"/>
  <c r="AO164" i="21" a="1"/>
  <c r="AO164" i="21" s="1"/>
  <c r="AP164" i="21" a="1"/>
  <c r="AP164" i="21" s="1"/>
  <c r="AQ164" i="21" a="1"/>
  <c r="AQ164" i="21" s="1"/>
  <c r="AR164" i="21" a="1"/>
  <c r="AR164" i="21" s="1"/>
  <c r="AS164" i="21" a="1"/>
  <c r="AS164" i="21" s="1"/>
  <c r="AT164" i="21" a="1"/>
  <c r="AT164" i="21" s="1"/>
  <c r="AU164" i="21" a="1"/>
  <c r="AU164" i="21" s="1"/>
  <c r="AV164" i="21" a="1"/>
  <c r="AV164" i="21" s="1"/>
  <c r="AW164" i="21" a="1"/>
  <c r="AW164" i="21" s="1"/>
  <c r="AX164" i="21" a="1"/>
  <c r="AX164" i="21" s="1"/>
  <c r="AY164" i="21" a="1"/>
  <c r="AY164" i="21" s="1"/>
  <c r="AZ164" i="21" a="1"/>
  <c r="AZ164" i="21" s="1"/>
  <c r="BA164" i="21" a="1"/>
  <c r="BA164" i="21" s="1"/>
  <c r="BB164" i="21" a="1"/>
  <c r="BB164" i="21" s="1"/>
  <c r="BC164" i="21" a="1"/>
  <c r="BC164" i="21" s="1"/>
  <c r="BD164" i="21" a="1"/>
  <c r="BD164" i="21" s="1"/>
  <c r="BE164" i="21" a="1"/>
  <c r="BE164" i="21" s="1"/>
  <c r="BF164" i="21" a="1"/>
  <c r="BF164" i="21" s="1"/>
  <c r="BG164" i="21" a="1"/>
  <c r="BG164" i="21" s="1"/>
  <c r="BH164" i="21" a="1"/>
  <c r="BH164" i="21" s="1"/>
  <c r="BI164" i="21" a="1"/>
  <c r="BI164" i="21" s="1"/>
  <c r="BJ164" i="21" a="1"/>
  <c r="BJ164" i="21" s="1"/>
  <c r="BK164" i="21" a="1"/>
  <c r="BK164" i="21" s="1"/>
  <c r="BL164" i="21" a="1"/>
  <c r="BL164" i="21" s="1"/>
  <c r="BM164" i="21" a="1"/>
  <c r="BM164" i="21" s="1"/>
  <c r="BN164" i="21" a="1"/>
  <c r="BN164" i="21" s="1"/>
  <c r="BO164" i="21" a="1"/>
  <c r="BO164" i="21" s="1"/>
  <c r="BP164" i="21" a="1"/>
  <c r="BP164" i="21" s="1"/>
  <c r="BQ164" i="21" a="1"/>
  <c r="BQ164" i="21" s="1"/>
  <c r="BR164" i="21" a="1"/>
  <c r="BR164" i="21" s="1"/>
  <c r="BS164" i="21" a="1"/>
  <c r="BS164" i="21" s="1"/>
  <c r="BT164" i="21" a="1"/>
  <c r="BT164" i="21" s="1"/>
  <c r="BU164" i="21" a="1"/>
  <c r="BU164" i="21" s="1"/>
  <c r="BV164" i="21" a="1"/>
  <c r="BV164" i="21" s="1"/>
  <c r="BW164" i="21" a="1"/>
  <c r="BW164" i="21" s="1"/>
  <c r="BX164" i="21" a="1"/>
  <c r="BX164" i="21" s="1"/>
  <c r="BY164" i="21" a="1"/>
  <c r="BY164" i="21" s="1"/>
  <c r="BZ164" i="21" a="1"/>
  <c r="BZ164" i="21" s="1"/>
  <c r="CA164" i="21" a="1"/>
  <c r="CA164" i="21" s="1"/>
  <c r="CB164" i="21" a="1"/>
  <c r="CB164" i="21" s="1"/>
  <c r="CC164" i="21" a="1"/>
  <c r="CC164" i="21" s="1"/>
  <c r="CD164" i="21" a="1"/>
  <c r="CD164" i="21" s="1"/>
  <c r="CE164" i="21" a="1"/>
  <c r="CE164" i="21" s="1"/>
  <c r="CF164" i="21" a="1"/>
  <c r="CF164" i="21" s="1"/>
  <c r="CG164" i="21" a="1"/>
  <c r="CG164" i="21" s="1"/>
  <c r="CH164" i="21" a="1"/>
  <c r="CH164" i="21" s="1"/>
  <c r="CI164" i="21" a="1"/>
  <c r="CI164" i="21" s="1"/>
  <c r="CJ164" i="21" a="1"/>
  <c r="CJ164" i="21" s="1"/>
  <c r="CK164" i="21" a="1"/>
  <c r="CK164" i="21" s="1"/>
  <c r="CL164" i="21" a="1"/>
  <c r="CL164" i="21" s="1"/>
  <c r="CM164" i="21" a="1"/>
  <c r="CM164" i="21" s="1"/>
  <c r="CN164" i="21" a="1"/>
  <c r="CN164" i="21" s="1"/>
  <c r="CO164" i="21" a="1"/>
  <c r="CO164" i="21" s="1"/>
  <c r="CP164" i="21" a="1"/>
  <c r="CP164" i="21" s="1"/>
  <c r="CQ164" i="21" a="1"/>
  <c r="CQ164" i="21" s="1"/>
  <c r="CR164" i="21" a="1"/>
  <c r="CR164" i="21" s="1"/>
  <c r="CS164" i="21" a="1"/>
  <c r="CS164" i="21" s="1"/>
  <c r="CT164" i="21" a="1"/>
  <c r="CT164" i="21" s="1"/>
  <c r="CU164" i="21" a="1"/>
  <c r="CU164" i="21" s="1"/>
  <c r="CV164" i="21" a="1"/>
  <c r="CV164" i="21" s="1"/>
  <c r="CW164" i="21" a="1"/>
  <c r="CW164" i="21" s="1"/>
  <c r="N165" i="21" a="1"/>
  <c r="N165" i="21" s="1"/>
  <c r="O165" i="21" a="1"/>
  <c r="O165" i="21" s="1"/>
  <c r="P165" i="21" a="1"/>
  <c r="P165" i="21" s="1"/>
  <c r="Q165" i="21" a="1"/>
  <c r="Q165" i="21" s="1"/>
  <c r="R165" i="21" a="1"/>
  <c r="R165" i="21" s="1"/>
  <c r="S165" i="21" a="1"/>
  <c r="S165" i="21" s="1"/>
  <c r="T165" i="21" a="1"/>
  <c r="T165" i="21" s="1"/>
  <c r="U165" i="21" a="1"/>
  <c r="U165" i="21" s="1"/>
  <c r="V165" i="21" a="1"/>
  <c r="V165" i="21" s="1"/>
  <c r="W165" i="21" a="1"/>
  <c r="W165" i="21" s="1"/>
  <c r="X165" i="21" a="1"/>
  <c r="X165" i="21" s="1"/>
  <c r="Y165" i="21" a="1"/>
  <c r="Y165" i="21" s="1"/>
  <c r="Z165" i="21" a="1"/>
  <c r="Z165" i="21" s="1"/>
  <c r="AA165" i="21" a="1"/>
  <c r="AA165" i="21" s="1"/>
  <c r="AB165" i="21" a="1"/>
  <c r="AB165" i="21" s="1"/>
  <c r="AC165" i="21" a="1"/>
  <c r="AC165" i="21" s="1"/>
  <c r="AD165" i="21" a="1"/>
  <c r="AD165" i="21" s="1"/>
  <c r="AE165" i="21" a="1"/>
  <c r="AE165" i="21" s="1"/>
  <c r="AF165" i="21" a="1"/>
  <c r="AF165" i="21" s="1"/>
  <c r="AG165" i="21" a="1"/>
  <c r="AG165" i="21" s="1"/>
  <c r="AH165" i="21" a="1"/>
  <c r="AH165" i="21" s="1"/>
  <c r="AI165" i="21" a="1"/>
  <c r="AI165" i="21" s="1"/>
  <c r="AJ165" i="21" a="1"/>
  <c r="AJ165" i="21" s="1"/>
  <c r="AK165" i="21" a="1"/>
  <c r="AK165" i="21" s="1"/>
  <c r="AL165" i="21" a="1"/>
  <c r="AL165" i="21" s="1"/>
  <c r="AM165" i="21" a="1"/>
  <c r="AM165" i="21" s="1"/>
  <c r="AN165" i="21" a="1"/>
  <c r="AN165" i="21" s="1"/>
  <c r="AO165" i="21" a="1"/>
  <c r="AO165" i="21" s="1"/>
  <c r="AP165" i="21" a="1"/>
  <c r="AP165" i="21" s="1"/>
  <c r="AQ165" i="21" a="1"/>
  <c r="AQ165" i="21" s="1"/>
  <c r="AR165" i="21" a="1"/>
  <c r="AR165" i="21" s="1"/>
  <c r="AS165" i="21" a="1"/>
  <c r="AS165" i="21" s="1"/>
  <c r="AT165" i="21" a="1"/>
  <c r="AT165" i="21" s="1"/>
  <c r="AU165" i="21" a="1"/>
  <c r="AU165" i="21" s="1"/>
  <c r="AV165" i="21" a="1"/>
  <c r="AV165" i="21" s="1"/>
  <c r="AW165" i="21" a="1"/>
  <c r="AW165" i="21" s="1"/>
  <c r="AX165" i="21" a="1"/>
  <c r="AX165" i="21" s="1"/>
  <c r="AY165" i="21" a="1"/>
  <c r="AY165" i="21" s="1"/>
  <c r="AZ165" i="21" a="1"/>
  <c r="AZ165" i="21" s="1"/>
  <c r="BA165" i="21" a="1"/>
  <c r="BA165" i="21" s="1"/>
  <c r="BB165" i="21" a="1"/>
  <c r="BB165" i="21" s="1"/>
  <c r="BC165" i="21" a="1"/>
  <c r="BC165" i="21" s="1"/>
  <c r="BD165" i="21" a="1"/>
  <c r="BD165" i="21" s="1"/>
  <c r="BE165" i="21" a="1"/>
  <c r="BE165" i="21" s="1"/>
  <c r="BF165" i="21" a="1"/>
  <c r="BF165" i="21" s="1"/>
  <c r="BG165" i="21" a="1"/>
  <c r="BG165" i="21" s="1"/>
  <c r="BH165" i="21" a="1"/>
  <c r="BH165" i="21" s="1"/>
  <c r="BI165" i="21" a="1"/>
  <c r="BI165" i="21" s="1"/>
  <c r="BJ165" i="21" a="1"/>
  <c r="BJ165" i="21" s="1"/>
  <c r="BK165" i="21" a="1"/>
  <c r="BK165" i="21" s="1"/>
  <c r="BL165" i="21" a="1"/>
  <c r="BL165" i="21" s="1"/>
  <c r="BM165" i="21" a="1"/>
  <c r="BM165" i="21" s="1"/>
  <c r="BN165" i="21" a="1"/>
  <c r="BN165" i="21" s="1"/>
  <c r="BO165" i="21" a="1"/>
  <c r="BO165" i="21" s="1"/>
  <c r="BP165" i="21" a="1"/>
  <c r="BP165" i="21" s="1"/>
  <c r="BQ165" i="21" a="1"/>
  <c r="BQ165" i="21" s="1"/>
  <c r="BR165" i="21" a="1"/>
  <c r="BR165" i="21" s="1"/>
  <c r="BS165" i="21" a="1"/>
  <c r="BS165" i="21" s="1"/>
  <c r="BT165" i="21" a="1"/>
  <c r="BT165" i="21" s="1"/>
  <c r="BU165" i="21" a="1"/>
  <c r="BU165" i="21" s="1"/>
  <c r="BV165" i="21" a="1"/>
  <c r="BV165" i="21" s="1"/>
  <c r="BW165" i="21" a="1"/>
  <c r="BW165" i="21" s="1"/>
  <c r="BX165" i="21" a="1"/>
  <c r="BX165" i="21" s="1"/>
  <c r="BY165" i="21" a="1"/>
  <c r="BY165" i="21" s="1"/>
  <c r="BZ165" i="21" a="1"/>
  <c r="BZ165" i="21" s="1"/>
  <c r="CA165" i="21" a="1"/>
  <c r="CA165" i="21" s="1"/>
  <c r="CB165" i="21" a="1"/>
  <c r="CB165" i="21" s="1"/>
  <c r="CC165" i="21" a="1"/>
  <c r="CC165" i="21" s="1"/>
  <c r="CD165" i="21" a="1"/>
  <c r="CD165" i="21" s="1"/>
  <c r="CE165" i="21" a="1"/>
  <c r="CE165" i="21" s="1"/>
  <c r="CF165" i="21" a="1"/>
  <c r="CF165" i="21" s="1"/>
  <c r="CG165" i="21" a="1"/>
  <c r="CG165" i="21" s="1"/>
  <c r="CH165" i="21" a="1"/>
  <c r="CH165" i="21" s="1"/>
  <c r="CI165" i="21" a="1"/>
  <c r="CI165" i="21" s="1"/>
  <c r="CJ165" i="21" a="1"/>
  <c r="CJ165" i="21" s="1"/>
  <c r="CK165" i="21" a="1"/>
  <c r="CK165" i="21" s="1"/>
  <c r="CL165" i="21" a="1"/>
  <c r="CL165" i="21" s="1"/>
  <c r="CM165" i="21" a="1"/>
  <c r="CM165" i="21" s="1"/>
  <c r="CN165" i="21" a="1"/>
  <c r="CN165" i="21" s="1"/>
  <c r="CO165" i="21" a="1"/>
  <c r="CO165" i="21" s="1"/>
  <c r="CP165" i="21" a="1"/>
  <c r="CP165" i="21" s="1"/>
  <c r="CQ165" i="21" a="1"/>
  <c r="CQ165" i="21" s="1"/>
  <c r="CR165" i="21" a="1"/>
  <c r="CR165" i="21" s="1"/>
  <c r="CS165" i="21" a="1"/>
  <c r="CS165" i="21" s="1"/>
  <c r="CT165" i="21" a="1"/>
  <c r="CT165" i="21" s="1"/>
  <c r="CU165" i="21" a="1"/>
  <c r="CU165" i="21" s="1"/>
  <c r="CV165" i="21" a="1"/>
  <c r="CV165" i="21" s="1"/>
  <c r="CW165" i="21" a="1"/>
  <c r="CW165" i="21" s="1"/>
  <c r="N166" i="21" a="1"/>
  <c r="N166" i="21" s="1"/>
  <c r="O166" i="21" a="1"/>
  <c r="O166" i="21" s="1"/>
  <c r="P166" i="21" a="1"/>
  <c r="P166" i="21" s="1"/>
  <c r="Q166" i="21" a="1"/>
  <c r="Q166" i="21" s="1"/>
  <c r="R166" i="21" a="1"/>
  <c r="R166" i="21" s="1"/>
  <c r="S166" i="21" a="1"/>
  <c r="S166" i="21" s="1"/>
  <c r="T166" i="21" a="1"/>
  <c r="T166" i="21" s="1"/>
  <c r="U166" i="21" a="1"/>
  <c r="U166" i="21" s="1"/>
  <c r="V166" i="21" a="1"/>
  <c r="V166" i="21" s="1"/>
  <c r="W166" i="21" a="1"/>
  <c r="W166" i="21" s="1"/>
  <c r="X166" i="21" a="1"/>
  <c r="X166" i="21" s="1"/>
  <c r="Y166" i="21" a="1"/>
  <c r="Y166" i="21" s="1"/>
  <c r="Z166" i="21" a="1"/>
  <c r="Z166" i="21" s="1"/>
  <c r="AA166" i="21" a="1"/>
  <c r="AA166" i="21" s="1"/>
  <c r="AB166" i="21" a="1"/>
  <c r="AB166" i="21" s="1"/>
  <c r="AC166" i="21" a="1"/>
  <c r="AC166" i="21" s="1"/>
  <c r="AD166" i="21" a="1"/>
  <c r="AD166" i="21" s="1"/>
  <c r="AE166" i="21" a="1"/>
  <c r="AE166" i="21" s="1"/>
  <c r="AF166" i="21" a="1"/>
  <c r="AF166" i="21" s="1"/>
  <c r="AG166" i="21" a="1"/>
  <c r="AG166" i="21" s="1"/>
  <c r="AH166" i="21" a="1"/>
  <c r="AH166" i="21" s="1"/>
  <c r="AI166" i="21" a="1"/>
  <c r="AI166" i="21" s="1"/>
  <c r="AJ166" i="21" a="1"/>
  <c r="AJ166" i="21" s="1"/>
  <c r="AK166" i="21" a="1"/>
  <c r="AK166" i="21" s="1"/>
  <c r="AL166" i="21" a="1"/>
  <c r="AL166" i="21" s="1"/>
  <c r="AM166" i="21" a="1"/>
  <c r="AM166" i="21" s="1"/>
  <c r="AN166" i="21" a="1"/>
  <c r="AN166" i="21" s="1"/>
  <c r="AO166" i="21" a="1"/>
  <c r="AO166" i="21" s="1"/>
  <c r="AP166" i="21" a="1"/>
  <c r="AP166" i="21" s="1"/>
  <c r="AQ166" i="21" a="1"/>
  <c r="AQ166" i="21" s="1"/>
  <c r="AR166" i="21" a="1"/>
  <c r="AR166" i="21" s="1"/>
  <c r="AS166" i="21" a="1"/>
  <c r="AS166" i="21" s="1"/>
  <c r="AT166" i="21" a="1"/>
  <c r="AT166" i="21" s="1"/>
  <c r="AU166" i="21" a="1"/>
  <c r="AU166" i="21" s="1"/>
  <c r="AV166" i="21" a="1"/>
  <c r="AV166" i="21" s="1"/>
  <c r="AW166" i="21" a="1"/>
  <c r="AW166" i="21" s="1"/>
  <c r="AX166" i="21" a="1"/>
  <c r="AX166" i="21" s="1"/>
  <c r="AY166" i="21" a="1"/>
  <c r="AY166" i="21" s="1"/>
  <c r="AZ166" i="21" a="1"/>
  <c r="AZ166" i="21" s="1"/>
  <c r="BA166" i="21" a="1"/>
  <c r="BA166" i="21" s="1"/>
  <c r="BB166" i="21" a="1"/>
  <c r="BB166" i="21" s="1"/>
  <c r="BC166" i="21" a="1"/>
  <c r="BC166" i="21" s="1"/>
  <c r="BD166" i="21" a="1"/>
  <c r="BD166" i="21" s="1"/>
  <c r="BE166" i="21" a="1"/>
  <c r="BE166" i="21" s="1"/>
  <c r="BF166" i="21" a="1"/>
  <c r="BF166" i="21" s="1"/>
  <c r="BG166" i="21" a="1"/>
  <c r="BG166" i="21" s="1"/>
  <c r="BH166" i="21" a="1"/>
  <c r="BH166" i="21" s="1"/>
  <c r="BI166" i="21" a="1"/>
  <c r="BI166" i="21" s="1"/>
  <c r="BJ166" i="21" a="1"/>
  <c r="BJ166" i="21" s="1"/>
  <c r="BK166" i="21" a="1"/>
  <c r="BK166" i="21" s="1"/>
  <c r="BL166" i="21" a="1"/>
  <c r="BL166" i="21" s="1"/>
  <c r="BM166" i="21" a="1"/>
  <c r="BM166" i="21" s="1"/>
  <c r="BN166" i="21" a="1"/>
  <c r="BN166" i="21" s="1"/>
  <c r="BO166" i="21" a="1"/>
  <c r="BO166" i="21" s="1"/>
  <c r="BP166" i="21" a="1"/>
  <c r="BP166" i="21" s="1"/>
  <c r="BQ166" i="21" a="1"/>
  <c r="BQ166" i="21" s="1"/>
  <c r="BR166" i="21" a="1"/>
  <c r="BR166" i="21" s="1"/>
  <c r="BS166" i="21" a="1"/>
  <c r="BS166" i="21" s="1"/>
  <c r="BT166" i="21" a="1"/>
  <c r="BT166" i="21" s="1"/>
  <c r="BU166" i="21" a="1"/>
  <c r="BU166" i="21" s="1"/>
  <c r="BV166" i="21" a="1"/>
  <c r="BV166" i="21" s="1"/>
  <c r="BW166" i="21" a="1"/>
  <c r="BW166" i="21" s="1"/>
  <c r="BX166" i="21" a="1"/>
  <c r="BX166" i="21" s="1"/>
  <c r="BY166" i="21" a="1"/>
  <c r="BY166" i="21" s="1"/>
  <c r="BZ166" i="21" a="1"/>
  <c r="BZ166" i="21" s="1"/>
  <c r="CA166" i="21" a="1"/>
  <c r="CA166" i="21" s="1"/>
  <c r="CB166" i="21" a="1"/>
  <c r="CB166" i="21" s="1"/>
  <c r="CC166" i="21" a="1"/>
  <c r="CC166" i="21" s="1"/>
  <c r="CD166" i="21" a="1"/>
  <c r="CD166" i="21" s="1"/>
  <c r="CE166" i="21" a="1"/>
  <c r="CE166" i="21" s="1"/>
  <c r="CF166" i="21" a="1"/>
  <c r="CF166" i="21" s="1"/>
  <c r="CG166" i="21" a="1"/>
  <c r="CG166" i="21" s="1"/>
  <c r="CH166" i="21" a="1"/>
  <c r="CH166" i="21" s="1"/>
  <c r="CI166" i="21" a="1"/>
  <c r="CI166" i="21" s="1"/>
  <c r="CJ166" i="21" a="1"/>
  <c r="CJ166" i="21" s="1"/>
  <c r="CK166" i="21" a="1"/>
  <c r="CK166" i="21" s="1"/>
  <c r="CL166" i="21" a="1"/>
  <c r="CL166" i="21" s="1"/>
  <c r="CM166" i="21" a="1"/>
  <c r="CM166" i="21" s="1"/>
  <c r="CN166" i="21" a="1"/>
  <c r="CN166" i="21" s="1"/>
  <c r="CO166" i="21" a="1"/>
  <c r="CO166" i="21" s="1"/>
  <c r="CP166" i="21" a="1"/>
  <c r="CP166" i="21" s="1"/>
  <c r="CQ166" i="21" a="1"/>
  <c r="CQ166" i="21" s="1"/>
  <c r="CR166" i="21" a="1"/>
  <c r="CR166" i="21" s="1"/>
  <c r="CS166" i="21" a="1"/>
  <c r="CS166" i="21" s="1"/>
  <c r="CT166" i="21" a="1"/>
  <c r="CT166" i="21" s="1"/>
  <c r="CU166" i="21" a="1"/>
  <c r="CU166" i="21" s="1"/>
  <c r="CV166" i="21" a="1"/>
  <c r="CV166" i="21" s="1"/>
  <c r="CW166" i="21" a="1"/>
  <c r="CW166" i="21" s="1"/>
  <c r="N167" i="21" a="1"/>
  <c r="N167" i="21" s="1"/>
  <c r="O167" i="21" a="1"/>
  <c r="O167" i="21" s="1"/>
  <c r="P167" i="21" a="1"/>
  <c r="P167" i="21" s="1"/>
  <c r="Q167" i="21" a="1"/>
  <c r="Q167" i="21" s="1"/>
  <c r="R167" i="21" a="1"/>
  <c r="R167" i="21" s="1"/>
  <c r="S167" i="21" a="1"/>
  <c r="S167" i="21" s="1"/>
  <c r="T167" i="21" a="1"/>
  <c r="T167" i="21" s="1"/>
  <c r="U167" i="21" a="1"/>
  <c r="U167" i="21" s="1"/>
  <c r="V167" i="21" a="1"/>
  <c r="V167" i="21" s="1"/>
  <c r="W167" i="21" a="1"/>
  <c r="W167" i="21" s="1"/>
  <c r="X167" i="21" a="1"/>
  <c r="X167" i="21" s="1"/>
  <c r="Y167" i="21" a="1"/>
  <c r="Y167" i="21" s="1"/>
  <c r="Z167" i="21" a="1"/>
  <c r="Z167" i="21" s="1"/>
  <c r="AA167" i="21" a="1"/>
  <c r="AA167" i="21" s="1"/>
  <c r="AB167" i="21" a="1"/>
  <c r="AB167" i="21" s="1"/>
  <c r="AC167" i="21" a="1"/>
  <c r="AC167" i="21" s="1"/>
  <c r="AD167" i="21" a="1"/>
  <c r="AD167" i="21" s="1"/>
  <c r="AE167" i="21" a="1"/>
  <c r="AE167" i="21" s="1"/>
  <c r="AF167" i="21" a="1"/>
  <c r="AF167" i="21" s="1"/>
  <c r="AG167" i="21" a="1"/>
  <c r="AG167" i="21" s="1"/>
  <c r="AH167" i="21" a="1"/>
  <c r="AH167" i="21" s="1"/>
  <c r="AI167" i="21" a="1"/>
  <c r="AI167" i="21" s="1"/>
  <c r="AJ167" i="21" a="1"/>
  <c r="AJ167" i="21" s="1"/>
  <c r="AK167" i="21" a="1"/>
  <c r="AK167" i="21" s="1"/>
  <c r="AL167" i="21" a="1"/>
  <c r="AL167" i="21" s="1"/>
  <c r="AM167" i="21" a="1"/>
  <c r="AM167" i="21" s="1"/>
  <c r="AN167" i="21" a="1"/>
  <c r="AN167" i="21" s="1"/>
  <c r="AO167" i="21" a="1"/>
  <c r="AO167" i="21" s="1"/>
  <c r="AP167" i="21" a="1"/>
  <c r="AP167" i="21" s="1"/>
  <c r="AQ167" i="21" a="1"/>
  <c r="AQ167" i="21" s="1"/>
  <c r="AR167" i="21" a="1"/>
  <c r="AR167" i="21" s="1"/>
  <c r="AS167" i="21" a="1"/>
  <c r="AS167" i="21" s="1"/>
  <c r="AT167" i="21" a="1"/>
  <c r="AT167" i="21" s="1"/>
  <c r="AU167" i="21" a="1"/>
  <c r="AU167" i="21" s="1"/>
  <c r="AV167" i="21" a="1"/>
  <c r="AV167" i="21" s="1"/>
  <c r="AW167" i="21" a="1"/>
  <c r="AW167" i="21" s="1"/>
  <c r="AX167" i="21" a="1"/>
  <c r="AX167" i="21" s="1"/>
  <c r="AY167" i="21" a="1"/>
  <c r="AY167" i="21" s="1"/>
  <c r="AZ167" i="21" a="1"/>
  <c r="AZ167" i="21" s="1"/>
  <c r="BA167" i="21" a="1"/>
  <c r="BA167" i="21" s="1"/>
  <c r="BB167" i="21" a="1"/>
  <c r="BB167" i="21" s="1"/>
  <c r="BC167" i="21" a="1"/>
  <c r="BC167" i="21" s="1"/>
  <c r="BD167" i="21" a="1"/>
  <c r="BD167" i="21" s="1"/>
  <c r="BE167" i="21" a="1"/>
  <c r="BE167" i="21" s="1"/>
  <c r="BF167" i="21" a="1"/>
  <c r="BF167" i="21" s="1"/>
  <c r="BG167" i="21" a="1"/>
  <c r="BG167" i="21" s="1"/>
  <c r="BH167" i="21" a="1"/>
  <c r="BH167" i="21" s="1"/>
  <c r="BI167" i="21" a="1"/>
  <c r="BI167" i="21" s="1"/>
  <c r="BJ167" i="21" a="1"/>
  <c r="BJ167" i="21" s="1"/>
  <c r="BK167" i="21" a="1"/>
  <c r="BK167" i="21" s="1"/>
  <c r="BL167" i="21" a="1"/>
  <c r="BL167" i="21" s="1"/>
  <c r="BM167" i="21" a="1"/>
  <c r="BM167" i="21" s="1"/>
  <c r="BN167" i="21" a="1"/>
  <c r="BN167" i="21" s="1"/>
  <c r="BO167" i="21" a="1"/>
  <c r="BO167" i="21" s="1"/>
  <c r="BP167" i="21" a="1"/>
  <c r="BP167" i="21" s="1"/>
  <c r="BQ167" i="21" a="1"/>
  <c r="BQ167" i="21" s="1"/>
  <c r="BR167" i="21" a="1"/>
  <c r="BR167" i="21" s="1"/>
  <c r="BS167" i="21" a="1"/>
  <c r="BS167" i="21" s="1"/>
  <c r="BT167" i="21" a="1"/>
  <c r="BT167" i="21" s="1"/>
  <c r="BU167" i="21" a="1"/>
  <c r="BU167" i="21" s="1"/>
  <c r="BV167" i="21" a="1"/>
  <c r="BV167" i="21" s="1"/>
  <c r="BW167" i="21" a="1"/>
  <c r="BW167" i="21" s="1"/>
  <c r="BX167" i="21" a="1"/>
  <c r="BX167" i="21" s="1"/>
  <c r="BY167" i="21" a="1"/>
  <c r="BY167" i="21" s="1"/>
  <c r="BZ167" i="21" a="1"/>
  <c r="BZ167" i="21" s="1"/>
  <c r="CA167" i="21" a="1"/>
  <c r="CA167" i="21" s="1"/>
  <c r="CB167" i="21" a="1"/>
  <c r="CB167" i="21" s="1"/>
  <c r="CC167" i="21" a="1"/>
  <c r="CC167" i="21" s="1"/>
  <c r="CD167" i="21" a="1"/>
  <c r="CD167" i="21" s="1"/>
  <c r="CE167" i="21" a="1"/>
  <c r="CE167" i="21" s="1"/>
  <c r="CF167" i="21" a="1"/>
  <c r="CF167" i="21" s="1"/>
  <c r="CG167" i="21" a="1"/>
  <c r="CG167" i="21" s="1"/>
  <c r="CH167" i="21" a="1"/>
  <c r="CH167" i="21" s="1"/>
  <c r="CI167" i="21" a="1"/>
  <c r="CI167" i="21" s="1"/>
  <c r="CJ167" i="21" a="1"/>
  <c r="CJ167" i="21" s="1"/>
  <c r="CK167" i="21" a="1"/>
  <c r="CK167" i="21" s="1"/>
  <c r="CL167" i="21" a="1"/>
  <c r="CL167" i="21" s="1"/>
  <c r="CM167" i="21" a="1"/>
  <c r="CM167" i="21" s="1"/>
  <c r="CN167" i="21" a="1"/>
  <c r="CN167" i="21" s="1"/>
  <c r="CO167" i="21" a="1"/>
  <c r="CO167" i="21" s="1"/>
  <c r="CP167" i="21" a="1"/>
  <c r="CP167" i="21" s="1"/>
  <c r="CQ167" i="21" a="1"/>
  <c r="CQ167" i="21" s="1"/>
  <c r="CR167" i="21" a="1"/>
  <c r="CR167" i="21" s="1"/>
  <c r="CS167" i="21" a="1"/>
  <c r="CS167" i="21" s="1"/>
  <c r="CT167" i="21" a="1"/>
  <c r="CT167" i="21" s="1"/>
  <c r="CU167" i="21" a="1"/>
  <c r="CU167" i="21" s="1"/>
  <c r="CV167" i="21" a="1"/>
  <c r="CV167" i="21" s="1"/>
  <c r="CW167" i="21" a="1"/>
  <c r="CW167" i="21" s="1"/>
  <c r="N168" i="21" a="1"/>
  <c r="N168" i="21" s="1"/>
  <c r="O168" i="21" a="1"/>
  <c r="O168" i="21" s="1"/>
  <c r="P168" i="21" a="1"/>
  <c r="P168" i="21" s="1"/>
  <c r="Q168" i="21" a="1"/>
  <c r="Q168" i="21" s="1"/>
  <c r="R168" i="21" a="1"/>
  <c r="R168" i="21" s="1"/>
  <c r="S168" i="21" a="1"/>
  <c r="S168" i="21" s="1"/>
  <c r="T168" i="21" a="1"/>
  <c r="T168" i="21" s="1"/>
  <c r="U168" i="21" a="1"/>
  <c r="U168" i="21" s="1"/>
  <c r="V168" i="21" a="1"/>
  <c r="V168" i="21" s="1"/>
  <c r="W168" i="21" a="1"/>
  <c r="W168" i="21" s="1"/>
  <c r="X168" i="21" a="1"/>
  <c r="X168" i="21" s="1"/>
  <c r="Y168" i="21" a="1"/>
  <c r="Y168" i="21" s="1"/>
  <c r="Z168" i="21" a="1"/>
  <c r="Z168" i="21" s="1"/>
  <c r="AA168" i="21" a="1"/>
  <c r="AA168" i="21" s="1"/>
  <c r="AB168" i="21" a="1"/>
  <c r="AB168" i="21" s="1"/>
  <c r="AC168" i="21" a="1"/>
  <c r="AC168" i="21" s="1"/>
  <c r="AD168" i="21" a="1"/>
  <c r="AD168" i="21" s="1"/>
  <c r="AE168" i="21" a="1"/>
  <c r="AE168" i="21" s="1"/>
  <c r="AF168" i="21" a="1"/>
  <c r="AF168" i="21" s="1"/>
  <c r="AG168" i="21" a="1"/>
  <c r="AG168" i="21" s="1"/>
  <c r="AH168" i="21" a="1"/>
  <c r="AH168" i="21" s="1"/>
  <c r="AI168" i="21" a="1"/>
  <c r="AI168" i="21" s="1"/>
  <c r="AJ168" i="21" a="1"/>
  <c r="AJ168" i="21" s="1"/>
  <c r="AK168" i="21" a="1"/>
  <c r="AK168" i="21" s="1"/>
  <c r="AL168" i="21" a="1"/>
  <c r="AL168" i="21" s="1"/>
  <c r="AM168" i="21" a="1"/>
  <c r="AM168" i="21" s="1"/>
  <c r="AN168" i="21" a="1"/>
  <c r="AN168" i="21" s="1"/>
  <c r="AO168" i="21" a="1"/>
  <c r="AO168" i="21" s="1"/>
  <c r="AP168" i="21" a="1"/>
  <c r="AP168" i="21" s="1"/>
  <c r="AQ168" i="21" a="1"/>
  <c r="AQ168" i="21" s="1"/>
  <c r="AR168" i="21" a="1"/>
  <c r="AR168" i="21" s="1"/>
  <c r="AS168" i="21" a="1"/>
  <c r="AS168" i="21" s="1"/>
  <c r="AT168" i="21" a="1"/>
  <c r="AT168" i="21" s="1"/>
  <c r="AU168" i="21" a="1"/>
  <c r="AU168" i="21" s="1"/>
  <c r="AV168" i="21" a="1"/>
  <c r="AV168" i="21" s="1"/>
  <c r="AW168" i="21" a="1"/>
  <c r="AW168" i="21" s="1"/>
  <c r="AX168" i="21" a="1"/>
  <c r="AX168" i="21" s="1"/>
  <c r="AY168" i="21" a="1"/>
  <c r="AY168" i="21" s="1"/>
  <c r="AZ168" i="21" a="1"/>
  <c r="AZ168" i="21" s="1"/>
  <c r="BA168" i="21" a="1"/>
  <c r="BA168" i="21" s="1"/>
  <c r="BB168" i="21" a="1"/>
  <c r="BB168" i="21" s="1"/>
  <c r="BC168" i="21" a="1"/>
  <c r="BC168" i="21" s="1"/>
  <c r="BD168" i="21" a="1"/>
  <c r="BD168" i="21" s="1"/>
  <c r="BE168" i="21" a="1"/>
  <c r="BE168" i="21" s="1"/>
  <c r="BF168" i="21" a="1"/>
  <c r="BF168" i="21" s="1"/>
  <c r="BG168" i="21" a="1"/>
  <c r="BG168" i="21" s="1"/>
  <c r="BH168" i="21" a="1"/>
  <c r="BH168" i="21" s="1"/>
  <c r="BI168" i="21" a="1"/>
  <c r="BI168" i="21" s="1"/>
  <c r="BJ168" i="21" a="1"/>
  <c r="BJ168" i="21" s="1"/>
  <c r="BK168" i="21" a="1"/>
  <c r="BK168" i="21" s="1"/>
  <c r="BL168" i="21" a="1"/>
  <c r="BL168" i="21" s="1"/>
  <c r="BM168" i="21" a="1"/>
  <c r="BM168" i="21" s="1"/>
  <c r="BN168" i="21" a="1"/>
  <c r="BN168" i="21" s="1"/>
  <c r="BO168" i="21" a="1"/>
  <c r="BO168" i="21" s="1"/>
  <c r="BP168" i="21" a="1"/>
  <c r="BP168" i="21" s="1"/>
  <c r="BQ168" i="21" a="1"/>
  <c r="BQ168" i="21" s="1"/>
  <c r="BR168" i="21" a="1"/>
  <c r="BR168" i="21" s="1"/>
  <c r="BS168" i="21" a="1"/>
  <c r="BS168" i="21" s="1"/>
  <c r="BT168" i="21" a="1"/>
  <c r="BT168" i="21" s="1"/>
  <c r="BU168" i="21" a="1"/>
  <c r="BU168" i="21" s="1"/>
  <c r="BV168" i="21" a="1"/>
  <c r="BV168" i="21" s="1"/>
  <c r="BW168" i="21" a="1"/>
  <c r="BW168" i="21" s="1"/>
  <c r="BX168" i="21" a="1"/>
  <c r="BX168" i="21" s="1"/>
  <c r="BY168" i="21" a="1"/>
  <c r="BY168" i="21" s="1"/>
  <c r="BZ168" i="21" a="1"/>
  <c r="BZ168" i="21" s="1"/>
  <c r="CA168" i="21" a="1"/>
  <c r="CA168" i="21" s="1"/>
  <c r="CB168" i="21" a="1"/>
  <c r="CB168" i="21" s="1"/>
  <c r="CC168" i="21" a="1"/>
  <c r="CC168" i="21" s="1"/>
  <c r="CD168" i="21" a="1"/>
  <c r="CD168" i="21" s="1"/>
  <c r="CE168" i="21" a="1"/>
  <c r="CE168" i="21" s="1"/>
  <c r="CF168" i="21" a="1"/>
  <c r="CF168" i="21" s="1"/>
  <c r="CG168" i="21" a="1"/>
  <c r="CG168" i="21" s="1"/>
  <c r="CH168" i="21" a="1"/>
  <c r="CH168" i="21" s="1"/>
  <c r="CI168" i="21" a="1"/>
  <c r="CI168" i="21" s="1"/>
  <c r="CJ168" i="21" a="1"/>
  <c r="CJ168" i="21" s="1"/>
  <c r="CK168" i="21" a="1"/>
  <c r="CK168" i="21" s="1"/>
  <c r="CL168" i="21" a="1"/>
  <c r="CL168" i="21" s="1"/>
  <c r="CM168" i="21" a="1"/>
  <c r="CM168" i="21" s="1"/>
  <c r="CN168" i="21" a="1"/>
  <c r="CN168" i="21" s="1"/>
  <c r="CO168" i="21" a="1"/>
  <c r="CO168" i="21" s="1"/>
  <c r="CP168" i="21" a="1"/>
  <c r="CP168" i="21" s="1"/>
  <c r="CQ168" i="21" a="1"/>
  <c r="CQ168" i="21" s="1"/>
  <c r="CR168" i="21" a="1"/>
  <c r="CR168" i="21" s="1"/>
  <c r="CS168" i="21" a="1"/>
  <c r="CS168" i="21" s="1"/>
  <c r="CT168" i="21" a="1"/>
  <c r="CT168" i="21" s="1"/>
  <c r="CU168" i="21" a="1"/>
  <c r="CU168" i="21" s="1"/>
  <c r="CV168" i="21" a="1"/>
  <c r="CV168" i="21" s="1"/>
  <c r="CW168" i="21" a="1"/>
  <c r="CW168" i="21" s="1"/>
  <c r="N169" i="21" a="1"/>
  <c r="N169" i="21" s="1"/>
  <c r="O169" i="21" a="1"/>
  <c r="O169" i="21" s="1"/>
  <c r="P169" i="21" a="1"/>
  <c r="P169" i="21" s="1"/>
  <c r="Q169" i="21" a="1"/>
  <c r="Q169" i="21" s="1"/>
  <c r="R169" i="21" a="1"/>
  <c r="R169" i="21" s="1"/>
  <c r="S169" i="21" a="1"/>
  <c r="S169" i="21" s="1"/>
  <c r="T169" i="21" a="1"/>
  <c r="T169" i="21" s="1"/>
  <c r="U169" i="21" a="1"/>
  <c r="U169" i="21" s="1"/>
  <c r="V169" i="21" a="1"/>
  <c r="V169" i="21" s="1"/>
  <c r="W169" i="21" a="1"/>
  <c r="W169" i="21" s="1"/>
  <c r="X169" i="21" a="1"/>
  <c r="X169" i="21" s="1"/>
  <c r="Y169" i="21" a="1"/>
  <c r="Y169" i="21" s="1"/>
  <c r="Z169" i="21" a="1"/>
  <c r="Z169" i="21" s="1"/>
  <c r="AA169" i="21" a="1"/>
  <c r="AA169" i="21" s="1"/>
  <c r="AB169" i="21" a="1"/>
  <c r="AB169" i="21" s="1"/>
  <c r="AC169" i="21" a="1"/>
  <c r="AC169" i="21" s="1"/>
  <c r="AD169" i="21" a="1"/>
  <c r="AD169" i="21" s="1"/>
  <c r="AE169" i="21" a="1"/>
  <c r="AE169" i="21" s="1"/>
  <c r="AF169" i="21" a="1"/>
  <c r="AF169" i="21" s="1"/>
  <c r="AG169" i="21" a="1"/>
  <c r="AG169" i="21" s="1"/>
  <c r="AH169" i="21" a="1"/>
  <c r="AH169" i="21" s="1"/>
  <c r="AI169" i="21" a="1"/>
  <c r="AI169" i="21" s="1"/>
  <c r="AJ169" i="21" a="1"/>
  <c r="AJ169" i="21" s="1"/>
  <c r="AK169" i="21" a="1"/>
  <c r="AK169" i="21" s="1"/>
  <c r="AL169" i="21" a="1"/>
  <c r="AL169" i="21" s="1"/>
  <c r="AM169" i="21" a="1"/>
  <c r="AM169" i="21" s="1"/>
  <c r="AN169" i="21" a="1"/>
  <c r="AN169" i="21" s="1"/>
  <c r="AO169" i="21" a="1"/>
  <c r="AO169" i="21" s="1"/>
  <c r="AP169" i="21" a="1"/>
  <c r="AP169" i="21" s="1"/>
  <c r="AQ169" i="21" a="1"/>
  <c r="AQ169" i="21" s="1"/>
  <c r="AR169" i="21" a="1"/>
  <c r="AR169" i="21" s="1"/>
  <c r="AS169" i="21" a="1"/>
  <c r="AS169" i="21" s="1"/>
  <c r="AT169" i="21" a="1"/>
  <c r="AT169" i="21" s="1"/>
  <c r="AU169" i="21" a="1"/>
  <c r="AU169" i="21" s="1"/>
  <c r="AV169" i="21" a="1"/>
  <c r="AV169" i="21" s="1"/>
  <c r="AW169" i="21" a="1"/>
  <c r="AW169" i="21" s="1"/>
  <c r="AX169" i="21" a="1"/>
  <c r="AX169" i="21" s="1"/>
  <c r="AY169" i="21" a="1"/>
  <c r="AY169" i="21" s="1"/>
  <c r="AZ169" i="21" a="1"/>
  <c r="AZ169" i="21" s="1"/>
  <c r="BA169" i="21" a="1"/>
  <c r="BA169" i="21" s="1"/>
  <c r="BB169" i="21" a="1"/>
  <c r="BB169" i="21" s="1"/>
  <c r="BC169" i="21" a="1"/>
  <c r="BC169" i="21" s="1"/>
  <c r="BD169" i="21" a="1"/>
  <c r="BD169" i="21" s="1"/>
  <c r="BE169" i="21" a="1"/>
  <c r="BE169" i="21" s="1"/>
  <c r="BF169" i="21" a="1"/>
  <c r="BF169" i="21" s="1"/>
  <c r="BG169" i="21" a="1"/>
  <c r="BG169" i="21" s="1"/>
  <c r="BH169" i="21" a="1"/>
  <c r="BH169" i="21" s="1"/>
  <c r="BI169" i="21" a="1"/>
  <c r="BI169" i="21" s="1"/>
  <c r="BJ169" i="21" a="1"/>
  <c r="BJ169" i="21" s="1"/>
  <c r="BK169" i="21" a="1"/>
  <c r="BK169" i="21" s="1"/>
  <c r="BL169" i="21" a="1"/>
  <c r="BL169" i="21" s="1"/>
  <c r="BM169" i="21" a="1"/>
  <c r="BM169" i="21" s="1"/>
  <c r="BN169" i="21" a="1"/>
  <c r="BN169" i="21" s="1"/>
  <c r="BO169" i="21" a="1"/>
  <c r="BO169" i="21" s="1"/>
  <c r="BP169" i="21" a="1"/>
  <c r="BP169" i="21" s="1"/>
  <c r="BQ169" i="21" a="1"/>
  <c r="BQ169" i="21" s="1"/>
  <c r="BR169" i="21" a="1"/>
  <c r="BR169" i="21" s="1"/>
  <c r="BS169" i="21" a="1"/>
  <c r="BS169" i="21" s="1"/>
  <c r="BT169" i="21" a="1"/>
  <c r="BT169" i="21" s="1"/>
  <c r="BU169" i="21" a="1"/>
  <c r="BU169" i="21" s="1"/>
  <c r="BV169" i="21" a="1"/>
  <c r="BV169" i="21" s="1"/>
  <c r="BW169" i="21" a="1"/>
  <c r="BW169" i="21" s="1"/>
  <c r="BX169" i="21" a="1"/>
  <c r="BX169" i="21" s="1"/>
  <c r="BY169" i="21" a="1"/>
  <c r="BY169" i="21" s="1"/>
  <c r="BZ169" i="21" a="1"/>
  <c r="BZ169" i="21" s="1"/>
  <c r="CA169" i="21" a="1"/>
  <c r="CA169" i="21" s="1"/>
  <c r="CB169" i="21" a="1"/>
  <c r="CB169" i="21" s="1"/>
  <c r="CC169" i="21" a="1"/>
  <c r="CC169" i="21" s="1"/>
  <c r="CD169" i="21" a="1"/>
  <c r="CD169" i="21" s="1"/>
  <c r="CE169" i="21" a="1"/>
  <c r="CE169" i="21" s="1"/>
  <c r="CF169" i="21" a="1"/>
  <c r="CF169" i="21" s="1"/>
  <c r="CG169" i="21" a="1"/>
  <c r="CG169" i="21" s="1"/>
  <c r="CH169" i="21" a="1"/>
  <c r="CH169" i="21" s="1"/>
  <c r="CI169" i="21" a="1"/>
  <c r="CI169" i="21" s="1"/>
  <c r="CJ169" i="21" a="1"/>
  <c r="CJ169" i="21" s="1"/>
  <c r="CK169" i="21" a="1"/>
  <c r="CK169" i="21" s="1"/>
  <c r="CL169" i="21" a="1"/>
  <c r="CL169" i="21" s="1"/>
  <c r="CM169" i="21" a="1"/>
  <c r="CM169" i="21" s="1"/>
  <c r="CN169" i="21" a="1"/>
  <c r="CN169" i="21" s="1"/>
  <c r="CO169" i="21" a="1"/>
  <c r="CO169" i="21" s="1"/>
  <c r="CP169" i="21" a="1"/>
  <c r="CP169" i="21" s="1"/>
  <c r="CQ169" i="21" a="1"/>
  <c r="CQ169" i="21" s="1"/>
  <c r="CR169" i="21" a="1"/>
  <c r="CR169" i="21" s="1"/>
  <c r="CS169" i="21" a="1"/>
  <c r="CS169" i="21" s="1"/>
  <c r="CT169" i="21" a="1"/>
  <c r="CT169" i="21" s="1"/>
  <c r="CU169" i="21" a="1"/>
  <c r="CU169" i="21" s="1"/>
  <c r="CV169" i="21" a="1"/>
  <c r="CV169" i="21" s="1"/>
  <c r="CW169" i="21" a="1"/>
  <c r="CW169" i="21" s="1"/>
  <c r="N170" i="21" a="1"/>
  <c r="N170" i="21" s="1"/>
  <c r="O170" i="21" a="1"/>
  <c r="O170" i="21" s="1"/>
  <c r="P170" i="21" a="1"/>
  <c r="P170" i="21" s="1"/>
  <c r="Q170" i="21" a="1"/>
  <c r="Q170" i="21" s="1"/>
  <c r="R170" i="21" a="1"/>
  <c r="R170" i="21" s="1"/>
  <c r="S170" i="21" a="1"/>
  <c r="S170" i="21" s="1"/>
  <c r="T170" i="21" a="1"/>
  <c r="T170" i="21" s="1"/>
  <c r="U170" i="21" a="1"/>
  <c r="U170" i="21" s="1"/>
  <c r="V170" i="21" a="1"/>
  <c r="V170" i="21" s="1"/>
  <c r="W170" i="21" a="1"/>
  <c r="W170" i="21" s="1"/>
  <c r="X170" i="21" a="1"/>
  <c r="X170" i="21" s="1"/>
  <c r="Y170" i="21" a="1"/>
  <c r="Y170" i="21" s="1"/>
  <c r="Z170" i="21" a="1"/>
  <c r="Z170" i="21" s="1"/>
  <c r="AA170" i="21" a="1"/>
  <c r="AA170" i="21" s="1"/>
  <c r="AB170" i="21" a="1"/>
  <c r="AB170" i="21" s="1"/>
  <c r="AC170" i="21" a="1"/>
  <c r="AC170" i="21" s="1"/>
  <c r="AD170" i="21" a="1"/>
  <c r="AD170" i="21" s="1"/>
  <c r="AE170" i="21" a="1"/>
  <c r="AE170" i="21" s="1"/>
  <c r="AF170" i="21" a="1"/>
  <c r="AF170" i="21" s="1"/>
  <c r="AG170" i="21" a="1"/>
  <c r="AG170" i="21" s="1"/>
  <c r="AH170" i="21" a="1"/>
  <c r="AH170" i="21" s="1"/>
  <c r="AI170" i="21" a="1"/>
  <c r="AI170" i="21" s="1"/>
  <c r="AJ170" i="21" a="1"/>
  <c r="AJ170" i="21" s="1"/>
  <c r="AK170" i="21" a="1"/>
  <c r="AK170" i="21" s="1"/>
  <c r="AL170" i="21" a="1"/>
  <c r="AL170" i="21" s="1"/>
  <c r="AM170" i="21" a="1"/>
  <c r="AM170" i="21" s="1"/>
  <c r="AN170" i="21" a="1"/>
  <c r="AN170" i="21" s="1"/>
  <c r="AO170" i="21" a="1"/>
  <c r="AO170" i="21" s="1"/>
  <c r="AP170" i="21" a="1"/>
  <c r="AP170" i="21" s="1"/>
  <c r="AQ170" i="21" a="1"/>
  <c r="AQ170" i="21" s="1"/>
  <c r="AR170" i="21" a="1"/>
  <c r="AR170" i="21" s="1"/>
  <c r="AS170" i="21" a="1"/>
  <c r="AS170" i="21" s="1"/>
  <c r="AT170" i="21" a="1"/>
  <c r="AT170" i="21" s="1"/>
  <c r="AU170" i="21" a="1"/>
  <c r="AU170" i="21" s="1"/>
  <c r="AV170" i="21" a="1"/>
  <c r="AV170" i="21" s="1"/>
  <c r="AW170" i="21" a="1"/>
  <c r="AW170" i="21" s="1"/>
  <c r="AX170" i="21" a="1"/>
  <c r="AX170" i="21" s="1"/>
  <c r="AY170" i="21" a="1"/>
  <c r="AY170" i="21" s="1"/>
  <c r="AZ170" i="21" a="1"/>
  <c r="AZ170" i="21" s="1"/>
  <c r="BA170" i="21" a="1"/>
  <c r="BA170" i="21" s="1"/>
  <c r="BB170" i="21" a="1"/>
  <c r="BB170" i="21" s="1"/>
  <c r="BC170" i="21" a="1"/>
  <c r="BC170" i="21" s="1"/>
  <c r="BD170" i="21" a="1"/>
  <c r="BD170" i="21" s="1"/>
  <c r="BE170" i="21" a="1"/>
  <c r="BE170" i="21" s="1"/>
  <c r="BF170" i="21" a="1"/>
  <c r="BF170" i="21" s="1"/>
  <c r="BG170" i="21" a="1"/>
  <c r="BG170" i="21" s="1"/>
  <c r="BH170" i="21" a="1"/>
  <c r="BH170" i="21" s="1"/>
  <c r="BI170" i="21" a="1"/>
  <c r="BI170" i="21" s="1"/>
  <c r="BJ170" i="21" a="1"/>
  <c r="BJ170" i="21" s="1"/>
  <c r="BK170" i="21" a="1"/>
  <c r="BK170" i="21" s="1"/>
  <c r="BL170" i="21" a="1"/>
  <c r="BL170" i="21" s="1"/>
  <c r="BM170" i="21" a="1"/>
  <c r="BM170" i="21" s="1"/>
  <c r="BN170" i="21" a="1"/>
  <c r="BN170" i="21" s="1"/>
  <c r="BO170" i="21" a="1"/>
  <c r="BO170" i="21" s="1"/>
  <c r="BP170" i="21" a="1"/>
  <c r="BP170" i="21" s="1"/>
  <c r="BQ170" i="21" a="1"/>
  <c r="BQ170" i="21" s="1"/>
  <c r="BR170" i="21" a="1"/>
  <c r="BR170" i="21" s="1"/>
  <c r="BS170" i="21" a="1"/>
  <c r="BS170" i="21" s="1"/>
  <c r="BT170" i="21" a="1"/>
  <c r="BT170" i="21" s="1"/>
  <c r="BU170" i="21" a="1"/>
  <c r="BU170" i="21" s="1"/>
  <c r="BV170" i="21" a="1"/>
  <c r="BV170" i="21" s="1"/>
  <c r="BW170" i="21" a="1"/>
  <c r="BW170" i="21" s="1"/>
  <c r="BX170" i="21" a="1"/>
  <c r="BX170" i="21" s="1"/>
  <c r="BY170" i="21" a="1"/>
  <c r="BY170" i="21" s="1"/>
  <c r="BZ170" i="21" a="1"/>
  <c r="BZ170" i="21" s="1"/>
  <c r="CA170" i="21" a="1"/>
  <c r="CA170" i="21" s="1"/>
  <c r="CB170" i="21" a="1"/>
  <c r="CB170" i="21" s="1"/>
  <c r="CC170" i="21" a="1"/>
  <c r="CC170" i="21" s="1"/>
  <c r="CD170" i="21" a="1"/>
  <c r="CD170" i="21" s="1"/>
  <c r="CE170" i="21" a="1"/>
  <c r="CE170" i="21" s="1"/>
  <c r="CF170" i="21" a="1"/>
  <c r="CF170" i="21" s="1"/>
  <c r="CG170" i="21" a="1"/>
  <c r="CG170" i="21" s="1"/>
  <c r="CH170" i="21" a="1"/>
  <c r="CH170" i="21" s="1"/>
  <c r="CI170" i="21" a="1"/>
  <c r="CI170" i="21" s="1"/>
  <c r="CJ170" i="21" a="1"/>
  <c r="CJ170" i="21" s="1"/>
  <c r="CK170" i="21" a="1"/>
  <c r="CK170" i="21" s="1"/>
  <c r="CL170" i="21" a="1"/>
  <c r="CL170" i="21" s="1"/>
  <c r="CM170" i="21" a="1"/>
  <c r="CM170" i="21" s="1"/>
  <c r="CN170" i="21" a="1"/>
  <c r="CN170" i="21" s="1"/>
  <c r="CO170" i="21" a="1"/>
  <c r="CO170" i="21" s="1"/>
  <c r="CP170" i="21" a="1"/>
  <c r="CP170" i="21" s="1"/>
  <c r="CQ170" i="21" a="1"/>
  <c r="CQ170" i="21" s="1"/>
  <c r="CR170" i="21" a="1"/>
  <c r="CR170" i="21" s="1"/>
  <c r="CS170" i="21" a="1"/>
  <c r="CS170" i="21" s="1"/>
  <c r="CT170" i="21" a="1"/>
  <c r="CT170" i="21" s="1"/>
  <c r="CU170" i="21" a="1"/>
  <c r="CU170" i="21" s="1"/>
  <c r="CV170" i="21" a="1"/>
  <c r="CV170" i="21" s="1"/>
  <c r="CW170" i="21" a="1"/>
  <c r="CW170" i="21" s="1"/>
  <c r="N171" i="21" a="1"/>
  <c r="N171" i="21" s="1"/>
  <c r="O171" i="21" a="1"/>
  <c r="O171" i="21" s="1"/>
  <c r="P171" i="21" a="1"/>
  <c r="P171" i="21" s="1"/>
  <c r="Q171" i="21" a="1"/>
  <c r="Q171" i="21" s="1"/>
  <c r="R171" i="21" a="1"/>
  <c r="R171" i="21" s="1"/>
  <c r="S171" i="21" a="1"/>
  <c r="S171" i="21" s="1"/>
  <c r="T171" i="21" a="1"/>
  <c r="T171" i="21" s="1"/>
  <c r="U171" i="21" a="1"/>
  <c r="U171" i="21" s="1"/>
  <c r="V171" i="21" a="1"/>
  <c r="V171" i="21" s="1"/>
  <c r="W171" i="21" a="1"/>
  <c r="W171" i="21" s="1"/>
  <c r="X171" i="21" a="1"/>
  <c r="X171" i="21" s="1"/>
  <c r="Y171" i="21" a="1"/>
  <c r="Y171" i="21" s="1"/>
  <c r="Z171" i="21" a="1"/>
  <c r="Z171" i="21" s="1"/>
  <c r="AA171" i="21" a="1"/>
  <c r="AA171" i="21" s="1"/>
  <c r="AB171" i="21" a="1"/>
  <c r="AB171" i="21" s="1"/>
  <c r="AC171" i="21" a="1"/>
  <c r="AC171" i="21" s="1"/>
  <c r="AD171" i="21" a="1"/>
  <c r="AD171" i="21" s="1"/>
  <c r="AE171" i="21" a="1"/>
  <c r="AE171" i="21" s="1"/>
  <c r="AF171" i="21" a="1"/>
  <c r="AF171" i="21" s="1"/>
  <c r="AG171" i="21" a="1"/>
  <c r="AG171" i="21" s="1"/>
  <c r="AH171" i="21" a="1"/>
  <c r="AH171" i="21" s="1"/>
  <c r="AI171" i="21" a="1"/>
  <c r="AI171" i="21" s="1"/>
  <c r="AJ171" i="21" a="1"/>
  <c r="AJ171" i="21" s="1"/>
  <c r="AK171" i="21" a="1"/>
  <c r="AK171" i="21" s="1"/>
  <c r="AL171" i="21" a="1"/>
  <c r="AL171" i="21" s="1"/>
  <c r="AM171" i="21" a="1"/>
  <c r="AM171" i="21" s="1"/>
  <c r="AN171" i="21" a="1"/>
  <c r="AN171" i="21" s="1"/>
  <c r="AO171" i="21" a="1"/>
  <c r="AO171" i="21" s="1"/>
  <c r="AP171" i="21" a="1"/>
  <c r="AP171" i="21" s="1"/>
  <c r="AQ171" i="21" a="1"/>
  <c r="AQ171" i="21" s="1"/>
  <c r="AR171" i="21" a="1"/>
  <c r="AR171" i="21" s="1"/>
  <c r="AS171" i="21" a="1"/>
  <c r="AS171" i="21" s="1"/>
  <c r="AT171" i="21" a="1"/>
  <c r="AT171" i="21" s="1"/>
  <c r="AU171" i="21" a="1"/>
  <c r="AU171" i="21" s="1"/>
  <c r="AV171" i="21" a="1"/>
  <c r="AV171" i="21" s="1"/>
  <c r="AW171" i="21" a="1"/>
  <c r="AW171" i="21" s="1"/>
  <c r="AX171" i="21" a="1"/>
  <c r="AX171" i="21" s="1"/>
  <c r="AY171" i="21" a="1"/>
  <c r="AY171" i="21" s="1"/>
  <c r="AZ171" i="21" a="1"/>
  <c r="AZ171" i="21" s="1"/>
  <c r="BA171" i="21" a="1"/>
  <c r="BA171" i="21" s="1"/>
  <c r="BB171" i="21" a="1"/>
  <c r="BB171" i="21" s="1"/>
  <c r="BC171" i="21" a="1"/>
  <c r="BC171" i="21" s="1"/>
  <c r="BD171" i="21" a="1"/>
  <c r="BD171" i="21" s="1"/>
  <c r="BE171" i="21" a="1"/>
  <c r="BE171" i="21" s="1"/>
  <c r="BF171" i="21" a="1"/>
  <c r="BF171" i="21" s="1"/>
  <c r="BG171" i="21" a="1"/>
  <c r="BG171" i="21" s="1"/>
  <c r="BH171" i="21" a="1"/>
  <c r="BH171" i="21" s="1"/>
  <c r="BI171" i="21" a="1"/>
  <c r="BI171" i="21" s="1"/>
  <c r="BJ171" i="21" a="1"/>
  <c r="BJ171" i="21" s="1"/>
  <c r="BK171" i="21" a="1"/>
  <c r="BK171" i="21" s="1"/>
  <c r="BL171" i="21" a="1"/>
  <c r="BL171" i="21" s="1"/>
  <c r="BM171" i="21" a="1"/>
  <c r="BM171" i="21" s="1"/>
  <c r="BN171" i="21" a="1"/>
  <c r="BN171" i="21" s="1"/>
  <c r="BO171" i="21" a="1"/>
  <c r="BO171" i="21" s="1"/>
  <c r="BP171" i="21" a="1"/>
  <c r="BP171" i="21" s="1"/>
  <c r="BQ171" i="21" a="1"/>
  <c r="BQ171" i="21" s="1"/>
  <c r="BR171" i="21" a="1"/>
  <c r="BR171" i="21" s="1"/>
  <c r="BS171" i="21" a="1"/>
  <c r="BS171" i="21" s="1"/>
  <c r="BT171" i="21" a="1"/>
  <c r="BT171" i="21" s="1"/>
  <c r="BU171" i="21" a="1"/>
  <c r="BU171" i="21" s="1"/>
  <c r="BV171" i="21" a="1"/>
  <c r="BV171" i="21" s="1"/>
  <c r="BW171" i="21" a="1"/>
  <c r="BW171" i="21" s="1"/>
  <c r="BX171" i="21" a="1"/>
  <c r="BX171" i="21" s="1"/>
  <c r="BY171" i="21" a="1"/>
  <c r="BY171" i="21" s="1"/>
  <c r="BZ171" i="21" a="1"/>
  <c r="BZ171" i="21" s="1"/>
  <c r="CA171" i="21" a="1"/>
  <c r="CA171" i="21" s="1"/>
  <c r="CB171" i="21" a="1"/>
  <c r="CB171" i="21" s="1"/>
  <c r="CC171" i="21" a="1"/>
  <c r="CC171" i="21" s="1"/>
  <c r="CD171" i="21" a="1"/>
  <c r="CD171" i="21" s="1"/>
  <c r="CE171" i="21" a="1"/>
  <c r="CE171" i="21" s="1"/>
  <c r="CF171" i="21" a="1"/>
  <c r="CF171" i="21" s="1"/>
  <c r="CG171" i="21" a="1"/>
  <c r="CG171" i="21" s="1"/>
  <c r="CH171" i="21" a="1"/>
  <c r="CH171" i="21" s="1"/>
  <c r="CI171" i="21" a="1"/>
  <c r="CI171" i="21" s="1"/>
  <c r="CJ171" i="21" a="1"/>
  <c r="CJ171" i="21" s="1"/>
  <c r="CK171" i="21" a="1"/>
  <c r="CK171" i="21" s="1"/>
  <c r="CL171" i="21" a="1"/>
  <c r="CL171" i="21" s="1"/>
  <c r="CM171" i="21" a="1"/>
  <c r="CM171" i="21" s="1"/>
  <c r="CN171" i="21" a="1"/>
  <c r="CN171" i="21" s="1"/>
  <c r="CO171" i="21" a="1"/>
  <c r="CO171" i="21" s="1"/>
  <c r="CP171" i="21" a="1"/>
  <c r="CP171" i="21" s="1"/>
  <c r="CQ171" i="21" a="1"/>
  <c r="CQ171" i="21" s="1"/>
  <c r="CR171" i="21" a="1"/>
  <c r="CR171" i="21" s="1"/>
  <c r="CS171" i="21" a="1"/>
  <c r="CS171" i="21" s="1"/>
  <c r="CT171" i="21" a="1"/>
  <c r="CT171" i="21" s="1"/>
  <c r="CU171" i="21" a="1"/>
  <c r="CU171" i="21" s="1"/>
  <c r="CV171" i="21" a="1"/>
  <c r="CV171" i="21" s="1"/>
  <c r="CW171" i="21" a="1"/>
  <c r="CW171" i="21" s="1"/>
  <c r="N172" i="21" a="1"/>
  <c r="N172" i="21" s="1"/>
  <c r="O172" i="21" a="1"/>
  <c r="O172" i="21" s="1"/>
  <c r="P172" i="21" a="1"/>
  <c r="P172" i="21" s="1"/>
  <c r="Q172" i="21" a="1"/>
  <c r="Q172" i="21" s="1"/>
  <c r="R172" i="21" a="1"/>
  <c r="R172" i="21" s="1"/>
  <c r="S172" i="21" a="1"/>
  <c r="S172" i="21" s="1"/>
  <c r="T172" i="21" a="1"/>
  <c r="T172" i="21" s="1"/>
  <c r="U172" i="21" a="1"/>
  <c r="U172" i="21" s="1"/>
  <c r="V172" i="21" a="1"/>
  <c r="V172" i="21" s="1"/>
  <c r="W172" i="21" a="1"/>
  <c r="W172" i="21" s="1"/>
  <c r="X172" i="21" a="1"/>
  <c r="X172" i="21" s="1"/>
  <c r="Y172" i="21" a="1"/>
  <c r="Y172" i="21" s="1"/>
  <c r="Z172" i="21" a="1"/>
  <c r="Z172" i="21" s="1"/>
  <c r="AA172" i="21" a="1"/>
  <c r="AA172" i="21" s="1"/>
  <c r="AB172" i="21" a="1"/>
  <c r="AB172" i="21" s="1"/>
  <c r="AC172" i="21" a="1"/>
  <c r="AC172" i="21" s="1"/>
  <c r="AD172" i="21" a="1"/>
  <c r="AD172" i="21" s="1"/>
  <c r="AE172" i="21" a="1"/>
  <c r="AE172" i="21" s="1"/>
  <c r="AF172" i="21" a="1"/>
  <c r="AF172" i="21" s="1"/>
  <c r="AG172" i="21" a="1"/>
  <c r="AG172" i="21" s="1"/>
  <c r="AH172" i="21" a="1"/>
  <c r="AH172" i="21" s="1"/>
  <c r="AI172" i="21" a="1"/>
  <c r="AI172" i="21" s="1"/>
  <c r="AJ172" i="21" a="1"/>
  <c r="AJ172" i="21" s="1"/>
  <c r="AK172" i="21" a="1"/>
  <c r="AK172" i="21" s="1"/>
  <c r="AL172" i="21" a="1"/>
  <c r="AL172" i="21" s="1"/>
  <c r="AM172" i="21" a="1"/>
  <c r="AM172" i="21" s="1"/>
  <c r="AN172" i="21" a="1"/>
  <c r="AN172" i="21" s="1"/>
  <c r="AO172" i="21" a="1"/>
  <c r="AO172" i="21" s="1"/>
  <c r="AP172" i="21" a="1"/>
  <c r="AP172" i="21" s="1"/>
  <c r="AQ172" i="21" a="1"/>
  <c r="AQ172" i="21" s="1"/>
  <c r="AR172" i="21" a="1"/>
  <c r="AR172" i="21" s="1"/>
  <c r="AS172" i="21" a="1"/>
  <c r="AS172" i="21" s="1"/>
  <c r="AT172" i="21" a="1"/>
  <c r="AT172" i="21" s="1"/>
  <c r="AU172" i="21" a="1"/>
  <c r="AU172" i="21" s="1"/>
  <c r="AV172" i="21" a="1"/>
  <c r="AV172" i="21" s="1"/>
  <c r="AW172" i="21" a="1"/>
  <c r="AW172" i="21" s="1"/>
  <c r="AX172" i="21" a="1"/>
  <c r="AX172" i="21" s="1"/>
  <c r="AY172" i="21" a="1"/>
  <c r="AY172" i="21" s="1"/>
  <c r="AZ172" i="21" a="1"/>
  <c r="AZ172" i="21" s="1"/>
  <c r="BA172" i="21" a="1"/>
  <c r="BA172" i="21" s="1"/>
  <c r="BB172" i="21" a="1"/>
  <c r="BB172" i="21" s="1"/>
  <c r="BC172" i="21" a="1"/>
  <c r="BC172" i="21" s="1"/>
  <c r="BD172" i="21" a="1"/>
  <c r="BD172" i="21" s="1"/>
  <c r="BE172" i="21" a="1"/>
  <c r="BE172" i="21" s="1"/>
  <c r="BF172" i="21" a="1"/>
  <c r="BF172" i="21" s="1"/>
  <c r="BG172" i="21" a="1"/>
  <c r="BG172" i="21" s="1"/>
  <c r="BH172" i="21" a="1"/>
  <c r="BH172" i="21" s="1"/>
  <c r="BI172" i="21" a="1"/>
  <c r="BI172" i="21" s="1"/>
  <c r="BJ172" i="21" a="1"/>
  <c r="BJ172" i="21" s="1"/>
  <c r="BK172" i="21" a="1"/>
  <c r="BK172" i="21" s="1"/>
  <c r="BL172" i="21" a="1"/>
  <c r="BL172" i="21" s="1"/>
  <c r="BM172" i="21" a="1"/>
  <c r="BM172" i="21" s="1"/>
  <c r="BN172" i="21" a="1"/>
  <c r="BN172" i="21" s="1"/>
  <c r="BO172" i="21" a="1"/>
  <c r="BO172" i="21" s="1"/>
  <c r="BP172" i="21" a="1"/>
  <c r="BP172" i="21" s="1"/>
  <c r="BQ172" i="21" a="1"/>
  <c r="BQ172" i="21" s="1"/>
  <c r="BR172" i="21" a="1"/>
  <c r="BR172" i="21" s="1"/>
  <c r="BS172" i="21" a="1"/>
  <c r="BS172" i="21" s="1"/>
  <c r="BT172" i="21" a="1"/>
  <c r="BT172" i="21" s="1"/>
  <c r="BU172" i="21" a="1"/>
  <c r="BU172" i="21" s="1"/>
  <c r="BV172" i="21" a="1"/>
  <c r="BV172" i="21" s="1"/>
  <c r="BW172" i="21" a="1"/>
  <c r="BW172" i="21" s="1"/>
  <c r="BX172" i="21" a="1"/>
  <c r="BX172" i="21" s="1"/>
  <c r="BY172" i="21" a="1"/>
  <c r="BY172" i="21" s="1"/>
  <c r="BZ172" i="21" a="1"/>
  <c r="BZ172" i="21" s="1"/>
  <c r="CA172" i="21" a="1"/>
  <c r="CA172" i="21" s="1"/>
  <c r="CB172" i="21" a="1"/>
  <c r="CB172" i="21" s="1"/>
  <c r="CC172" i="21" a="1"/>
  <c r="CC172" i="21" s="1"/>
  <c r="CD172" i="21" a="1"/>
  <c r="CD172" i="21" s="1"/>
  <c r="CE172" i="21" a="1"/>
  <c r="CE172" i="21" s="1"/>
  <c r="CF172" i="21" a="1"/>
  <c r="CF172" i="21" s="1"/>
  <c r="CG172" i="21" a="1"/>
  <c r="CG172" i="21" s="1"/>
  <c r="CH172" i="21" a="1"/>
  <c r="CH172" i="21" s="1"/>
  <c r="CI172" i="21" a="1"/>
  <c r="CI172" i="21" s="1"/>
  <c r="CJ172" i="21" a="1"/>
  <c r="CJ172" i="21" s="1"/>
  <c r="CK172" i="21" a="1"/>
  <c r="CK172" i="21" s="1"/>
  <c r="CL172" i="21" a="1"/>
  <c r="CL172" i="21" s="1"/>
  <c r="CM172" i="21" a="1"/>
  <c r="CM172" i="21" s="1"/>
  <c r="CN172" i="21" a="1"/>
  <c r="CN172" i="21" s="1"/>
  <c r="CO172" i="21" a="1"/>
  <c r="CO172" i="21" s="1"/>
  <c r="CP172" i="21" a="1"/>
  <c r="CP172" i="21" s="1"/>
  <c r="CQ172" i="21" a="1"/>
  <c r="CQ172" i="21" s="1"/>
  <c r="CR172" i="21" a="1"/>
  <c r="CR172" i="21" s="1"/>
  <c r="CS172" i="21" a="1"/>
  <c r="CS172" i="21" s="1"/>
  <c r="CT172" i="21" a="1"/>
  <c r="CT172" i="21" s="1"/>
  <c r="CU172" i="21" a="1"/>
  <c r="CU172" i="21" s="1"/>
  <c r="CV172" i="21" a="1"/>
  <c r="CV172" i="21" s="1"/>
  <c r="CW172" i="21" a="1"/>
  <c r="CW172" i="21" s="1"/>
  <c r="N173" i="21" a="1"/>
  <c r="N173" i="21" s="1"/>
  <c r="O173" i="21" a="1"/>
  <c r="O173" i="21" s="1"/>
  <c r="P173" i="21" a="1"/>
  <c r="P173" i="21" s="1"/>
  <c r="Q173" i="21" a="1"/>
  <c r="Q173" i="21" s="1"/>
  <c r="R173" i="21" a="1"/>
  <c r="R173" i="21" s="1"/>
  <c r="S173" i="21" a="1"/>
  <c r="S173" i="21" s="1"/>
  <c r="T173" i="21" a="1"/>
  <c r="T173" i="21" s="1"/>
  <c r="U173" i="21" a="1"/>
  <c r="U173" i="21" s="1"/>
  <c r="V173" i="21" a="1"/>
  <c r="V173" i="21" s="1"/>
  <c r="W173" i="21" a="1"/>
  <c r="W173" i="21" s="1"/>
  <c r="X173" i="21" a="1"/>
  <c r="X173" i="21" s="1"/>
  <c r="Y173" i="21" a="1"/>
  <c r="Y173" i="21" s="1"/>
  <c r="Z173" i="21" a="1"/>
  <c r="Z173" i="21" s="1"/>
  <c r="AA173" i="21" a="1"/>
  <c r="AA173" i="21" s="1"/>
  <c r="AB173" i="21" a="1"/>
  <c r="AB173" i="21" s="1"/>
  <c r="AC173" i="21" a="1"/>
  <c r="AC173" i="21" s="1"/>
  <c r="AD173" i="21" a="1"/>
  <c r="AD173" i="21" s="1"/>
  <c r="AE173" i="21" a="1"/>
  <c r="AE173" i="21" s="1"/>
  <c r="AF173" i="21" a="1"/>
  <c r="AF173" i="21" s="1"/>
  <c r="AG173" i="21" a="1"/>
  <c r="AG173" i="21" s="1"/>
  <c r="AH173" i="21" a="1"/>
  <c r="AH173" i="21" s="1"/>
  <c r="AI173" i="21" a="1"/>
  <c r="AI173" i="21" s="1"/>
  <c r="AJ173" i="21" a="1"/>
  <c r="AJ173" i="21" s="1"/>
  <c r="AK173" i="21" a="1"/>
  <c r="AK173" i="21" s="1"/>
  <c r="AL173" i="21" a="1"/>
  <c r="AL173" i="21" s="1"/>
  <c r="AM173" i="21" a="1"/>
  <c r="AM173" i="21" s="1"/>
  <c r="AN173" i="21" a="1"/>
  <c r="AN173" i="21" s="1"/>
  <c r="AO173" i="21" a="1"/>
  <c r="AO173" i="21" s="1"/>
  <c r="AP173" i="21" a="1"/>
  <c r="AP173" i="21" s="1"/>
  <c r="AQ173" i="21" a="1"/>
  <c r="AQ173" i="21" s="1"/>
  <c r="AR173" i="21" a="1"/>
  <c r="AR173" i="21" s="1"/>
  <c r="AS173" i="21" a="1"/>
  <c r="AS173" i="21" s="1"/>
  <c r="AT173" i="21" a="1"/>
  <c r="AT173" i="21" s="1"/>
  <c r="AU173" i="21" a="1"/>
  <c r="AU173" i="21" s="1"/>
  <c r="AV173" i="21" a="1"/>
  <c r="AV173" i="21" s="1"/>
  <c r="AW173" i="21" a="1"/>
  <c r="AW173" i="21" s="1"/>
  <c r="AX173" i="21" a="1"/>
  <c r="AX173" i="21" s="1"/>
  <c r="AY173" i="21" a="1"/>
  <c r="AY173" i="21" s="1"/>
  <c r="AZ173" i="21" a="1"/>
  <c r="AZ173" i="21" s="1"/>
  <c r="BA173" i="21" a="1"/>
  <c r="BA173" i="21" s="1"/>
  <c r="BB173" i="21" a="1"/>
  <c r="BB173" i="21" s="1"/>
  <c r="BC173" i="21" a="1"/>
  <c r="BC173" i="21" s="1"/>
  <c r="BD173" i="21" a="1"/>
  <c r="BD173" i="21" s="1"/>
  <c r="BE173" i="21" a="1"/>
  <c r="BE173" i="21" s="1"/>
  <c r="BF173" i="21" a="1"/>
  <c r="BF173" i="21" s="1"/>
  <c r="BG173" i="21" a="1"/>
  <c r="BG173" i="21" s="1"/>
  <c r="BH173" i="21" a="1"/>
  <c r="BH173" i="21" s="1"/>
  <c r="BI173" i="21" a="1"/>
  <c r="BI173" i="21" s="1"/>
  <c r="BJ173" i="21" a="1"/>
  <c r="BJ173" i="21" s="1"/>
  <c r="BK173" i="21" a="1"/>
  <c r="BK173" i="21" s="1"/>
  <c r="BL173" i="21" a="1"/>
  <c r="BL173" i="21" s="1"/>
  <c r="BM173" i="21" a="1"/>
  <c r="BM173" i="21" s="1"/>
  <c r="BN173" i="21" a="1"/>
  <c r="BN173" i="21" s="1"/>
  <c r="BO173" i="21" a="1"/>
  <c r="BO173" i="21" s="1"/>
  <c r="BP173" i="21" a="1"/>
  <c r="BP173" i="21" s="1"/>
  <c r="BQ173" i="21" a="1"/>
  <c r="BQ173" i="21" s="1"/>
  <c r="BR173" i="21" a="1"/>
  <c r="BR173" i="21" s="1"/>
  <c r="BS173" i="21" a="1"/>
  <c r="BS173" i="21" s="1"/>
  <c r="BT173" i="21" a="1"/>
  <c r="BT173" i="21" s="1"/>
  <c r="BU173" i="21" a="1"/>
  <c r="BU173" i="21" s="1"/>
  <c r="BV173" i="21" a="1"/>
  <c r="BV173" i="21" s="1"/>
  <c r="BW173" i="21" a="1"/>
  <c r="BW173" i="21" s="1"/>
  <c r="BX173" i="21" a="1"/>
  <c r="BX173" i="21" s="1"/>
  <c r="BY173" i="21" a="1"/>
  <c r="BY173" i="21" s="1"/>
  <c r="BZ173" i="21" a="1"/>
  <c r="BZ173" i="21" s="1"/>
  <c r="CA173" i="21" a="1"/>
  <c r="CA173" i="21" s="1"/>
  <c r="CB173" i="21" a="1"/>
  <c r="CB173" i="21" s="1"/>
  <c r="CC173" i="21" a="1"/>
  <c r="CC173" i="21" s="1"/>
  <c r="CD173" i="21" a="1"/>
  <c r="CD173" i="21" s="1"/>
  <c r="CE173" i="21" a="1"/>
  <c r="CE173" i="21" s="1"/>
  <c r="CF173" i="21" a="1"/>
  <c r="CF173" i="21" s="1"/>
  <c r="CG173" i="21" a="1"/>
  <c r="CG173" i="21" s="1"/>
  <c r="CH173" i="21" a="1"/>
  <c r="CH173" i="21" s="1"/>
  <c r="CI173" i="21" a="1"/>
  <c r="CI173" i="21" s="1"/>
  <c r="CJ173" i="21" a="1"/>
  <c r="CJ173" i="21" s="1"/>
  <c r="CK173" i="21" a="1"/>
  <c r="CK173" i="21" s="1"/>
  <c r="CL173" i="21" a="1"/>
  <c r="CL173" i="21" s="1"/>
  <c r="CM173" i="21" a="1"/>
  <c r="CM173" i="21" s="1"/>
  <c r="CN173" i="21" a="1"/>
  <c r="CN173" i="21" s="1"/>
  <c r="CO173" i="21" a="1"/>
  <c r="CO173" i="21" s="1"/>
  <c r="CP173" i="21" a="1"/>
  <c r="CP173" i="21" s="1"/>
  <c r="CQ173" i="21" a="1"/>
  <c r="CQ173" i="21" s="1"/>
  <c r="CR173" i="21" a="1"/>
  <c r="CR173" i="21" s="1"/>
  <c r="CS173" i="21" a="1"/>
  <c r="CS173" i="21" s="1"/>
  <c r="CT173" i="21" a="1"/>
  <c r="CT173" i="21" s="1"/>
  <c r="CU173" i="21" a="1"/>
  <c r="CU173" i="21" s="1"/>
  <c r="CV173" i="21" a="1"/>
  <c r="CV173" i="21" s="1"/>
  <c r="CW173" i="21" a="1"/>
  <c r="CW173" i="21" s="1"/>
  <c r="N174" i="21" a="1"/>
  <c r="N174" i="21" s="1"/>
  <c r="O174" i="21" a="1"/>
  <c r="O174" i="21" s="1"/>
  <c r="P174" i="21" a="1"/>
  <c r="P174" i="21" s="1"/>
  <c r="Q174" i="21" a="1"/>
  <c r="Q174" i="21" s="1"/>
  <c r="R174" i="21" a="1"/>
  <c r="R174" i="21" s="1"/>
  <c r="S174" i="21" a="1"/>
  <c r="S174" i="21" s="1"/>
  <c r="T174" i="21" a="1"/>
  <c r="T174" i="21" s="1"/>
  <c r="U174" i="21" a="1"/>
  <c r="U174" i="21" s="1"/>
  <c r="V174" i="21" a="1"/>
  <c r="V174" i="21" s="1"/>
  <c r="W174" i="21" a="1"/>
  <c r="W174" i="21" s="1"/>
  <c r="X174" i="21" a="1"/>
  <c r="X174" i="21" s="1"/>
  <c r="Y174" i="21" a="1"/>
  <c r="Y174" i="21" s="1"/>
  <c r="Z174" i="21" a="1"/>
  <c r="Z174" i="21" s="1"/>
  <c r="AA174" i="21" a="1"/>
  <c r="AA174" i="21" s="1"/>
  <c r="AB174" i="21" a="1"/>
  <c r="AB174" i="21" s="1"/>
  <c r="AC174" i="21" a="1"/>
  <c r="AC174" i="21" s="1"/>
  <c r="AD174" i="21" a="1"/>
  <c r="AD174" i="21" s="1"/>
  <c r="AE174" i="21" a="1"/>
  <c r="AE174" i="21" s="1"/>
  <c r="AF174" i="21" a="1"/>
  <c r="AF174" i="21" s="1"/>
  <c r="AG174" i="21" a="1"/>
  <c r="AG174" i="21" s="1"/>
  <c r="AH174" i="21" a="1"/>
  <c r="AH174" i="21" s="1"/>
  <c r="AI174" i="21" a="1"/>
  <c r="AI174" i="21" s="1"/>
  <c r="AJ174" i="21" a="1"/>
  <c r="AJ174" i="21" s="1"/>
  <c r="AK174" i="21" a="1"/>
  <c r="AK174" i="21" s="1"/>
  <c r="AL174" i="21" a="1"/>
  <c r="AL174" i="21" s="1"/>
  <c r="AM174" i="21" a="1"/>
  <c r="AM174" i="21" s="1"/>
  <c r="AN174" i="21" a="1"/>
  <c r="AN174" i="21" s="1"/>
  <c r="AO174" i="21" a="1"/>
  <c r="AO174" i="21" s="1"/>
  <c r="AP174" i="21" a="1"/>
  <c r="AP174" i="21" s="1"/>
  <c r="AQ174" i="21" a="1"/>
  <c r="AQ174" i="21" s="1"/>
  <c r="AR174" i="21" a="1"/>
  <c r="AR174" i="21" s="1"/>
  <c r="AS174" i="21" a="1"/>
  <c r="AS174" i="21" s="1"/>
  <c r="AT174" i="21" a="1"/>
  <c r="AT174" i="21" s="1"/>
  <c r="AU174" i="21" a="1"/>
  <c r="AU174" i="21" s="1"/>
  <c r="AV174" i="21" a="1"/>
  <c r="AV174" i="21" s="1"/>
  <c r="AW174" i="21" a="1"/>
  <c r="AW174" i="21" s="1"/>
  <c r="AX174" i="21" a="1"/>
  <c r="AX174" i="21" s="1"/>
  <c r="AY174" i="21" a="1"/>
  <c r="AY174" i="21" s="1"/>
  <c r="AZ174" i="21" a="1"/>
  <c r="AZ174" i="21" s="1"/>
  <c r="BA174" i="21" a="1"/>
  <c r="BA174" i="21" s="1"/>
  <c r="BB174" i="21" a="1"/>
  <c r="BB174" i="21" s="1"/>
  <c r="BC174" i="21" a="1"/>
  <c r="BC174" i="21" s="1"/>
  <c r="BD174" i="21" a="1"/>
  <c r="BD174" i="21" s="1"/>
  <c r="BE174" i="21" a="1"/>
  <c r="BE174" i="21" s="1"/>
  <c r="BF174" i="21" a="1"/>
  <c r="BF174" i="21" s="1"/>
  <c r="BG174" i="21" a="1"/>
  <c r="BG174" i="21" s="1"/>
  <c r="BH174" i="21" a="1"/>
  <c r="BH174" i="21" s="1"/>
  <c r="BI174" i="21" a="1"/>
  <c r="BI174" i="21" s="1"/>
  <c r="BJ174" i="21" a="1"/>
  <c r="BJ174" i="21" s="1"/>
  <c r="BK174" i="21" a="1"/>
  <c r="BK174" i="21" s="1"/>
  <c r="BL174" i="21" a="1"/>
  <c r="BL174" i="21" s="1"/>
  <c r="BM174" i="21" a="1"/>
  <c r="BM174" i="21" s="1"/>
  <c r="BN174" i="21" a="1"/>
  <c r="BN174" i="21" s="1"/>
  <c r="BO174" i="21" a="1"/>
  <c r="BO174" i="21" s="1"/>
  <c r="BP174" i="21" a="1"/>
  <c r="BP174" i="21" s="1"/>
  <c r="BQ174" i="21" a="1"/>
  <c r="BQ174" i="21" s="1"/>
  <c r="BR174" i="21" a="1"/>
  <c r="BR174" i="21" s="1"/>
  <c r="BS174" i="21" a="1"/>
  <c r="BS174" i="21" s="1"/>
  <c r="BT174" i="21" a="1"/>
  <c r="BT174" i="21" s="1"/>
  <c r="BU174" i="21" a="1"/>
  <c r="BU174" i="21" s="1"/>
  <c r="BV174" i="21" a="1"/>
  <c r="BV174" i="21" s="1"/>
  <c r="BW174" i="21" a="1"/>
  <c r="BW174" i="21" s="1"/>
  <c r="BX174" i="21" a="1"/>
  <c r="BX174" i="21" s="1"/>
  <c r="BY174" i="21" a="1"/>
  <c r="BY174" i="21" s="1"/>
  <c r="BZ174" i="21" a="1"/>
  <c r="BZ174" i="21" s="1"/>
  <c r="CA174" i="21" a="1"/>
  <c r="CA174" i="21" s="1"/>
  <c r="CB174" i="21" a="1"/>
  <c r="CB174" i="21" s="1"/>
  <c r="CC174" i="21" a="1"/>
  <c r="CC174" i="21" s="1"/>
  <c r="CD174" i="21" a="1"/>
  <c r="CD174" i="21" s="1"/>
  <c r="CE174" i="21" a="1"/>
  <c r="CE174" i="21" s="1"/>
  <c r="CF174" i="21" a="1"/>
  <c r="CF174" i="21" s="1"/>
  <c r="CG174" i="21" a="1"/>
  <c r="CG174" i="21" s="1"/>
  <c r="CH174" i="21" a="1"/>
  <c r="CH174" i="21" s="1"/>
  <c r="CI174" i="21" a="1"/>
  <c r="CI174" i="21" s="1"/>
  <c r="CJ174" i="21" a="1"/>
  <c r="CJ174" i="21" s="1"/>
  <c r="CK174" i="21" a="1"/>
  <c r="CK174" i="21" s="1"/>
  <c r="CL174" i="21" a="1"/>
  <c r="CL174" i="21" s="1"/>
  <c r="CM174" i="21" a="1"/>
  <c r="CM174" i="21" s="1"/>
  <c r="CN174" i="21" a="1"/>
  <c r="CN174" i="21" s="1"/>
  <c r="CO174" i="21" a="1"/>
  <c r="CO174" i="21" s="1"/>
  <c r="CP174" i="21" a="1"/>
  <c r="CP174" i="21" s="1"/>
  <c r="CQ174" i="21" a="1"/>
  <c r="CQ174" i="21" s="1"/>
  <c r="CR174" i="21" a="1"/>
  <c r="CR174" i="21" s="1"/>
  <c r="CS174" i="21" a="1"/>
  <c r="CS174" i="21" s="1"/>
  <c r="CT174" i="21" a="1"/>
  <c r="CT174" i="21" s="1"/>
  <c r="CU174" i="21" a="1"/>
  <c r="CU174" i="21" s="1"/>
  <c r="CV174" i="21" a="1"/>
  <c r="CV174" i="21" s="1"/>
  <c r="CW174" i="21" a="1"/>
  <c r="CW174" i="21" s="1"/>
  <c r="N175" i="21" a="1"/>
  <c r="N175" i="21" s="1"/>
  <c r="O175" i="21" a="1"/>
  <c r="O175" i="21" s="1"/>
  <c r="P175" i="21" a="1"/>
  <c r="P175" i="21" s="1"/>
  <c r="Q175" i="21" a="1"/>
  <c r="Q175" i="21" s="1"/>
  <c r="R175" i="21" a="1"/>
  <c r="R175" i="21" s="1"/>
  <c r="S175" i="21" a="1"/>
  <c r="S175" i="21" s="1"/>
  <c r="T175" i="21" a="1"/>
  <c r="T175" i="21" s="1"/>
  <c r="U175" i="21" a="1"/>
  <c r="U175" i="21" s="1"/>
  <c r="V175" i="21" a="1"/>
  <c r="V175" i="21" s="1"/>
  <c r="W175" i="21" a="1"/>
  <c r="W175" i="21" s="1"/>
  <c r="X175" i="21" a="1"/>
  <c r="X175" i="21" s="1"/>
  <c r="Y175" i="21" a="1"/>
  <c r="Y175" i="21" s="1"/>
  <c r="Z175" i="21" a="1"/>
  <c r="Z175" i="21" s="1"/>
  <c r="AA175" i="21" a="1"/>
  <c r="AA175" i="21" s="1"/>
  <c r="AB175" i="21" a="1"/>
  <c r="AB175" i="21" s="1"/>
  <c r="AC175" i="21" a="1"/>
  <c r="AC175" i="21" s="1"/>
  <c r="AD175" i="21" a="1"/>
  <c r="AD175" i="21" s="1"/>
  <c r="AE175" i="21" a="1"/>
  <c r="AE175" i="21" s="1"/>
  <c r="AF175" i="21" a="1"/>
  <c r="AF175" i="21" s="1"/>
  <c r="AG175" i="21" a="1"/>
  <c r="AG175" i="21" s="1"/>
  <c r="AH175" i="21" a="1"/>
  <c r="AH175" i="21" s="1"/>
  <c r="AI175" i="21" a="1"/>
  <c r="AI175" i="21" s="1"/>
  <c r="AJ175" i="21" a="1"/>
  <c r="AJ175" i="21" s="1"/>
  <c r="AK175" i="21" a="1"/>
  <c r="AK175" i="21" s="1"/>
  <c r="AL175" i="21" a="1"/>
  <c r="AL175" i="21" s="1"/>
  <c r="AM175" i="21" a="1"/>
  <c r="AM175" i="21" s="1"/>
  <c r="AN175" i="21" a="1"/>
  <c r="AN175" i="21" s="1"/>
  <c r="AO175" i="21" a="1"/>
  <c r="AO175" i="21" s="1"/>
  <c r="AP175" i="21" a="1"/>
  <c r="AP175" i="21" s="1"/>
  <c r="AQ175" i="21" a="1"/>
  <c r="AQ175" i="21" s="1"/>
  <c r="AR175" i="21" a="1"/>
  <c r="AR175" i="21" s="1"/>
  <c r="AS175" i="21" a="1"/>
  <c r="AS175" i="21" s="1"/>
  <c r="AT175" i="21" a="1"/>
  <c r="AT175" i="21" s="1"/>
  <c r="AU175" i="21" a="1"/>
  <c r="AU175" i="21" s="1"/>
  <c r="AV175" i="21" a="1"/>
  <c r="AV175" i="21" s="1"/>
  <c r="AW175" i="21" a="1"/>
  <c r="AW175" i="21" s="1"/>
  <c r="AX175" i="21" a="1"/>
  <c r="AX175" i="21" s="1"/>
  <c r="AY175" i="21" a="1"/>
  <c r="AY175" i="21" s="1"/>
  <c r="AZ175" i="21" a="1"/>
  <c r="AZ175" i="21" s="1"/>
  <c r="BA175" i="21" a="1"/>
  <c r="BA175" i="21" s="1"/>
  <c r="BB175" i="21" a="1"/>
  <c r="BB175" i="21" s="1"/>
  <c r="BC175" i="21" a="1"/>
  <c r="BC175" i="21" s="1"/>
  <c r="BD175" i="21" a="1"/>
  <c r="BD175" i="21" s="1"/>
  <c r="BE175" i="21" a="1"/>
  <c r="BE175" i="21" s="1"/>
  <c r="BF175" i="21" a="1"/>
  <c r="BF175" i="21" s="1"/>
  <c r="BG175" i="21" a="1"/>
  <c r="BG175" i="21" s="1"/>
  <c r="BH175" i="21" a="1"/>
  <c r="BH175" i="21" s="1"/>
  <c r="BI175" i="21" a="1"/>
  <c r="BI175" i="21" s="1"/>
  <c r="BJ175" i="21" a="1"/>
  <c r="BJ175" i="21" s="1"/>
  <c r="BK175" i="21" a="1"/>
  <c r="BK175" i="21" s="1"/>
  <c r="BL175" i="21" a="1"/>
  <c r="BL175" i="21" s="1"/>
  <c r="BM175" i="21" a="1"/>
  <c r="BM175" i="21" s="1"/>
  <c r="BN175" i="21" a="1"/>
  <c r="BN175" i="21" s="1"/>
  <c r="BO175" i="21" a="1"/>
  <c r="BO175" i="21" s="1"/>
  <c r="BP175" i="21" a="1"/>
  <c r="BP175" i="21" s="1"/>
  <c r="BQ175" i="21" a="1"/>
  <c r="BQ175" i="21" s="1"/>
  <c r="BR175" i="21" a="1"/>
  <c r="BR175" i="21" s="1"/>
  <c r="BS175" i="21" a="1"/>
  <c r="BS175" i="21" s="1"/>
  <c r="BT175" i="21" a="1"/>
  <c r="BT175" i="21" s="1"/>
  <c r="BU175" i="21" a="1"/>
  <c r="BU175" i="21" s="1"/>
  <c r="BV175" i="21" a="1"/>
  <c r="BV175" i="21" s="1"/>
  <c r="BW175" i="21" a="1"/>
  <c r="BW175" i="21" s="1"/>
  <c r="BX175" i="21" a="1"/>
  <c r="BX175" i="21" s="1"/>
  <c r="BY175" i="21" a="1"/>
  <c r="BY175" i="21" s="1"/>
  <c r="BZ175" i="21" a="1"/>
  <c r="BZ175" i="21" s="1"/>
  <c r="CA175" i="21" a="1"/>
  <c r="CA175" i="21" s="1"/>
  <c r="CB175" i="21" a="1"/>
  <c r="CB175" i="21" s="1"/>
  <c r="CC175" i="21" a="1"/>
  <c r="CC175" i="21" s="1"/>
  <c r="CD175" i="21" a="1"/>
  <c r="CD175" i="21" s="1"/>
  <c r="CE175" i="21" a="1"/>
  <c r="CE175" i="21" s="1"/>
  <c r="CF175" i="21" a="1"/>
  <c r="CF175" i="21" s="1"/>
  <c r="CG175" i="21" a="1"/>
  <c r="CG175" i="21" s="1"/>
  <c r="CH175" i="21" a="1"/>
  <c r="CH175" i="21" s="1"/>
  <c r="CI175" i="21" a="1"/>
  <c r="CI175" i="21" s="1"/>
  <c r="CJ175" i="21" a="1"/>
  <c r="CJ175" i="21" s="1"/>
  <c r="CK175" i="21" a="1"/>
  <c r="CK175" i="21" s="1"/>
  <c r="CL175" i="21" a="1"/>
  <c r="CL175" i="21" s="1"/>
  <c r="CM175" i="21" a="1"/>
  <c r="CM175" i="21" s="1"/>
  <c r="CN175" i="21" a="1"/>
  <c r="CN175" i="21" s="1"/>
  <c r="CO175" i="21" a="1"/>
  <c r="CO175" i="21" s="1"/>
  <c r="CP175" i="21" a="1"/>
  <c r="CP175" i="21" s="1"/>
  <c r="CQ175" i="21" a="1"/>
  <c r="CQ175" i="21" s="1"/>
  <c r="CR175" i="21" a="1"/>
  <c r="CR175" i="21" s="1"/>
  <c r="CS175" i="21" a="1"/>
  <c r="CS175" i="21" s="1"/>
  <c r="CT175" i="21" a="1"/>
  <c r="CT175" i="21" s="1"/>
  <c r="CU175" i="21" a="1"/>
  <c r="CU175" i="21" s="1"/>
  <c r="CV175" i="21" a="1"/>
  <c r="CV175" i="21" s="1"/>
  <c r="CW175" i="21" a="1"/>
  <c r="CW175" i="21" s="1"/>
  <c r="N176" i="21" a="1"/>
  <c r="N176" i="21" s="1"/>
  <c r="O176" i="21" a="1"/>
  <c r="O176" i="21" s="1"/>
  <c r="P176" i="21" a="1"/>
  <c r="P176" i="21" s="1"/>
  <c r="Q176" i="21" a="1"/>
  <c r="Q176" i="21" s="1"/>
  <c r="R176" i="21" a="1"/>
  <c r="R176" i="21" s="1"/>
  <c r="S176" i="21" a="1"/>
  <c r="S176" i="21" s="1"/>
  <c r="T176" i="21" a="1"/>
  <c r="T176" i="21" s="1"/>
  <c r="U176" i="21" a="1"/>
  <c r="U176" i="21" s="1"/>
  <c r="V176" i="21" a="1"/>
  <c r="V176" i="21" s="1"/>
  <c r="W176" i="21" a="1"/>
  <c r="W176" i="21" s="1"/>
  <c r="X176" i="21" a="1"/>
  <c r="X176" i="21" s="1"/>
  <c r="Y176" i="21" a="1"/>
  <c r="Y176" i="21" s="1"/>
  <c r="Z176" i="21" a="1"/>
  <c r="Z176" i="21" s="1"/>
  <c r="AA176" i="21" a="1"/>
  <c r="AA176" i="21" s="1"/>
  <c r="AB176" i="21" a="1"/>
  <c r="AB176" i="21" s="1"/>
  <c r="AC176" i="21" a="1"/>
  <c r="AC176" i="21" s="1"/>
  <c r="AD176" i="21" a="1"/>
  <c r="AD176" i="21" s="1"/>
  <c r="AE176" i="21" a="1"/>
  <c r="AE176" i="21" s="1"/>
  <c r="AF176" i="21" a="1"/>
  <c r="AF176" i="21" s="1"/>
  <c r="AG176" i="21" a="1"/>
  <c r="AG176" i="21" s="1"/>
  <c r="AH176" i="21" a="1"/>
  <c r="AH176" i="21" s="1"/>
  <c r="AI176" i="21" a="1"/>
  <c r="AI176" i="21" s="1"/>
  <c r="AJ176" i="21" a="1"/>
  <c r="AJ176" i="21" s="1"/>
  <c r="AK176" i="21" a="1"/>
  <c r="AK176" i="21" s="1"/>
  <c r="AL176" i="21" a="1"/>
  <c r="AL176" i="21" s="1"/>
  <c r="AM176" i="21" a="1"/>
  <c r="AM176" i="21" s="1"/>
  <c r="AN176" i="21" a="1"/>
  <c r="AN176" i="21" s="1"/>
  <c r="AO176" i="21" a="1"/>
  <c r="AO176" i="21" s="1"/>
  <c r="AP176" i="21" a="1"/>
  <c r="AP176" i="21" s="1"/>
  <c r="AQ176" i="21" a="1"/>
  <c r="AQ176" i="21" s="1"/>
  <c r="AR176" i="21" a="1"/>
  <c r="AR176" i="21" s="1"/>
  <c r="AS176" i="21" a="1"/>
  <c r="AS176" i="21" s="1"/>
  <c r="AT176" i="21" a="1"/>
  <c r="AT176" i="21" s="1"/>
  <c r="AU176" i="21" a="1"/>
  <c r="AU176" i="21" s="1"/>
  <c r="AV176" i="21" a="1"/>
  <c r="AV176" i="21" s="1"/>
  <c r="AW176" i="21" a="1"/>
  <c r="AW176" i="21" s="1"/>
  <c r="AX176" i="21" a="1"/>
  <c r="AX176" i="21" s="1"/>
  <c r="AY176" i="21" a="1"/>
  <c r="AY176" i="21" s="1"/>
  <c r="AZ176" i="21" a="1"/>
  <c r="AZ176" i="21" s="1"/>
  <c r="BA176" i="21" a="1"/>
  <c r="BA176" i="21" s="1"/>
  <c r="BB176" i="21" a="1"/>
  <c r="BB176" i="21" s="1"/>
  <c r="BC176" i="21" a="1"/>
  <c r="BC176" i="21" s="1"/>
  <c r="BD176" i="21" a="1"/>
  <c r="BD176" i="21" s="1"/>
  <c r="BE176" i="21" a="1"/>
  <c r="BE176" i="21" s="1"/>
  <c r="BF176" i="21" a="1"/>
  <c r="BF176" i="21" s="1"/>
  <c r="BG176" i="21" a="1"/>
  <c r="BG176" i="21" s="1"/>
  <c r="BH176" i="21" a="1"/>
  <c r="BH176" i="21" s="1"/>
  <c r="BI176" i="21" a="1"/>
  <c r="BI176" i="21" s="1"/>
  <c r="BJ176" i="21" a="1"/>
  <c r="BJ176" i="21" s="1"/>
  <c r="BK176" i="21" a="1"/>
  <c r="BK176" i="21" s="1"/>
  <c r="BL176" i="21" a="1"/>
  <c r="BL176" i="21" s="1"/>
  <c r="BM176" i="21" a="1"/>
  <c r="BM176" i="21" s="1"/>
  <c r="BN176" i="21" a="1"/>
  <c r="BN176" i="21" s="1"/>
  <c r="BO176" i="21" a="1"/>
  <c r="BO176" i="21" s="1"/>
  <c r="BP176" i="21" a="1"/>
  <c r="BP176" i="21" s="1"/>
  <c r="BQ176" i="21" a="1"/>
  <c r="BQ176" i="21" s="1"/>
  <c r="BR176" i="21" a="1"/>
  <c r="BR176" i="21" s="1"/>
  <c r="BS176" i="21" a="1"/>
  <c r="BS176" i="21" s="1"/>
  <c r="BT176" i="21" a="1"/>
  <c r="BT176" i="21" s="1"/>
  <c r="BU176" i="21" a="1"/>
  <c r="BU176" i="21" s="1"/>
  <c r="BV176" i="21" a="1"/>
  <c r="BV176" i="21" s="1"/>
  <c r="BW176" i="21" a="1"/>
  <c r="BW176" i="21" s="1"/>
  <c r="BX176" i="21" a="1"/>
  <c r="BX176" i="21" s="1"/>
  <c r="BY176" i="21" a="1"/>
  <c r="BY176" i="21" s="1"/>
  <c r="BZ176" i="21" a="1"/>
  <c r="BZ176" i="21" s="1"/>
  <c r="CA176" i="21" a="1"/>
  <c r="CA176" i="21" s="1"/>
  <c r="CB176" i="21" a="1"/>
  <c r="CB176" i="21" s="1"/>
  <c r="CC176" i="21" a="1"/>
  <c r="CC176" i="21" s="1"/>
  <c r="CD176" i="21" a="1"/>
  <c r="CD176" i="21" s="1"/>
  <c r="CE176" i="21" a="1"/>
  <c r="CE176" i="21" s="1"/>
  <c r="CF176" i="21" a="1"/>
  <c r="CF176" i="21" s="1"/>
  <c r="CG176" i="21" a="1"/>
  <c r="CG176" i="21" s="1"/>
  <c r="CH176" i="21" a="1"/>
  <c r="CH176" i="21" s="1"/>
  <c r="CI176" i="21" a="1"/>
  <c r="CI176" i="21" s="1"/>
  <c r="CJ176" i="21" a="1"/>
  <c r="CJ176" i="21" s="1"/>
  <c r="CK176" i="21" a="1"/>
  <c r="CK176" i="21" s="1"/>
  <c r="CL176" i="21" a="1"/>
  <c r="CL176" i="21" s="1"/>
  <c r="CM176" i="21" a="1"/>
  <c r="CM176" i="21" s="1"/>
  <c r="CN176" i="21" a="1"/>
  <c r="CN176" i="21" s="1"/>
  <c r="CO176" i="21" a="1"/>
  <c r="CO176" i="21" s="1"/>
  <c r="CP176" i="21" a="1"/>
  <c r="CP176" i="21" s="1"/>
  <c r="CQ176" i="21" a="1"/>
  <c r="CQ176" i="21" s="1"/>
  <c r="CR176" i="21" a="1"/>
  <c r="CR176" i="21" s="1"/>
  <c r="CS176" i="21" a="1"/>
  <c r="CS176" i="21" s="1"/>
  <c r="CT176" i="21" a="1"/>
  <c r="CT176" i="21" s="1"/>
  <c r="CU176" i="21" a="1"/>
  <c r="CU176" i="21" s="1"/>
  <c r="CV176" i="21" a="1"/>
  <c r="CV176" i="21" s="1"/>
  <c r="CW176" i="21" a="1"/>
  <c r="CW176" i="21" s="1"/>
  <c r="N177" i="21" a="1"/>
  <c r="N177" i="21" s="1"/>
  <c r="O177" i="21" a="1"/>
  <c r="O177" i="21" s="1"/>
  <c r="P177" i="21" a="1"/>
  <c r="P177" i="21" s="1"/>
  <c r="Q177" i="21" a="1"/>
  <c r="Q177" i="21" s="1"/>
  <c r="R177" i="21" a="1"/>
  <c r="R177" i="21" s="1"/>
  <c r="S177" i="21" a="1"/>
  <c r="S177" i="21" s="1"/>
  <c r="T177" i="21" a="1"/>
  <c r="T177" i="21" s="1"/>
  <c r="U177" i="21" a="1"/>
  <c r="U177" i="21" s="1"/>
  <c r="V177" i="21" a="1"/>
  <c r="V177" i="21" s="1"/>
  <c r="W177" i="21" a="1"/>
  <c r="W177" i="21" s="1"/>
  <c r="X177" i="21" a="1"/>
  <c r="X177" i="21" s="1"/>
  <c r="Y177" i="21" a="1"/>
  <c r="Y177" i="21" s="1"/>
  <c r="Z177" i="21" a="1"/>
  <c r="Z177" i="21" s="1"/>
  <c r="AA177" i="21" a="1"/>
  <c r="AA177" i="21" s="1"/>
  <c r="AB177" i="21" a="1"/>
  <c r="AB177" i="21" s="1"/>
  <c r="AC177" i="21" a="1"/>
  <c r="AC177" i="21" s="1"/>
  <c r="AD177" i="21" a="1"/>
  <c r="AD177" i="21" s="1"/>
  <c r="AE177" i="21" a="1"/>
  <c r="AE177" i="21" s="1"/>
  <c r="AF177" i="21" a="1"/>
  <c r="AF177" i="21" s="1"/>
  <c r="AG177" i="21" a="1"/>
  <c r="AG177" i="21" s="1"/>
  <c r="AH177" i="21" a="1"/>
  <c r="AH177" i="21" s="1"/>
  <c r="AI177" i="21" a="1"/>
  <c r="AI177" i="21" s="1"/>
  <c r="AJ177" i="21" a="1"/>
  <c r="AJ177" i="21" s="1"/>
  <c r="AK177" i="21" a="1"/>
  <c r="AK177" i="21" s="1"/>
  <c r="AL177" i="21" a="1"/>
  <c r="AL177" i="21" s="1"/>
  <c r="AM177" i="21" a="1"/>
  <c r="AM177" i="21" s="1"/>
  <c r="AN177" i="21" a="1"/>
  <c r="AN177" i="21" s="1"/>
  <c r="AO177" i="21" a="1"/>
  <c r="AO177" i="21" s="1"/>
  <c r="AP177" i="21" a="1"/>
  <c r="AP177" i="21" s="1"/>
  <c r="AQ177" i="21" a="1"/>
  <c r="AQ177" i="21" s="1"/>
  <c r="AR177" i="21" a="1"/>
  <c r="AR177" i="21" s="1"/>
  <c r="AS177" i="21" a="1"/>
  <c r="AS177" i="21" s="1"/>
  <c r="AT177" i="21" a="1"/>
  <c r="AT177" i="21" s="1"/>
  <c r="AU177" i="21" a="1"/>
  <c r="AU177" i="21" s="1"/>
  <c r="AV177" i="21" a="1"/>
  <c r="AV177" i="21" s="1"/>
  <c r="AW177" i="21" a="1"/>
  <c r="AW177" i="21" s="1"/>
  <c r="AX177" i="21" a="1"/>
  <c r="AX177" i="21" s="1"/>
  <c r="AY177" i="21" a="1"/>
  <c r="AY177" i="21" s="1"/>
  <c r="AZ177" i="21" a="1"/>
  <c r="AZ177" i="21" s="1"/>
  <c r="BA177" i="21" a="1"/>
  <c r="BA177" i="21" s="1"/>
  <c r="BB177" i="21" a="1"/>
  <c r="BB177" i="21" s="1"/>
  <c r="BC177" i="21" a="1"/>
  <c r="BC177" i="21" s="1"/>
  <c r="BD177" i="21" a="1"/>
  <c r="BD177" i="21" s="1"/>
  <c r="BE177" i="21" a="1"/>
  <c r="BE177" i="21" s="1"/>
  <c r="BF177" i="21" a="1"/>
  <c r="BF177" i="21" s="1"/>
  <c r="BG177" i="21" a="1"/>
  <c r="BG177" i="21" s="1"/>
  <c r="BH177" i="21" a="1"/>
  <c r="BH177" i="21" s="1"/>
  <c r="BI177" i="21" a="1"/>
  <c r="BI177" i="21" s="1"/>
  <c r="BJ177" i="21" a="1"/>
  <c r="BJ177" i="21" s="1"/>
  <c r="BK177" i="21" a="1"/>
  <c r="BK177" i="21" s="1"/>
  <c r="BL177" i="21" a="1"/>
  <c r="BL177" i="21" s="1"/>
  <c r="BM177" i="21" a="1"/>
  <c r="BM177" i="21" s="1"/>
  <c r="BN177" i="21" a="1"/>
  <c r="BN177" i="21" s="1"/>
  <c r="BO177" i="21" a="1"/>
  <c r="BO177" i="21" s="1"/>
  <c r="BP177" i="21" a="1"/>
  <c r="BP177" i="21" s="1"/>
  <c r="BQ177" i="21" a="1"/>
  <c r="BQ177" i="21" s="1"/>
  <c r="BR177" i="21" a="1"/>
  <c r="BR177" i="21" s="1"/>
  <c r="BS177" i="21" a="1"/>
  <c r="BS177" i="21" s="1"/>
  <c r="BT177" i="21" a="1"/>
  <c r="BT177" i="21" s="1"/>
  <c r="BU177" i="21" a="1"/>
  <c r="BU177" i="21" s="1"/>
  <c r="BV177" i="21" a="1"/>
  <c r="BV177" i="21" s="1"/>
  <c r="BW177" i="21" a="1"/>
  <c r="BW177" i="21" s="1"/>
  <c r="BX177" i="21" a="1"/>
  <c r="BX177" i="21" s="1"/>
  <c r="BY177" i="21" a="1"/>
  <c r="BY177" i="21" s="1"/>
  <c r="BZ177" i="21" a="1"/>
  <c r="BZ177" i="21" s="1"/>
  <c r="CA177" i="21" a="1"/>
  <c r="CA177" i="21" s="1"/>
  <c r="CB177" i="21" a="1"/>
  <c r="CB177" i="21" s="1"/>
  <c r="CC177" i="21" a="1"/>
  <c r="CC177" i="21" s="1"/>
  <c r="CD177" i="21" a="1"/>
  <c r="CD177" i="21" s="1"/>
  <c r="CE177" i="21" a="1"/>
  <c r="CE177" i="21" s="1"/>
  <c r="CF177" i="21" a="1"/>
  <c r="CF177" i="21" s="1"/>
  <c r="CG177" i="21" a="1"/>
  <c r="CG177" i="21" s="1"/>
  <c r="CH177" i="21" a="1"/>
  <c r="CH177" i="21" s="1"/>
  <c r="CI177" i="21" a="1"/>
  <c r="CI177" i="21" s="1"/>
  <c r="CJ177" i="21" a="1"/>
  <c r="CJ177" i="21" s="1"/>
  <c r="CK177" i="21" a="1"/>
  <c r="CK177" i="21" s="1"/>
  <c r="CL177" i="21" a="1"/>
  <c r="CL177" i="21" s="1"/>
  <c r="CM177" i="21" a="1"/>
  <c r="CM177" i="21" s="1"/>
  <c r="CN177" i="21" a="1"/>
  <c r="CN177" i="21" s="1"/>
  <c r="CO177" i="21" a="1"/>
  <c r="CO177" i="21" s="1"/>
  <c r="CP177" i="21" a="1"/>
  <c r="CP177" i="21" s="1"/>
  <c r="CQ177" i="21" a="1"/>
  <c r="CQ177" i="21" s="1"/>
  <c r="CR177" i="21" a="1"/>
  <c r="CR177" i="21" s="1"/>
  <c r="CS177" i="21" a="1"/>
  <c r="CS177" i="21" s="1"/>
  <c r="CT177" i="21" a="1"/>
  <c r="CT177" i="21" s="1"/>
  <c r="CU177" i="21" a="1"/>
  <c r="CU177" i="21" s="1"/>
  <c r="CV177" i="21" a="1"/>
  <c r="CV177" i="21" s="1"/>
  <c r="CW177" i="21" a="1"/>
  <c r="CW177" i="21" s="1"/>
  <c r="N178" i="21" a="1"/>
  <c r="N178" i="21" s="1"/>
  <c r="O178" i="21" a="1"/>
  <c r="O178" i="21" s="1"/>
  <c r="P178" i="21" a="1"/>
  <c r="P178" i="21" s="1"/>
  <c r="Q178" i="21" a="1"/>
  <c r="Q178" i="21" s="1"/>
  <c r="R178" i="21" a="1"/>
  <c r="R178" i="21" s="1"/>
  <c r="S178" i="21" a="1"/>
  <c r="S178" i="21" s="1"/>
  <c r="T178" i="21" a="1"/>
  <c r="T178" i="21" s="1"/>
  <c r="U178" i="21" a="1"/>
  <c r="U178" i="21" s="1"/>
  <c r="V178" i="21" a="1"/>
  <c r="V178" i="21" s="1"/>
  <c r="W178" i="21" a="1"/>
  <c r="W178" i="21" s="1"/>
  <c r="X178" i="21" a="1"/>
  <c r="X178" i="21" s="1"/>
  <c r="Y178" i="21" a="1"/>
  <c r="Y178" i="21" s="1"/>
  <c r="Z178" i="21" a="1"/>
  <c r="Z178" i="21" s="1"/>
  <c r="AA178" i="21" a="1"/>
  <c r="AA178" i="21" s="1"/>
  <c r="AB178" i="21" a="1"/>
  <c r="AB178" i="21" s="1"/>
  <c r="AC178" i="21" a="1"/>
  <c r="AC178" i="21" s="1"/>
  <c r="AD178" i="21" a="1"/>
  <c r="AD178" i="21" s="1"/>
  <c r="AE178" i="21" a="1"/>
  <c r="AE178" i="21" s="1"/>
  <c r="AF178" i="21" a="1"/>
  <c r="AF178" i="21" s="1"/>
  <c r="AG178" i="21" a="1"/>
  <c r="AG178" i="21" s="1"/>
  <c r="AH178" i="21" a="1"/>
  <c r="AH178" i="21" s="1"/>
  <c r="AI178" i="21" a="1"/>
  <c r="AI178" i="21" s="1"/>
  <c r="AJ178" i="21" a="1"/>
  <c r="AJ178" i="21" s="1"/>
  <c r="AK178" i="21" a="1"/>
  <c r="AK178" i="21" s="1"/>
  <c r="AL178" i="21" a="1"/>
  <c r="AL178" i="21" s="1"/>
  <c r="AM178" i="21" a="1"/>
  <c r="AM178" i="21" s="1"/>
  <c r="AN178" i="21" a="1"/>
  <c r="AN178" i="21" s="1"/>
  <c r="AO178" i="21" a="1"/>
  <c r="AO178" i="21" s="1"/>
  <c r="AP178" i="21" a="1"/>
  <c r="AP178" i="21" s="1"/>
  <c r="AQ178" i="21" a="1"/>
  <c r="AQ178" i="21" s="1"/>
  <c r="AR178" i="21" a="1"/>
  <c r="AR178" i="21" s="1"/>
  <c r="AS178" i="21" a="1"/>
  <c r="AS178" i="21" s="1"/>
  <c r="AT178" i="21" a="1"/>
  <c r="AT178" i="21" s="1"/>
  <c r="AU178" i="21" a="1"/>
  <c r="AU178" i="21" s="1"/>
  <c r="AV178" i="21" a="1"/>
  <c r="AV178" i="21" s="1"/>
  <c r="AW178" i="21" a="1"/>
  <c r="AW178" i="21" s="1"/>
  <c r="AX178" i="21" a="1"/>
  <c r="AX178" i="21" s="1"/>
  <c r="AY178" i="21" a="1"/>
  <c r="AY178" i="21" s="1"/>
  <c r="AZ178" i="21" a="1"/>
  <c r="AZ178" i="21" s="1"/>
  <c r="BA178" i="21" a="1"/>
  <c r="BA178" i="21" s="1"/>
  <c r="BB178" i="21" a="1"/>
  <c r="BB178" i="21" s="1"/>
  <c r="BC178" i="21" a="1"/>
  <c r="BC178" i="21" s="1"/>
  <c r="BD178" i="21" a="1"/>
  <c r="BD178" i="21" s="1"/>
  <c r="BE178" i="21" a="1"/>
  <c r="BE178" i="21" s="1"/>
  <c r="BF178" i="21" a="1"/>
  <c r="BF178" i="21" s="1"/>
  <c r="BG178" i="21" a="1"/>
  <c r="BG178" i="21" s="1"/>
  <c r="BH178" i="21" a="1"/>
  <c r="BH178" i="21" s="1"/>
  <c r="BI178" i="21" a="1"/>
  <c r="BI178" i="21" s="1"/>
  <c r="BJ178" i="21" a="1"/>
  <c r="BJ178" i="21" s="1"/>
  <c r="BK178" i="21" a="1"/>
  <c r="BK178" i="21" s="1"/>
  <c r="BL178" i="21" a="1"/>
  <c r="BL178" i="21" s="1"/>
  <c r="BM178" i="21" a="1"/>
  <c r="BM178" i="21" s="1"/>
  <c r="BN178" i="21" a="1"/>
  <c r="BN178" i="21" s="1"/>
  <c r="BO178" i="21" a="1"/>
  <c r="BO178" i="21" s="1"/>
  <c r="BP178" i="21" a="1"/>
  <c r="BP178" i="21" s="1"/>
  <c r="BQ178" i="21" a="1"/>
  <c r="BQ178" i="21" s="1"/>
  <c r="BR178" i="21" a="1"/>
  <c r="BR178" i="21" s="1"/>
  <c r="BS178" i="21" a="1"/>
  <c r="BS178" i="21" s="1"/>
  <c r="BT178" i="21" a="1"/>
  <c r="BT178" i="21" s="1"/>
  <c r="BU178" i="21" a="1"/>
  <c r="BU178" i="21" s="1"/>
  <c r="BV178" i="21" a="1"/>
  <c r="BV178" i="21" s="1"/>
  <c r="BW178" i="21" a="1"/>
  <c r="BW178" i="21" s="1"/>
  <c r="BX178" i="21" a="1"/>
  <c r="BX178" i="21" s="1"/>
  <c r="BY178" i="21" a="1"/>
  <c r="BY178" i="21" s="1"/>
  <c r="BZ178" i="21" a="1"/>
  <c r="BZ178" i="21" s="1"/>
  <c r="CA178" i="21" a="1"/>
  <c r="CA178" i="21" s="1"/>
  <c r="CB178" i="21" a="1"/>
  <c r="CB178" i="21" s="1"/>
  <c r="CC178" i="21" a="1"/>
  <c r="CC178" i="21" s="1"/>
  <c r="CD178" i="21" a="1"/>
  <c r="CD178" i="21" s="1"/>
  <c r="CE178" i="21" a="1"/>
  <c r="CE178" i="21" s="1"/>
  <c r="CF178" i="21" a="1"/>
  <c r="CF178" i="21" s="1"/>
  <c r="CG178" i="21" a="1"/>
  <c r="CG178" i="21" s="1"/>
  <c r="CH178" i="21" a="1"/>
  <c r="CH178" i="21" s="1"/>
  <c r="CI178" i="21" a="1"/>
  <c r="CI178" i="21" s="1"/>
  <c r="CJ178" i="21" a="1"/>
  <c r="CJ178" i="21" s="1"/>
  <c r="CK178" i="21" a="1"/>
  <c r="CK178" i="21" s="1"/>
  <c r="CL178" i="21" a="1"/>
  <c r="CL178" i="21" s="1"/>
  <c r="CM178" i="21" a="1"/>
  <c r="CM178" i="21" s="1"/>
  <c r="CN178" i="21" a="1"/>
  <c r="CN178" i="21" s="1"/>
  <c r="CO178" i="21" a="1"/>
  <c r="CO178" i="21" s="1"/>
  <c r="CP178" i="21" a="1"/>
  <c r="CP178" i="21" s="1"/>
  <c r="CQ178" i="21" a="1"/>
  <c r="CQ178" i="21" s="1"/>
  <c r="CR178" i="21" a="1"/>
  <c r="CR178" i="21" s="1"/>
  <c r="CS178" i="21" a="1"/>
  <c r="CS178" i="21" s="1"/>
  <c r="CT178" i="21" a="1"/>
  <c r="CT178" i="21" s="1"/>
  <c r="CU178" i="21" a="1"/>
  <c r="CU178" i="21" s="1"/>
  <c r="CV178" i="21" a="1"/>
  <c r="CV178" i="21" s="1"/>
  <c r="CW178" i="21" a="1"/>
  <c r="CW178" i="21" s="1"/>
  <c r="N179" i="21" a="1"/>
  <c r="N179" i="21" s="1"/>
  <c r="O179" i="21" a="1"/>
  <c r="O179" i="21" s="1"/>
  <c r="P179" i="21" a="1"/>
  <c r="P179" i="21" s="1"/>
  <c r="Q179" i="21" a="1"/>
  <c r="Q179" i="21" s="1"/>
  <c r="R179" i="21" a="1"/>
  <c r="R179" i="21" s="1"/>
  <c r="S179" i="21" a="1"/>
  <c r="S179" i="21" s="1"/>
  <c r="T179" i="21" a="1"/>
  <c r="T179" i="21" s="1"/>
  <c r="U179" i="21" a="1"/>
  <c r="U179" i="21" s="1"/>
  <c r="V179" i="21" a="1"/>
  <c r="V179" i="21" s="1"/>
  <c r="W179" i="21" a="1"/>
  <c r="W179" i="21" s="1"/>
  <c r="X179" i="21" a="1"/>
  <c r="X179" i="21" s="1"/>
  <c r="Y179" i="21" a="1"/>
  <c r="Y179" i="21" s="1"/>
  <c r="Z179" i="21" a="1"/>
  <c r="Z179" i="21" s="1"/>
  <c r="AA179" i="21" a="1"/>
  <c r="AA179" i="21" s="1"/>
  <c r="AB179" i="21" a="1"/>
  <c r="AB179" i="21" s="1"/>
  <c r="AC179" i="21" a="1"/>
  <c r="AC179" i="21" s="1"/>
  <c r="AD179" i="21" a="1"/>
  <c r="AD179" i="21" s="1"/>
  <c r="AE179" i="21" a="1"/>
  <c r="AE179" i="21" s="1"/>
  <c r="AF179" i="21" a="1"/>
  <c r="AF179" i="21" s="1"/>
  <c r="AG179" i="21" a="1"/>
  <c r="AG179" i="21" s="1"/>
  <c r="AH179" i="21" a="1"/>
  <c r="AH179" i="21" s="1"/>
  <c r="AI179" i="21" a="1"/>
  <c r="AI179" i="21" s="1"/>
  <c r="AJ179" i="21" a="1"/>
  <c r="AJ179" i="21" s="1"/>
  <c r="AK179" i="21" a="1"/>
  <c r="AK179" i="21" s="1"/>
  <c r="AL179" i="21" a="1"/>
  <c r="AL179" i="21" s="1"/>
  <c r="AM179" i="21" a="1"/>
  <c r="AM179" i="21" s="1"/>
  <c r="AN179" i="21" a="1"/>
  <c r="AN179" i="21" s="1"/>
  <c r="AO179" i="21" a="1"/>
  <c r="AO179" i="21" s="1"/>
  <c r="AP179" i="21" a="1"/>
  <c r="AP179" i="21" s="1"/>
  <c r="AQ179" i="21" a="1"/>
  <c r="AQ179" i="21" s="1"/>
  <c r="AR179" i="21" a="1"/>
  <c r="AR179" i="21" s="1"/>
  <c r="AS179" i="21" a="1"/>
  <c r="AS179" i="21" s="1"/>
  <c r="AT179" i="21" a="1"/>
  <c r="AT179" i="21" s="1"/>
  <c r="AU179" i="21" a="1"/>
  <c r="AU179" i="21" s="1"/>
  <c r="AV179" i="21" a="1"/>
  <c r="AV179" i="21" s="1"/>
  <c r="AW179" i="21" a="1"/>
  <c r="AW179" i="21" s="1"/>
  <c r="AX179" i="21" a="1"/>
  <c r="AX179" i="21" s="1"/>
  <c r="AY179" i="21" a="1"/>
  <c r="AY179" i="21" s="1"/>
  <c r="AZ179" i="21" a="1"/>
  <c r="AZ179" i="21" s="1"/>
  <c r="BA179" i="21" a="1"/>
  <c r="BA179" i="21" s="1"/>
  <c r="BB179" i="21" a="1"/>
  <c r="BB179" i="21" s="1"/>
  <c r="BC179" i="21" a="1"/>
  <c r="BC179" i="21" s="1"/>
  <c r="BD179" i="21" a="1"/>
  <c r="BD179" i="21" s="1"/>
  <c r="BE179" i="21" a="1"/>
  <c r="BE179" i="21" s="1"/>
  <c r="BF179" i="21" a="1"/>
  <c r="BF179" i="21" s="1"/>
  <c r="BG179" i="21" a="1"/>
  <c r="BG179" i="21" s="1"/>
  <c r="BH179" i="21" a="1"/>
  <c r="BH179" i="21" s="1"/>
  <c r="BI179" i="21" a="1"/>
  <c r="BI179" i="21" s="1"/>
  <c r="BJ179" i="21" a="1"/>
  <c r="BJ179" i="21" s="1"/>
  <c r="BK179" i="21" a="1"/>
  <c r="BK179" i="21" s="1"/>
  <c r="BL179" i="21" a="1"/>
  <c r="BL179" i="21" s="1"/>
  <c r="BM179" i="21" a="1"/>
  <c r="BM179" i="21" s="1"/>
  <c r="BN179" i="21" a="1"/>
  <c r="BN179" i="21" s="1"/>
  <c r="BO179" i="21" a="1"/>
  <c r="BO179" i="21" s="1"/>
  <c r="BP179" i="21" a="1"/>
  <c r="BP179" i="21" s="1"/>
  <c r="BQ179" i="21" a="1"/>
  <c r="BQ179" i="21" s="1"/>
  <c r="BR179" i="21" a="1"/>
  <c r="BR179" i="21" s="1"/>
  <c r="BS179" i="21" a="1"/>
  <c r="BS179" i="21" s="1"/>
  <c r="BT179" i="21" a="1"/>
  <c r="BT179" i="21" s="1"/>
  <c r="BU179" i="21" a="1"/>
  <c r="BU179" i="21" s="1"/>
  <c r="BV179" i="21" a="1"/>
  <c r="BV179" i="21" s="1"/>
  <c r="BW179" i="21" a="1"/>
  <c r="BW179" i="21" s="1"/>
  <c r="BX179" i="21" a="1"/>
  <c r="BX179" i="21" s="1"/>
  <c r="BY179" i="21" a="1"/>
  <c r="BY179" i="21" s="1"/>
  <c r="BZ179" i="21" a="1"/>
  <c r="BZ179" i="21" s="1"/>
  <c r="CA179" i="21" a="1"/>
  <c r="CA179" i="21" s="1"/>
  <c r="CB179" i="21" a="1"/>
  <c r="CB179" i="21" s="1"/>
  <c r="CC179" i="21" a="1"/>
  <c r="CC179" i="21" s="1"/>
  <c r="CD179" i="21" a="1"/>
  <c r="CD179" i="21" s="1"/>
  <c r="CE179" i="21" a="1"/>
  <c r="CE179" i="21" s="1"/>
  <c r="CF179" i="21" a="1"/>
  <c r="CF179" i="21" s="1"/>
  <c r="CG179" i="21" a="1"/>
  <c r="CG179" i="21" s="1"/>
  <c r="CH179" i="21" a="1"/>
  <c r="CH179" i="21" s="1"/>
  <c r="CI179" i="21" a="1"/>
  <c r="CI179" i="21" s="1"/>
  <c r="CJ179" i="21" a="1"/>
  <c r="CJ179" i="21" s="1"/>
  <c r="CK179" i="21" a="1"/>
  <c r="CK179" i="21" s="1"/>
  <c r="CL179" i="21" a="1"/>
  <c r="CL179" i="21" s="1"/>
  <c r="CM179" i="21" a="1"/>
  <c r="CM179" i="21" s="1"/>
  <c r="CN179" i="21" a="1"/>
  <c r="CN179" i="21" s="1"/>
  <c r="CO179" i="21" a="1"/>
  <c r="CO179" i="21" s="1"/>
  <c r="CP179" i="21" a="1"/>
  <c r="CP179" i="21" s="1"/>
  <c r="CQ179" i="21" a="1"/>
  <c r="CQ179" i="21" s="1"/>
  <c r="CR179" i="21" a="1"/>
  <c r="CR179" i="21" s="1"/>
  <c r="CS179" i="21" a="1"/>
  <c r="CS179" i="21" s="1"/>
  <c r="CT179" i="21" a="1"/>
  <c r="CT179" i="21" s="1"/>
  <c r="CU179" i="21" a="1"/>
  <c r="CU179" i="21" s="1"/>
  <c r="CV179" i="21" a="1"/>
  <c r="CV179" i="21" s="1"/>
  <c r="CW179" i="21" a="1"/>
  <c r="CW179" i="21" s="1"/>
  <c r="N180" i="21" a="1"/>
  <c r="N180" i="21" s="1"/>
  <c r="O180" i="21" a="1"/>
  <c r="O180" i="21" s="1"/>
  <c r="P180" i="21" a="1"/>
  <c r="P180" i="21" s="1"/>
  <c r="Q180" i="21" a="1"/>
  <c r="Q180" i="21" s="1"/>
  <c r="R180" i="21" a="1"/>
  <c r="R180" i="21" s="1"/>
  <c r="S180" i="21" a="1"/>
  <c r="S180" i="21" s="1"/>
  <c r="T180" i="21" a="1"/>
  <c r="T180" i="21" s="1"/>
  <c r="U180" i="21" a="1"/>
  <c r="U180" i="21" s="1"/>
  <c r="V180" i="21" a="1"/>
  <c r="V180" i="21" s="1"/>
  <c r="W180" i="21" a="1"/>
  <c r="W180" i="21" s="1"/>
  <c r="X180" i="21" a="1"/>
  <c r="X180" i="21" s="1"/>
  <c r="Y180" i="21" a="1"/>
  <c r="Y180" i="21" s="1"/>
  <c r="Z180" i="21" a="1"/>
  <c r="Z180" i="21" s="1"/>
  <c r="AA180" i="21" a="1"/>
  <c r="AA180" i="21" s="1"/>
  <c r="AB180" i="21" a="1"/>
  <c r="AB180" i="21" s="1"/>
  <c r="AC180" i="21" a="1"/>
  <c r="AC180" i="21" s="1"/>
  <c r="AD180" i="21" a="1"/>
  <c r="AD180" i="21" s="1"/>
  <c r="AE180" i="21" a="1"/>
  <c r="AE180" i="21" s="1"/>
  <c r="AF180" i="21" a="1"/>
  <c r="AF180" i="21" s="1"/>
  <c r="AG180" i="21" a="1"/>
  <c r="AG180" i="21" s="1"/>
  <c r="AH180" i="21" a="1"/>
  <c r="AH180" i="21" s="1"/>
  <c r="AI180" i="21" a="1"/>
  <c r="AI180" i="21" s="1"/>
  <c r="AJ180" i="21" a="1"/>
  <c r="AJ180" i="21" s="1"/>
  <c r="AK180" i="21" a="1"/>
  <c r="AK180" i="21" s="1"/>
  <c r="AL180" i="21" a="1"/>
  <c r="AL180" i="21" s="1"/>
  <c r="AM180" i="21" a="1"/>
  <c r="AM180" i="21" s="1"/>
  <c r="AN180" i="21" a="1"/>
  <c r="AN180" i="21" s="1"/>
  <c r="AO180" i="21" a="1"/>
  <c r="AO180" i="21" s="1"/>
  <c r="AP180" i="21" a="1"/>
  <c r="AP180" i="21" s="1"/>
  <c r="AQ180" i="21" a="1"/>
  <c r="AQ180" i="21" s="1"/>
  <c r="AR180" i="21" a="1"/>
  <c r="AR180" i="21" s="1"/>
  <c r="AS180" i="21" a="1"/>
  <c r="AS180" i="21" s="1"/>
  <c r="AT180" i="21" a="1"/>
  <c r="AT180" i="21" s="1"/>
  <c r="AU180" i="21" a="1"/>
  <c r="AU180" i="21" s="1"/>
  <c r="AV180" i="21" a="1"/>
  <c r="AV180" i="21" s="1"/>
  <c r="AW180" i="21" a="1"/>
  <c r="AW180" i="21" s="1"/>
  <c r="AX180" i="21" a="1"/>
  <c r="AX180" i="21" s="1"/>
  <c r="AY180" i="21" a="1"/>
  <c r="AY180" i="21" s="1"/>
  <c r="AZ180" i="21" a="1"/>
  <c r="AZ180" i="21" s="1"/>
  <c r="BA180" i="21" a="1"/>
  <c r="BA180" i="21" s="1"/>
  <c r="BB180" i="21" a="1"/>
  <c r="BB180" i="21" s="1"/>
  <c r="BC180" i="21" a="1"/>
  <c r="BC180" i="21" s="1"/>
  <c r="BD180" i="21" a="1"/>
  <c r="BD180" i="21" s="1"/>
  <c r="BE180" i="21" a="1"/>
  <c r="BE180" i="21" s="1"/>
  <c r="BF180" i="21" a="1"/>
  <c r="BF180" i="21" s="1"/>
  <c r="BG180" i="21" a="1"/>
  <c r="BG180" i="21" s="1"/>
  <c r="BH180" i="21" a="1"/>
  <c r="BH180" i="21" s="1"/>
  <c r="BI180" i="21" a="1"/>
  <c r="BI180" i="21" s="1"/>
  <c r="BJ180" i="21" a="1"/>
  <c r="BJ180" i="21" s="1"/>
  <c r="BK180" i="21" a="1"/>
  <c r="BK180" i="21" s="1"/>
  <c r="BL180" i="21" a="1"/>
  <c r="BL180" i="21" s="1"/>
  <c r="BM180" i="21" a="1"/>
  <c r="BM180" i="21" s="1"/>
  <c r="BN180" i="21" a="1"/>
  <c r="BN180" i="21" s="1"/>
  <c r="BO180" i="21" a="1"/>
  <c r="BO180" i="21" s="1"/>
  <c r="BP180" i="21" a="1"/>
  <c r="BP180" i="21" s="1"/>
  <c r="BQ180" i="21" a="1"/>
  <c r="BQ180" i="21" s="1"/>
  <c r="BR180" i="21" a="1"/>
  <c r="BR180" i="21" s="1"/>
  <c r="BS180" i="21" a="1"/>
  <c r="BS180" i="21" s="1"/>
  <c r="BT180" i="21" a="1"/>
  <c r="BT180" i="21" s="1"/>
  <c r="BU180" i="21" a="1"/>
  <c r="BU180" i="21" s="1"/>
  <c r="BV180" i="21" a="1"/>
  <c r="BV180" i="21" s="1"/>
  <c r="BW180" i="21" a="1"/>
  <c r="BW180" i="21" s="1"/>
  <c r="BX180" i="21" a="1"/>
  <c r="BX180" i="21" s="1"/>
  <c r="BY180" i="21" a="1"/>
  <c r="BY180" i="21" s="1"/>
  <c r="BZ180" i="21" a="1"/>
  <c r="BZ180" i="21" s="1"/>
  <c r="CA180" i="21" a="1"/>
  <c r="CA180" i="21" s="1"/>
  <c r="CB180" i="21" a="1"/>
  <c r="CB180" i="21" s="1"/>
  <c r="CC180" i="21" a="1"/>
  <c r="CC180" i="21" s="1"/>
  <c r="CD180" i="21" a="1"/>
  <c r="CD180" i="21" s="1"/>
  <c r="CE180" i="21" a="1"/>
  <c r="CE180" i="21" s="1"/>
  <c r="CF180" i="21" a="1"/>
  <c r="CF180" i="21" s="1"/>
  <c r="CG180" i="21" a="1"/>
  <c r="CG180" i="21" s="1"/>
  <c r="CH180" i="21" a="1"/>
  <c r="CH180" i="21" s="1"/>
  <c r="CI180" i="21" a="1"/>
  <c r="CI180" i="21" s="1"/>
  <c r="CJ180" i="21" a="1"/>
  <c r="CJ180" i="21" s="1"/>
  <c r="CK180" i="21" a="1"/>
  <c r="CK180" i="21" s="1"/>
  <c r="CL180" i="21" a="1"/>
  <c r="CL180" i="21" s="1"/>
  <c r="CM180" i="21" a="1"/>
  <c r="CM180" i="21" s="1"/>
  <c r="CN180" i="21" a="1"/>
  <c r="CN180" i="21" s="1"/>
  <c r="CO180" i="21" a="1"/>
  <c r="CO180" i="21" s="1"/>
  <c r="CP180" i="21" a="1"/>
  <c r="CP180" i="21" s="1"/>
  <c r="CQ180" i="21" a="1"/>
  <c r="CQ180" i="21" s="1"/>
  <c r="CR180" i="21" a="1"/>
  <c r="CR180" i="21" s="1"/>
  <c r="CS180" i="21" a="1"/>
  <c r="CS180" i="21" s="1"/>
  <c r="CT180" i="21" a="1"/>
  <c r="CT180" i="21" s="1"/>
  <c r="CU180" i="21" a="1"/>
  <c r="CU180" i="21" s="1"/>
  <c r="CV180" i="21" a="1"/>
  <c r="CV180" i="21" s="1"/>
  <c r="CW180" i="21" a="1"/>
  <c r="CW180" i="21" s="1"/>
  <c r="N181" i="21" a="1"/>
  <c r="N181" i="21" s="1"/>
  <c r="O181" i="21" a="1"/>
  <c r="O181" i="21" s="1"/>
  <c r="P181" i="21" a="1"/>
  <c r="P181" i="21" s="1"/>
  <c r="Q181" i="21" a="1"/>
  <c r="Q181" i="21" s="1"/>
  <c r="R181" i="21" a="1"/>
  <c r="R181" i="21" s="1"/>
  <c r="S181" i="21" a="1"/>
  <c r="S181" i="21" s="1"/>
  <c r="T181" i="21" a="1"/>
  <c r="T181" i="21" s="1"/>
  <c r="U181" i="21" a="1"/>
  <c r="U181" i="21" s="1"/>
  <c r="V181" i="21" a="1"/>
  <c r="V181" i="21" s="1"/>
  <c r="W181" i="21" a="1"/>
  <c r="W181" i="21" s="1"/>
  <c r="X181" i="21" a="1"/>
  <c r="X181" i="21" s="1"/>
  <c r="Y181" i="21" a="1"/>
  <c r="Y181" i="21" s="1"/>
  <c r="Z181" i="21" a="1"/>
  <c r="Z181" i="21" s="1"/>
  <c r="AA181" i="21" a="1"/>
  <c r="AA181" i="21" s="1"/>
  <c r="AB181" i="21" a="1"/>
  <c r="AB181" i="21" s="1"/>
  <c r="AC181" i="21" a="1"/>
  <c r="AC181" i="21" s="1"/>
  <c r="AD181" i="21" a="1"/>
  <c r="AD181" i="21" s="1"/>
  <c r="AE181" i="21" a="1"/>
  <c r="AE181" i="21" s="1"/>
  <c r="AF181" i="21" a="1"/>
  <c r="AF181" i="21" s="1"/>
  <c r="AG181" i="21" a="1"/>
  <c r="AG181" i="21" s="1"/>
  <c r="AH181" i="21" a="1"/>
  <c r="AH181" i="21" s="1"/>
  <c r="AI181" i="21" a="1"/>
  <c r="AI181" i="21" s="1"/>
  <c r="AJ181" i="21" a="1"/>
  <c r="AJ181" i="21" s="1"/>
  <c r="AK181" i="21" a="1"/>
  <c r="AK181" i="21" s="1"/>
  <c r="AL181" i="21" a="1"/>
  <c r="AL181" i="21" s="1"/>
  <c r="AM181" i="21" a="1"/>
  <c r="AM181" i="21" s="1"/>
  <c r="AN181" i="21" a="1"/>
  <c r="AN181" i="21" s="1"/>
  <c r="AO181" i="21" a="1"/>
  <c r="AO181" i="21" s="1"/>
  <c r="AP181" i="21" a="1"/>
  <c r="AP181" i="21" s="1"/>
  <c r="AQ181" i="21" a="1"/>
  <c r="AQ181" i="21" s="1"/>
  <c r="AR181" i="21" a="1"/>
  <c r="AR181" i="21" s="1"/>
  <c r="AS181" i="21" a="1"/>
  <c r="AS181" i="21" s="1"/>
  <c r="AT181" i="21" a="1"/>
  <c r="AT181" i="21" s="1"/>
  <c r="AU181" i="21" a="1"/>
  <c r="AU181" i="21" s="1"/>
  <c r="AV181" i="21" a="1"/>
  <c r="AV181" i="21" s="1"/>
  <c r="AW181" i="21" a="1"/>
  <c r="AW181" i="21" s="1"/>
  <c r="AX181" i="21" a="1"/>
  <c r="AX181" i="21" s="1"/>
  <c r="AY181" i="21" a="1"/>
  <c r="AY181" i="21" s="1"/>
  <c r="AZ181" i="21" a="1"/>
  <c r="AZ181" i="21" s="1"/>
  <c r="BA181" i="21" a="1"/>
  <c r="BA181" i="21" s="1"/>
  <c r="BB181" i="21" a="1"/>
  <c r="BB181" i="21" s="1"/>
  <c r="BC181" i="21" a="1"/>
  <c r="BC181" i="21" s="1"/>
  <c r="BD181" i="21" a="1"/>
  <c r="BD181" i="21" s="1"/>
  <c r="BE181" i="21" a="1"/>
  <c r="BE181" i="21" s="1"/>
  <c r="BF181" i="21" a="1"/>
  <c r="BF181" i="21" s="1"/>
  <c r="BG181" i="21" a="1"/>
  <c r="BG181" i="21" s="1"/>
  <c r="BH181" i="21" a="1"/>
  <c r="BH181" i="21" s="1"/>
  <c r="BI181" i="21" a="1"/>
  <c r="BI181" i="21" s="1"/>
  <c r="BJ181" i="21" a="1"/>
  <c r="BJ181" i="21" s="1"/>
  <c r="BK181" i="21" a="1"/>
  <c r="BK181" i="21" s="1"/>
  <c r="BL181" i="21" a="1"/>
  <c r="BL181" i="21" s="1"/>
  <c r="BM181" i="21" a="1"/>
  <c r="BM181" i="21" s="1"/>
  <c r="BN181" i="21" a="1"/>
  <c r="BN181" i="21" s="1"/>
  <c r="BO181" i="21" a="1"/>
  <c r="BO181" i="21" s="1"/>
  <c r="BP181" i="21" a="1"/>
  <c r="BP181" i="21" s="1"/>
  <c r="BQ181" i="21" a="1"/>
  <c r="BQ181" i="21" s="1"/>
  <c r="BR181" i="21" a="1"/>
  <c r="BR181" i="21" s="1"/>
  <c r="BS181" i="21" a="1"/>
  <c r="BS181" i="21" s="1"/>
  <c r="BT181" i="21" a="1"/>
  <c r="BT181" i="21" s="1"/>
  <c r="BU181" i="21" a="1"/>
  <c r="BU181" i="21" s="1"/>
  <c r="BV181" i="21" a="1"/>
  <c r="BV181" i="21" s="1"/>
  <c r="BW181" i="21" a="1"/>
  <c r="BW181" i="21" s="1"/>
  <c r="BX181" i="21" a="1"/>
  <c r="BX181" i="21" s="1"/>
  <c r="BY181" i="21" a="1"/>
  <c r="BY181" i="21" s="1"/>
  <c r="BZ181" i="21" a="1"/>
  <c r="BZ181" i="21" s="1"/>
  <c r="CA181" i="21" a="1"/>
  <c r="CA181" i="21" s="1"/>
  <c r="CB181" i="21" a="1"/>
  <c r="CB181" i="21" s="1"/>
  <c r="CC181" i="21" a="1"/>
  <c r="CC181" i="21" s="1"/>
  <c r="CD181" i="21" a="1"/>
  <c r="CD181" i="21" s="1"/>
  <c r="CE181" i="21" a="1"/>
  <c r="CE181" i="21" s="1"/>
  <c r="CF181" i="21" a="1"/>
  <c r="CF181" i="21" s="1"/>
  <c r="CG181" i="21" a="1"/>
  <c r="CG181" i="21" s="1"/>
  <c r="CH181" i="21" a="1"/>
  <c r="CH181" i="21" s="1"/>
  <c r="CI181" i="21" a="1"/>
  <c r="CI181" i="21" s="1"/>
  <c r="CJ181" i="21" a="1"/>
  <c r="CJ181" i="21" s="1"/>
  <c r="CK181" i="21" a="1"/>
  <c r="CK181" i="21" s="1"/>
  <c r="CL181" i="21" a="1"/>
  <c r="CL181" i="21" s="1"/>
  <c r="CM181" i="21" a="1"/>
  <c r="CM181" i="21" s="1"/>
  <c r="CN181" i="21" a="1"/>
  <c r="CN181" i="21" s="1"/>
  <c r="CO181" i="21" a="1"/>
  <c r="CO181" i="21" s="1"/>
  <c r="CP181" i="21" a="1"/>
  <c r="CP181" i="21" s="1"/>
  <c r="CQ181" i="21" a="1"/>
  <c r="CQ181" i="21" s="1"/>
  <c r="CR181" i="21" a="1"/>
  <c r="CR181" i="21" s="1"/>
  <c r="CS181" i="21" a="1"/>
  <c r="CS181" i="21" s="1"/>
  <c r="CT181" i="21" a="1"/>
  <c r="CT181" i="21" s="1"/>
  <c r="CU181" i="21" a="1"/>
  <c r="CU181" i="21" s="1"/>
  <c r="CV181" i="21" a="1"/>
  <c r="CV181" i="21" s="1"/>
  <c r="CW181" i="21" a="1"/>
  <c r="CW181" i="21" s="1"/>
  <c r="N182" i="21" a="1"/>
  <c r="N182" i="21" s="1"/>
  <c r="O182" i="21" a="1"/>
  <c r="O182" i="21" s="1"/>
  <c r="P182" i="21" a="1"/>
  <c r="P182" i="21" s="1"/>
  <c r="Q182" i="21" a="1"/>
  <c r="Q182" i="21" s="1"/>
  <c r="R182" i="21" a="1"/>
  <c r="R182" i="21" s="1"/>
  <c r="S182" i="21" a="1"/>
  <c r="S182" i="21" s="1"/>
  <c r="T182" i="21" a="1"/>
  <c r="T182" i="21" s="1"/>
  <c r="U182" i="21" a="1"/>
  <c r="U182" i="21" s="1"/>
  <c r="V182" i="21" a="1"/>
  <c r="V182" i="21" s="1"/>
  <c r="W182" i="21" a="1"/>
  <c r="W182" i="21" s="1"/>
  <c r="X182" i="21" a="1"/>
  <c r="X182" i="21" s="1"/>
  <c r="Y182" i="21" a="1"/>
  <c r="Y182" i="21" s="1"/>
  <c r="Z182" i="21" a="1"/>
  <c r="Z182" i="21" s="1"/>
  <c r="AA182" i="21" a="1"/>
  <c r="AA182" i="21" s="1"/>
  <c r="AB182" i="21" a="1"/>
  <c r="AB182" i="21" s="1"/>
  <c r="AC182" i="21" a="1"/>
  <c r="AC182" i="21" s="1"/>
  <c r="AD182" i="21" a="1"/>
  <c r="AD182" i="21" s="1"/>
  <c r="AE182" i="21" a="1"/>
  <c r="AE182" i="21" s="1"/>
  <c r="AF182" i="21" a="1"/>
  <c r="AF182" i="21" s="1"/>
  <c r="AG182" i="21" a="1"/>
  <c r="AG182" i="21" s="1"/>
  <c r="AH182" i="21" a="1"/>
  <c r="AH182" i="21" s="1"/>
  <c r="AI182" i="21" a="1"/>
  <c r="AI182" i="21" s="1"/>
  <c r="AJ182" i="21" a="1"/>
  <c r="AJ182" i="21" s="1"/>
  <c r="AK182" i="21" a="1"/>
  <c r="AK182" i="21" s="1"/>
  <c r="AL182" i="21" a="1"/>
  <c r="AL182" i="21" s="1"/>
  <c r="AM182" i="21" a="1"/>
  <c r="AM182" i="21" s="1"/>
  <c r="AN182" i="21" a="1"/>
  <c r="AN182" i="21" s="1"/>
  <c r="AO182" i="21" a="1"/>
  <c r="AO182" i="21" s="1"/>
  <c r="AP182" i="21" a="1"/>
  <c r="AP182" i="21" s="1"/>
  <c r="AQ182" i="21" a="1"/>
  <c r="AQ182" i="21" s="1"/>
  <c r="AR182" i="21" a="1"/>
  <c r="AR182" i="21" s="1"/>
  <c r="AS182" i="21" a="1"/>
  <c r="AS182" i="21" s="1"/>
  <c r="AT182" i="21" a="1"/>
  <c r="AT182" i="21" s="1"/>
  <c r="AU182" i="21" a="1"/>
  <c r="AU182" i="21" s="1"/>
  <c r="AV182" i="21" a="1"/>
  <c r="AV182" i="21" s="1"/>
  <c r="AW182" i="21" a="1"/>
  <c r="AW182" i="21" s="1"/>
  <c r="AX182" i="21" a="1"/>
  <c r="AX182" i="21" s="1"/>
  <c r="AY182" i="21" a="1"/>
  <c r="AY182" i="21" s="1"/>
  <c r="AZ182" i="21" a="1"/>
  <c r="AZ182" i="21" s="1"/>
  <c r="BA182" i="21" a="1"/>
  <c r="BA182" i="21" s="1"/>
  <c r="BB182" i="21" a="1"/>
  <c r="BB182" i="21" s="1"/>
  <c r="BC182" i="21" a="1"/>
  <c r="BC182" i="21" s="1"/>
  <c r="BD182" i="21" a="1"/>
  <c r="BD182" i="21" s="1"/>
  <c r="BE182" i="21" a="1"/>
  <c r="BE182" i="21" s="1"/>
  <c r="BF182" i="21" a="1"/>
  <c r="BF182" i="21" s="1"/>
  <c r="BG182" i="21" a="1"/>
  <c r="BG182" i="21" s="1"/>
  <c r="BH182" i="21" a="1"/>
  <c r="BH182" i="21" s="1"/>
  <c r="BI182" i="21" a="1"/>
  <c r="BI182" i="21" s="1"/>
  <c r="BJ182" i="21" a="1"/>
  <c r="BJ182" i="21" s="1"/>
  <c r="BK182" i="21" a="1"/>
  <c r="BK182" i="21" s="1"/>
  <c r="BL182" i="21" a="1"/>
  <c r="BL182" i="21" s="1"/>
  <c r="BM182" i="21" a="1"/>
  <c r="BM182" i="21" s="1"/>
  <c r="BN182" i="21" a="1"/>
  <c r="BN182" i="21" s="1"/>
  <c r="BO182" i="21" a="1"/>
  <c r="BO182" i="21" s="1"/>
  <c r="BP182" i="21" a="1"/>
  <c r="BP182" i="21" s="1"/>
  <c r="BQ182" i="21" a="1"/>
  <c r="BQ182" i="21" s="1"/>
  <c r="BR182" i="21" a="1"/>
  <c r="BR182" i="21" s="1"/>
  <c r="BS182" i="21" a="1"/>
  <c r="BS182" i="21" s="1"/>
  <c r="BT182" i="21" a="1"/>
  <c r="BT182" i="21" s="1"/>
  <c r="BU182" i="21" a="1"/>
  <c r="BU182" i="21" s="1"/>
  <c r="BV182" i="21" a="1"/>
  <c r="BV182" i="21" s="1"/>
  <c r="BW182" i="21" a="1"/>
  <c r="BW182" i="21" s="1"/>
  <c r="BX182" i="21" a="1"/>
  <c r="BX182" i="21" s="1"/>
  <c r="BY182" i="21" a="1"/>
  <c r="BY182" i="21" s="1"/>
  <c r="BZ182" i="21" a="1"/>
  <c r="BZ182" i="21" s="1"/>
  <c r="CA182" i="21" a="1"/>
  <c r="CA182" i="21" s="1"/>
  <c r="CB182" i="21" a="1"/>
  <c r="CB182" i="21" s="1"/>
  <c r="CC182" i="21" a="1"/>
  <c r="CC182" i="21" s="1"/>
  <c r="CD182" i="21" a="1"/>
  <c r="CD182" i="21" s="1"/>
  <c r="CE182" i="21" a="1"/>
  <c r="CE182" i="21" s="1"/>
  <c r="CF182" i="21" a="1"/>
  <c r="CF182" i="21" s="1"/>
  <c r="CG182" i="21" a="1"/>
  <c r="CG182" i="21" s="1"/>
  <c r="CH182" i="21" a="1"/>
  <c r="CH182" i="21" s="1"/>
  <c r="CI182" i="21" a="1"/>
  <c r="CI182" i="21" s="1"/>
  <c r="CJ182" i="21" a="1"/>
  <c r="CJ182" i="21" s="1"/>
  <c r="CK182" i="21" a="1"/>
  <c r="CK182" i="21" s="1"/>
  <c r="CL182" i="21" a="1"/>
  <c r="CL182" i="21" s="1"/>
  <c r="CM182" i="21" a="1"/>
  <c r="CM182" i="21" s="1"/>
  <c r="CN182" i="21" a="1"/>
  <c r="CN182" i="21" s="1"/>
  <c r="CO182" i="21" a="1"/>
  <c r="CO182" i="21" s="1"/>
  <c r="CP182" i="21" a="1"/>
  <c r="CP182" i="21" s="1"/>
  <c r="CQ182" i="21" a="1"/>
  <c r="CQ182" i="21" s="1"/>
  <c r="CR182" i="21" a="1"/>
  <c r="CR182" i="21" s="1"/>
  <c r="CS182" i="21" a="1"/>
  <c r="CS182" i="21" s="1"/>
  <c r="CT182" i="21" a="1"/>
  <c r="CT182" i="21" s="1"/>
  <c r="CU182" i="21" a="1"/>
  <c r="CU182" i="21" s="1"/>
  <c r="CV182" i="21" a="1"/>
  <c r="CV182" i="21" s="1"/>
  <c r="CW182" i="21" a="1"/>
  <c r="CW182" i="21" s="1"/>
  <c r="N183" i="21" a="1"/>
  <c r="N183" i="21" s="1"/>
  <c r="O183" i="21" a="1"/>
  <c r="O183" i="21" s="1"/>
  <c r="P183" i="21" a="1"/>
  <c r="P183" i="21" s="1"/>
  <c r="Q183" i="21" a="1"/>
  <c r="Q183" i="21" s="1"/>
  <c r="R183" i="21" a="1"/>
  <c r="R183" i="21" s="1"/>
  <c r="S183" i="21" a="1"/>
  <c r="S183" i="21" s="1"/>
  <c r="T183" i="21" a="1"/>
  <c r="T183" i="21" s="1"/>
  <c r="U183" i="21" a="1"/>
  <c r="U183" i="21" s="1"/>
  <c r="V183" i="21" a="1"/>
  <c r="V183" i="21" s="1"/>
  <c r="W183" i="21" a="1"/>
  <c r="W183" i="21" s="1"/>
  <c r="X183" i="21" a="1"/>
  <c r="X183" i="21" s="1"/>
  <c r="Y183" i="21" a="1"/>
  <c r="Y183" i="21" s="1"/>
  <c r="Z183" i="21" a="1"/>
  <c r="Z183" i="21" s="1"/>
  <c r="AA183" i="21" a="1"/>
  <c r="AA183" i="21" s="1"/>
  <c r="AB183" i="21" a="1"/>
  <c r="AB183" i="21" s="1"/>
  <c r="AC183" i="21" a="1"/>
  <c r="AC183" i="21" s="1"/>
  <c r="AD183" i="21" a="1"/>
  <c r="AD183" i="21" s="1"/>
  <c r="AE183" i="21" a="1"/>
  <c r="AE183" i="21" s="1"/>
  <c r="AF183" i="21" a="1"/>
  <c r="AF183" i="21" s="1"/>
  <c r="AG183" i="21" a="1"/>
  <c r="AG183" i="21" s="1"/>
  <c r="AH183" i="21" a="1"/>
  <c r="AH183" i="21" s="1"/>
  <c r="AI183" i="21" a="1"/>
  <c r="AI183" i="21" s="1"/>
  <c r="AJ183" i="21" a="1"/>
  <c r="AJ183" i="21" s="1"/>
  <c r="AK183" i="21" a="1"/>
  <c r="AK183" i="21" s="1"/>
  <c r="AL183" i="21" a="1"/>
  <c r="AL183" i="21" s="1"/>
  <c r="AM183" i="21" a="1"/>
  <c r="AM183" i="21" s="1"/>
  <c r="AN183" i="21" a="1"/>
  <c r="AN183" i="21" s="1"/>
  <c r="AO183" i="21" a="1"/>
  <c r="AO183" i="21" s="1"/>
  <c r="AP183" i="21" a="1"/>
  <c r="AP183" i="21" s="1"/>
  <c r="AQ183" i="21" a="1"/>
  <c r="AQ183" i="21" s="1"/>
  <c r="AR183" i="21" a="1"/>
  <c r="AR183" i="21" s="1"/>
  <c r="AS183" i="21" a="1"/>
  <c r="AS183" i="21" s="1"/>
  <c r="AT183" i="21" a="1"/>
  <c r="AT183" i="21" s="1"/>
  <c r="AU183" i="21" a="1"/>
  <c r="AU183" i="21" s="1"/>
  <c r="AV183" i="21" a="1"/>
  <c r="AV183" i="21" s="1"/>
  <c r="AW183" i="21" a="1"/>
  <c r="AW183" i="21" s="1"/>
  <c r="AX183" i="21" a="1"/>
  <c r="AX183" i="21" s="1"/>
  <c r="AY183" i="21" a="1"/>
  <c r="AY183" i="21" s="1"/>
  <c r="AZ183" i="21" a="1"/>
  <c r="AZ183" i="21" s="1"/>
  <c r="BA183" i="21" a="1"/>
  <c r="BA183" i="21" s="1"/>
  <c r="BB183" i="21" a="1"/>
  <c r="BB183" i="21" s="1"/>
  <c r="BC183" i="21" a="1"/>
  <c r="BC183" i="21" s="1"/>
  <c r="BD183" i="21" a="1"/>
  <c r="BD183" i="21" s="1"/>
  <c r="BE183" i="21" a="1"/>
  <c r="BE183" i="21" s="1"/>
  <c r="BF183" i="21" a="1"/>
  <c r="BF183" i="21" s="1"/>
  <c r="BG183" i="21" a="1"/>
  <c r="BG183" i="21" s="1"/>
  <c r="BH183" i="21" a="1"/>
  <c r="BH183" i="21" s="1"/>
  <c r="BI183" i="21" a="1"/>
  <c r="BI183" i="21" s="1"/>
  <c r="BJ183" i="21" a="1"/>
  <c r="BJ183" i="21" s="1"/>
  <c r="BK183" i="21" a="1"/>
  <c r="BK183" i="21" s="1"/>
  <c r="BL183" i="21" a="1"/>
  <c r="BL183" i="21" s="1"/>
  <c r="BM183" i="21" a="1"/>
  <c r="BM183" i="21" s="1"/>
  <c r="BN183" i="21" a="1"/>
  <c r="BN183" i="21" s="1"/>
  <c r="BO183" i="21" a="1"/>
  <c r="BO183" i="21" s="1"/>
  <c r="BP183" i="21" a="1"/>
  <c r="BP183" i="21" s="1"/>
  <c r="BQ183" i="21" a="1"/>
  <c r="BQ183" i="21" s="1"/>
  <c r="BR183" i="21" a="1"/>
  <c r="BR183" i="21" s="1"/>
  <c r="BS183" i="21" a="1"/>
  <c r="BS183" i="21" s="1"/>
  <c r="BT183" i="21" a="1"/>
  <c r="BT183" i="21" s="1"/>
  <c r="BU183" i="21" a="1"/>
  <c r="BU183" i="21" s="1"/>
  <c r="BV183" i="21" a="1"/>
  <c r="BV183" i="21" s="1"/>
  <c r="BW183" i="21" a="1"/>
  <c r="BW183" i="21" s="1"/>
  <c r="BX183" i="21" a="1"/>
  <c r="BX183" i="21" s="1"/>
  <c r="BY183" i="21" a="1"/>
  <c r="BY183" i="21" s="1"/>
  <c r="BZ183" i="21" a="1"/>
  <c r="BZ183" i="21" s="1"/>
  <c r="CA183" i="21" a="1"/>
  <c r="CA183" i="21" s="1"/>
  <c r="CB183" i="21" a="1"/>
  <c r="CB183" i="21" s="1"/>
  <c r="CC183" i="21" a="1"/>
  <c r="CC183" i="21" s="1"/>
  <c r="CD183" i="21" a="1"/>
  <c r="CD183" i="21" s="1"/>
  <c r="CE183" i="21" a="1"/>
  <c r="CE183" i="21" s="1"/>
  <c r="CF183" i="21" a="1"/>
  <c r="CF183" i="21" s="1"/>
  <c r="CG183" i="21" a="1"/>
  <c r="CG183" i="21" s="1"/>
  <c r="CH183" i="21" a="1"/>
  <c r="CH183" i="21" s="1"/>
  <c r="CI183" i="21" a="1"/>
  <c r="CI183" i="21" s="1"/>
  <c r="CJ183" i="21" a="1"/>
  <c r="CJ183" i="21" s="1"/>
  <c r="CK183" i="21" a="1"/>
  <c r="CK183" i="21" s="1"/>
  <c r="CL183" i="21" a="1"/>
  <c r="CL183" i="21" s="1"/>
  <c r="CM183" i="21" a="1"/>
  <c r="CM183" i="21" s="1"/>
  <c r="CN183" i="21" a="1"/>
  <c r="CN183" i="21" s="1"/>
  <c r="CO183" i="21" a="1"/>
  <c r="CO183" i="21" s="1"/>
  <c r="CP183" i="21" a="1"/>
  <c r="CP183" i="21" s="1"/>
  <c r="CQ183" i="21" a="1"/>
  <c r="CQ183" i="21" s="1"/>
  <c r="CR183" i="21" a="1"/>
  <c r="CR183" i="21" s="1"/>
  <c r="CS183" i="21" a="1"/>
  <c r="CS183" i="21" s="1"/>
  <c r="CT183" i="21" a="1"/>
  <c r="CT183" i="21" s="1"/>
  <c r="CU183" i="21" a="1"/>
  <c r="CU183" i="21" s="1"/>
  <c r="CV183" i="21" a="1"/>
  <c r="CV183" i="21" s="1"/>
  <c r="CW183" i="21" a="1"/>
  <c r="CW183" i="21" s="1"/>
  <c r="N184" i="21" a="1"/>
  <c r="N184" i="21" s="1"/>
  <c r="O184" i="21" a="1"/>
  <c r="O184" i="21" s="1"/>
  <c r="P184" i="21" a="1"/>
  <c r="P184" i="21" s="1"/>
  <c r="Q184" i="21" a="1"/>
  <c r="Q184" i="21" s="1"/>
  <c r="R184" i="21" a="1"/>
  <c r="R184" i="21" s="1"/>
  <c r="S184" i="21" a="1"/>
  <c r="S184" i="21" s="1"/>
  <c r="T184" i="21" a="1"/>
  <c r="T184" i="21" s="1"/>
  <c r="U184" i="21" a="1"/>
  <c r="U184" i="21" s="1"/>
  <c r="V184" i="21" a="1"/>
  <c r="V184" i="21" s="1"/>
  <c r="W184" i="21" a="1"/>
  <c r="W184" i="21" s="1"/>
  <c r="X184" i="21" a="1"/>
  <c r="X184" i="21" s="1"/>
  <c r="Y184" i="21" a="1"/>
  <c r="Y184" i="21" s="1"/>
  <c r="Z184" i="21" a="1"/>
  <c r="Z184" i="21" s="1"/>
  <c r="AA184" i="21" a="1"/>
  <c r="AA184" i="21" s="1"/>
  <c r="AB184" i="21" a="1"/>
  <c r="AB184" i="21" s="1"/>
  <c r="AC184" i="21" a="1"/>
  <c r="AC184" i="21" s="1"/>
  <c r="AD184" i="21" a="1"/>
  <c r="AD184" i="21" s="1"/>
  <c r="AE184" i="21" a="1"/>
  <c r="AE184" i="21" s="1"/>
  <c r="AF184" i="21" a="1"/>
  <c r="AF184" i="21" s="1"/>
  <c r="AG184" i="21" a="1"/>
  <c r="AG184" i="21" s="1"/>
  <c r="AH184" i="21" a="1"/>
  <c r="AH184" i="21" s="1"/>
  <c r="AI184" i="21" a="1"/>
  <c r="AI184" i="21" s="1"/>
  <c r="AJ184" i="21" a="1"/>
  <c r="AJ184" i="21" s="1"/>
  <c r="AK184" i="21" a="1"/>
  <c r="AK184" i="21" s="1"/>
  <c r="AL184" i="21" a="1"/>
  <c r="AL184" i="21" s="1"/>
  <c r="AM184" i="21" a="1"/>
  <c r="AM184" i="21" s="1"/>
  <c r="AN184" i="21" a="1"/>
  <c r="AN184" i="21" s="1"/>
  <c r="AO184" i="21" a="1"/>
  <c r="AO184" i="21" s="1"/>
  <c r="AP184" i="21" a="1"/>
  <c r="AP184" i="21" s="1"/>
  <c r="AQ184" i="21" a="1"/>
  <c r="AQ184" i="21" s="1"/>
  <c r="AR184" i="21" a="1"/>
  <c r="AR184" i="21" s="1"/>
  <c r="AS184" i="21" a="1"/>
  <c r="AS184" i="21" s="1"/>
  <c r="AT184" i="21" a="1"/>
  <c r="AT184" i="21" s="1"/>
  <c r="AU184" i="21" a="1"/>
  <c r="AU184" i="21" s="1"/>
  <c r="AV184" i="21" a="1"/>
  <c r="AV184" i="21" s="1"/>
  <c r="AW184" i="21" a="1"/>
  <c r="AW184" i="21" s="1"/>
  <c r="AX184" i="21" a="1"/>
  <c r="AX184" i="21" s="1"/>
  <c r="AY184" i="21" a="1"/>
  <c r="AY184" i="21" s="1"/>
  <c r="AZ184" i="21" a="1"/>
  <c r="AZ184" i="21" s="1"/>
  <c r="BA184" i="21" a="1"/>
  <c r="BA184" i="21" s="1"/>
  <c r="BB184" i="21" a="1"/>
  <c r="BB184" i="21" s="1"/>
  <c r="BC184" i="21" a="1"/>
  <c r="BC184" i="21" s="1"/>
  <c r="BD184" i="21" a="1"/>
  <c r="BD184" i="21" s="1"/>
  <c r="BE184" i="21" a="1"/>
  <c r="BE184" i="21" s="1"/>
  <c r="BF184" i="21" a="1"/>
  <c r="BF184" i="21" s="1"/>
  <c r="BG184" i="21" a="1"/>
  <c r="BG184" i="21" s="1"/>
  <c r="BH184" i="21" a="1"/>
  <c r="BH184" i="21" s="1"/>
  <c r="BI184" i="21" a="1"/>
  <c r="BI184" i="21" s="1"/>
  <c r="BJ184" i="21" a="1"/>
  <c r="BJ184" i="21" s="1"/>
  <c r="BK184" i="21" a="1"/>
  <c r="BK184" i="21" s="1"/>
  <c r="BL184" i="21" a="1"/>
  <c r="BL184" i="21" s="1"/>
  <c r="BM184" i="21" a="1"/>
  <c r="BM184" i="21" s="1"/>
  <c r="BN184" i="21" a="1"/>
  <c r="BN184" i="21" s="1"/>
  <c r="BO184" i="21" a="1"/>
  <c r="BO184" i="21" s="1"/>
  <c r="BP184" i="21" a="1"/>
  <c r="BP184" i="21" s="1"/>
  <c r="BQ184" i="21" a="1"/>
  <c r="BQ184" i="21" s="1"/>
  <c r="BR184" i="21" a="1"/>
  <c r="BR184" i="21" s="1"/>
  <c r="BS184" i="21" a="1"/>
  <c r="BS184" i="21" s="1"/>
  <c r="BT184" i="21" a="1"/>
  <c r="BT184" i="21" s="1"/>
  <c r="BU184" i="21" a="1"/>
  <c r="BU184" i="21" s="1"/>
  <c r="BV184" i="21" a="1"/>
  <c r="BV184" i="21" s="1"/>
  <c r="BW184" i="21" a="1"/>
  <c r="BW184" i="21" s="1"/>
  <c r="BX184" i="21" a="1"/>
  <c r="BX184" i="21" s="1"/>
  <c r="BY184" i="21" a="1"/>
  <c r="BY184" i="21" s="1"/>
  <c r="BZ184" i="21" a="1"/>
  <c r="BZ184" i="21" s="1"/>
  <c r="CA184" i="21" a="1"/>
  <c r="CA184" i="21" s="1"/>
  <c r="CB184" i="21" a="1"/>
  <c r="CB184" i="21" s="1"/>
  <c r="CC184" i="21" a="1"/>
  <c r="CC184" i="21" s="1"/>
  <c r="CD184" i="21" a="1"/>
  <c r="CD184" i="21" s="1"/>
  <c r="CE184" i="21" a="1"/>
  <c r="CE184" i="21" s="1"/>
  <c r="CF184" i="21" a="1"/>
  <c r="CF184" i="21" s="1"/>
  <c r="CG184" i="21" a="1"/>
  <c r="CG184" i="21" s="1"/>
  <c r="CH184" i="21" a="1"/>
  <c r="CH184" i="21" s="1"/>
  <c r="CI184" i="21" a="1"/>
  <c r="CI184" i="21" s="1"/>
  <c r="CJ184" i="21" a="1"/>
  <c r="CJ184" i="21" s="1"/>
  <c r="CK184" i="21" a="1"/>
  <c r="CK184" i="21" s="1"/>
  <c r="CL184" i="21" a="1"/>
  <c r="CL184" i="21" s="1"/>
  <c r="CM184" i="21" a="1"/>
  <c r="CM184" i="21" s="1"/>
  <c r="CN184" i="21" a="1"/>
  <c r="CN184" i="21" s="1"/>
  <c r="CO184" i="21" a="1"/>
  <c r="CO184" i="21" s="1"/>
  <c r="CP184" i="21" a="1"/>
  <c r="CP184" i="21" s="1"/>
  <c r="CQ184" i="21" a="1"/>
  <c r="CQ184" i="21" s="1"/>
  <c r="CR184" i="21" a="1"/>
  <c r="CR184" i="21" s="1"/>
  <c r="CS184" i="21" a="1"/>
  <c r="CS184" i="21" s="1"/>
  <c r="CT184" i="21" a="1"/>
  <c r="CT184" i="21" s="1"/>
  <c r="CU184" i="21" a="1"/>
  <c r="CU184" i="21" s="1"/>
  <c r="CV184" i="21" a="1"/>
  <c r="CV184" i="21" s="1"/>
  <c r="CW184" i="21" a="1"/>
  <c r="CW184" i="21" s="1"/>
  <c r="N185" i="21" a="1"/>
  <c r="N185" i="21" s="1"/>
  <c r="O185" i="21" a="1"/>
  <c r="O185" i="21" s="1"/>
  <c r="P185" i="21" a="1"/>
  <c r="P185" i="21" s="1"/>
  <c r="Q185" i="21" a="1"/>
  <c r="Q185" i="21" s="1"/>
  <c r="R185" i="21" a="1"/>
  <c r="R185" i="21" s="1"/>
  <c r="S185" i="21" a="1"/>
  <c r="S185" i="21" s="1"/>
  <c r="T185" i="21" a="1"/>
  <c r="T185" i="21" s="1"/>
  <c r="U185" i="21" a="1"/>
  <c r="U185" i="21" s="1"/>
  <c r="V185" i="21" a="1"/>
  <c r="V185" i="21" s="1"/>
  <c r="W185" i="21" a="1"/>
  <c r="W185" i="21" s="1"/>
  <c r="X185" i="21" a="1"/>
  <c r="X185" i="21" s="1"/>
  <c r="Y185" i="21" a="1"/>
  <c r="Y185" i="21" s="1"/>
  <c r="Z185" i="21" a="1"/>
  <c r="Z185" i="21" s="1"/>
  <c r="AA185" i="21" a="1"/>
  <c r="AA185" i="21" s="1"/>
  <c r="AB185" i="21" a="1"/>
  <c r="AB185" i="21" s="1"/>
  <c r="AC185" i="21" a="1"/>
  <c r="AC185" i="21" s="1"/>
  <c r="AD185" i="21" a="1"/>
  <c r="AD185" i="21" s="1"/>
  <c r="AE185" i="21" a="1"/>
  <c r="AE185" i="21" s="1"/>
  <c r="AF185" i="21" a="1"/>
  <c r="AF185" i="21" s="1"/>
  <c r="AG185" i="21" a="1"/>
  <c r="AG185" i="21" s="1"/>
  <c r="AH185" i="21" a="1"/>
  <c r="AH185" i="21" s="1"/>
  <c r="AI185" i="21" a="1"/>
  <c r="AI185" i="21" s="1"/>
  <c r="AJ185" i="21" a="1"/>
  <c r="AJ185" i="21" s="1"/>
  <c r="AK185" i="21" a="1"/>
  <c r="AK185" i="21" s="1"/>
  <c r="AL185" i="21" a="1"/>
  <c r="AL185" i="21" s="1"/>
  <c r="AM185" i="21" a="1"/>
  <c r="AM185" i="21" s="1"/>
  <c r="AN185" i="21" a="1"/>
  <c r="AN185" i="21" s="1"/>
  <c r="AO185" i="21" a="1"/>
  <c r="AO185" i="21" s="1"/>
  <c r="AP185" i="21" a="1"/>
  <c r="AP185" i="21" s="1"/>
  <c r="AQ185" i="21" a="1"/>
  <c r="AQ185" i="21" s="1"/>
  <c r="AR185" i="21" a="1"/>
  <c r="AR185" i="21" s="1"/>
  <c r="AS185" i="21" a="1"/>
  <c r="AS185" i="21" s="1"/>
  <c r="AT185" i="21" a="1"/>
  <c r="AT185" i="21" s="1"/>
  <c r="AU185" i="21" a="1"/>
  <c r="AU185" i="21" s="1"/>
  <c r="AV185" i="21" a="1"/>
  <c r="AV185" i="21" s="1"/>
  <c r="AW185" i="21" a="1"/>
  <c r="AW185" i="21" s="1"/>
  <c r="AX185" i="21" a="1"/>
  <c r="AX185" i="21" s="1"/>
  <c r="AY185" i="21" a="1"/>
  <c r="AY185" i="21" s="1"/>
  <c r="AZ185" i="21" a="1"/>
  <c r="AZ185" i="21" s="1"/>
  <c r="BA185" i="21" a="1"/>
  <c r="BA185" i="21" s="1"/>
  <c r="BB185" i="21" a="1"/>
  <c r="BB185" i="21" s="1"/>
  <c r="BC185" i="21" a="1"/>
  <c r="BC185" i="21" s="1"/>
  <c r="BD185" i="21" a="1"/>
  <c r="BD185" i="21" s="1"/>
  <c r="BE185" i="21" a="1"/>
  <c r="BE185" i="21" s="1"/>
  <c r="BF185" i="21" a="1"/>
  <c r="BF185" i="21" s="1"/>
  <c r="BG185" i="21" a="1"/>
  <c r="BG185" i="21" s="1"/>
  <c r="BH185" i="21" a="1"/>
  <c r="BH185" i="21" s="1"/>
  <c r="BI185" i="21" a="1"/>
  <c r="BI185" i="21" s="1"/>
  <c r="BJ185" i="21" a="1"/>
  <c r="BJ185" i="21" s="1"/>
  <c r="BK185" i="21" a="1"/>
  <c r="BK185" i="21" s="1"/>
  <c r="BL185" i="21" a="1"/>
  <c r="BL185" i="21" s="1"/>
  <c r="BM185" i="21" a="1"/>
  <c r="BM185" i="21" s="1"/>
  <c r="BN185" i="21" a="1"/>
  <c r="BN185" i="21" s="1"/>
  <c r="BO185" i="21" a="1"/>
  <c r="BO185" i="21" s="1"/>
  <c r="BP185" i="21" a="1"/>
  <c r="BP185" i="21" s="1"/>
  <c r="BQ185" i="21" a="1"/>
  <c r="BQ185" i="21" s="1"/>
  <c r="BR185" i="21" a="1"/>
  <c r="BR185" i="21" s="1"/>
  <c r="BS185" i="21" a="1"/>
  <c r="BS185" i="21" s="1"/>
  <c r="BT185" i="21" a="1"/>
  <c r="BT185" i="21" s="1"/>
  <c r="BU185" i="21" a="1"/>
  <c r="BU185" i="21" s="1"/>
  <c r="BV185" i="21" a="1"/>
  <c r="BV185" i="21" s="1"/>
  <c r="BW185" i="21" a="1"/>
  <c r="BW185" i="21" s="1"/>
  <c r="BX185" i="21" a="1"/>
  <c r="BX185" i="21" s="1"/>
  <c r="BY185" i="21" a="1"/>
  <c r="BY185" i="21" s="1"/>
  <c r="BZ185" i="21" a="1"/>
  <c r="BZ185" i="21" s="1"/>
  <c r="CA185" i="21" a="1"/>
  <c r="CA185" i="21" s="1"/>
  <c r="CB185" i="21" a="1"/>
  <c r="CB185" i="21" s="1"/>
  <c r="CC185" i="21" a="1"/>
  <c r="CC185" i="21" s="1"/>
  <c r="CD185" i="21" a="1"/>
  <c r="CD185" i="21" s="1"/>
  <c r="CE185" i="21" a="1"/>
  <c r="CE185" i="21" s="1"/>
  <c r="CF185" i="21" a="1"/>
  <c r="CF185" i="21" s="1"/>
  <c r="CG185" i="21" a="1"/>
  <c r="CG185" i="21" s="1"/>
  <c r="CH185" i="21" a="1"/>
  <c r="CH185" i="21" s="1"/>
  <c r="CI185" i="21" a="1"/>
  <c r="CI185" i="21" s="1"/>
  <c r="CJ185" i="21" a="1"/>
  <c r="CJ185" i="21" s="1"/>
  <c r="CK185" i="21" a="1"/>
  <c r="CK185" i="21" s="1"/>
  <c r="CL185" i="21" a="1"/>
  <c r="CL185" i="21" s="1"/>
  <c r="CM185" i="21" a="1"/>
  <c r="CM185" i="21" s="1"/>
  <c r="CN185" i="21" a="1"/>
  <c r="CN185" i="21" s="1"/>
  <c r="CO185" i="21" a="1"/>
  <c r="CO185" i="21" s="1"/>
  <c r="CP185" i="21" a="1"/>
  <c r="CP185" i="21" s="1"/>
  <c r="CQ185" i="21" a="1"/>
  <c r="CQ185" i="21" s="1"/>
  <c r="CR185" i="21" a="1"/>
  <c r="CR185" i="21" s="1"/>
  <c r="CS185" i="21" a="1"/>
  <c r="CS185" i="21" s="1"/>
  <c r="CT185" i="21" a="1"/>
  <c r="CT185" i="21" s="1"/>
  <c r="CU185" i="21" a="1"/>
  <c r="CU185" i="21" s="1"/>
  <c r="CV185" i="21" a="1"/>
  <c r="CV185" i="21" s="1"/>
  <c r="CW185" i="21" a="1"/>
  <c r="CW185" i="21" s="1"/>
  <c r="N186" i="21" a="1"/>
  <c r="N186" i="21" s="1"/>
  <c r="O186" i="21" a="1"/>
  <c r="O186" i="21" s="1"/>
  <c r="P186" i="21" a="1"/>
  <c r="P186" i="21" s="1"/>
  <c r="Q186" i="21" a="1"/>
  <c r="Q186" i="21" s="1"/>
  <c r="R186" i="21" a="1"/>
  <c r="R186" i="21" s="1"/>
  <c r="S186" i="21" a="1"/>
  <c r="S186" i="21" s="1"/>
  <c r="T186" i="21" a="1"/>
  <c r="T186" i="21" s="1"/>
  <c r="U186" i="21" a="1"/>
  <c r="U186" i="21" s="1"/>
  <c r="V186" i="21" a="1"/>
  <c r="V186" i="21" s="1"/>
  <c r="W186" i="21" a="1"/>
  <c r="W186" i="21" s="1"/>
  <c r="X186" i="21" a="1"/>
  <c r="X186" i="21" s="1"/>
  <c r="Y186" i="21" a="1"/>
  <c r="Y186" i="21" s="1"/>
  <c r="Z186" i="21" a="1"/>
  <c r="Z186" i="21" s="1"/>
  <c r="AA186" i="21" a="1"/>
  <c r="AA186" i="21" s="1"/>
  <c r="AB186" i="21" a="1"/>
  <c r="AB186" i="21" s="1"/>
  <c r="AC186" i="21" a="1"/>
  <c r="AC186" i="21" s="1"/>
  <c r="AD186" i="21" a="1"/>
  <c r="AD186" i="21" s="1"/>
  <c r="AE186" i="21" a="1"/>
  <c r="AE186" i="21" s="1"/>
  <c r="AF186" i="21" a="1"/>
  <c r="AF186" i="21" s="1"/>
  <c r="AG186" i="21" a="1"/>
  <c r="AG186" i="21" s="1"/>
  <c r="AH186" i="21" a="1"/>
  <c r="AH186" i="21" s="1"/>
  <c r="AI186" i="21" a="1"/>
  <c r="AI186" i="21" s="1"/>
  <c r="AJ186" i="21" a="1"/>
  <c r="AJ186" i="21" s="1"/>
  <c r="AK186" i="21" a="1"/>
  <c r="AK186" i="21" s="1"/>
  <c r="AL186" i="21" a="1"/>
  <c r="AL186" i="21" s="1"/>
  <c r="AM186" i="21" a="1"/>
  <c r="AM186" i="21" s="1"/>
  <c r="AN186" i="21" a="1"/>
  <c r="AN186" i="21" s="1"/>
  <c r="AO186" i="21" a="1"/>
  <c r="AO186" i="21" s="1"/>
  <c r="AP186" i="21" a="1"/>
  <c r="AP186" i="21" s="1"/>
  <c r="AQ186" i="21" a="1"/>
  <c r="AQ186" i="21" s="1"/>
  <c r="AR186" i="21" a="1"/>
  <c r="AR186" i="21" s="1"/>
  <c r="AS186" i="21" a="1"/>
  <c r="AS186" i="21" s="1"/>
  <c r="AT186" i="21" a="1"/>
  <c r="AT186" i="21" s="1"/>
  <c r="AU186" i="21" a="1"/>
  <c r="AU186" i="21" s="1"/>
  <c r="AV186" i="21" a="1"/>
  <c r="AV186" i="21" s="1"/>
  <c r="AW186" i="21" a="1"/>
  <c r="AW186" i="21" s="1"/>
  <c r="AX186" i="21" a="1"/>
  <c r="AX186" i="21" s="1"/>
  <c r="AY186" i="21" a="1"/>
  <c r="AY186" i="21" s="1"/>
  <c r="AZ186" i="21" a="1"/>
  <c r="AZ186" i="21" s="1"/>
  <c r="BA186" i="21" a="1"/>
  <c r="BA186" i="21" s="1"/>
  <c r="BB186" i="21" a="1"/>
  <c r="BB186" i="21" s="1"/>
  <c r="BC186" i="21" a="1"/>
  <c r="BC186" i="21" s="1"/>
  <c r="BD186" i="21" a="1"/>
  <c r="BD186" i="21" s="1"/>
  <c r="BE186" i="21" a="1"/>
  <c r="BE186" i="21" s="1"/>
  <c r="BF186" i="21" a="1"/>
  <c r="BF186" i="21" s="1"/>
  <c r="BG186" i="21" a="1"/>
  <c r="BG186" i="21" s="1"/>
  <c r="BH186" i="21" a="1"/>
  <c r="BH186" i="21" s="1"/>
  <c r="BI186" i="21" a="1"/>
  <c r="BI186" i="21" s="1"/>
  <c r="BJ186" i="21" a="1"/>
  <c r="BJ186" i="21" s="1"/>
  <c r="BK186" i="21" a="1"/>
  <c r="BK186" i="21" s="1"/>
  <c r="BL186" i="21" a="1"/>
  <c r="BL186" i="21" s="1"/>
  <c r="BM186" i="21" a="1"/>
  <c r="BM186" i="21" s="1"/>
  <c r="BN186" i="21" a="1"/>
  <c r="BN186" i="21" s="1"/>
  <c r="BO186" i="21" a="1"/>
  <c r="BO186" i="21" s="1"/>
  <c r="BP186" i="21" a="1"/>
  <c r="BP186" i="21" s="1"/>
  <c r="BQ186" i="21" a="1"/>
  <c r="BQ186" i="21" s="1"/>
  <c r="BR186" i="21" a="1"/>
  <c r="BR186" i="21" s="1"/>
  <c r="BS186" i="21" a="1"/>
  <c r="BS186" i="21" s="1"/>
  <c r="BT186" i="21" a="1"/>
  <c r="BT186" i="21" s="1"/>
  <c r="BU186" i="21" a="1"/>
  <c r="BU186" i="21" s="1"/>
  <c r="BV186" i="21" a="1"/>
  <c r="BV186" i="21" s="1"/>
  <c r="BW186" i="21" a="1"/>
  <c r="BW186" i="21" s="1"/>
  <c r="BX186" i="21" a="1"/>
  <c r="BX186" i="21" s="1"/>
  <c r="BY186" i="21" a="1"/>
  <c r="BY186" i="21" s="1"/>
  <c r="BZ186" i="21" a="1"/>
  <c r="BZ186" i="21" s="1"/>
  <c r="CA186" i="21" a="1"/>
  <c r="CA186" i="21" s="1"/>
  <c r="CB186" i="21" a="1"/>
  <c r="CB186" i="21" s="1"/>
  <c r="CC186" i="21" a="1"/>
  <c r="CC186" i="21" s="1"/>
  <c r="CD186" i="21" a="1"/>
  <c r="CD186" i="21" s="1"/>
  <c r="CE186" i="21" a="1"/>
  <c r="CE186" i="21" s="1"/>
  <c r="CF186" i="21" a="1"/>
  <c r="CF186" i="21" s="1"/>
  <c r="CG186" i="21" a="1"/>
  <c r="CG186" i="21" s="1"/>
  <c r="CH186" i="21" a="1"/>
  <c r="CH186" i="21" s="1"/>
  <c r="CI186" i="21" a="1"/>
  <c r="CI186" i="21" s="1"/>
  <c r="CJ186" i="21" a="1"/>
  <c r="CJ186" i="21" s="1"/>
  <c r="CK186" i="21" a="1"/>
  <c r="CK186" i="21" s="1"/>
  <c r="CL186" i="21" a="1"/>
  <c r="CL186" i="21" s="1"/>
  <c r="CM186" i="21" a="1"/>
  <c r="CM186" i="21" s="1"/>
  <c r="CN186" i="21" a="1"/>
  <c r="CN186" i="21" s="1"/>
  <c r="CO186" i="21" a="1"/>
  <c r="CO186" i="21" s="1"/>
  <c r="CP186" i="21" a="1"/>
  <c r="CP186" i="21" s="1"/>
  <c r="CQ186" i="21" a="1"/>
  <c r="CQ186" i="21" s="1"/>
  <c r="CR186" i="21" a="1"/>
  <c r="CR186" i="21" s="1"/>
  <c r="CS186" i="21" a="1"/>
  <c r="CS186" i="21" s="1"/>
  <c r="CT186" i="21" a="1"/>
  <c r="CT186" i="21" s="1"/>
  <c r="CU186" i="21" a="1"/>
  <c r="CU186" i="21" s="1"/>
  <c r="CV186" i="21" a="1"/>
  <c r="CV186" i="21" s="1"/>
  <c r="CW186" i="21" a="1"/>
  <c r="CW186" i="21" s="1"/>
  <c r="N187" i="21" a="1"/>
  <c r="N187" i="21" s="1"/>
  <c r="O187" i="21" a="1"/>
  <c r="O187" i="21" s="1"/>
  <c r="P187" i="21" a="1"/>
  <c r="P187" i="21" s="1"/>
  <c r="Q187" i="21" a="1"/>
  <c r="Q187" i="21" s="1"/>
  <c r="R187" i="21" a="1"/>
  <c r="R187" i="21" s="1"/>
  <c r="S187" i="21" a="1"/>
  <c r="S187" i="21" s="1"/>
  <c r="T187" i="21" a="1"/>
  <c r="T187" i="21" s="1"/>
  <c r="U187" i="21" a="1"/>
  <c r="U187" i="21" s="1"/>
  <c r="V187" i="21" a="1"/>
  <c r="V187" i="21" s="1"/>
  <c r="W187" i="21" a="1"/>
  <c r="W187" i="21" s="1"/>
  <c r="X187" i="21" a="1"/>
  <c r="X187" i="21" s="1"/>
  <c r="Y187" i="21" a="1"/>
  <c r="Y187" i="21" s="1"/>
  <c r="Z187" i="21" a="1"/>
  <c r="Z187" i="21" s="1"/>
  <c r="AA187" i="21" a="1"/>
  <c r="AA187" i="21" s="1"/>
  <c r="AB187" i="21" a="1"/>
  <c r="AB187" i="21" s="1"/>
  <c r="AC187" i="21" a="1"/>
  <c r="AC187" i="21" s="1"/>
  <c r="AD187" i="21" a="1"/>
  <c r="AD187" i="21" s="1"/>
  <c r="AE187" i="21" a="1"/>
  <c r="AE187" i="21" s="1"/>
  <c r="AF187" i="21" a="1"/>
  <c r="AF187" i="21" s="1"/>
  <c r="AG187" i="21" a="1"/>
  <c r="AG187" i="21" s="1"/>
  <c r="AH187" i="21" a="1"/>
  <c r="AH187" i="21" s="1"/>
  <c r="AI187" i="21" a="1"/>
  <c r="AI187" i="21" s="1"/>
  <c r="AJ187" i="21" a="1"/>
  <c r="AJ187" i="21" s="1"/>
  <c r="AK187" i="21" a="1"/>
  <c r="AK187" i="21" s="1"/>
  <c r="AL187" i="21" a="1"/>
  <c r="AL187" i="21" s="1"/>
  <c r="AM187" i="21" a="1"/>
  <c r="AM187" i="21" s="1"/>
  <c r="AN187" i="21" a="1"/>
  <c r="AN187" i="21" s="1"/>
  <c r="AO187" i="21" a="1"/>
  <c r="AO187" i="21" s="1"/>
  <c r="AP187" i="21" a="1"/>
  <c r="AP187" i="21" s="1"/>
  <c r="AQ187" i="21" a="1"/>
  <c r="AQ187" i="21" s="1"/>
  <c r="AR187" i="21" a="1"/>
  <c r="AR187" i="21" s="1"/>
  <c r="AS187" i="21" a="1"/>
  <c r="AS187" i="21" s="1"/>
  <c r="AT187" i="21" a="1"/>
  <c r="AT187" i="21" s="1"/>
  <c r="AU187" i="21" a="1"/>
  <c r="AU187" i="21" s="1"/>
  <c r="AV187" i="21" a="1"/>
  <c r="AV187" i="21" s="1"/>
  <c r="AW187" i="21" a="1"/>
  <c r="AW187" i="21" s="1"/>
  <c r="AX187" i="21" a="1"/>
  <c r="AX187" i="21" s="1"/>
  <c r="AY187" i="21" a="1"/>
  <c r="AY187" i="21" s="1"/>
  <c r="AZ187" i="21" a="1"/>
  <c r="AZ187" i="21" s="1"/>
  <c r="BA187" i="21" a="1"/>
  <c r="BA187" i="21" s="1"/>
  <c r="BB187" i="21" a="1"/>
  <c r="BB187" i="21" s="1"/>
  <c r="BC187" i="21" a="1"/>
  <c r="BC187" i="21" s="1"/>
  <c r="BD187" i="21" a="1"/>
  <c r="BD187" i="21" s="1"/>
  <c r="BE187" i="21" a="1"/>
  <c r="BE187" i="21" s="1"/>
  <c r="BF187" i="21" a="1"/>
  <c r="BF187" i="21" s="1"/>
  <c r="BG187" i="21" a="1"/>
  <c r="BG187" i="21" s="1"/>
  <c r="BH187" i="21" a="1"/>
  <c r="BH187" i="21" s="1"/>
  <c r="BI187" i="21" a="1"/>
  <c r="BI187" i="21" s="1"/>
  <c r="BJ187" i="21" a="1"/>
  <c r="BJ187" i="21" s="1"/>
  <c r="BK187" i="21" a="1"/>
  <c r="BK187" i="21" s="1"/>
  <c r="BL187" i="21" a="1"/>
  <c r="BL187" i="21" s="1"/>
  <c r="BM187" i="21" a="1"/>
  <c r="BM187" i="21" s="1"/>
  <c r="BN187" i="21" a="1"/>
  <c r="BN187" i="21" s="1"/>
  <c r="BO187" i="21" a="1"/>
  <c r="BO187" i="21" s="1"/>
  <c r="BP187" i="21" a="1"/>
  <c r="BP187" i="21" s="1"/>
  <c r="BQ187" i="21" a="1"/>
  <c r="BQ187" i="21" s="1"/>
  <c r="BR187" i="21" a="1"/>
  <c r="BR187" i="21" s="1"/>
  <c r="BS187" i="21" a="1"/>
  <c r="BS187" i="21" s="1"/>
  <c r="BT187" i="21" a="1"/>
  <c r="BT187" i="21" s="1"/>
  <c r="BU187" i="21" a="1"/>
  <c r="BU187" i="21" s="1"/>
  <c r="BV187" i="21" a="1"/>
  <c r="BV187" i="21" s="1"/>
  <c r="BW187" i="21" a="1"/>
  <c r="BW187" i="21" s="1"/>
  <c r="BX187" i="21" a="1"/>
  <c r="BX187" i="21" s="1"/>
  <c r="BY187" i="21" a="1"/>
  <c r="BY187" i="21" s="1"/>
  <c r="BZ187" i="21" a="1"/>
  <c r="BZ187" i="21" s="1"/>
  <c r="CA187" i="21" a="1"/>
  <c r="CA187" i="21" s="1"/>
  <c r="CB187" i="21" a="1"/>
  <c r="CB187" i="21" s="1"/>
  <c r="CC187" i="21" a="1"/>
  <c r="CC187" i="21" s="1"/>
  <c r="CD187" i="21" a="1"/>
  <c r="CD187" i="21" s="1"/>
  <c r="CE187" i="21" a="1"/>
  <c r="CE187" i="21" s="1"/>
  <c r="CF187" i="21" a="1"/>
  <c r="CF187" i="21" s="1"/>
  <c r="CG187" i="21" a="1"/>
  <c r="CG187" i="21" s="1"/>
  <c r="CH187" i="21" a="1"/>
  <c r="CH187" i="21" s="1"/>
  <c r="CI187" i="21" a="1"/>
  <c r="CI187" i="21" s="1"/>
  <c r="CJ187" i="21" a="1"/>
  <c r="CJ187" i="21" s="1"/>
  <c r="CK187" i="21" a="1"/>
  <c r="CK187" i="21" s="1"/>
  <c r="CL187" i="21" a="1"/>
  <c r="CL187" i="21" s="1"/>
  <c r="CM187" i="21" a="1"/>
  <c r="CM187" i="21" s="1"/>
  <c r="CN187" i="21" a="1"/>
  <c r="CN187" i="21" s="1"/>
  <c r="CO187" i="21" a="1"/>
  <c r="CO187" i="21" s="1"/>
  <c r="CP187" i="21" a="1"/>
  <c r="CP187" i="21" s="1"/>
  <c r="CQ187" i="21" a="1"/>
  <c r="CQ187" i="21" s="1"/>
  <c r="CR187" i="21" a="1"/>
  <c r="CR187" i="21" s="1"/>
  <c r="CS187" i="21" a="1"/>
  <c r="CS187" i="21" s="1"/>
  <c r="CT187" i="21" a="1"/>
  <c r="CT187" i="21" s="1"/>
  <c r="CU187" i="21" a="1"/>
  <c r="CU187" i="21" s="1"/>
  <c r="CV187" i="21" a="1"/>
  <c r="CV187" i="21" s="1"/>
  <c r="CW187" i="21" a="1"/>
  <c r="CW187" i="21" s="1"/>
  <c r="N188" i="21" a="1"/>
  <c r="N188" i="21" s="1"/>
  <c r="O188" i="21" a="1"/>
  <c r="O188" i="21" s="1"/>
  <c r="P188" i="21" a="1"/>
  <c r="P188" i="21" s="1"/>
  <c r="Q188" i="21" a="1"/>
  <c r="Q188" i="21" s="1"/>
  <c r="R188" i="21" a="1"/>
  <c r="R188" i="21" s="1"/>
  <c r="S188" i="21" a="1"/>
  <c r="S188" i="21" s="1"/>
  <c r="T188" i="21" a="1"/>
  <c r="T188" i="21" s="1"/>
  <c r="U188" i="21" a="1"/>
  <c r="U188" i="21" s="1"/>
  <c r="V188" i="21" a="1"/>
  <c r="V188" i="21" s="1"/>
  <c r="W188" i="21" a="1"/>
  <c r="W188" i="21" s="1"/>
  <c r="X188" i="21" a="1"/>
  <c r="X188" i="21" s="1"/>
  <c r="Y188" i="21" a="1"/>
  <c r="Y188" i="21" s="1"/>
  <c r="Z188" i="21" a="1"/>
  <c r="Z188" i="21" s="1"/>
  <c r="AA188" i="21" a="1"/>
  <c r="AA188" i="21" s="1"/>
  <c r="AB188" i="21" a="1"/>
  <c r="AB188" i="21" s="1"/>
  <c r="AC188" i="21" a="1"/>
  <c r="AC188" i="21" s="1"/>
  <c r="AD188" i="21" a="1"/>
  <c r="AD188" i="21" s="1"/>
  <c r="AE188" i="21" a="1"/>
  <c r="AE188" i="21" s="1"/>
  <c r="AF188" i="21" a="1"/>
  <c r="AF188" i="21" s="1"/>
  <c r="AG188" i="21" a="1"/>
  <c r="AG188" i="21" s="1"/>
  <c r="AH188" i="21" a="1"/>
  <c r="AH188" i="21" s="1"/>
  <c r="AI188" i="21" a="1"/>
  <c r="AI188" i="21" s="1"/>
  <c r="AJ188" i="21" a="1"/>
  <c r="AJ188" i="21" s="1"/>
  <c r="AK188" i="21" a="1"/>
  <c r="AK188" i="21" s="1"/>
  <c r="AL188" i="21" a="1"/>
  <c r="AL188" i="21" s="1"/>
  <c r="AM188" i="21" a="1"/>
  <c r="AM188" i="21" s="1"/>
  <c r="AN188" i="21" a="1"/>
  <c r="AN188" i="21" s="1"/>
  <c r="AO188" i="21" a="1"/>
  <c r="AO188" i="21" s="1"/>
  <c r="AP188" i="21" a="1"/>
  <c r="AP188" i="21" s="1"/>
  <c r="AQ188" i="21" a="1"/>
  <c r="AQ188" i="21" s="1"/>
  <c r="AR188" i="21" a="1"/>
  <c r="AR188" i="21" s="1"/>
  <c r="AS188" i="21" a="1"/>
  <c r="AS188" i="21" s="1"/>
  <c r="AT188" i="21" a="1"/>
  <c r="AT188" i="21" s="1"/>
  <c r="AU188" i="21" a="1"/>
  <c r="AU188" i="21" s="1"/>
  <c r="AV188" i="21" a="1"/>
  <c r="AV188" i="21" s="1"/>
  <c r="AW188" i="21" a="1"/>
  <c r="AW188" i="21" s="1"/>
  <c r="AX188" i="21" a="1"/>
  <c r="AX188" i="21" s="1"/>
  <c r="AY188" i="21" a="1"/>
  <c r="AY188" i="21" s="1"/>
  <c r="AZ188" i="21" a="1"/>
  <c r="AZ188" i="21" s="1"/>
  <c r="BA188" i="21" a="1"/>
  <c r="BA188" i="21" s="1"/>
  <c r="BB188" i="21" a="1"/>
  <c r="BB188" i="21" s="1"/>
  <c r="BC188" i="21" a="1"/>
  <c r="BC188" i="21" s="1"/>
  <c r="BD188" i="21" a="1"/>
  <c r="BD188" i="21" s="1"/>
  <c r="BE188" i="21" a="1"/>
  <c r="BE188" i="21" s="1"/>
  <c r="BF188" i="21" a="1"/>
  <c r="BF188" i="21" s="1"/>
  <c r="BG188" i="21" a="1"/>
  <c r="BG188" i="21" s="1"/>
  <c r="BH188" i="21" a="1"/>
  <c r="BH188" i="21" s="1"/>
  <c r="BI188" i="21" a="1"/>
  <c r="BI188" i="21" s="1"/>
  <c r="BJ188" i="21" a="1"/>
  <c r="BJ188" i="21" s="1"/>
  <c r="BK188" i="21" a="1"/>
  <c r="BK188" i="21" s="1"/>
  <c r="BL188" i="21" a="1"/>
  <c r="BL188" i="21" s="1"/>
  <c r="BM188" i="21" a="1"/>
  <c r="BM188" i="21" s="1"/>
  <c r="BN188" i="21" a="1"/>
  <c r="BN188" i="21" s="1"/>
  <c r="BO188" i="21" a="1"/>
  <c r="BO188" i="21" s="1"/>
  <c r="BP188" i="21" a="1"/>
  <c r="BP188" i="21" s="1"/>
  <c r="BQ188" i="21" a="1"/>
  <c r="BQ188" i="21" s="1"/>
  <c r="BR188" i="21" a="1"/>
  <c r="BR188" i="21" s="1"/>
  <c r="BS188" i="21" a="1"/>
  <c r="BS188" i="21" s="1"/>
  <c r="BT188" i="21" a="1"/>
  <c r="BT188" i="21" s="1"/>
  <c r="BU188" i="21" a="1"/>
  <c r="BU188" i="21" s="1"/>
  <c r="BV188" i="21" a="1"/>
  <c r="BV188" i="21" s="1"/>
  <c r="BW188" i="21" a="1"/>
  <c r="BW188" i="21" s="1"/>
  <c r="BX188" i="21" a="1"/>
  <c r="BX188" i="21" s="1"/>
  <c r="BY188" i="21" a="1"/>
  <c r="BY188" i="21" s="1"/>
  <c r="BZ188" i="21" a="1"/>
  <c r="BZ188" i="21" s="1"/>
  <c r="CA188" i="21" a="1"/>
  <c r="CA188" i="21" s="1"/>
  <c r="CB188" i="21" a="1"/>
  <c r="CB188" i="21" s="1"/>
  <c r="CC188" i="21" a="1"/>
  <c r="CC188" i="21" s="1"/>
  <c r="CD188" i="21" a="1"/>
  <c r="CD188" i="21" s="1"/>
  <c r="CE188" i="21" a="1"/>
  <c r="CE188" i="21" s="1"/>
  <c r="CF188" i="21" a="1"/>
  <c r="CF188" i="21" s="1"/>
  <c r="CG188" i="21" a="1"/>
  <c r="CG188" i="21" s="1"/>
  <c r="CH188" i="21" a="1"/>
  <c r="CH188" i="21" s="1"/>
  <c r="CI188" i="21" a="1"/>
  <c r="CI188" i="21" s="1"/>
  <c r="CJ188" i="21" a="1"/>
  <c r="CJ188" i="21" s="1"/>
  <c r="CK188" i="21" a="1"/>
  <c r="CK188" i="21" s="1"/>
  <c r="CL188" i="21" a="1"/>
  <c r="CL188" i="21" s="1"/>
  <c r="CM188" i="21" a="1"/>
  <c r="CM188" i="21" s="1"/>
  <c r="CN188" i="21" a="1"/>
  <c r="CN188" i="21" s="1"/>
  <c r="CO188" i="21" a="1"/>
  <c r="CO188" i="21" s="1"/>
  <c r="CP188" i="21" a="1"/>
  <c r="CP188" i="21" s="1"/>
  <c r="CQ188" i="21" a="1"/>
  <c r="CQ188" i="21" s="1"/>
  <c r="CR188" i="21" a="1"/>
  <c r="CR188" i="21" s="1"/>
  <c r="CS188" i="21" a="1"/>
  <c r="CS188" i="21" s="1"/>
  <c r="CT188" i="21" a="1"/>
  <c r="CT188" i="21" s="1"/>
  <c r="CU188" i="21" a="1"/>
  <c r="CU188" i="21" s="1"/>
  <c r="CV188" i="21" a="1"/>
  <c r="CV188" i="21" s="1"/>
  <c r="CW188" i="21" a="1"/>
  <c r="CW188" i="21" s="1"/>
  <c r="N189" i="21" a="1"/>
  <c r="N189" i="21" s="1"/>
  <c r="O189" i="21" a="1"/>
  <c r="O189" i="21" s="1"/>
  <c r="P189" i="21" a="1"/>
  <c r="P189" i="21" s="1"/>
  <c r="Q189" i="21" a="1"/>
  <c r="Q189" i="21" s="1"/>
  <c r="R189" i="21" a="1"/>
  <c r="R189" i="21" s="1"/>
  <c r="S189" i="21" a="1"/>
  <c r="S189" i="21" s="1"/>
  <c r="T189" i="21" a="1"/>
  <c r="T189" i="21" s="1"/>
  <c r="U189" i="21" a="1"/>
  <c r="U189" i="21" s="1"/>
  <c r="V189" i="21" a="1"/>
  <c r="V189" i="21" s="1"/>
  <c r="W189" i="21" a="1"/>
  <c r="W189" i="21" s="1"/>
  <c r="X189" i="21" a="1"/>
  <c r="X189" i="21" s="1"/>
  <c r="Y189" i="21" a="1"/>
  <c r="Y189" i="21" s="1"/>
  <c r="Z189" i="21" a="1"/>
  <c r="Z189" i="21" s="1"/>
  <c r="AA189" i="21" a="1"/>
  <c r="AA189" i="21" s="1"/>
  <c r="AB189" i="21" a="1"/>
  <c r="AB189" i="21" s="1"/>
  <c r="AC189" i="21" a="1"/>
  <c r="AC189" i="21" s="1"/>
  <c r="AD189" i="21" a="1"/>
  <c r="AD189" i="21" s="1"/>
  <c r="AE189" i="21" a="1"/>
  <c r="AE189" i="21" s="1"/>
  <c r="AF189" i="21" a="1"/>
  <c r="AF189" i="21" s="1"/>
  <c r="AG189" i="21" a="1"/>
  <c r="AG189" i="21" s="1"/>
  <c r="AH189" i="21" a="1"/>
  <c r="AH189" i="21" s="1"/>
  <c r="AI189" i="21" a="1"/>
  <c r="AI189" i="21" s="1"/>
  <c r="AJ189" i="21" a="1"/>
  <c r="AJ189" i="21" s="1"/>
  <c r="AK189" i="21" a="1"/>
  <c r="AK189" i="21" s="1"/>
  <c r="AL189" i="21" a="1"/>
  <c r="AL189" i="21" s="1"/>
  <c r="AM189" i="21" a="1"/>
  <c r="AM189" i="21" s="1"/>
  <c r="AN189" i="21" a="1"/>
  <c r="AN189" i="21" s="1"/>
  <c r="AO189" i="21" a="1"/>
  <c r="AO189" i="21" s="1"/>
  <c r="AP189" i="21" a="1"/>
  <c r="AP189" i="21" s="1"/>
  <c r="AQ189" i="21" a="1"/>
  <c r="AQ189" i="21" s="1"/>
  <c r="AR189" i="21" a="1"/>
  <c r="AR189" i="21" s="1"/>
  <c r="AS189" i="21" a="1"/>
  <c r="AS189" i="21" s="1"/>
  <c r="AT189" i="21" a="1"/>
  <c r="AT189" i="21" s="1"/>
  <c r="AU189" i="21" a="1"/>
  <c r="AU189" i="21" s="1"/>
  <c r="AV189" i="21" a="1"/>
  <c r="AV189" i="21" s="1"/>
  <c r="AW189" i="21" a="1"/>
  <c r="AW189" i="21" s="1"/>
  <c r="AX189" i="21" a="1"/>
  <c r="AX189" i="21" s="1"/>
  <c r="AY189" i="21" a="1"/>
  <c r="AY189" i="21" s="1"/>
  <c r="AZ189" i="21" a="1"/>
  <c r="AZ189" i="21" s="1"/>
  <c r="BA189" i="21" a="1"/>
  <c r="BA189" i="21" s="1"/>
  <c r="BB189" i="21" a="1"/>
  <c r="BB189" i="21" s="1"/>
  <c r="BC189" i="21" a="1"/>
  <c r="BC189" i="21" s="1"/>
  <c r="BD189" i="21" a="1"/>
  <c r="BD189" i="21" s="1"/>
  <c r="BE189" i="21" a="1"/>
  <c r="BE189" i="21" s="1"/>
  <c r="BF189" i="21" a="1"/>
  <c r="BF189" i="21" s="1"/>
  <c r="BG189" i="21" a="1"/>
  <c r="BG189" i="21" s="1"/>
  <c r="BH189" i="21" a="1"/>
  <c r="BH189" i="21" s="1"/>
  <c r="BI189" i="21" a="1"/>
  <c r="BI189" i="21" s="1"/>
  <c r="BJ189" i="21" a="1"/>
  <c r="BJ189" i="21" s="1"/>
  <c r="BK189" i="21" a="1"/>
  <c r="BK189" i="21" s="1"/>
  <c r="BL189" i="21" a="1"/>
  <c r="BL189" i="21" s="1"/>
  <c r="BM189" i="21" a="1"/>
  <c r="BM189" i="21" s="1"/>
  <c r="BN189" i="21" a="1"/>
  <c r="BN189" i="21" s="1"/>
  <c r="BO189" i="21" a="1"/>
  <c r="BO189" i="21" s="1"/>
  <c r="BP189" i="21" a="1"/>
  <c r="BP189" i="21" s="1"/>
  <c r="BQ189" i="21" a="1"/>
  <c r="BQ189" i="21" s="1"/>
  <c r="BR189" i="21" a="1"/>
  <c r="BR189" i="21" s="1"/>
  <c r="BS189" i="21" a="1"/>
  <c r="BS189" i="21" s="1"/>
  <c r="BT189" i="21" a="1"/>
  <c r="BT189" i="21" s="1"/>
  <c r="BU189" i="21" a="1"/>
  <c r="BU189" i="21" s="1"/>
  <c r="BV189" i="21" a="1"/>
  <c r="BV189" i="21" s="1"/>
  <c r="BW189" i="21" a="1"/>
  <c r="BW189" i="21" s="1"/>
  <c r="BX189" i="21" a="1"/>
  <c r="BX189" i="21" s="1"/>
  <c r="BY189" i="21" a="1"/>
  <c r="BY189" i="21" s="1"/>
  <c r="BZ189" i="21" a="1"/>
  <c r="BZ189" i="21" s="1"/>
  <c r="CA189" i="21" a="1"/>
  <c r="CA189" i="21" s="1"/>
  <c r="CB189" i="21" a="1"/>
  <c r="CB189" i="21" s="1"/>
  <c r="CC189" i="21" a="1"/>
  <c r="CC189" i="21" s="1"/>
  <c r="CD189" i="21" a="1"/>
  <c r="CD189" i="21" s="1"/>
  <c r="CE189" i="21" a="1"/>
  <c r="CE189" i="21" s="1"/>
  <c r="CF189" i="21" a="1"/>
  <c r="CF189" i="21" s="1"/>
  <c r="CG189" i="21" a="1"/>
  <c r="CG189" i="21" s="1"/>
  <c r="CH189" i="21" a="1"/>
  <c r="CH189" i="21" s="1"/>
  <c r="CI189" i="21" a="1"/>
  <c r="CI189" i="21" s="1"/>
  <c r="CJ189" i="21" a="1"/>
  <c r="CJ189" i="21" s="1"/>
  <c r="CK189" i="21" a="1"/>
  <c r="CK189" i="21" s="1"/>
  <c r="CL189" i="21" a="1"/>
  <c r="CL189" i="21" s="1"/>
  <c r="CM189" i="21" a="1"/>
  <c r="CM189" i="21" s="1"/>
  <c r="CN189" i="21" a="1"/>
  <c r="CN189" i="21" s="1"/>
  <c r="CO189" i="21" a="1"/>
  <c r="CO189" i="21" s="1"/>
  <c r="CP189" i="21" a="1"/>
  <c r="CP189" i="21" s="1"/>
  <c r="CQ189" i="21" a="1"/>
  <c r="CQ189" i="21" s="1"/>
  <c r="CR189" i="21" a="1"/>
  <c r="CR189" i="21" s="1"/>
  <c r="CS189" i="21" a="1"/>
  <c r="CS189" i="21" s="1"/>
  <c r="CT189" i="21" a="1"/>
  <c r="CT189" i="21" s="1"/>
  <c r="CU189" i="21" a="1"/>
  <c r="CU189" i="21" s="1"/>
  <c r="CV189" i="21" a="1"/>
  <c r="CV189" i="21" s="1"/>
  <c r="CW189" i="21" a="1"/>
  <c r="CW189" i="21" s="1"/>
  <c r="N190" i="21" a="1"/>
  <c r="N190" i="21" s="1"/>
  <c r="O190" i="21" a="1"/>
  <c r="O190" i="21" s="1"/>
  <c r="P190" i="21" a="1"/>
  <c r="P190" i="21" s="1"/>
  <c r="Q190" i="21" a="1"/>
  <c r="Q190" i="21" s="1"/>
  <c r="R190" i="21" a="1"/>
  <c r="R190" i="21" s="1"/>
  <c r="S190" i="21" a="1"/>
  <c r="S190" i="21" s="1"/>
  <c r="T190" i="21" a="1"/>
  <c r="T190" i="21" s="1"/>
  <c r="U190" i="21" a="1"/>
  <c r="U190" i="21" s="1"/>
  <c r="V190" i="21" a="1"/>
  <c r="V190" i="21" s="1"/>
  <c r="W190" i="21" a="1"/>
  <c r="W190" i="21" s="1"/>
  <c r="X190" i="21" a="1"/>
  <c r="X190" i="21" s="1"/>
  <c r="Y190" i="21" a="1"/>
  <c r="Y190" i="21" s="1"/>
  <c r="Z190" i="21" a="1"/>
  <c r="Z190" i="21" s="1"/>
  <c r="AA190" i="21" a="1"/>
  <c r="AA190" i="21" s="1"/>
  <c r="AB190" i="21" a="1"/>
  <c r="AB190" i="21" s="1"/>
  <c r="AC190" i="21" a="1"/>
  <c r="AC190" i="21" s="1"/>
  <c r="AD190" i="21" a="1"/>
  <c r="AD190" i="21" s="1"/>
  <c r="AE190" i="21" a="1"/>
  <c r="AE190" i="21" s="1"/>
  <c r="AF190" i="21" a="1"/>
  <c r="AF190" i="21" s="1"/>
  <c r="AG190" i="21" a="1"/>
  <c r="AG190" i="21" s="1"/>
  <c r="AH190" i="21" a="1"/>
  <c r="AH190" i="21" s="1"/>
  <c r="AI190" i="21" a="1"/>
  <c r="AI190" i="21" s="1"/>
  <c r="AJ190" i="21" a="1"/>
  <c r="AJ190" i="21" s="1"/>
  <c r="AK190" i="21" a="1"/>
  <c r="AK190" i="21" s="1"/>
  <c r="AL190" i="21" a="1"/>
  <c r="AL190" i="21" s="1"/>
  <c r="AM190" i="21" a="1"/>
  <c r="AM190" i="21" s="1"/>
  <c r="AN190" i="21" a="1"/>
  <c r="AN190" i="21" s="1"/>
  <c r="AO190" i="21" a="1"/>
  <c r="AO190" i="21" s="1"/>
  <c r="AP190" i="21" a="1"/>
  <c r="AP190" i="21" s="1"/>
  <c r="AQ190" i="21" a="1"/>
  <c r="AQ190" i="21" s="1"/>
  <c r="AR190" i="21" a="1"/>
  <c r="AR190" i="21" s="1"/>
  <c r="AS190" i="21" a="1"/>
  <c r="AS190" i="21" s="1"/>
  <c r="AT190" i="21" a="1"/>
  <c r="AT190" i="21" s="1"/>
  <c r="AU190" i="21" a="1"/>
  <c r="AU190" i="21" s="1"/>
  <c r="AV190" i="21" a="1"/>
  <c r="AV190" i="21" s="1"/>
  <c r="AW190" i="21" a="1"/>
  <c r="AW190" i="21" s="1"/>
  <c r="AX190" i="21" a="1"/>
  <c r="AX190" i="21" s="1"/>
  <c r="AY190" i="21" a="1"/>
  <c r="AY190" i="21" s="1"/>
  <c r="AZ190" i="21" a="1"/>
  <c r="AZ190" i="21" s="1"/>
  <c r="BA190" i="21" a="1"/>
  <c r="BA190" i="21" s="1"/>
  <c r="BB190" i="21" a="1"/>
  <c r="BB190" i="21" s="1"/>
  <c r="BC190" i="21" a="1"/>
  <c r="BC190" i="21" s="1"/>
  <c r="BD190" i="21" a="1"/>
  <c r="BD190" i="21" s="1"/>
  <c r="BE190" i="21" a="1"/>
  <c r="BE190" i="21" s="1"/>
  <c r="BF190" i="21" a="1"/>
  <c r="BF190" i="21" s="1"/>
  <c r="BG190" i="21" a="1"/>
  <c r="BG190" i="21" s="1"/>
  <c r="BH190" i="21" a="1"/>
  <c r="BH190" i="21" s="1"/>
  <c r="BI190" i="21" a="1"/>
  <c r="BI190" i="21" s="1"/>
  <c r="BJ190" i="21" a="1"/>
  <c r="BJ190" i="21" s="1"/>
  <c r="BK190" i="21" a="1"/>
  <c r="BK190" i="21" s="1"/>
  <c r="BL190" i="21" a="1"/>
  <c r="BL190" i="21" s="1"/>
  <c r="BM190" i="21" a="1"/>
  <c r="BM190" i="21" s="1"/>
  <c r="BN190" i="21" a="1"/>
  <c r="BN190" i="21" s="1"/>
  <c r="BO190" i="21" a="1"/>
  <c r="BO190" i="21" s="1"/>
  <c r="BP190" i="21" a="1"/>
  <c r="BP190" i="21" s="1"/>
  <c r="BQ190" i="21" a="1"/>
  <c r="BQ190" i="21" s="1"/>
  <c r="BR190" i="21" a="1"/>
  <c r="BR190" i="21" s="1"/>
  <c r="BS190" i="21" a="1"/>
  <c r="BS190" i="21" s="1"/>
  <c r="BT190" i="21" a="1"/>
  <c r="BT190" i="21" s="1"/>
  <c r="BU190" i="21" a="1"/>
  <c r="BU190" i="21" s="1"/>
  <c r="BV190" i="21" a="1"/>
  <c r="BV190" i="21" s="1"/>
  <c r="BW190" i="21" a="1"/>
  <c r="BW190" i="21" s="1"/>
  <c r="BX190" i="21" a="1"/>
  <c r="BX190" i="21" s="1"/>
  <c r="BY190" i="21" a="1"/>
  <c r="BY190" i="21" s="1"/>
  <c r="BZ190" i="21" a="1"/>
  <c r="BZ190" i="21" s="1"/>
  <c r="CA190" i="21" a="1"/>
  <c r="CA190" i="21" s="1"/>
  <c r="CB190" i="21" a="1"/>
  <c r="CB190" i="21" s="1"/>
  <c r="CC190" i="21" a="1"/>
  <c r="CC190" i="21" s="1"/>
  <c r="CD190" i="21" a="1"/>
  <c r="CD190" i="21" s="1"/>
  <c r="CE190" i="21" a="1"/>
  <c r="CE190" i="21" s="1"/>
  <c r="CF190" i="21" a="1"/>
  <c r="CF190" i="21" s="1"/>
  <c r="CG190" i="21" a="1"/>
  <c r="CG190" i="21" s="1"/>
  <c r="CH190" i="21" a="1"/>
  <c r="CH190" i="21" s="1"/>
  <c r="CI190" i="21" a="1"/>
  <c r="CI190" i="21" s="1"/>
  <c r="CJ190" i="21" a="1"/>
  <c r="CJ190" i="21" s="1"/>
  <c r="CK190" i="21" a="1"/>
  <c r="CK190" i="21" s="1"/>
  <c r="CL190" i="21" a="1"/>
  <c r="CL190" i="21" s="1"/>
  <c r="CM190" i="21" a="1"/>
  <c r="CM190" i="21" s="1"/>
  <c r="CN190" i="21" a="1"/>
  <c r="CN190" i="21" s="1"/>
  <c r="CO190" i="21" a="1"/>
  <c r="CO190" i="21" s="1"/>
  <c r="CP190" i="21" a="1"/>
  <c r="CP190" i="21" s="1"/>
  <c r="CQ190" i="21" a="1"/>
  <c r="CQ190" i="21" s="1"/>
  <c r="CR190" i="21" a="1"/>
  <c r="CR190" i="21" s="1"/>
  <c r="CS190" i="21" a="1"/>
  <c r="CS190" i="21" s="1"/>
  <c r="CT190" i="21" a="1"/>
  <c r="CT190" i="21" s="1"/>
  <c r="CU190" i="21" a="1"/>
  <c r="CU190" i="21" s="1"/>
  <c r="CV190" i="21" a="1"/>
  <c r="CV190" i="21" s="1"/>
  <c r="CW190" i="21" a="1"/>
  <c r="CW190" i="21" s="1"/>
  <c r="N191" i="21" a="1"/>
  <c r="N191" i="21" s="1"/>
  <c r="O191" i="21" a="1"/>
  <c r="O191" i="21" s="1"/>
  <c r="P191" i="21" a="1"/>
  <c r="P191" i="21" s="1"/>
  <c r="Q191" i="21" a="1"/>
  <c r="Q191" i="21" s="1"/>
  <c r="R191" i="21" a="1"/>
  <c r="R191" i="21" s="1"/>
  <c r="S191" i="21" a="1"/>
  <c r="S191" i="21" s="1"/>
  <c r="T191" i="21" a="1"/>
  <c r="T191" i="21" s="1"/>
  <c r="U191" i="21" a="1"/>
  <c r="U191" i="21" s="1"/>
  <c r="V191" i="21" a="1"/>
  <c r="V191" i="21" s="1"/>
  <c r="W191" i="21" a="1"/>
  <c r="W191" i="21" s="1"/>
  <c r="X191" i="21" a="1"/>
  <c r="X191" i="21" s="1"/>
  <c r="Y191" i="21" a="1"/>
  <c r="Y191" i="21" s="1"/>
  <c r="Z191" i="21" a="1"/>
  <c r="Z191" i="21" s="1"/>
  <c r="AA191" i="21" a="1"/>
  <c r="AA191" i="21" s="1"/>
  <c r="AB191" i="21" a="1"/>
  <c r="AB191" i="21" s="1"/>
  <c r="AC191" i="21" a="1"/>
  <c r="AC191" i="21" s="1"/>
  <c r="AD191" i="21" a="1"/>
  <c r="AD191" i="21" s="1"/>
  <c r="AE191" i="21" a="1"/>
  <c r="AE191" i="21" s="1"/>
  <c r="AF191" i="21" a="1"/>
  <c r="AF191" i="21" s="1"/>
  <c r="AG191" i="21" a="1"/>
  <c r="AG191" i="21" s="1"/>
  <c r="AH191" i="21" a="1"/>
  <c r="AH191" i="21" s="1"/>
  <c r="AI191" i="21" a="1"/>
  <c r="AI191" i="21" s="1"/>
  <c r="AJ191" i="21" a="1"/>
  <c r="AJ191" i="21" s="1"/>
  <c r="AK191" i="21" a="1"/>
  <c r="AK191" i="21" s="1"/>
  <c r="AL191" i="21" a="1"/>
  <c r="AL191" i="21" s="1"/>
  <c r="AM191" i="21" a="1"/>
  <c r="AM191" i="21" s="1"/>
  <c r="AN191" i="21" a="1"/>
  <c r="AN191" i="21" s="1"/>
  <c r="AO191" i="21" a="1"/>
  <c r="AO191" i="21" s="1"/>
  <c r="AP191" i="21" a="1"/>
  <c r="AP191" i="21" s="1"/>
  <c r="AQ191" i="21" a="1"/>
  <c r="AQ191" i="21" s="1"/>
  <c r="AR191" i="21" a="1"/>
  <c r="AR191" i="21" s="1"/>
  <c r="AS191" i="21" a="1"/>
  <c r="AS191" i="21" s="1"/>
  <c r="AT191" i="21" a="1"/>
  <c r="AT191" i="21" s="1"/>
  <c r="AU191" i="21" a="1"/>
  <c r="AU191" i="21" s="1"/>
  <c r="AV191" i="21" a="1"/>
  <c r="AV191" i="21" s="1"/>
  <c r="AW191" i="21" a="1"/>
  <c r="AW191" i="21" s="1"/>
  <c r="AX191" i="21" a="1"/>
  <c r="AX191" i="21" s="1"/>
  <c r="AY191" i="21" a="1"/>
  <c r="AY191" i="21" s="1"/>
  <c r="AZ191" i="21" a="1"/>
  <c r="AZ191" i="21" s="1"/>
  <c r="BA191" i="21" a="1"/>
  <c r="BA191" i="21" s="1"/>
  <c r="BB191" i="21" a="1"/>
  <c r="BB191" i="21" s="1"/>
  <c r="BC191" i="21" a="1"/>
  <c r="BC191" i="21" s="1"/>
  <c r="BD191" i="21" a="1"/>
  <c r="BD191" i="21" s="1"/>
  <c r="BE191" i="21" a="1"/>
  <c r="BE191" i="21" s="1"/>
  <c r="BF191" i="21" a="1"/>
  <c r="BF191" i="21" s="1"/>
  <c r="BG191" i="21" a="1"/>
  <c r="BG191" i="21" s="1"/>
  <c r="BH191" i="21" a="1"/>
  <c r="BH191" i="21" s="1"/>
  <c r="BI191" i="21" a="1"/>
  <c r="BI191" i="21" s="1"/>
  <c r="BJ191" i="21" a="1"/>
  <c r="BJ191" i="21" s="1"/>
  <c r="BK191" i="21" a="1"/>
  <c r="BK191" i="21" s="1"/>
  <c r="BL191" i="21" a="1"/>
  <c r="BL191" i="21" s="1"/>
  <c r="BM191" i="21" a="1"/>
  <c r="BM191" i="21" s="1"/>
  <c r="BN191" i="21" a="1"/>
  <c r="BN191" i="21" s="1"/>
  <c r="BO191" i="21" a="1"/>
  <c r="BO191" i="21" s="1"/>
  <c r="BP191" i="21" a="1"/>
  <c r="BP191" i="21" s="1"/>
  <c r="BQ191" i="21" a="1"/>
  <c r="BQ191" i="21" s="1"/>
  <c r="BR191" i="21" a="1"/>
  <c r="BR191" i="21" s="1"/>
  <c r="BS191" i="21" a="1"/>
  <c r="BS191" i="21" s="1"/>
  <c r="BT191" i="21" a="1"/>
  <c r="BT191" i="21" s="1"/>
  <c r="BU191" i="21" a="1"/>
  <c r="BU191" i="21" s="1"/>
  <c r="BV191" i="21" a="1"/>
  <c r="BV191" i="21" s="1"/>
  <c r="BW191" i="21" a="1"/>
  <c r="BW191" i="21" s="1"/>
  <c r="BX191" i="21" a="1"/>
  <c r="BX191" i="21" s="1"/>
  <c r="BY191" i="21" a="1"/>
  <c r="BY191" i="21" s="1"/>
  <c r="BZ191" i="21" a="1"/>
  <c r="BZ191" i="21" s="1"/>
  <c r="CA191" i="21" a="1"/>
  <c r="CA191" i="21" s="1"/>
  <c r="CB191" i="21" a="1"/>
  <c r="CB191" i="21" s="1"/>
  <c r="CC191" i="21" a="1"/>
  <c r="CC191" i="21" s="1"/>
  <c r="CD191" i="21" a="1"/>
  <c r="CD191" i="21" s="1"/>
  <c r="CE191" i="21" a="1"/>
  <c r="CE191" i="21" s="1"/>
  <c r="CF191" i="21" a="1"/>
  <c r="CF191" i="21" s="1"/>
  <c r="CG191" i="21" a="1"/>
  <c r="CG191" i="21" s="1"/>
  <c r="CH191" i="21" a="1"/>
  <c r="CH191" i="21" s="1"/>
  <c r="CI191" i="21" a="1"/>
  <c r="CI191" i="21" s="1"/>
  <c r="CJ191" i="21" a="1"/>
  <c r="CJ191" i="21" s="1"/>
  <c r="CK191" i="21" a="1"/>
  <c r="CK191" i="21" s="1"/>
  <c r="CL191" i="21" a="1"/>
  <c r="CL191" i="21" s="1"/>
  <c r="CM191" i="21" a="1"/>
  <c r="CM191" i="21" s="1"/>
  <c r="CN191" i="21" a="1"/>
  <c r="CN191" i="21" s="1"/>
  <c r="CO191" i="21" a="1"/>
  <c r="CO191" i="21" s="1"/>
  <c r="CP191" i="21" a="1"/>
  <c r="CP191" i="21" s="1"/>
  <c r="CQ191" i="21" a="1"/>
  <c r="CQ191" i="21" s="1"/>
  <c r="CR191" i="21" a="1"/>
  <c r="CR191" i="21" s="1"/>
  <c r="CS191" i="21" a="1"/>
  <c r="CS191" i="21" s="1"/>
  <c r="CT191" i="21" a="1"/>
  <c r="CT191" i="21" s="1"/>
  <c r="CU191" i="21" a="1"/>
  <c r="CU191" i="21" s="1"/>
  <c r="CV191" i="21" a="1"/>
  <c r="CV191" i="21" s="1"/>
  <c r="CW191" i="21" a="1"/>
  <c r="CW191" i="21" s="1"/>
  <c r="N192" i="21" a="1"/>
  <c r="N192" i="21" s="1"/>
  <c r="O192" i="21" a="1"/>
  <c r="O192" i="21" s="1"/>
  <c r="P192" i="21" a="1"/>
  <c r="P192" i="21" s="1"/>
  <c r="Q192" i="21" a="1"/>
  <c r="Q192" i="21" s="1"/>
  <c r="R192" i="21" a="1"/>
  <c r="R192" i="21" s="1"/>
  <c r="S192" i="21" a="1"/>
  <c r="S192" i="21" s="1"/>
  <c r="T192" i="21" a="1"/>
  <c r="T192" i="21" s="1"/>
  <c r="U192" i="21" a="1"/>
  <c r="U192" i="21" s="1"/>
  <c r="V192" i="21" a="1"/>
  <c r="V192" i="21" s="1"/>
  <c r="W192" i="21" a="1"/>
  <c r="W192" i="21" s="1"/>
  <c r="X192" i="21" a="1"/>
  <c r="X192" i="21" s="1"/>
  <c r="Y192" i="21" a="1"/>
  <c r="Y192" i="21" s="1"/>
  <c r="Z192" i="21" a="1"/>
  <c r="Z192" i="21" s="1"/>
  <c r="AA192" i="21" a="1"/>
  <c r="AA192" i="21" s="1"/>
  <c r="AB192" i="21" a="1"/>
  <c r="AB192" i="21" s="1"/>
  <c r="AC192" i="21" a="1"/>
  <c r="AC192" i="21" s="1"/>
  <c r="AD192" i="21" a="1"/>
  <c r="AD192" i="21" s="1"/>
  <c r="AE192" i="21" a="1"/>
  <c r="AE192" i="21" s="1"/>
  <c r="AF192" i="21" a="1"/>
  <c r="AF192" i="21" s="1"/>
  <c r="AG192" i="21" a="1"/>
  <c r="AG192" i="21" s="1"/>
  <c r="AH192" i="21" a="1"/>
  <c r="AH192" i="21" s="1"/>
  <c r="AI192" i="21" a="1"/>
  <c r="AI192" i="21" s="1"/>
  <c r="AJ192" i="21" a="1"/>
  <c r="AJ192" i="21" s="1"/>
  <c r="AK192" i="21" a="1"/>
  <c r="AK192" i="21" s="1"/>
  <c r="AL192" i="21" a="1"/>
  <c r="AL192" i="21" s="1"/>
  <c r="AM192" i="21" a="1"/>
  <c r="AM192" i="21" s="1"/>
  <c r="AN192" i="21" a="1"/>
  <c r="AN192" i="21" s="1"/>
  <c r="AO192" i="21" a="1"/>
  <c r="AO192" i="21" s="1"/>
  <c r="AP192" i="21" a="1"/>
  <c r="AP192" i="21" s="1"/>
  <c r="AQ192" i="21" a="1"/>
  <c r="AQ192" i="21" s="1"/>
  <c r="AR192" i="21" a="1"/>
  <c r="AR192" i="21" s="1"/>
  <c r="AS192" i="21" a="1"/>
  <c r="AS192" i="21" s="1"/>
  <c r="AT192" i="21" a="1"/>
  <c r="AT192" i="21" s="1"/>
  <c r="AU192" i="21" a="1"/>
  <c r="AU192" i="21" s="1"/>
  <c r="AV192" i="21" a="1"/>
  <c r="AV192" i="21" s="1"/>
  <c r="AW192" i="21" a="1"/>
  <c r="AW192" i="21" s="1"/>
  <c r="AX192" i="21" a="1"/>
  <c r="AX192" i="21" s="1"/>
  <c r="AY192" i="21" a="1"/>
  <c r="AY192" i="21" s="1"/>
  <c r="AZ192" i="21" a="1"/>
  <c r="AZ192" i="21" s="1"/>
  <c r="BA192" i="21" a="1"/>
  <c r="BA192" i="21" s="1"/>
  <c r="BB192" i="21" a="1"/>
  <c r="BB192" i="21" s="1"/>
  <c r="BC192" i="21" a="1"/>
  <c r="BC192" i="21" s="1"/>
  <c r="BD192" i="21" a="1"/>
  <c r="BD192" i="21" s="1"/>
  <c r="BE192" i="21" a="1"/>
  <c r="BE192" i="21" s="1"/>
  <c r="BF192" i="21" a="1"/>
  <c r="BF192" i="21" s="1"/>
  <c r="BG192" i="21" a="1"/>
  <c r="BG192" i="21" s="1"/>
  <c r="BH192" i="21" a="1"/>
  <c r="BH192" i="21" s="1"/>
  <c r="BI192" i="21" a="1"/>
  <c r="BI192" i="21" s="1"/>
  <c r="BJ192" i="21" a="1"/>
  <c r="BJ192" i="21" s="1"/>
  <c r="BK192" i="21" a="1"/>
  <c r="BK192" i="21" s="1"/>
  <c r="BL192" i="21" a="1"/>
  <c r="BL192" i="21" s="1"/>
  <c r="BM192" i="21" a="1"/>
  <c r="BM192" i="21" s="1"/>
  <c r="BN192" i="21" a="1"/>
  <c r="BN192" i="21" s="1"/>
  <c r="BO192" i="21" a="1"/>
  <c r="BO192" i="21" s="1"/>
  <c r="BP192" i="21" a="1"/>
  <c r="BP192" i="21" s="1"/>
  <c r="BQ192" i="21" a="1"/>
  <c r="BQ192" i="21" s="1"/>
  <c r="BR192" i="21" a="1"/>
  <c r="BR192" i="21" s="1"/>
  <c r="BS192" i="21" a="1"/>
  <c r="BS192" i="21" s="1"/>
  <c r="BT192" i="21" a="1"/>
  <c r="BT192" i="21" s="1"/>
  <c r="BU192" i="21" a="1"/>
  <c r="BU192" i="21" s="1"/>
  <c r="BV192" i="21" a="1"/>
  <c r="BV192" i="21" s="1"/>
  <c r="BW192" i="21" a="1"/>
  <c r="BW192" i="21" s="1"/>
  <c r="BX192" i="21" a="1"/>
  <c r="BX192" i="21" s="1"/>
  <c r="BY192" i="21" a="1"/>
  <c r="BY192" i="21" s="1"/>
  <c r="BZ192" i="21" a="1"/>
  <c r="BZ192" i="21" s="1"/>
  <c r="CA192" i="21" a="1"/>
  <c r="CA192" i="21" s="1"/>
  <c r="CB192" i="21" a="1"/>
  <c r="CB192" i="21" s="1"/>
  <c r="CC192" i="21" a="1"/>
  <c r="CC192" i="21" s="1"/>
  <c r="CD192" i="21" a="1"/>
  <c r="CD192" i="21" s="1"/>
  <c r="CE192" i="21" a="1"/>
  <c r="CE192" i="21" s="1"/>
  <c r="CF192" i="21" a="1"/>
  <c r="CF192" i="21" s="1"/>
  <c r="CG192" i="21" a="1"/>
  <c r="CG192" i="21" s="1"/>
  <c r="CH192" i="21" a="1"/>
  <c r="CH192" i="21" s="1"/>
  <c r="CI192" i="21" a="1"/>
  <c r="CI192" i="21" s="1"/>
  <c r="CJ192" i="21" a="1"/>
  <c r="CJ192" i="21" s="1"/>
  <c r="CK192" i="21" a="1"/>
  <c r="CK192" i="21" s="1"/>
  <c r="CL192" i="21" a="1"/>
  <c r="CL192" i="21" s="1"/>
  <c r="CM192" i="21" a="1"/>
  <c r="CM192" i="21" s="1"/>
  <c r="CN192" i="21" a="1"/>
  <c r="CN192" i="21" s="1"/>
  <c r="CO192" i="21" a="1"/>
  <c r="CO192" i="21" s="1"/>
  <c r="CP192" i="21" a="1"/>
  <c r="CP192" i="21" s="1"/>
  <c r="CQ192" i="21" a="1"/>
  <c r="CQ192" i="21" s="1"/>
  <c r="CR192" i="21" a="1"/>
  <c r="CR192" i="21" s="1"/>
  <c r="CS192" i="21" a="1"/>
  <c r="CS192" i="21" s="1"/>
  <c r="CT192" i="21" a="1"/>
  <c r="CT192" i="21" s="1"/>
  <c r="CU192" i="21" a="1"/>
  <c r="CU192" i="21" s="1"/>
  <c r="CV192" i="21" a="1"/>
  <c r="CV192" i="21" s="1"/>
  <c r="CW192" i="21" a="1"/>
  <c r="CW192" i="21" s="1"/>
  <c r="N193" i="21" a="1"/>
  <c r="N193" i="21" s="1"/>
  <c r="O193" i="21" a="1"/>
  <c r="O193" i="21" s="1"/>
  <c r="P193" i="21" a="1"/>
  <c r="P193" i="21" s="1"/>
  <c r="Q193" i="21" a="1"/>
  <c r="Q193" i="21" s="1"/>
  <c r="R193" i="21" a="1"/>
  <c r="R193" i="21" s="1"/>
  <c r="S193" i="21" a="1"/>
  <c r="S193" i="21" s="1"/>
  <c r="T193" i="21" a="1"/>
  <c r="T193" i="21" s="1"/>
  <c r="U193" i="21" a="1"/>
  <c r="U193" i="21" s="1"/>
  <c r="V193" i="21" a="1"/>
  <c r="V193" i="21" s="1"/>
  <c r="W193" i="21" a="1"/>
  <c r="W193" i="21" s="1"/>
  <c r="X193" i="21" a="1"/>
  <c r="X193" i="21" s="1"/>
  <c r="Y193" i="21" a="1"/>
  <c r="Y193" i="21" s="1"/>
  <c r="Z193" i="21" a="1"/>
  <c r="Z193" i="21" s="1"/>
  <c r="AA193" i="21" a="1"/>
  <c r="AA193" i="21" s="1"/>
  <c r="AB193" i="21" a="1"/>
  <c r="AB193" i="21" s="1"/>
  <c r="AC193" i="21" a="1"/>
  <c r="AC193" i="21" s="1"/>
  <c r="AD193" i="21" a="1"/>
  <c r="AD193" i="21" s="1"/>
  <c r="AE193" i="21" a="1"/>
  <c r="AE193" i="21" s="1"/>
  <c r="AF193" i="21" a="1"/>
  <c r="AF193" i="21" s="1"/>
  <c r="AG193" i="21" a="1"/>
  <c r="AG193" i="21" s="1"/>
  <c r="AH193" i="21" a="1"/>
  <c r="AH193" i="21" s="1"/>
  <c r="AI193" i="21" a="1"/>
  <c r="AI193" i="21" s="1"/>
  <c r="AJ193" i="21" a="1"/>
  <c r="AJ193" i="21" s="1"/>
  <c r="AK193" i="21" a="1"/>
  <c r="AK193" i="21" s="1"/>
  <c r="AL193" i="21" a="1"/>
  <c r="AL193" i="21" s="1"/>
  <c r="AM193" i="21" a="1"/>
  <c r="AM193" i="21" s="1"/>
  <c r="AN193" i="21" a="1"/>
  <c r="AN193" i="21" s="1"/>
  <c r="AO193" i="21" a="1"/>
  <c r="AO193" i="21" s="1"/>
  <c r="AP193" i="21" a="1"/>
  <c r="AP193" i="21" s="1"/>
  <c r="AQ193" i="21" a="1"/>
  <c r="AQ193" i="21" s="1"/>
  <c r="AR193" i="21" a="1"/>
  <c r="AR193" i="21" s="1"/>
  <c r="AS193" i="21" a="1"/>
  <c r="AS193" i="21" s="1"/>
  <c r="AT193" i="21" a="1"/>
  <c r="AT193" i="21" s="1"/>
  <c r="AU193" i="21" a="1"/>
  <c r="AU193" i="21" s="1"/>
  <c r="AV193" i="21" a="1"/>
  <c r="AV193" i="21" s="1"/>
  <c r="AW193" i="21" a="1"/>
  <c r="AW193" i="21" s="1"/>
  <c r="AX193" i="21" a="1"/>
  <c r="AX193" i="21" s="1"/>
  <c r="AY193" i="21" a="1"/>
  <c r="AY193" i="21" s="1"/>
  <c r="AZ193" i="21" a="1"/>
  <c r="AZ193" i="21" s="1"/>
  <c r="BA193" i="21" a="1"/>
  <c r="BA193" i="21" s="1"/>
  <c r="BB193" i="21" a="1"/>
  <c r="BB193" i="21" s="1"/>
  <c r="BC193" i="21" a="1"/>
  <c r="BC193" i="21" s="1"/>
  <c r="BD193" i="21" a="1"/>
  <c r="BD193" i="21" s="1"/>
  <c r="BE193" i="21" a="1"/>
  <c r="BE193" i="21" s="1"/>
  <c r="BF193" i="21" a="1"/>
  <c r="BF193" i="21" s="1"/>
  <c r="BG193" i="21" a="1"/>
  <c r="BG193" i="21" s="1"/>
  <c r="BH193" i="21" a="1"/>
  <c r="BH193" i="21" s="1"/>
  <c r="BI193" i="21" a="1"/>
  <c r="BI193" i="21" s="1"/>
  <c r="BJ193" i="21" a="1"/>
  <c r="BJ193" i="21" s="1"/>
  <c r="BK193" i="21" a="1"/>
  <c r="BK193" i="21" s="1"/>
  <c r="BL193" i="21" a="1"/>
  <c r="BL193" i="21" s="1"/>
  <c r="BM193" i="21" a="1"/>
  <c r="BM193" i="21" s="1"/>
  <c r="BN193" i="21" a="1"/>
  <c r="BN193" i="21" s="1"/>
  <c r="BO193" i="21" a="1"/>
  <c r="BO193" i="21" s="1"/>
  <c r="BP193" i="21" a="1"/>
  <c r="BP193" i="21" s="1"/>
  <c r="BQ193" i="21" a="1"/>
  <c r="BQ193" i="21" s="1"/>
  <c r="BR193" i="21" a="1"/>
  <c r="BR193" i="21" s="1"/>
  <c r="BS193" i="21" a="1"/>
  <c r="BS193" i="21" s="1"/>
  <c r="BT193" i="21" a="1"/>
  <c r="BT193" i="21" s="1"/>
  <c r="BU193" i="21" a="1"/>
  <c r="BU193" i="21" s="1"/>
  <c r="BV193" i="21" a="1"/>
  <c r="BV193" i="21" s="1"/>
  <c r="BW193" i="21" a="1"/>
  <c r="BW193" i="21" s="1"/>
  <c r="BX193" i="21" a="1"/>
  <c r="BX193" i="21" s="1"/>
  <c r="BY193" i="21" a="1"/>
  <c r="BY193" i="21" s="1"/>
  <c r="BZ193" i="21" a="1"/>
  <c r="BZ193" i="21" s="1"/>
  <c r="CA193" i="21" a="1"/>
  <c r="CA193" i="21" s="1"/>
  <c r="CB193" i="21" a="1"/>
  <c r="CB193" i="21" s="1"/>
  <c r="CC193" i="21" a="1"/>
  <c r="CC193" i="21" s="1"/>
  <c r="CD193" i="21" a="1"/>
  <c r="CD193" i="21" s="1"/>
  <c r="CE193" i="21" a="1"/>
  <c r="CE193" i="21" s="1"/>
  <c r="CF193" i="21" a="1"/>
  <c r="CF193" i="21" s="1"/>
  <c r="CG193" i="21" a="1"/>
  <c r="CG193" i="21" s="1"/>
  <c r="CH193" i="21" a="1"/>
  <c r="CH193" i="21" s="1"/>
  <c r="CI193" i="21" a="1"/>
  <c r="CI193" i="21" s="1"/>
  <c r="CJ193" i="21" a="1"/>
  <c r="CJ193" i="21" s="1"/>
  <c r="CK193" i="21" a="1"/>
  <c r="CK193" i="21" s="1"/>
  <c r="CL193" i="21" a="1"/>
  <c r="CL193" i="21" s="1"/>
  <c r="CM193" i="21" a="1"/>
  <c r="CM193" i="21" s="1"/>
  <c r="CN193" i="21" a="1"/>
  <c r="CN193" i="21" s="1"/>
  <c r="CO193" i="21" a="1"/>
  <c r="CO193" i="21" s="1"/>
  <c r="CP193" i="21" a="1"/>
  <c r="CP193" i="21" s="1"/>
  <c r="CQ193" i="21" a="1"/>
  <c r="CQ193" i="21" s="1"/>
  <c r="CR193" i="21" a="1"/>
  <c r="CR193" i="21" s="1"/>
  <c r="CS193" i="21" a="1"/>
  <c r="CS193" i="21" s="1"/>
  <c r="CT193" i="21" a="1"/>
  <c r="CT193" i="21" s="1"/>
  <c r="CU193" i="21" a="1"/>
  <c r="CU193" i="21" s="1"/>
  <c r="CV193" i="21" a="1"/>
  <c r="CV193" i="21" s="1"/>
  <c r="CW193" i="21" a="1"/>
  <c r="CW193" i="21" s="1"/>
  <c r="N194" i="21" a="1"/>
  <c r="N194" i="21" s="1"/>
  <c r="O194" i="21" a="1"/>
  <c r="O194" i="21" s="1"/>
  <c r="P194" i="21" a="1"/>
  <c r="P194" i="21" s="1"/>
  <c r="Q194" i="21" a="1"/>
  <c r="Q194" i="21" s="1"/>
  <c r="R194" i="21" a="1"/>
  <c r="R194" i="21" s="1"/>
  <c r="S194" i="21" a="1"/>
  <c r="S194" i="21" s="1"/>
  <c r="T194" i="21" a="1"/>
  <c r="T194" i="21" s="1"/>
  <c r="U194" i="21" a="1"/>
  <c r="U194" i="21" s="1"/>
  <c r="V194" i="21" a="1"/>
  <c r="V194" i="21" s="1"/>
  <c r="W194" i="21" a="1"/>
  <c r="W194" i="21" s="1"/>
  <c r="X194" i="21" a="1"/>
  <c r="X194" i="21" s="1"/>
  <c r="Y194" i="21" a="1"/>
  <c r="Y194" i="21" s="1"/>
  <c r="Z194" i="21" a="1"/>
  <c r="Z194" i="21" s="1"/>
  <c r="AA194" i="21" a="1"/>
  <c r="AA194" i="21" s="1"/>
  <c r="AB194" i="21" a="1"/>
  <c r="AB194" i="21" s="1"/>
  <c r="AC194" i="21" a="1"/>
  <c r="AC194" i="21" s="1"/>
  <c r="AD194" i="21" a="1"/>
  <c r="AD194" i="21" s="1"/>
  <c r="AE194" i="21" a="1"/>
  <c r="AE194" i="21" s="1"/>
  <c r="AF194" i="21" a="1"/>
  <c r="AF194" i="21" s="1"/>
  <c r="AG194" i="21" a="1"/>
  <c r="AG194" i="21" s="1"/>
  <c r="AH194" i="21" a="1"/>
  <c r="AH194" i="21" s="1"/>
  <c r="AI194" i="21" a="1"/>
  <c r="AI194" i="21" s="1"/>
  <c r="AJ194" i="21" a="1"/>
  <c r="AJ194" i="21" s="1"/>
  <c r="AK194" i="21" a="1"/>
  <c r="AK194" i="21" s="1"/>
  <c r="AL194" i="21" a="1"/>
  <c r="AL194" i="21" s="1"/>
  <c r="AM194" i="21" a="1"/>
  <c r="AM194" i="21" s="1"/>
  <c r="AN194" i="21" a="1"/>
  <c r="AN194" i="21" s="1"/>
  <c r="AO194" i="21" a="1"/>
  <c r="AO194" i="21" s="1"/>
  <c r="AP194" i="21" a="1"/>
  <c r="AP194" i="21" s="1"/>
  <c r="AQ194" i="21" a="1"/>
  <c r="AQ194" i="21" s="1"/>
  <c r="AR194" i="21" a="1"/>
  <c r="AR194" i="21" s="1"/>
  <c r="AS194" i="21" a="1"/>
  <c r="AS194" i="21" s="1"/>
  <c r="AT194" i="21" a="1"/>
  <c r="AT194" i="21" s="1"/>
  <c r="AU194" i="21" a="1"/>
  <c r="AU194" i="21" s="1"/>
  <c r="AV194" i="21" a="1"/>
  <c r="AV194" i="21" s="1"/>
  <c r="AW194" i="21" a="1"/>
  <c r="AW194" i="21" s="1"/>
  <c r="AX194" i="21" a="1"/>
  <c r="AX194" i="21" s="1"/>
  <c r="AY194" i="21" a="1"/>
  <c r="AY194" i="21" s="1"/>
  <c r="AZ194" i="21" a="1"/>
  <c r="AZ194" i="21" s="1"/>
  <c r="BA194" i="21" a="1"/>
  <c r="BA194" i="21" s="1"/>
  <c r="BB194" i="21" a="1"/>
  <c r="BB194" i="21" s="1"/>
  <c r="BC194" i="21" a="1"/>
  <c r="BC194" i="21" s="1"/>
  <c r="BD194" i="21" a="1"/>
  <c r="BD194" i="21" s="1"/>
  <c r="BE194" i="21" a="1"/>
  <c r="BE194" i="21" s="1"/>
  <c r="BF194" i="21" a="1"/>
  <c r="BF194" i="21" s="1"/>
  <c r="BG194" i="21" a="1"/>
  <c r="BG194" i="21" s="1"/>
  <c r="BH194" i="21" a="1"/>
  <c r="BH194" i="21" s="1"/>
  <c r="BI194" i="21" a="1"/>
  <c r="BI194" i="21" s="1"/>
  <c r="BJ194" i="21" a="1"/>
  <c r="BJ194" i="21" s="1"/>
  <c r="BK194" i="21" a="1"/>
  <c r="BK194" i="21" s="1"/>
  <c r="BL194" i="21" a="1"/>
  <c r="BL194" i="21" s="1"/>
  <c r="BM194" i="21" a="1"/>
  <c r="BM194" i="21" s="1"/>
  <c r="BN194" i="21" a="1"/>
  <c r="BN194" i="21" s="1"/>
  <c r="BO194" i="21" a="1"/>
  <c r="BO194" i="21" s="1"/>
  <c r="BP194" i="21" a="1"/>
  <c r="BP194" i="21" s="1"/>
  <c r="BQ194" i="21" a="1"/>
  <c r="BQ194" i="21" s="1"/>
  <c r="BR194" i="21" a="1"/>
  <c r="BR194" i="21" s="1"/>
  <c r="BS194" i="21" a="1"/>
  <c r="BS194" i="21" s="1"/>
  <c r="BT194" i="21" a="1"/>
  <c r="BT194" i="21" s="1"/>
  <c r="BU194" i="21" a="1"/>
  <c r="BU194" i="21" s="1"/>
  <c r="BV194" i="21" a="1"/>
  <c r="BV194" i="21" s="1"/>
  <c r="BW194" i="21" a="1"/>
  <c r="BW194" i="21" s="1"/>
  <c r="BX194" i="21" a="1"/>
  <c r="BX194" i="21" s="1"/>
  <c r="BY194" i="21" a="1"/>
  <c r="BY194" i="21" s="1"/>
  <c r="BZ194" i="21" a="1"/>
  <c r="BZ194" i="21" s="1"/>
  <c r="CA194" i="21" a="1"/>
  <c r="CA194" i="21" s="1"/>
  <c r="CB194" i="21" a="1"/>
  <c r="CB194" i="21" s="1"/>
  <c r="CC194" i="21" a="1"/>
  <c r="CC194" i="21" s="1"/>
  <c r="CD194" i="21" a="1"/>
  <c r="CD194" i="21" s="1"/>
  <c r="CE194" i="21" a="1"/>
  <c r="CE194" i="21" s="1"/>
  <c r="CF194" i="21" a="1"/>
  <c r="CF194" i="21" s="1"/>
  <c r="CG194" i="21" a="1"/>
  <c r="CG194" i="21" s="1"/>
  <c r="CH194" i="21" a="1"/>
  <c r="CH194" i="21" s="1"/>
  <c r="CI194" i="21" a="1"/>
  <c r="CI194" i="21" s="1"/>
  <c r="CJ194" i="21" a="1"/>
  <c r="CJ194" i="21" s="1"/>
  <c r="CK194" i="21" a="1"/>
  <c r="CK194" i="21" s="1"/>
  <c r="CL194" i="21" a="1"/>
  <c r="CL194" i="21" s="1"/>
  <c r="CM194" i="21" a="1"/>
  <c r="CM194" i="21" s="1"/>
  <c r="CN194" i="21" a="1"/>
  <c r="CN194" i="21" s="1"/>
  <c r="CO194" i="21" a="1"/>
  <c r="CO194" i="21" s="1"/>
  <c r="CP194" i="21" a="1"/>
  <c r="CP194" i="21" s="1"/>
  <c r="CQ194" i="21" a="1"/>
  <c r="CQ194" i="21" s="1"/>
  <c r="CR194" i="21" a="1"/>
  <c r="CR194" i="21" s="1"/>
  <c r="CS194" i="21" a="1"/>
  <c r="CS194" i="21" s="1"/>
  <c r="CT194" i="21" a="1"/>
  <c r="CT194" i="21" s="1"/>
  <c r="CU194" i="21" a="1"/>
  <c r="CU194" i="21" s="1"/>
  <c r="CV194" i="21" a="1"/>
  <c r="CV194" i="21" s="1"/>
  <c r="CW194" i="21" a="1"/>
  <c r="CW194" i="21" s="1"/>
  <c r="N195" i="21" a="1"/>
  <c r="N195" i="21" s="1"/>
  <c r="O195" i="21" a="1"/>
  <c r="O195" i="21" s="1"/>
  <c r="P195" i="21" a="1"/>
  <c r="P195" i="21" s="1"/>
  <c r="Q195" i="21" a="1"/>
  <c r="Q195" i="21" s="1"/>
  <c r="R195" i="21" a="1"/>
  <c r="R195" i="21" s="1"/>
  <c r="S195" i="21" a="1"/>
  <c r="S195" i="21" s="1"/>
  <c r="T195" i="21" a="1"/>
  <c r="T195" i="21" s="1"/>
  <c r="U195" i="21" a="1"/>
  <c r="U195" i="21" s="1"/>
  <c r="V195" i="21" a="1"/>
  <c r="V195" i="21" s="1"/>
  <c r="W195" i="21" a="1"/>
  <c r="W195" i="21" s="1"/>
  <c r="X195" i="21" a="1"/>
  <c r="X195" i="21" s="1"/>
  <c r="Y195" i="21" a="1"/>
  <c r="Y195" i="21" s="1"/>
  <c r="Z195" i="21" a="1"/>
  <c r="Z195" i="21" s="1"/>
  <c r="AA195" i="21" a="1"/>
  <c r="AA195" i="21" s="1"/>
  <c r="AB195" i="21" a="1"/>
  <c r="AB195" i="21" s="1"/>
  <c r="AC195" i="21" a="1"/>
  <c r="AC195" i="21" s="1"/>
  <c r="AD195" i="21" a="1"/>
  <c r="AD195" i="21" s="1"/>
  <c r="AE195" i="21" a="1"/>
  <c r="AE195" i="21" s="1"/>
  <c r="AF195" i="21" a="1"/>
  <c r="AF195" i="21" s="1"/>
  <c r="AG195" i="21" a="1"/>
  <c r="AG195" i="21" s="1"/>
  <c r="AH195" i="21" a="1"/>
  <c r="AH195" i="21" s="1"/>
  <c r="AI195" i="21" a="1"/>
  <c r="AI195" i="21" s="1"/>
  <c r="AJ195" i="21" a="1"/>
  <c r="AJ195" i="21" s="1"/>
  <c r="AK195" i="21" a="1"/>
  <c r="AK195" i="21" s="1"/>
  <c r="AL195" i="21" a="1"/>
  <c r="AL195" i="21" s="1"/>
  <c r="AM195" i="21" a="1"/>
  <c r="AM195" i="21" s="1"/>
  <c r="AN195" i="21" a="1"/>
  <c r="AN195" i="21" s="1"/>
  <c r="AO195" i="21" a="1"/>
  <c r="AO195" i="21" s="1"/>
  <c r="AP195" i="21" a="1"/>
  <c r="AP195" i="21" s="1"/>
  <c r="AQ195" i="21" a="1"/>
  <c r="AQ195" i="21" s="1"/>
  <c r="AR195" i="21" a="1"/>
  <c r="AR195" i="21" s="1"/>
  <c r="AS195" i="21" a="1"/>
  <c r="AS195" i="21" s="1"/>
  <c r="AT195" i="21" a="1"/>
  <c r="AT195" i="21" s="1"/>
  <c r="AU195" i="21" a="1"/>
  <c r="AU195" i="21" s="1"/>
  <c r="AV195" i="21" a="1"/>
  <c r="AV195" i="21" s="1"/>
  <c r="AW195" i="21" a="1"/>
  <c r="AW195" i="21" s="1"/>
  <c r="AX195" i="21" a="1"/>
  <c r="AX195" i="21" s="1"/>
  <c r="AY195" i="21" a="1"/>
  <c r="AY195" i="21" s="1"/>
  <c r="AZ195" i="21" a="1"/>
  <c r="AZ195" i="21" s="1"/>
  <c r="BA195" i="21" a="1"/>
  <c r="BA195" i="21" s="1"/>
  <c r="BB195" i="21" a="1"/>
  <c r="BB195" i="21" s="1"/>
  <c r="BC195" i="21" a="1"/>
  <c r="BC195" i="21" s="1"/>
  <c r="BD195" i="21" a="1"/>
  <c r="BD195" i="21" s="1"/>
  <c r="BE195" i="21" a="1"/>
  <c r="BE195" i="21" s="1"/>
  <c r="BF195" i="21" a="1"/>
  <c r="BF195" i="21" s="1"/>
  <c r="BG195" i="21" a="1"/>
  <c r="BG195" i="21" s="1"/>
  <c r="BH195" i="21" a="1"/>
  <c r="BH195" i="21" s="1"/>
  <c r="BI195" i="21" a="1"/>
  <c r="BI195" i="21" s="1"/>
  <c r="BJ195" i="21" a="1"/>
  <c r="BJ195" i="21" s="1"/>
  <c r="BK195" i="21" a="1"/>
  <c r="BK195" i="21" s="1"/>
  <c r="BL195" i="21" a="1"/>
  <c r="BL195" i="21" s="1"/>
  <c r="BM195" i="21" a="1"/>
  <c r="BM195" i="21" s="1"/>
  <c r="BN195" i="21" a="1"/>
  <c r="BN195" i="21" s="1"/>
  <c r="BO195" i="21" a="1"/>
  <c r="BO195" i="21" s="1"/>
  <c r="BP195" i="21" a="1"/>
  <c r="BP195" i="21" s="1"/>
  <c r="BQ195" i="21" a="1"/>
  <c r="BQ195" i="21" s="1"/>
  <c r="BR195" i="21" a="1"/>
  <c r="BR195" i="21" s="1"/>
  <c r="BS195" i="21" a="1"/>
  <c r="BS195" i="21" s="1"/>
  <c r="BT195" i="21" a="1"/>
  <c r="BT195" i="21" s="1"/>
  <c r="BU195" i="21" a="1"/>
  <c r="BU195" i="21" s="1"/>
  <c r="BV195" i="21" a="1"/>
  <c r="BV195" i="21" s="1"/>
  <c r="BW195" i="21" a="1"/>
  <c r="BW195" i="21" s="1"/>
  <c r="BX195" i="21" a="1"/>
  <c r="BX195" i="21" s="1"/>
  <c r="BY195" i="21" a="1"/>
  <c r="BY195" i="21" s="1"/>
  <c r="BZ195" i="21" a="1"/>
  <c r="BZ195" i="21" s="1"/>
  <c r="CA195" i="21" a="1"/>
  <c r="CA195" i="21" s="1"/>
  <c r="CB195" i="21" a="1"/>
  <c r="CB195" i="21" s="1"/>
  <c r="CC195" i="21" a="1"/>
  <c r="CC195" i="21" s="1"/>
  <c r="CD195" i="21" a="1"/>
  <c r="CD195" i="21" s="1"/>
  <c r="CE195" i="21" a="1"/>
  <c r="CE195" i="21" s="1"/>
  <c r="CF195" i="21" a="1"/>
  <c r="CF195" i="21" s="1"/>
  <c r="CG195" i="21" a="1"/>
  <c r="CG195" i="21" s="1"/>
  <c r="CH195" i="21" a="1"/>
  <c r="CH195" i="21" s="1"/>
  <c r="CI195" i="21" a="1"/>
  <c r="CI195" i="21" s="1"/>
  <c r="CJ195" i="21" a="1"/>
  <c r="CJ195" i="21" s="1"/>
  <c r="CK195" i="21" a="1"/>
  <c r="CK195" i="21" s="1"/>
  <c r="CL195" i="21" a="1"/>
  <c r="CL195" i="21" s="1"/>
  <c r="CM195" i="21" a="1"/>
  <c r="CM195" i="21" s="1"/>
  <c r="CN195" i="21" a="1"/>
  <c r="CN195" i="21" s="1"/>
  <c r="CO195" i="21" a="1"/>
  <c r="CO195" i="21" s="1"/>
  <c r="CP195" i="21" a="1"/>
  <c r="CP195" i="21" s="1"/>
  <c r="CQ195" i="21" a="1"/>
  <c r="CQ195" i="21" s="1"/>
  <c r="CR195" i="21" a="1"/>
  <c r="CR195" i="21" s="1"/>
  <c r="CS195" i="21" a="1"/>
  <c r="CS195" i="21" s="1"/>
  <c r="CT195" i="21" a="1"/>
  <c r="CT195" i="21" s="1"/>
  <c r="CU195" i="21" a="1"/>
  <c r="CU195" i="21" s="1"/>
  <c r="CV195" i="21" a="1"/>
  <c r="CV195" i="21" s="1"/>
  <c r="CW195" i="21" a="1"/>
  <c r="CW195" i="21" s="1"/>
  <c r="N196" i="21" a="1"/>
  <c r="N196" i="21" s="1"/>
  <c r="O196" i="21" a="1"/>
  <c r="O196" i="21" s="1"/>
  <c r="P196" i="21" a="1"/>
  <c r="P196" i="21" s="1"/>
  <c r="Q196" i="21" a="1"/>
  <c r="Q196" i="21" s="1"/>
  <c r="R196" i="21" a="1"/>
  <c r="R196" i="21" s="1"/>
  <c r="S196" i="21" a="1"/>
  <c r="S196" i="21" s="1"/>
  <c r="T196" i="21" a="1"/>
  <c r="T196" i="21" s="1"/>
  <c r="U196" i="21" a="1"/>
  <c r="U196" i="21" s="1"/>
  <c r="V196" i="21" a="1"/>
  <c r="V196" i="21" s="1"/>
  <c r="W196" i="21" a="1"/>
  <c r="W196" i="21" s="1"/>
  <c r="X196" i="21" a="1"/>
  <c r="X196" i="21" s="1"/>
  <c r="Y196" i="21" a="1"/>
  <c r="Y196" i="21" s="1"/>
  <c r="Z196" i="21" a="1"/>
  <c r="Z196" i="21" s="1"/>
  <c r="AA196" i="21" a="1"/>
  <c r="AA196" i="21" s="1"/>
  <c r="AB196" i="21" a="1"/>
  <c r="AB196" i="21" s="1"/>
  <c r="AC196" i="21" a="1"/>
  <c r="AC196" i="21" s="1"/>
  <c r="AD196" i="21" a="1"/>
  <c r="AD196" i="21" s="1"/>
  <c r="AE196" i="21" a="1"/>
  <c r="AE196" i="21" s="1"/>
  <c r="AF196" i="21" a="1"/>
  <c r="AF196" i="21" s="1"/>
  <c r="AG196" i="21" a="1"/>
  <c r="AG196" i="21" s="1"/>
  <c r="AH196" i="21" a="1"/>
  <c r="AH196" i="21" s="1"/>
  <c r="AI196" i="21" a="1"/>
  <c r="AI196" i="21" s="1"/>
  <c r="AJ196" i="21" a="1"/>
  <c r="AJ196" i="21" s="1"/>
  <c r="AK196" i="21" a="1"/>
  <c r="AK196" i="21" s="1"/>
  <c r="AL196" i="21" a="1"/>
  <c r="AL196" i="21" s="1"/>
  <c r="AM196" i="21" a="1"/>
  <c r="AM196" i="21" s="1"/>
  <c r="AN196" i="21" a="1"/>
  <c r="AN196" i="21" s="1"/>
  <c r="AO196" i="21" a="1"/>
  <c r="AO196" i="21" s="1"/>
  <c r="AP196" i="21" a="1"/>
  <c r="AP196" i="21" s="1"/>
  <c r="AQ196" i="21" a="1"/>
  <c r="AQ196" i="21" s="1"/>
  <c r="AR196" i="21" a="1"/>
  <c r="AR196" i="21" s="1"/>
  <c r="AS196" i="21" a="1"/>
  <c r="AS196" i="21" s="1"/>
  <c r="AT196" i="21" a="1"/>
  <c r="AT196" i="21" s="1"/>
  <c r="AU196" i="21" a="1"/>
  <c r="AU196" i="21" s="1"/>
  <c r="AV196" i="21" a="1"/>
  <c r="AV196" i="21" s="1"/>
  <c r="AW196" i="21" a="1"/>
  <c r="AW196" i="21" s="1"/>
  <c r="AX196" i="21" a="1"/>
  <c r="AX196" i="21" s="1"/>
  <c r="AY196" i="21" a="1"/>
  <c r="AY196" i="21" s="1"/>
  <c r="AZ196" i="21" a="1"/>
  <c r="AZ196" i="21" s="1"/>
  <c r="BA196" i="21" a="1"/>
  <c r="BA196" i="21" s="1"/>
  <c r="BB196" i="21" a="1"/>
  <c r="BB196" i="21" s="1"/>
  <c r="BC196" i="21" a="1"/>
  <c r="BC196" i="21" s="1"/>
  <c r="BD196" i="21" a="1"/>
  <c r="BD196" i="21" s="1"/>
  <c r="BE196" i="21" a="1"/>
  <c r="BE196" i="21" s="1"/>
  <c r="BF196" i="21" a="1"/>
  <c r="BF196" i="21" s="1"/>
  <c r="BG196" i="21" a="1"/>
  <c r="BG196" i="21" s="1"/>
  <c r="BH196" i="21" a="1"/>
  <c r="BH196" i="21" s="1"/>
  <c r="BI196" i="21" a="1"/>
  <c r="BI196" i="21" s="1"/>
  <c r="BJ196" i="21" a="1"/>
  <c r="BJ196" i="21" s="1"/>
  <c r="BK196" i="21" a="1"/>
  <c r="BK196" i="21" s="1"/>
  <c r="BL196" i="21" a="1"/>
  <c r="BL196" i="21" s="1"/>
  <c r="BM196" i="21" a="1"/>
  <c r="BM196" i="21" s="1"/>
  <c r="BN196" i="21" a="1"/>
  <c r="BN196" i="21" s="1"/>
  <c r="BO196" i="21" a="1"/>
  <c r="BO196" i="21" s="1"/>
  <c r="BP196" i="21" a="1"/>
  <c r="BP196" i="21" s="1"/>
  <c r="BQ196" i="21" a="1"/>
  <c r="BQ196" i="21" s="1"/>
  <c r="BR196" i="21" a="1"/>
  <c r="BR196" i="21" s="1"/>
  <c r="BS196" i="21" a="1"/>
  <c r="BS196" i="21" s="1"/>
  <c r="BT196" i="21" a="1"/>
  <c r="BT196" i="21" s="1"/>
  <c r="BU196" i="21" a="1"/>
  <c r="BU196" i="21" s="1"/>
  <c r="BV196" i="21" a="1"/>
  <c r="BV196" i="21" s="1"/>
  <c r="BW196" i="21" a="1"/>
  <c r="BW196" i="21" s="1"/>
  <c r="BX196" i="21" a="1"/>
  <c r="BX196" i="21" s="1"/>
  <c r="BY196" i="21" a="1"/>
  <c r="BY196" i="21" s="1"/>
  <c r="BZ196" i="21" a="1"/>
  <c r="BZ196" i="21" s="1"/>
  <c r="CA196" i="21" a="1"/>
  <c r="CA196" i="21" s="1"/>
  <c r="CB196" i="21" a="1"/>
  <c r="CB196" i="21" s="1"/>
  <c r="CC196" i="21" a="1"/>
  <c r="CC196" i="21" s="1"/>
  <c r="CD196" i="21" a="1"/>
  <c r="CD196" i="21" s="1"/>
  <c r="CE196" i="21" a="1"/>
  <c r="CE196" i="21" s="1"/>
  <c r="CF196" i="21" a="1"/>
  <c r="CF196" i="21" s="1"/>
  <c r="CG196" i="21" a="1"/>
  <c r="CG196" i="21" s="1"/>
  <c r="CH196" i="21" a="1"/>
  <c r="CH196" i="21" s="1"/>
  <c r="CI196" i="21" a="1"/>
  <c r="CI196" i="21" s="1"/>
  <c r="CJ196" i="21" a="1"/>
  <c r="CJ196" i="21" s="1"/>
  <c r="CK196" i="21" a="1"/>
  <c r="CK196" i="21" s="1"/>
  <c r="CL196" i="21" a="1"/>
  <c r="CL196" i="21" s="1"/>
  <c r="CM196" i="21" a="1"/>
  <c r="CM196" i="21" s="1"/>
  <c r="CN196" i="21" a="1"/>
  <c r="CN196" i="21" s="1"/>
  <c r="CO196" i="21" a="1"/>
  <c r="CO196" i="21" s="1"/>
  <c r="CP196" i="21" a="1"/>
  <c r="CP196" i="21" s="1"/>
  <c r="CQ196" i="21" a="1"/>
  <c r="CQ196" i="21" s="1"/>
  <c r="CR196" i="21" a="1"/>
  <c r="CR196" i="21" s="1"/>
  <c r="CS196" i="21" a="1"/>
  <c r="CS196" i="21" s="1"/>
  <c r="CT196" i="21" a="1"/>
  <c r="CT196" i="21" s="1"/>
  <c r="CU196" i="21" a="1"/>
  <c r="CU196" i="21" s="1"/>
  <c r="CV196" i="21" a="1"/>
  <c r="CV196" i="21" s="1"/>
  <c r="CW196" i="21" a="1"/>
  <c r="CW196" i="21" s="1"/>
  <c r="N197" i="21" a="1"/>
  <c r="N197" i="21" s="1"/>
  <c r="O197" i="21" a="1"/>
  <c r="O197" i="21" s="1"/>
  <c r="P197" i="21" a="1"/>
  <c r="P197" i="21" s="1"/>
  <c r="Q197" i="21" a="1"/>
  <c r="Q197" i="21" s="1"/>
  <c r="R197" i="21" a="1"/>
  <c r="R197" i="21" s="1"/>
  <c r="S197" i="21" a="1"/>
  <c r="S197" i="21" s="1"/>
  <c r="T197" i="21" a="1"/>
  <c r="T197" i="21" s="1"/>
  <c r="U197" i="21" a="1"/>
  <c r="U197" i="21" s="1"/>
  <c r="V197" i="21" a="1"/>
  <c r="V197" i="21" s="1"/>
  <c r="W197" i="21" a="1"/>
  <c r="W197" i="21" s="1"/>
  <c r="X197" i="21" a="1"/>
  <c r="X197" i="21" s="1"/>
  <c r="Y197" i="21" a="1"/>
  <c r="Y197" i="21" s="1"/>
  <c r="Z197" i="21" a="1"/>
  <c r="Z197" i="21" s="1"/>
  <c r="AA197" i="21" a="1"/>
  <c r="AA197" i="21" s="1"/>
  <c r="AB197" i="21" a="1"/>
  <c r="AB197" i="21" s="1"/>
  <c r="AC197" i="21" a="1"/>
  <c r="AC197" i="21" s="1"/>
  <c r="AD197" i="21" a="1"/>
  <c r="AD197" i="21" s="1"/>
  <c r="AE197" i="21" a="1"/>
  <c r="AE197" i="21" s="1"/>
  <c r="AF197" i="21" a="1"/>
  <c r="AF197" i="21" s="1"/>
  <c r="AG197" i="21" a="1"/>
  <c r="AG197" i="21" s="1"/>
  <c r="AH197" i="21" a="1"/>
  <c r="AH197" i="21" s="1"/>
  <c r="AI197" i="21" a="1"/>
  <c r="AI197" i="21" s="1"/>
  <c r="AJ197" i="21" a="1"/>
  <c r="AJ197" i="21" s="1"/>
  <c r="AK197" i="21" a="1"/>
  <c r="AK197" i="21" s="1"/>
  <c r="AL197" i="21" a="1"/>
  <c r="AL197" i="21" s="1"/>
  <c r="AM197" i="21" a="1"/>
  <c r="AM197" i="21" s="1"/>
  <c r="AN197" i="21" a="1"/>
  <c r="AN197" i="21" s="1"/>
  <c r="AO197" i="21" a="1"/>
  <c r="AO197" i="21" s="1"/>
  <c r="AP197" i="21" a="1"/>
  <c r="AP197" i="21" s="1"/>
  <c r="AQ197" i="21" a="1"/>
  <c r="AQ197" i="21" s="1"/>
  <c r="AR197" i="21" a="1"/>
  <c r="AR197" i="21" s="1"/>
  <c r="AS197" i="21" a="1"/>
  <c r="AS197" i="21" s="1"/>
  <c r="AT197" i="21" a="1"/>
  <c r="AT197" i="21" s="1"/>
  <c r="AU197" i="21" a="1"/>
  <c r="AU197" i="21" s="1"/>
  <c r="AV197" i="21" a="1"/>
  <c r="AV197" i="21" s="1"/>
  <c r="AW197" i="21" a="1"/>
  <c r="AW197" i="21" s="1"/>
  <c r="AX197" i="21" a="1"/>
  <c r="AX197" i="21" s="1"/>
  <c r="AY197" i="21" a="1"/>
  <c r="AY197" i="21" s="1"/>
  <c r="AZ197" i="21" a="1"/>
  <c r="AZ197" i="21" s="1"/>
  <c r="BA197" i="21" a="1"/>
  <c r="BA197" i="21" s="1"/>
  <c r="BB197" i="21" a="1"/>
  <c r="BB197" i="21" s="1"/>
  <c r="BC197" i="21" a="1"/>
  <c r="BC197" i="21" s="1"/>
  <c r="BD197" i="21" a="1"/>
  <c r="BD197" i="21" s="1"/>
  <c r="BE197" i="21" a="1"/>
  <c r="BE197" i="21" s="1"/>
  <c r="BF197" i="21" a="1"/>
  <c r="BF197" i="21" s="1"/>
  <c r="BG197" i="21" a="1"/>
  <c r="BG197" i="21" s="1"/>
  <c r="BH197" i="21" a="1"/>
  <c r="BH197" i="21" s="1"/>
  <c r="BI197" i="21" a="1"/>
  <c r="BI197" i="21" s="1"/>
  <c r="BJ197" i="21" a="1"/>
  <c r="BJ197" i="21" s="1"/>
  <c r="BK197" i="21" a="1"/>
  <c r="BK197" i="21" s="1"/>
  <c r="BL197" i="21" a="1"/>
  <c r="BL197" i="21" s="1"/>
  <c r="BM197" i="21" a="1"/>
  <c r="BM197" i="21" s="1"/>
  <c r="BN197" i="21" a="1"/>
  <c r="BN197" i="21" s="1"/>
  <c r="BO197" i="21" a="1"/>
  <c r="BO197" i="21" s="1"/>
  <c r="BP197" i="21" a="1"/>
  <c r="BP197" i="21" s="1"/>
  <c r="BQ197" i="21" a="1"/>
  <c r="BQ197" i="21" s="1"/>
  <c r="BR197" i="21" a="1"/>
  <c r="BR197" i="21" s="1"/>
  <c r="BS197" i="21" a="1"/>
  <c r="BS197" i="21" s="1"/>
  <c r="BT197" i="21" a="1"/>
  <c r="BT197" i="21" s="1"/>
  <c r="BU197" i="21" a="1"/>
  <c r="BU197" i="21" s="1"/>
  <c r="BV197" i="21" a="1"/>
  <c r="BV197" i="21" s="1"/>
  <c r="BW197" i="21" a="1"/>
  <c r="BW197" i="21" s="1"/>
  <c r="BX197" i="21" a="1"/>
  <c r="BX197" i="21" s="1"/>
  <c r="BY197" i="21" a="1"/>
  <c r="BY197" i="21" s="1"/>
  <c r="BZ197" i="21" a="1"/>
  <c r="BZ197" i="21" s="1"/>
  <c r="CA197" i="21" a="1"/>
  <c r="CA197" i="21" s="1"/>
  <c r="CB197" i="21" a="1"/>
  <c r="CB197" i="21" s="1"/>
  <c r="CC197" i="21" a="1"/>
  <c r="CC197" i="21" s="1"/>
  <c r="CD197" i="21" a="1"/>
  <c r="CD197" i="21" s="1"/>
  <c r="CE197" i="21" a="1"/>
  <c r="CE197" i="21" s="1"/>
  <c r="CF197" i="21" a="1"/>
  <c r="CF197" i="21" s="1"/>
  <c r="CG197" i="21" a="1"/>
  <c r="CG197" i="21" s="1"/>
  <c r="CH197" i="21" a="1"/>
  <c r="CH197" i="21" s="1"/>
  <c r="CI197" i="21" a="1"/>
  <c r="CI197" i="21" s="1"/>
  <c r="CJ197" i="21" a="1"/>
  <c r="CJ197" i="21" s="1"/>
  <c r="CK197" i="21" a="1"/>
  <c r="CK197" i="21" s="1"/>
  <c r="CL197" i="21" a="1"/>
  <c r="CL197" i="21" s="1"/>
  <c r="CM197" i="21" a="1"/>
  <c r="CM197" i="21" s="1"/>
  <c r="CN197" i="21" a="1"/>
  <c r="CN197" i="21" s="1"/>
  <c r="CO197" i="21" a="1"/>
  <c r="CO197" i="21" s="1"/>
  <c r="CP197" i="21" a="1"/>
  <c r="CP197" i="21" s="1"/>
  <c r="CQ197" i="21" a="1"/>
  <c r="CQ197" i="21" s="1"/>
  <c r="CR197" i="21" a="1"/>
  <c r="CR197" i="21" s="1"/>
  <c r="CS197" i="21" a="1"/>
  <c r="CS197" i="21" s="1"/>
  <c r="CT197" i="21" a="1"/>
  <c r="CT197" i="21" s="1"/>
  <c r="CU197" i="21" a="1"/>
  <c r="CU197" i="21" s="1"/>
  <c r="CV197" i="21" a="1"/>
  <c r="CV197" i="21" s="1"/>
  <c r="CW197" i="21" a="1"/>
  <c r="CW197" i="21" s="1"/>
  <c r="N198" i="21" a="1"/>
  <c r="N198" i="21" s="1"/>
  <c r="O198" i="21" a="1"/>
  <c r="O198" i="21" s="1"/>
  <c r="P198" i="21" a="1"/>
  <c r="P198" i="21" s="1"/>
  <c r="Q198" i="21" a="1"/>
  <c r="Q198" i="21" s="1"/>
  <c r="R198" i="21" a="1"/>
  <c r="R198" i="21" s="1"/>
  <c r="S198" i="21" a="1"/>
  <c r="S198" i="21" s="1"/>
  <c r="T198" i="21" a="1"/>
  <c r="T198" i="21" s="1"/>
  <c r="U198" i="21" a="1"/>
  <c r="U198" i="21" s="1"/>
  <c r="V198" i="21" a="1"/>
  <c r="V198" i="21" s="1"/>
  <c r="W198" i="21" a="1"/>
  <c r="W198" i="21" s="1"/>
  <c r="X198" i="21" a="1"/>
  <c r="X198" i="21" s="1"/>
  <c r="Y198" i="21" a="1"/>
  <c r="Y198" i="21" s="1"/>
  <c r="Z198" i="21" a="1"/>
  <c r="Z198" i="21" s="1"/>
  <c r="AA198" i="21" a="1"/>
  <c r="AA198" i="21" s="1"/>
  <c r="AB198" i="21" a="1"/>
  <c r="AB198" i="21" s="1"/>
  <c r="AC198" i="21" a="1"/>
  <c r="AC198" i="21" s="1"/>
  <c r="AD198" i="21" a="1"/>
  <c r="AD198" i="21" s="1"/>
  <c r="AE198" i="21" a="1"/>
  <c r="AE198" i="21" s="1"/>
  <c r="AF198" i="21" a="1"/>
  <c r="AF198" i="21" s="1"/>
  <c r="AG198" i="21" a="1"/>
  <c r="AG198" i="21" s="1"/>
  <c r="AH198" i="21" a="1"/>
  <c r="AH198" i="21" s="1"/>
  <c r="AI198" i="21" a="1"/>
  <c r="AI198" i="21" s="1"/>
  <c r="AJ198" i="21" a="1"/>
  <c r="AJ198" i="21" s="1"/>
  <c r="AK198" i="21" a="1"/>
  <c r="AK198" i="21" s="1"/>
  <c r="AL198" i="21" a="1"/>
  <c r="AL198" i="21" s="1"/>
  <c r="AM198" i="21" a="1"/>
  <c r="AM198" i="21" s="1"/>
  <c r="AN198" i="21" a="1"/>
  <c r="AN198" i="21" s="1"/>
  <c r="AO198" i="21" a="1"/>
  <c r="AO198" i="21" s="1"/>
  <c r="AP198" i="21" a="1"/>
  <c r="AP198" i="21" s="1"/>
  <c r="AQ198" i="21" a="1"/>
  <c r="AQ198" i="21" s="1"/>
  <c r="AR198" i="21" a="1"/>
  <c r="AR198" i="21" s="1"/>
  <c r="AS198" i="21" a="1"/>
  <c r="AS198" i="21" s="1"/>
  <c r="AT198" i="21" a="1"/>
  <c r="AT198" i="21" s="1"/>
  <c r="AU198" i="21" a="1"/>
  <c r="AU198" i="21" s="1"/>
  <c r="AV198" i="21" a="1"/>
  <c r="AV198" i="21" s="1"/>
  <c r="AW198" i="21" a="1"/>
  <c r="AW198" i="21" s="1"/>
  <c r="AX198" i="21" a="1"/>
  <c r="AX198" i="21" s="1"/>
  <c r="AY198" i="21" a="1"/>
  <c r="AY198" i="21" s="1"/>
  <c r="AZ198" i="21" a="1"/>
  <c r="AZ198" i="21" s="1"/>
  <c r="BA198" i="21" a="1"/>
  <c r="BA198" i="21" s="1"/>
  <c r="BB198" i="21" a="1"/>
  <c r="BB198" i="21" s="1"/>
  <c r="BC198" i="21" a="1"/>
  <c r="BC198" i="21" s="1"/>
  <c r="BD198" i="21" a="1"/>
  <c r="BD198" i="21" s="1"/>
  <c r="BE198" i="21" a="1"/>
  <c r="BE198" i="21" s="1"/>
  <c r="BF198" i="21" a="1"/>
  <c r="BF198" i="21" s="1"/>
  <c r="BG198" i="21" a="1"/>
  <c r="BG198" i="21" s="1"/>
  <c r="BH198" i="21" a="1"/>
  <c r="BH198" i="21" s="1"/>
  <c r="BI198" i="21" a="1"/>
  <c r="BI198" i="21" s="1"/>
  <c r="BJ198" i="21" a="1"/>
  <c r="BJ198" i="21" s="1"/>
  <c r="BK198" i="21" a="1"/>
  <c r="BK198" i="21" s="1"/>
  <c r="BL198" i="21" a="1"/>
  <c r="BL198" i="21" s="1"/>
  <c r="BM198" i="21" a="1"/>
  <c r="BM198" i="21" s="1"/>
  <c r="BN198" i="21" a="1"/>
  <c r="BN198" i="21" s="1"/>
  <c r="BO198" i="21" a="1"/>
  <c r="BO198" i="21" s="1"/>
  <c r="BP198" i="21" a="1"/>
  <c r="BP198" i="21" s="1"/>
  <c r="BQ198" i="21" a="1"/>
  <c r="BQ198" i="21" s="1"/>
  <c r="BR198" i="21" a="1"/>
  <c r="BR198" i="21" s="1"/>
  <c r="BS198" i="21" a="1"/>
  <c r="BS198" i="21" s="1"/>
  <c r="BT198" i="21" a="1"/>
  <c r="BT198" i="21" s="1"/>
  <c r="BU198" i="21" a="1"/>
  <c r="BU198" i="21" s="1"/>
  <c r="BV198" i="21" a="1"/>
  <c r="BV198" i="21" s="1"/>
  <c r="BW198" i="21" a="1"/>
  <c r="BW198" i="21" s="1"/>
  <c r="BX198" i="21" a="1"/>
  <c r="BX198" i="21" s="1"/>
  <c r="BY198" i="21" a="1"/>
  <c r="BY198" i="21" s="1"/>
  <c r="BZ198" i="21" a="1"/>
  <c r="BZ198" i="21" s="1"/>
  <c r="CA198" i="21" a="1"/>
  <c r="CA198" i="21" s="1"/>
  <c r="CB198" i="21" a="1"/>
  <c r="CB198" i="21" s="1"/>
  <c r="CC198" i="21" a="1"/>
  <c r="CC198" i="21" s="1"/>
  <c r="CD198" i="21" a="1"/>
  <c r="CD198" i="21" s="1"/>
  <c r="CE198" i="21" a="1"/>
  <c r="CE198" i="21" s="1"/>
  <c r="CF198" i="21" a="1"/>
  <c r="CF198" i="21" s="1"/>
  <c r="CG198" i="21" a="1"/>
  <c r="CG198" i="21" s="1"/>
  <c r="CH198" i="21" a="1"/>
  <c r="CH198" i="21" s="1"/>
  <c r="CI198" i="21" a="1"/>
  <c r="CI198" i="21" s="1"/>
  <c r="CJ198" i="21" a="1"/>
  <c r="CJ198" i="21" s="1"/>
  <c r="CK198" i="21" a="1"/>
  <c r="CK198" i="21" s="1"/>
  <c r="CL198" i="21" a="1"/>
  <c r="CL198" i="21" s="1"/>
  <c r="CM198" i="21" a="1"/>
  <c r="CM198" i="21" s="1"/>
  <c r="CN198" i="21" a="1"/>
  <c r="CN198" i="21" s="1"/>
  <c r="CO198" i="21" a="1"/>
  <c r="CO198" i="21" s="1"/>
  <c r="CP198" i="21" a="1"/>
  <c r="CP198" i="21" s="1"/>
  <c r="CQ198" i="21" a="1"/>
  <c r="CQ198" i="21" s="1"/>
  <c r="CR198" i="21" a="1"/>
  <c r="CR198" i="21" s="1"/>
  <c r="CS198" i="21" a="1"/>
  <c r="CS198" i="21" s="1"/>
  <c r="CT198" i="21" a="1"/>
  <c r="CT198" i="21" s="1"/>
  <c r="CU198" i="21" a="1"/>
  <c r="CU198" i="21" s="1"/>
  <c r="CV198" i="21" a="1"/>
  <c r="CV198" i="21" s="1"/>
  <c r="CW198" i="21" a="1"/>
  <c r="CW198" i="21" s="1"/>
  <c r="N199" i="21" a="1"/>
  <c r="N199" i="21" s="1"/>
  <c r="O199" i="21" a="1"/>
  <c r="O199" i="21" s="1"/>
  <c r="P199" i="21" a="1"/>
  <c r="P199" i="21" s="1"/>
  <c r="Q199" i="21" a="1"/>
  <c r="Q199" i="21" s="1"/>
  <c r="R199" i="21" a="1"/>
  <c r="R199" i="21" s="1"/>
  <c r="S199" i="21" a="1"/>
  <c r="S199" i="21" s="1"/>
  <c r="T199" i="21" a="1"/>
  <c r="T199" i="21" s="1"/>
  <c r="U199" i="21" a="1"/>
  <c r="U199" i="21" s="1"/>
  <c r="V199" i="21" a="1"/>
  <c r="V199" i="21" s="1"/>
  <c r="W199" i="21" a="1"/>
  <c r="W199" i="21" s="1"/>
  <c r="X199" i="21" a="1"/>
  <c r="X199" i="21" s="1"/>
  <c r="Y199" i="21" a="1"/>
  <c r="Y199" i="21" s="1"/>
  <c r="Z199" i="21" a="1"/>
  <c r="Z199" i="21" s="1"/>
  <c r="AA199" i="21" a="1"/>
  <c r="AA199" i="21" s="1"/>
  <c r="AB199" i="21" a="1"/>
  <c r="AB199" i="21" s="1"/>
  <c r="AC199" i="21" a="1"/>
  <c r="AC199" i="21" s="1"/>
  <c r="AD199" i="21" a="1"/>
  <c r="AD199" i="21" s="1"/>
  <c r="AE199" i="21" a="1"/>
  <c r="AE199" i="21" s="1"/>
  <c r="AF199" i="21" a="1"/>
  <c r="AF199" i="21" s="1"/>
  <c r="AG199" i="21" a="1"/>
  <c r="AG199" i="21" s="1"/>
  <c r="AH199" i="21" a="1"/>
  <c r="AH199" i="21" s="1"/>
  <c r="AI199" i="21" a="1"/>
  <c r="AI199" i="21" s="1"/>
  <c r="AJ199" i="21" a="1"/>
  <c r="AJ199" i="21" s="1"/>
  <c r="AK199" i="21" a="1"/>
  <c r="AK199" i="21" s="1"/>
  <c r="AL199" i="21" a="1"/>
  <c r="AL199" i="21" s="1"/>
  <c r="AM199" i="21" a="1"/>
  <c r="AM199" i="21" s="1"/>
  <c r="AN199" i="21" a="1"/>
  <c r="AN199" i="21" s="1"/>
  <c r="AO199" i="21" a="1"/>
  <c r="AO199" i="21" s="1"/>
  <c r="AP199" i="21" a="1"/>
  <c r="AP199" i="21" s="1"/>
  <c r="AQ199" i="21" a="1"/>
  <c r="AQ199" i="21" s="1"/>
  <c r="AR199" i="21" a="1"/>
  <c r="AR199" i="21" s="1"/>
  <c r="AS199" i="21" a="1"/>
  <c r="AS199" i="21" s="1"/>
  <c r="AT199" i="21" a="1"/>
  <c r="AT199" i="21" s="1"/>
  <c r="AU199" i="21" a="1"/>
  <c r="AU199" i="21" s="1"/>
  <c r="AV199" i="21" a="1"/>
  <c r="AV199" i="21" s="1"/>
  <c r="AW199" i="21" a="1"/>
  <c r="AW199" i="21" s="1"/>
  <c r="AX199" i="21" a="1"/>
  <c r="AX199" i="21" s="1"/>
  <c r="AY199" i="21" a="1"/>
  <c r="AY199" i="21" s="1"/>
  <c r="AZ199" i="21" a="1"/>
  <c r="AZ199" i="21" s="1"/>
  <c r="BA199" i="21" a="1"/>
  <c r="BA199" i="21" s="1"/>
  <c r="BB199" i="21" a="1"/>
  <c r="BB199" i="21" s="1"/>
  <c r="BC199" i="21" a="1"/>
  <c r="BC199" i="21" s="1"/>
  <c r="BD199" i="21" a="1"/>
  <c r="BD199" i="21" s="1"/>
  <c r="BE199" i="21" a="1"/>
  <c r="BE199" i="21" s="1"/>
  <c r="BF199" i="21" a="1"/>
  <c r="BF199" i="21" s="1"/>
  <c r="BG199" i="21" a="1"/>
  <c r="BG199" i="21" s="1"/>
  <c r="BH199" i="21" a="1"/>
  <c r="BH199" i="21" s="1"/>
  <c r="BI199" i="21" a="1"/>
  <c r="BI199" i="21" s="1"/>
  <c r="BJ199" i="21" a="1"/>
  <c r="BJ199" i="21" s="1"/>
  <c r="BK199" i="21" a="1"/>
  <c r="BK199" i="21" s="1"/>
  <c r="BL199" i="21" a="1"/>
  <c r="BL199" i="21" s="1"/>
  <c r="BM199" i="21" a="1"/>
  <c r="BM199" i="21" s="1"/>
  <c r="BN199" i="21" a="1"/>
  <c r="BN199" i="21" s="1"/>
  <c r="BO199" i="21" a="1"/>
  <c r="BO199" i="21" s="1"/>
  <c r="BP199" i="21" a="1"/>
  <c r="BP199" i="21" s="1"/>
  <c r="BQ199" i="21" a="1"/>
  <c r="BQ199" i="21" s="1"/>
  <c r="BR199" i="21" a="1"/>
  <c r="BR199" i="21" s="1"/>
  <c r="BS199" i="21" a="1"/>
  <c r="BS199" i="21" s="1"/>
  <c r="BT199" i="21" a="1"/>
  <c r="BT199" i="21" s="1"/>
  <c r="BU199" i="21" a="1"/>
  <c r="BU199" i="21" s="1"/>
  <c r="BV199" i="21" a="1"/>
  <c r="BV199" i="21" s="1"/>
  <c r="BW199" i="21" a="1"/>
  <c r="BW199" i="21" s="1"/>
  <c r="BX199" i="21" a="1"/>
  <c r="BX199" i="21" s="1"/>
  <c r="BY199" i="21" a="1"/>
  <c r="BY199" i="21" s="1"/>
  <c r="BZ199" i="21" a="1"/>
  <c r="BZ199" i="21" s="1"/>
  <c r="CA199" i="21" a="1"/>
  <c r="CA199" i="21" s="1"/>
  <c r="CB199" i="21" a="1"/>
  <c r="CB199" i="21" s="1"/>
  <c r="CC199" i="21" a="1"/>
  <c r="CC199" i="21" s="1"/>
  <c r="CD199" i="21" a="1"/>
  <c r="CD199" i="21" s="1"/>
  <c r="CE199" i="21" a="1"/>
  <c r="CE199" i="21" s="1"/>
  <c r="CF199" i="21" a="1"/>
  <c r="CF199" i="21" s="1"/>
  <c r="CG199" i="21" a="1"/>
  <c r="CG199" i="21" s="1"/>
  <c r="CH199" i="21" a="1"/>
  <c r="CH199" i="21" s="1"/>
  <c r="CI199" i="21" a="1"/>
  <c r="CI199" i="21" s="1"/>
  <c r="CJ199" i="21" a="1"/>
  <c r="CJ199" i="21" s="1"/>
  <c r="CK199" i="21" a="1"/>
  <c r="CK199" i="21" s="1"/>
  <c r="CL199" i="21" a="1"/>
  <c r="CL199" i="21" s="1"/>
  <c r="CM199" i="21" a="1"/>
  <c r="CM199" i="21" s="1"/>
  <c r="CN199" i="21" a="1"/>
  <c r="CN199" i="21" s="1"/>
  <c r="CO199" i="21" a="1"/>
  <c r="CO199" i="21" s="1"/>
  <c r="CP199" i="21" a="1"/>
  <c r="CP199" i="21" s="1"/>
  <c r="CQ199" i="21" a="1"/>
  <c r="CQ199" i="21" s="1"/>
  <c r="CR199" i="21" a="1"/>
  <c r="CR199" i="21" s="1"/>
  <c r="CS199" i="21" a="1"/>
  <c r="CS199" i="21" s="1"/>
  <c r="CT199" i="21" a="1"/>
  <c r="CT199" i="21" s="1"/>
  <c r="CU199" i="21" a="1"/>
  <c r="CU199" i="21" s="1"/>
  <c r="CV199" i="21" a="1"/>
  <c r="CV199" i="21" s="1"/>
  <c r="CW199" i="21" a="1"/>
  <c r="CW199" i="21" s="1"/>
  <c r="N200" i="21" a="1"/>
  <c r="N200" i="21" s="1"/>
  <c r="O200" i="21" a="1"/>
  <c r="O200" i="21" s="1"/>
  <c r="P200" i="21" a="1"/>
  <c r="P200" i="21" s="1"/>
  <c r="Q200" i="21" a="1"/>
  <c r="Q200" i="21" s="1"/>
  <c r="R200" i="21" a="1"/>
  <c r="R200" i="21" s="1"/>
  <c r="S200" i="21" a="1"/>
  <c r="S200" i="21" s="1"/>
  <c r="T200" i="21" a="1"/>
  <c r="T200" i="21" s="1"/>
  <c r="U200" i="21" a="1"/>
  <c r="U200" i="21" s="1"/>
  <c r="V200" i="21" a="1"/>
  <c r="V200" i="21" s="1"/>
  <c r="W200" i="21" a="1"/>
  <c r="W200" i="21" s="1"/>
  <c r="X200" i="21" a="1"/>
  <c r="X200" i="21" s="1"/>
  <c r="Y200" i="21" a="1"/>
  <c r="Y200" i="21" s="1"/>
  <c r="Z200" i="21" a="1"/>
  <c r="Z200" i="21" s="1"/>
  <c r="AA200" i="21" a="1"/>
  <c r="AA200" i="21" s="1"/>
  <c r="AB200" i="21" a="1"/>
  <c r="AB200" i="21" s="1"/>
  <c r="AC200" i="21" a="1"/>
  <c r="AC200" i="21" s="1"/>
  <c r="AD200" i="21" a="1"/>
  <c r="AD200" i="21" s="1"/>
  <c r="AE200" i="21" a="1"/>
  <c r="AE200" i="21" s="1"/>
  <c r="AF200" i="21" a="1"/>
  <c r="AF200" i="21" s="1"/>
  <c r="AG200" i="21" a="1"/>
  <c r="AG200" i="21" s="1"/>
  <c r="AH200" i="21" a="1"/>
  <c r="AH200" i="21" s="1"/>
  <c r="AI200" i="21" a="1"/>
  <c r="AI200" i="21" s="1"/>
  <c r="AJ200" i="21" a="1"/>
  <c r="AJ200" i="21" s="1"/>
  <c r="AK200" i="21" a="1"/>
  <c r="AK200" i="21" s="1"/>
  <c r="AL200" i="21" a="1"/>
  <c r="AL200" i="21" s="1"/>
  <c r="AM200" i="21" a="1"/>
  <c r="AM200" i="21" s="1"/>
  <c r="AN200" i="21" a="1"/>
  <c r="AN200" i="21" s="1"/>
  <c r="AO200" i="21" a="1"/>
  <c r="AO200" i="21" s="1"/>
  <c r="AP200" i="21" a="1"/>
  <c r="AP200" i="21" s="1"/>
  <c r="AQ200" i="21" a="1"/>
  <c r="AQ200" i="21" s="1"/>
  <c r="AR200" i="21" a="1"/>
  <c r="AR200" i="21" s="1"/>
  <c r="AS200" i="21" a="1"/>
  <c r="AS200" i="21" s="1"/>
  <c r="AT200" i="21" a="1"/>
  <c r="AT200" i="21" s="1"/>
  <c r="AU200" i="21" a="1"/>
  <c r="AU200" i="21" s="1"/>
  <c r="AV200" i="21" a="1"/>
  <c r="AV200" i="21" s="1"/>
  <c r="AW200" i="21" a="1"/>
  <c r="AW200" i="21" s="1"/>
  <c r="AX200" i="21" a="1"/>
  <c r="AX200" i="21" s="1"/>
  <c r="AY200" i="21" a="1"/>
  <c r="AY200" i="21" s="1"/>
  <c r="AZ200" i="21" a="1"/>
  <c r="AZ200" i="21" s="1"/>
  <c r="BA200" i="21" a="1"/>
  <c r="BA200" i="21" s="1"/>
  <c r="BB200" i="21" a="1"/>
  <c r="BB200" i="21" s="1"/>
  <c r="BC200" i="21" a="1"/>
  <c r="BC200" i="21" s="1"/>
  <c r="BD200" i="21" a="1"/>
  <c r="BD200" i="21" s="1"/>
  <c r="BE200" i="21" a="1"/>
  <c r="BE200" i="21" s="1"/>
  <c r="BF200" i="21" a="1"/>
  <c r="BF200" i="21" s="1"/>
  <c r="BG200" i="21" a="1"/>
  <c r="BG200" i="21" s="1"/>
  <c r="BH200" i="21" a="1"/>
  <c r="BH200" i="21" s="1"/>
  <c r="BI200" i="21" a="1"/>
  <c r="BI200" i="21" s="1"/>
  <c r="BJ200" i="21" a="1"/>
  <c r="BJ200" i="21" s="1"/>
  <c r="BK200" i="21" a="1"/>
  <c r="BK200" i="21" s="1"/>
  <c r="BL200" i="21" a="1"/>
  <c r="BL200" i="21" s="1"/>
  <c r="BM200" i="21" a="1"/>
  <c r="BM200" i="21" s="1"/>
  <c r="BN200" i="21" a="1"/>
  <c r="BN200" i="21" s="1"/>
  <c r="BO200" i="21" a="1"/>
  <c r="BO200" i="21" s="1"/>
  <c r="BP200" i="21" a="1"/>
  <c r="BP200" i="21" s="1"/>
  <c r="BQ200" i="21" a="1"/>
  <c r="BQ200" i="21" s="1"/>
  <c r="BR200" i="21" a="1"/>
  <c r="BR200" i="21" s="1"/>
  <c r="BS200" i="21" a="1"/>
  <c r="BS200" i="21" s="1"/>
  <c r="BT200" i="21" a="1"/>
  <c r="BT200" i="21" s="1"/>
  <c r="BU200" i="21" a="1"/>
  <c r="BU200" i="21" s="1"/>
  <c r="BV200" i="21" a="1"/>
  <c r="BV200" i="21" s="1"/>
  <c r="BW200" i="21" a="1"/>
  <c r="BW200" i="21" s="1"/>
  <c r="BX200" i="21" a="1"/>
  <c r="BX200" i="21" s="1"/>
  <c r="BY200" i="21" a="1"/>
  <c r="BY200" i="21" s="1"/>
  <c r="BZ200" i="21" a="1"/>
  <c r="BZ200" i="21" s="1"/>
  <c r="CA200" i="21" a="1"/>
  <c r="CA200" i="21" s="1"/>
  <c r="CB200" i="21" a="1"/>
  <c r="CB200" i="21" s="1"/>
  <c r="CC200" i="21" a="1"/>
  <c r="CC200" i="21" s="1"/>
  <c r="CD200" i="21" a="1"/>
  <c r="CD200" i="21" s="1"/>
  <c r="CE200" i="21" a="1"/>
  <c r="CE200" i="21" s="1"/>
  <c r="CF200" i="21" a="1"/>
  <c r="CF200" i="21" s="1"/>
  <c r="CG200" i="21" a="1"/>
  <c r="CG200" i="21" s="1"/>
  <c r="CH200" i="21" a="1"/>
  <c r="CH200" i="21" s="1"/>
  <c r="CI200" i="21" a="1"/>
  <c r="CI200" i="21" s="1"/>
  <c r="CJ200" i="21" a="1"/>
  <c r="CJ200" i="21" s="1"/>
  <c r="CK200" i="21" a="1"/>
  <c r="CK200" i="21" s="1"/>
  <c r="CL200" i="21" a="1"/>
  <c r="CL200" i="21" s="1"/>
  <c r="CM200" i="21" a="1"/>
  <c r="CM200" i="21" s="1"/>
  <c r="CN200" i="21" a="1"/>
  <c r="CN200" i="21" s="1"/>
  <c r="CO200" i="21" a="1"/>
  <c r="CO200" i="21" s="1"/>
  <c r="CP200" i="21" a="1"/>
  <c r="CP200" i="21" s="1"/>
  <c r="CQ200" i="21" a="1"/>
  <c r="CQ200" i="21" s="1"/>
  <c r="CR200" i="21" a="1"/>
  <c r="CR200" i="21" s="1"/>
  <c r="CS200" i="21" a="1"/>
  <c r="CS200" i="21" s="1"/>
  <c r="CT200" i="21" a="1"/>
  <c r="CT200" i="21" s="1"/>
  <c r="CU200" i="21" a="1"/>
  <c r="CU200" i="21" s="1"/>
  <c r="CV200" i="21" a="1"/>
  <c r="CV200" i="21" s="1"/>
  <c r="CW200" i="21" a="1"/>
  <c r="CW200" i="21" s="1"/>
  <c r="N137" i="21" a="1"/>
  <c r="N137" i="21" s="1"/>
  <c r="O137" i="21" a="1"/>
  <c r="O137" i="21" s="1"/>
  <c r="P137" i="21" a="1"/>
  <c r="P137" i="21" s="1"/>
  <c r="Q137" i="21" a="1"/>
  <c r="Q137" i="21" s="1"/>
  <c r="R137" i="21" a="1"/>
  <c r="R137" i="21" s="1"/>
  <c r="S137" i="21" a="1"/>
  <c r="S137" i="21" s="1"/>
  <c r="T137" i="21" a="1"/>
  <c r="T137" i="21" s="1"/>
  <c r="U137" i="21" a="1"/>
  <c r="U137" i="21" s="1"/>
  <c r="V137" i="21" a="1"/>
  <c r="V137" i="21" s="1"/>
  <c r="W137" i="21" a="1"/>
  <c r="W137" i="21" s="1"/>
  <c r="X137" i="21" a="1"/>
  <c r="X137" i="21" s="1"/>
  <c r="Y137" i="21" a="1"/>
  <c r="Y137" i="21" s="1"/>
  <c r="Z137" i="21" a="1"/>
  <c r="Z137" i="21" s="1"/>
  <c r="AA137" i="21" a="1"/>
  <c r="AA137" i="21" s="1"/>
  <c r="AB137" i="21" a="1"/>
  <c r="AB137" i="21" s="1"/>
  <c r="AC137" i="21" a="1"/>
  <c r="AC137" i="21" s="1"/>
  <c r="AD137" i="21" a="1"/>
  <c r="AD137" i="21" s="1"/>
  <c r="AE137" i="21" a="1"/>
  <c r="AE137" i="21" s="1"/>
  <c r="AF137" i="21" a="1"/>
  <c r="AF137" i="21" s="1"/>
  <c r="AG137" i="21" a="1"/>
  <c r="AG137" i="21" s="1"/>
  <c r="AH137" i="21" a="1"/>
  <c r="AH137" i="21" s="1"/>
  <c r="AI137" i="21" a="1"/>
  <c r="AI137" i="21" s="1"/>
  <c r="AJ137" i="21" a="1"/>
  <c r="AJ137" i="21" s="1"/>
  <c r="AK137" i="21" a="1"/>
  <c r="AK137" i="21" s="1"/>
  <c r="AL137" i="21" a="1"/>
  <c r="AL137" i="21" s="1"/>
  <c r="AM137" i="21" a="1"/>
  <c r="AM137" i="21" s="1"/>
  <c r="AN137" i="21" a="1"/>
  <c r="AN137" i="21" s="1"/>
  <c r="AO137" i="21" a="1"/>
  <c r="AO137" i="21" s="1"/>
  <c r="AP137" i="21" a="1"/>
  <c r="AP137" i="21" s="1"/>
  <c r="AQ137" i="21" a="1"/>
  <c r="AQ137" i="21" s="1"/>
  <c r="AR137" i="21" a="1"/>
  <c r="AR137" i="21" s="1"/>
  <c r="AS137" i="21" a="1"/>
  <c r="AS137" i="21" s="1"/>
  <c r="AT137" i="21" a="1"/>
  <c r="AT137" i="21" s="1"/>
  <c r="AU137" i="21" a="1"/>
  <c r="AU137" i="21" s="1"/>
  <c r="AV137" i="21" a="1"/>
  <c r="AV137" i="21" s="1"/>
  <c r="AW137" i="21" a="1"/>
  <c r="AW137" i="21" s="1"/>
  <c r="AX137" i="21" a="1"/>
  <c r="AX137" i="21" s="1"/>
  <c r="AY137" i="21" a="1"/>
  <c r="AY137" i="21" s="1"/>
  <c r="AZ137" i="21" a="1"/>
  <c r="AZ137" i="21" s="1"/>
  <c r="BA137" i="21" a="1"/>
  <c r="BA137" i="21" s="1"/>
  <c r="BB137" i="21" a="1"/>
  <c r="BB137" i="21" s="1"/>
  <c r="BC137" i="21" a="1"/>
  <c r="BC137" i="21" s="1"/>
  <c r="BD137" i="21" a="1"/>
  <c r="BD137" i="21" s="1"/>
  <c r="BE137" i="21" a="1"/>
  <c r="BE137" i="21" s="1"/>
  <c r="BF137" i="21" a="1"/>
  <c r="BF137" i="21" s="1"/>
  <c r="BG137" i="21" a="1"/>
  <c r="BG137" i="21" s="1"/>
  <c r="BH137" i="21" a="1"/>
  <c r="BH137" i="21" s="1"/>
  <c r="BI137" i="21" a="1"/>
  <c r="BI137" i="21" s="1"/>
  <c r="BJ137" i="21" a="1"/>
  <c r="BJ137" i="21" s="1"/>
  <c r="BK137" i="21" a="1"/>
  <c r="BK137" i="21" s="1"/>
  <c r="BL137" i="21" a="1"/>
  <c r="BL137" i="21" s="1"/>
  <c r="BM137" i="21" a="1"/>
  <c r="BM137" i="21" s="1"/>
  <c r="BN137" i="21" a="1"/>
  <c r="BN137" i="21" s="1"/>
  <c r="BO137" i="21" a="1"/>
  <c r="BO137" i="21" s="1"/>
  <c r="BP137" i="21" a="1"/>
  <c r="BP137" i="21" s="1"/>
  <c r="BQ137" i="21" a="1"/>
  <c r="BQ137" i="21" s="1"/>
  <c r="BR137" i="21" a="1"/>
  <c r="BR137" i="21" s="1"/>
  <c r="BS137" i="21" a="1"/>
  <c r="BS137" i="21" s="1"/>
  <c r="BT137" i="21" a="1"/>
  <c r="BT137" i="21" s="1"/>
  <c r="BU137" i="21" a="1"/>
  <c r="BU137" i="21" s="1"/>
  <c r="BV137" i="21" a="1"/>
  <c r="BV137" i="21" s="1"/>
  <c r="BW137" i="21" a="1"/>
  <c r="BW137" i="21" s="1"/>
  <c r="BX137" i="21" a="1"/>
  <c r="BX137" i="21" s="1"/>
  <c r="BY137" i="21" a="1"/>
  <c r="BY137" i="21" s="1"/>
  <c r="BZ137" i="21" a="1"/>
  <c r="BZ137" i="21" s="1"/>
  <c r="CA137" i="21" a="1"/>
  <c r="CA137" i="21" s="1"/>
  <c r="CB137" i="21" a="1"/>
  <c r="CB137" i="21" s="1"/>
  <c r="CC137" i="21" a="1"/>
  <c r="CC137" i="21" s="1"/>
  <c r="CD137" i="21" a="1"/>
  <c r="CD137" i="21" s="1"/>
  <c r="CE137" i="21" a="1"/>
  <c r="CE137" i="21" s="1"/>
  <c r="CF137" i="21" a="1"/>
  <c r="CF137" i="21" s="1"/>
  <c r="CG137" i="21" a="1"/>
  <c r="CG137" i="21" s="1"/>
  <c r="CH137" i="21" a="1"/>
  <c r="CH137" i="21" s="1"/>
  <c r="CI137" i="21" a="1"/>
  <c r="CI137" i="21" s="1"/>
  <c r="CJ137" i="21" a="1"/>
  <c r="CJ137" i="21" s="1"/>
  <c r="CK137" i="21" a="1"/>
  <c r="CK137" i="21" s="1"/>
  <c r="CL137" i="21" a="1"/>
  <c r="CL137" i="21" s="1"/>
  <c r="CM137" i="21" a="1"/>
  <c r="CM137" i="21" s="1"/>
  <c r="CN137" i="21" a="1"/>
  <c r="CN137" i="21" s="1"/>
  <c r="CO137" i="21" a="1"/>
  <c r="CO137" i="21" s="1"/>
  <c r="CP137" i="21" a="1"/>
  <c r="CP137" i="21" s="1"/>
  <c r="CQ137" i="21" a="1"/>
  <c r="CQ137" i="21" s="1"/>
  <c r="CR137" i="21" a="1"/>
  <c r="CR137" i="21" s="1"/>
  <c r="CS137" i="21" a="1"/>
  <c r="CS137" i="21" s="1"/>
  <c r="CT137" i="21" a="1"/>
  <c r="CT137" i="21" s="1"/>
  <c r="CU137" i="21" a="1"/>
  <c r="CU137" i="21" s="1"/>
  <c r="CV137" i="21" a="1"/>
  <c r="CV137" i="21" s="1"/>
  <c r="CW137" i="21" a="1"/>
  <c r="CW137" i="21" s="1"/>
  <c r="N138" i="21" a="1"/>
  <c r="N138" i="21" s="1"/>
  <c r="O138" i="21" a="1"/>
  <c r="O138" i="21" s="1"/>
  <c r="P138" i="21" a="1"/>
  <c r="P138" i="21" s="1"/>
  <c r="Q138" i="21" a="1"/>
  <c r="Q138" i="21" s="1"/>
  <c r="R138" i="21" a="1"/>
  <c r="R138" i="21" s="1"/>
  <c r="S138" i="21" a="1"/>
  <c r="S138" i="21" s="1"/>
  <c r="T138" i="21" a="1"/>
  <c r="T138" i="21" s="1"/>
  <c r="U138" i="21" a="1"/>
  <c r="U138" i="21" s="1"/>
  <c r="V138" i="21" a="1"/>
  <c r="V138" i="21" s="1"/>
  <c r="W138" i="21" a="1"/>
  <c r="W138" i="21" s="1"/>
  <c r="X138" i="21" a="1"/>
  <c r="X138" i="21" s="1"/>
  <c r="Y138" i="21" a="1"/>
  <c r="Y138" i="21" s="1"/>
  <c r="Z138" i="21" a="1"/>
  <c r="Z138" i="21" s="1"/>
  <c r="AA138" i="21" a="1"/>
  <c r="AA138" i="21" s="1"/>
  <c r="AB138" i="21" a="1"/>
  <c r="AB138" i="21" s="1"/>
  <c r="AC138" i="21" a="1"/>
  <c r="AC138" i="21" s="1"/>
  <c r="AD138" i="21" a="1"/>
  <c r="AD138" i="21" s="1"/>
  <c r="AE138" i="21" a="1"/>
  <c r="AE138" i="21" s="1"/>
  <c r="AF138" i="21" a="1"/>
  <c r="AF138" i="21" s="1"/>
  <c r="AG138" i="21" a="1"/>
  <c r="AG138" i="21" s="1"/>
  <c r="AH138" i="21" a="1"/>
  <c r="AH138" i="21" s="1"/>
  <c r="AI138" i="21" a="1"/>
  <c r="AI138" i="21" s="1"/>
  <c r="AJ138" i="21" a="1"/>
  <c r="AJ138" i="21" s="1"/>
  <c r="AK138" i="21" a="1"/>
  <c r="AK138" i="21" s="1"/>
  <c r="AL138" i="21" a="1"/>
  <c r="AL138" i="21" s="1"/>
  <c r="AM138" i="21" a="1"/>
  <c r="AM138" i="21" s="1"/>
  <c r="AN138" i="21" a="1"/>
  <c r="AN138" i="21" s="1"/>
  <c r="AO138" i="21" a="1"/>
  <c r="AO138" i="21" s="1"/>
  <c r="AP138" i="21" a="1"/>
  <c r="AP138" i="21" s="1"/>
  <c r="AQ138" i="21" a="1"/>
  <c r="AQ138" i="21" s="1"/>
  <c r="AR138" i="21" a="1"/>
  <c r="AR138" i="21" s="1"/>
  <c r="AS138" i="21" a="1"/>
  <c r="AS138" i="21" s="1"/>
  <c r="AT138" i="21" a="1"/>
  <c r="AT138" i="21" s="1"/>
  <c r="AU138" i="21" a="1"/>
  <c r="AU138" i="21" s="1"/>
  <c r="AV138" i="21" a="1"/>
  <c r="AV138" i="21" s="1"/>
  <c r="AW138" i="21" a="1"/>
  <c r="AW138" i="21" s="1"/>
  <c r="AX138" i="21" a="1"/>
  <c r="AX138" i="21" s="1"/>
  <c r="AY138" i="21" a="1"/>
  <c r="AY138" i="21" s="1"/>
  <c r="AZ138" i="21" a="1"/>
  <c r="AZ138" i="21" s="1"/>
  <c r="BA138" i="21" a="1"/>
  <c r="BA138" i="21" s="1"/>
  <c r="BB138" i="21" a="1"/>
  <c r="BB138" i="21" s="1"/>
  <c r="BC138" i="21" a="1"/>
  <c r="BC138" i="21" s="1"/>
  <c r="BD138" i="21" a="1"/>
  <c r="BD138" i="21" s="1"/>
  <c r="BE138" i="21" a="1"/>
  <c r="BE138" i="21" s="1"/>
  <c r="BF138" i="21" a="1"/>
  <c r="BF138" i="21" s="1"/>
  <c r="BG138" i="21" a="1"/>
  <c r="BG138" i="21" s="1"/>
  <c r="BH138" i="21" a="1"/>
  <c r="BH138" i="21" s="1"/>
  <c r="BI138" i="21" a="1"/>
  <c r="BI138" i="21" s="1"/>
  <c r="BJ138" i="21" a="1"/>
  <c r="BJ138" i="21" s="1"/>
  <c r="BK138" i="21" a="1"/>
  <c r="BK138" i="21" s="1"/>
  <c r="BL138" i="21" a="1"/>
  <c r="BL138" i="21" s="1"/>
  <c r="BM138" i="21" a="1"/>
  <c r="BM138" i="21" s="1"/>
  <c r="BN138" i="21" a="1"/>
  <c r="BN138" i="21" s="1"/>
  <c r="BO138" i="21" a="1"/>
  <c r="BO138" i="21" s="1"/>
  <c r="BP138" i="21" a="1"/>
  <c r="BP138" i="21" s="1"/>
  <c r="BQ138" i="21" a="1"/>
  <c r="BQ138" i="21" s="1"/>
  <c r="BR138" i="21" a="1"/>
  <c r="BR138" i="21" s="1"/>
  <c r="BS138" i="21" a="1"/>
  <c r="BS138" i="21" s="1"/>
  <c r="BT138" i="21" a="1"/>
  <c r="BT138" i="21" s="1"/>
  <c r="BU138" i="21" a="1"/>
  <c r="BU138" i="21" s="1"/>
  <c r="BV138" i="21" a="1"/>
  <c r="BV138" i="21" s="1"/>
  <c r="BW138" i="21" a="1"/>
  <c r="BW138" i="21" s="1"/>
  <c r="BX138" i="21" a="1"/>
  <c r="BX138" i="21" s="1"/>
  <c r="BY138" i="21" a="1"/>
  <c r="BY138" i="21" s="1"/>
  <c r="BZ138" i="21" a="1"/>
  <c r="BZ138" i="21" s="1"/>
  <c r="CA138" i="21" a="1"/>
  <c r="CA138" i="21" s="1"/>
  <c r="CB138" i="21" a="1"/>
  <c r="CB138" i="21" s="1"/>
  <c r="CC138" i="21" a="1"/>
  <c r="CC138" i="21" s="1"/>
  <c r="CD138" i="21" a="1"/>
  <c r="CD138" i="21" s="1"/>
  <c r="CE138" i="21" a="1"/>
  <c r="CE138" i="21" s="1"/>
  <c r="CF138" i="21" a="1"/>
  <c r="CF138" i="21" s="1"/>
  <c r="CG138" i="21" a="1"/>
  <c r="CG138" i="21" s="1"/>
  <c r="CH138" i="21" a="1"/>
  <c r="CH138" i="21" s="1"/>
  <c r="CI138" i="21" a="1"/>
  <c r="CI138" i="21" s="1"/>
  <c r="CJ138" i="21" a="1"/>
  <c r="CJ138" i="21" s="1"/>
  <c r="CK138" i="21" a="1"/>
  <c r="CK138" i="21" s="1"/>
  <c r="CL138" i="21" a="1"/>
  <c r="CL138" i="21" s="1"/>
  <c r="CM138" i="21" a="1"/>
  <c r="CM138" i="21" s="1"/>
  <c r="CN138" i="21" a="1"/>
  <c r="CN138" i="21" s="1"/>
  <c r="CO138" i="21" a="1"/>
  <c r="CO138" i="21" s="1"/>
  <c r="CP138" i="21" a="1"/>
  <c r="CP138" i="21" s="1"/>
  <c r="CQ138" i="21" a="1"/>
  <c r="CQ138" i="21" s="1"/>
  <c r="CR138" i="21" a="1"/>
  <c r="CR138" i="21" s="1"/>
  <c r="CS138" i="21" a="1"/>
  <c r="CS138" i="21" s="1"/>
  <c r="CT138" i="21" a="1"/>
  <c r="CT138" i="21" s="1"/>
  <c r="CU138" i="21" a="1"/>
  <c r="CU138" i="21" s="1"/>
  <c r="CV138" i="21" a="1"/>
  <c r="CV138" i="21" s="1"/>
  <c r="CW138" i="21" a="1"/>
  <c r="CW138" i="21" s="1"/>
  <c r="N139" i="21" a="1"/>
  <c r="N139" i="21" s="1"/>
  <c r="O139" i="21" a="1"/>
  <c r="O139" i="21" s="1"/>
  <c r="P139" i="21" a="1"/>
  <c r="P139" i="21" s="1"/>
  <c r="Q139" i="21" a="1"/>
  <c r="Q139" i="21" s="1"/>
  <c r="R139" i="21" a="1"/>
  <c r="R139" i="21" s="1"/>
  <c r="S139" i="21" a="1"/>
  <c r="S139" i="21" s="1"/>
  <c r="T139" i="21" a="1"/>
  <c r="T139" i="21" s="1"/>
  <c r="U139" i="21" a="1"/>
  <c r="U139" i="21" s="1"/>
  <c r="V139" i="21" a="1"/>
  <c r="V139" i="21" s="1"/>
  <c r="W139" i="21" a="1"/>
  <c r="W139" i="21" s="1"/>
  <c r="X139" i="21" a="1"/>
  <c r="X139" i="21" s="1"/>
  <c r="Y139" i="21" a="1"/>
  <c r="Y139" i="21" s="1"/>
  <c r="Z139" i="21" a="1"/>
  <c r="Z139" i="21" s="1"/>
  <c r="AA139" i="21" a="1"/>
  <c r="AA139" i="21" s="1"/>
  <c r="AB139" i="21" a="1"/>
  <c r="AB139" i="21" s="1"/>
  <c r="AB140" i="21" s="1"/>
  <c r="AC139" i="21" a="1"/>
  <c r="AC139" i="21" s="1"/>
  <c r="AD139" i="21" a="1"/>
  <c r="AD139" i="21" s="1"/>
  <c r="AE139" i="21" a="1"/>
  <c r="AE139" i="21" s="1"/>
  <c r="AF139" i="21" a="1"/>
  <c r="AF139" i="21" s="1"/>
  <c r="AG139" i="21" a="1"/>
  <c r="AG139" i="21" s="1"/>
  <c r="AH139" i="21" a="1"/>
  <c r="AH139" i="21" s="1"/>
  <c r="AI139" i="21" a="1"/>
  <c r="AI139" i="21" s="1"/>
  <c r="AJ139" i="21" a="1"/>
  <c r="AJ139" i="21" s="1"/>
  <c r="AJ140" i="21" s="1"/>
  <c r="AK139" i="21" a="1"/>
  <c r="AK139" i="21" s="1"/>
  <c r="AL139" i="21" a="1"/>
  <c r="AL139" i="21" s="1"/>
  <c r="AM139" i="21" a="1"/>
  <c r="AM139" i="21" s="1"/>
  <c r="AN139" i="21" a="1"/>
  <c r="AN139" i="21" s="1"/>
  <c r="AO139" i="21" a="1"/>
  <c r="AO139" i="21" s="1"/>
  <c r="AP139" i="21" a="1"/>
  <c r="AP139" i="21" s="1"/>
  <c r="AQ139" i="21" a="1"/>
  <c r="AQ139" i="21" s="1"/>
  <c r="AR139" i="21" a="1"/>
  <c r="AR139" i="21" s="1"/>
  <c r="AS139" i="21" a="1"/>
  <c r="AS139" i="21" s="1"/>
  <c r="AT139" i="21" a="1"/>
  <c r="AT139" i="21" s="1"/>
  <c r="AU139" i="21" a="1"/>
  <c r="AU139" i="21" s="1"/>
  <c r="AV139" i="21" a="1"/>
  <c r="AV139" i="21" s="1"/>
  <c r="AW139" i="21" a="1"/>
  <c r="AW139" i="21" s="1"/>
  <c r="AX139" i="21" a="1"/>
  <c r="AX139" i="21" s="1"/>
  <c r="AY139" i="21" a="1"/>
  <c r="AY139" i="21" s="1"/>
  <c r="AZ139" i="21" a="1"/>
  <c r="AZ139" i="21" s="1"/>
  <c r="AZ140" i="21" s="1"/>
  <c r="BA139" i="21" a="1"/>
  <c r="BA139" i="21" s="1"/>
  <c r="BB139" i="21" a="1"/>
  <c r="BB139" i="21" s="1"/>
  <c r="BC139" i="21" a="1"/>
  <c r="BC139" i="21" s="1"/>
  <c r="BD139" i="21" a="1"/>
  <c r="BD139" i="21" s="1"/>
  <c r="BD140" i="21" s="1"/>
  <c r="BE139" i="21" a="1"/>
  <c r="BE139" i="21" s="1"/>
  <c r="BF139" i="21" a="1"/>
  <c r="BF139" i="21" s="1"/>
  <c r="BG139" i="21" a="1"/>
  <c r="BG139" i="21" s="1"/>
  <c r="BH139" i="21" a="1"/>
  <c r="BH139" i="21" s="1"/>
  <c r="BI139" i="21" a="1"/>
  <c r="BI139" i="21" s="1"/>
  <c r="BJ139" i="21" a="1"/>
  <c r="BJ139" i="21" s="1"/>
  <c r="BK139" i="21" a="1"/>
  <c r="BK139" i="21" s="1"/>
  <c r="BL139" i="21" a="1"/>
  <c r="BL139" i="21" s="1"/>
  <c r="BM139" i="21" a="1"/>
  <c r="BM139" i="21" s="1"/>
  <c r="BN139" i="21" a="1"/>
  <c r="BN139" i="21" s="1"/>
  <c r="BO139" i="21" a="1"/>
  <c r="BO139" i="21" s="1"/>
  <c r="BP139" i="21" a="1"/>
  <c r="BP139" i="21" s="1"/>
  <c r="BQ139" i="21" a="1"/>
  <c r="BQ139" i="21" s="1"/>
  <c r="BR139" i="21" a="1"/>
  <c r="BR139" i="21" s="1"/>
  <c r="BS139" i="21" a="1"/>
  <c r="BS139" i="21" s="1"/>
  <c r="BT139" i="21" a="1"/>
  <c r="BT139" i="21" s="1"/>
  <c r="BT140" i="21" s="1"/>
  <c r="BU139" i="21" a="1"/>
  <c r="BU139" i="21" s="1"/>
  <c r="BV139" i="21" a="1"/>
  <c r="BV139" i="21" s="1"/>
  <c r="BV140" i="21" s="1"/>
  <c r="BW139" i="21" a="1"/>
  <c r="BW139" i="21" s="1"/>
  <c r="BX139" i="21" a="1"/>
  <c r="BX139" i="21" s="1"/>
  <c r="BX140" i="21" s="1"/>
  <c r="BY139" i="21" a="1"/>
  <c r="BY139" i="21" s="1"/>
  <c r="BZ139" i="21" a="1"/>
  <c r="BZ139" i="21" s="1"/>
  <c r="BZ140" i="21" s="1"/>
  <c r="CA139" i="21" a="1"/>
  <c r="CA139" i="21" s="1"/>
  <c r="CB139" i="21" a="1"/>
  <c r="CB139" i="21" s="1"/>
  <c r="CC139" i="21" a="1"/>
  <c r="CC139" i="21" s="1"/>
  <c r="CD139" i="21" a="1"/>
  <c r="CD139" i="21" s="1"/>
  <c r="CD140" i="21" s="1"/>
  <c r="CE139" i="21" a="1"/>
  <c r="CE139" i="21" s="1"/>
  <c r="CE140" i="21" s="1"/>
  <c r="CF139" i="21" a="1"/>
  <c r="CF139" i="21" s="1"/>
  <c r="CF140" i="21" s="1"/>
  <c r="CG139" i="21" a="1"/>
  <c r="CG139" i="21" s="1"/>
  <c r="CH139" i="21" a="1"/>
  <c r="CH139" i="21" s="1"/>
  <c r="CH140" i="21" s="1"/>
  <c r="CI139" i="21" a="1"/>
  <c r="CI139" i="21" s="1"/>
  <c r="CJ139" i="21" a="1"/>
  <c r="CJ139" i="21" s="1"/>
  <c r="CJ140" i="21" s="1"/>
  <c r="CK139" i="21" a="1"/>
  <c r="CK139" i="21" s="1"/>
  <c r="CL139" i="21" a="1"/>
  <c r="CL139" i="21" s="1"/>
  <c r="CL140" i="21" s="1"/>
  <c r="CM139" i="21" a="1"/>
  <c r="CM139" i="21" s="1"/>
  <c r="CN139" i="21" a="1"/>
  <c r="CN139" i="21" s="1"/>
  <c r="CO139" i="21" a="1"/>
  <c r="CO139" i="21" s="1"/>
  <c r="CP139" i="21" a="1"/>
  <c r="CP139" i="21" s="1"/>
  <c r="CP140" i="21" s="1"/>
  <c r="CQ139" i="21" a="1"/>
  <c r="CQ139" i="21" s="1"/>
  <c r="CR139" i="21" a="1"/>
  <c r="CR139" i="21" s="1"/>
  <c r="CR140" i="21" s="1"/>
  <c r="CS139" i="21" a="1"/>
  <c r="CS139" i="21" s="1"/>
  <c r="CS140" i="21" s="1"/>
  <c r="CT139" i="21" a="1"/>
  <c r="CT139" i="21" s="1"/>
  <c r="CT140" i="21" s="1"/>
  <c r="CU139" i="21" a="1"/>
  <c r="CU139" i="21" s="1"/>
  <c r="CU140" i="21" s="1"/>
  <c r="CV139" i="21" a="1"/>
  <c r="CV139" i="21" s="1"/>
  <c r="CV140" i="21" s="1"/>
  <c r="CW139" i="21" a="1"/>
  <c r="CW139" i="21" s="1"/>
  <c r="CW140" i="21" s="1"/>
  <c r="T140" i="21"/>
  <c r="N141" i="21"/>
  <c r="O141" i="21"/>
  <c r="P141" i="21"/>
  <c r="Q141" i="21"/>
  <c r="R141" i="21"/>
  <c r="S141" i="21"/>
  <c r="T141" i="21"/>
  <c r="U141" i="21"/>
  <c r="V141" i="21"/>
  <c r="W141" i="21"/>
  <c r="X141" i="21"/>
  <c r="Y141" i="21"/>
  <c r="Z141" i="21"/>
  <c r="AA141" i="21"/>
  <c r="AB141" i="21"/>
  <c r="AC141" i="21"/>
  <c r="AD141" i="21"/>
  <c r="AE141" i="21"/>
  <c r="AF141" i="21"/>
  <c r="AG141" i="21"/>
  <c r="AH141" i="21"/>
  <c r="AI141" i="21"/>
  <c r="AJ141" i="21"/>
  <c r="AK141" i="21"/>
  <c r="AL141" i="21"/>
  <c r="AM141" i="21"/>
  <c r="AN141" i="21"/>
  <c r="AO141" i="21"/>
  <c r="AP141" i="21"/>
  <c r="AQ141" i="21"/>
  <c r="AR141" i="21"/>
  <c r="AS141" i="21"/>
  <c r="AT141" i="21"/>
  <c r="AU141" i="21"/>
  <c r="AV141" i="21"/>
  <c r="AW141" i="21"/>
  <c r="AX141" i="21"/>
  <c r="AY141" i="21"/>
  <c r="AZ141" i="21"/>
  <c r="BA141" i="21"/>
  <c r="BB141" i="21"/>
  <c r="BC141" i="21"/>
  <c r="BD141" i="21"/>
  <c r="BE141" i="21"/>
  <c r="BF141" i="21"/>
  <c r="BG141" i="21"/>
  <c r="BH141" i="21"/>
  <c r="BI141" i="21"/>
  <c r="BJ141" i="21"/>
  <c r="BK141" i="21"/>
  <c r="BL141" i="21"/>
  <c r="BM141" i="21"/>
  <c r="BN141" i="21"/>
  <c r="BO141" i="21"/>
  <c r="BP141" i="21"/>
  <c r="BQ141" i="21"/>
  <c r="BR141" i="21"/>
  <c r="BS141" i="21"/>
  <c r="BT141" i="21"/>
  <c r="BU141" i="21"/>
  <c r="BV141" i="21"/>
  <c r="BW141" i="21"/>
  <c r="BX141" i="21"/>
  <c r="BY141" i="21"/>
  <c r="BZ141" i="21"/>
  <c r="CA141" i="21"/>
  <c r="CB141" i="21"/>
  <c r="CC141" i="21"/>
  <c r="CD141" i="21"/>
  <c r="CE141" i="21"/>
  <c r="CF141" i="21"/>
  <c r="CG141" i="21"/>
  <c r="CH141" i="21"/>
  <c r="CI141" i="21"/>
  <c r="CJ141" i="21"/>
  <c r="CK141" i="21"/>
  <c r="CL141" i="21"/>
  <c r="CM141" i="21"/>
  <c r="CN141" i="21"/>
  <c r="CO141" i="21"/>
  <c r="CP141" i="21"/>
  <c r="CQ141" i="21"/>
  <c r="CR141" i="21"/>
  <c r="CS141" i="21"/>
  <c r="CT141" i="21"/>
  <c r="CU141" i="21"/>
  <c r="CV141" i="21"/>
  <c r="CW141" i="21"/>
  <c r="N146" i="21" a="1"/>
  <c r="N146" i="21" s="1"/>
  <c r="O146" i="21" a="1"/>
  <c r="O146" i="21" s="1"/>
  <c r="P146" i="21" a="1"/>
  <c r="P146" i="21" s="1"/>
  <c r="Q146" i="21" a="1"/>
  <c r="Q146" i="21" s="1"/>
  <c r="R146" i="21" a="1"/>
  <c r="R146" i="21" s="1"/>
  <c r="S146" i="21" a="1"/>
  <c r="S146" i="21" s="1"/>
  <c r="T146" i="21" a="1"/>
  <c r="T146" i="21" s="1"/>
  <c r="U146" i="21" a="1"/>
  <c r="U146" i="21" s="1"/>
  <c r="V146" i="21" a="1"/>
  <c r="V146" i="21" s="1"/>
  <c r="W146" i="21" a="1"/>
  <c r="W146" i="21" s="1"/>
  <c r="X146" i="21" a="1"/>
  <c r="X146" i="21" s="1"/>
  <c r="Y146" i="21" a="1"/>
  <c r="Y146" i="21" s="1"/>
  <c r="Z146" i="21" a="1"/>
  <c r="Z146" i="21" s="1"/>
  <c r="AA146" i="21" a="1"/>
  <c r="AA146" i="21" s="1"/>
  <c r="AB146" i="21" a="1"/>
  <c r="AB146" i="21" s="1"/>
  <c r="AC146" i="21" a="1"/>
  <c r="AC146" i="21" s="1"/>
  <c r="AD146" i="21" a="1"/>
  <c r="AD146" i="21" s="1"/>
  <c r="AE146" i="21" a="1"/>
  <c r="AE146" i="21" s="1"/>
  <c r="AF146" i="21" a="1"/>
  <c r="AF146" i="21" s="1"/>
  <c r="AG146" i="21" a="1"/>
  <c r="AG146" i="21" s="1"/>
  <c r="AH146" i="21" a="1"/>
  <c r="AH146" i="21" s="1"/>
  <c r="AI146" i="21" a="1"/>
  <c r="AI146" i="21" s="1"/>
  <c r="AJ146" i="21" a="1"/>
  <c r="AJ146" i="21" s="1"/>
  <c r="AK146" i="21" a="1"/>
  <c r="AK146" i="21" s="1"/>
  <c r="AL146" i="21" a="1"/>
  <c r="AL146" i="21" s="1"/>
  <c r="AM146" i="21" a="1"/>
  <c r="AM146" i="21" s="1"/>
  <c r="AN146" i="21" a="1"/>
  <c r="AN146" i="21" s="1"/>
  <c r="AO146" i="21" a="1"/>
  <c r="AO146" i="21" s="1"/>
  <c r="AP146" i="21" a="1"/>
  <c r="AP146" i="21" s="1"/>
  <c r="AQ146" i="21" a="1"/>
  <c r="AQ146" i="21" s="1"/>
  <c r="AR146" i="21" a="1"/>
  <c r="AR146" i="21" s="1"/>
  <c r="AS146" i="21" a="1"/>
  <c r="AS146" i="21" s="1"/>
  <c r="AT146" i="21" a="1"/>
  <c r="AT146" i="21" s="1"/>
  <c r="AU146" i="21" a="1"/>
  <c r="AU146" i="21" s="1"/>
  <c r="AV146" i="21" a="1"/>
  <c r="AV146" i="21" s="1"/>
  <c r="AW146" i="21" a="1"/>
  <c r="AW146" i="21" s="1"/>
  <c r="AX146" i="21" a="1"/>
  <c r="AX146" i="21" s="1"/>
  <c r="AY146" i="21" a="1"/>
  <c r="AY146" i="21" s="1"/>
  <c r="AZ146" i="21" a="1"/>
  <c r="AZ146" i="21" s="1"/>
  <c r="BA146" i="21" a="1"/>
  <c r="BA146" i="21" s="1"/>
  <c r="BB146" i="21" a="1"/>
  <c r="BB146" i="21" s="1"/>
  <c r="BC146" i="21" a="1"/>
  <c r="BC146" i="21" s="1"/>
  <c r="BD146" i="21" a="1"/>
  <c r="BD146" i="21" s="1"/>
  <c r="BE146" i="21" a="1"/>
  <c r="BE146" i="21" s="1"/>
  <c r="BF146" i="21" a="1"/>
  <c r="BF146" i="21" s="1"/>
  <c r="BG146" i="21" a="1"/>
  <c r="BG146" i="21" s="1"/>
  <c r="BH146" i="21" a="1"/>
  <c r="BH146" i="21" s="1"/>
  <c r="BI146" i="21" a="1"/>
  <c r="BI146" i="21" s="1"/>
  <c r="BJ146" i="21" a="1"/>
  <c r="BJ146" i="21" s="1"/>
  <c r="BK146" i="21" a="1"/>
  <c r="BK146" i="21" s="1"/>
  <c r="BL146" i="21" a="1"/>
  <c r="BL146" i="21" s="1"/>
  <c r="BM146" i="21" a="1"/>
  <c r="BM146" i="21" s="1"/>
  <c r="BN146" i="21" a="1"/>
  <c r="BN146" i="21" s="1"/>
  <c r="BO146" i="21" a="1"/>
  <c r="BO146" i="21" s="1"/>
  <c r="BP146" i="21" a="1"/>
  <c r="BP146" i="21" s="1"/>
  <c r="BQ146" i="21" a="1"/>
  <c r="BQ146" i="21" s="1"/>
  <c r="BR146" i="21" a="1"/>
  <c r="BR146" i="21" s="1"/>
  <c r="BS146" i="21" a="1"/>
  <c r="BS146" i="21" s="1"/>
  <c r="BT146" i="21" a="1"/>
  <c r="BT146" i="21" s="1"/>
  <c r="BU146" i="21" a="1"/>
  <c r="BU146" i="21" s="1"/>
  <c r="BV146" i="21" a="1"/>
  <c r="BV146" i="21" s="1"/>
  <c r="BW146" i="21" a="1"/>
  <c r="BW146" i="21" s="1"/>
  <c r="BX146" i="21" a="1"/>
  <c r="BX146" i="21" s="1"/>
  <c r="BY146" i="21" a="1"/>
  <c r="BY146" i="21" s="1"/>
  <c r="BZ146" i="21" a="1"/>
  <c r="BZ146" i="21" s="1"/>
  <c r="CA146" i="21" a="1"/>
  <c r="CA146" i="21" s="1"/>
  <c r="CB146" i="21" a="1"/>
  <c r="CB146" i="21" s="1"/>
  <c r="CC146" i="21" a="1"/>
  <c r="CC146" i="21" s="1"/>
  <c r="CD146" i="21" a="1"/>
  <c r="CD146" i="21" s="1"/>
  <c r="CE146" i="21" a="1"/>
  <c r="CE146" i="21" s="1"/>
  <c r="CF146" i="21" a="1"/>
  <c r="CF146" i="21" s="1"/>
  <c r="CG146" i="21" a="1"/>
  <c r="CG146" i="21" s="1"/>
  <c r="CH146" i="21" a="1"/>
  <c r="CH146" i="21" s="1"/>
  <c r="CI146" i="21" a="1"/>
  <c r="CI146" i="21" s="1"/>
  <c r="CJ146" i="21" a="1"/>
  <c r="CJ146" i="21" s="1"/>
  <c r="CK146" i="21" a="1"/>
  <c r="CK146" i="21" s="1"/>
  <c r="CL146" i="21" a="1"/>
  <c r="CL146" i="21" s="1"/>
  <c r="CM146" i="21" a="1"/>
  <c r="CM146" i="21" s="1"/>
  <c r="CN146" i="21" a="1"/>
  <c r="CN146" i="21" s="1"/>
  <c r="CO146" i="21" a="1"/>
  <c r="CO146" i="21" s="1"/>
  <c r="CP146" i="21" a="1"/>
  <c r="CP146" i="21" s="1"/>
  <c r="CQ146" i="21" a="1"/>
  <c r="CQ146" i="21" s="1"/>
  <c r="CR146" i="21" a="1"/>
  <c r="CR146" i="21" s="1"/>
  <c r="CS146" i="21" a="1"/>
  <c r="CS146" i="21" s="1"/>
  <c r="CT146" i="21" a="1"/>
  <c r="CT146" i="21" s="1"/>
  <c r="CU146" i="21" a="1"/>
  <c r="CU146" i="21" s="1"/>
  <c r="CV146" i="21" a="1"/>
  <c r="CV146" i="21" s="1"/>
  <c r="CW146" i="21" a="1"/>
  <c r="CW146" i="21" s="1"/>
  <c r="N67" i="21" a="1"/>
  <c r="N67" i="21" s="1"/>
  <c r="O67" i="21" a="1"/>
  <c r="O67" i="21" s="1"/>
  <c r="P67" i="21" a="1"/>
  <c r="P67" i="21" s="1"/>
  <c r="Q67" i="21" a="1"/>
  <c r="Q67" i="21" s="1"/>
  <c r="R67" i="21" a="1"/>
  <c r="R67" i="21" s="1"/>
  <c r="S67" i="21" a="1"/>
  <c r="S67" i="21" s="1"/>
  <c r="T67" i="21" a="1"/>
  <c r="T67" i="21" s="1"/>
  <c r="U67" i="21" a="1"/>
  <c r="U67" i="21" s="1"/>
  <c r="V67" i="21" a="1"/>
  <c r="V67" i="21" s="1"/>
  <c r="W67" i="21" a="1"/>
  <c r="W67" i="21" s="1"/>
  <c r="X67" i="21" a="1"/>
  <c r="X67" i="21" s="1"/>
  <c r="Y67" i="21" a="1"/>
  <c r="Y67" i="21" s="1"/>
  <c r="Z67" i="21" a="1"/>
  <c r="Z67" i="21" s="1"/>
  <c r="AA67" i="21" a="1"/>
  <c r="AA67" i="21" s="1"/>
  <c r="AB67" i="21" a="1"/>
  <c r="AB67" i="21" s="1"/>
  <c r="AC67" i="21" a="1"/>
  <c r="AC67" i="21" s="1"/>
  <c r="AD67" i="21" a="1"/>
  <c r="AD67" i="21" s="1"/>
  <c r="AE67" i="21" a="1"/>
  <c r="AE67" i="21" s="1"/>
  <c r="AF67" i="21" a="1"/>
  <c r="AF67" i="21" s="1"/>
  <c r="AG67" i="21" a="1"/>
  <c r="AG67" i="21" s="1"/>
  <c r="AH67" i="21" a="1"/>
  <c r="AH67" i="21" s="1"/>
  <c r="AI67" i="21" a="1"/>
  <c r="AI67" i="21" s="1"/>
  <c r="AJ67" i="21" a="1"/>
  <c r="AJ67" i="21" s="1"/>
  <c r="AK67" i="21" a="1"/>
  <c r="AK67" i="21" s="1"/>
  <c r="AL67" i="21" a="1"/>
  <c r="AL67" i="21" s="1"/>
  <c r="AM67" i="21" a="1"/>
  <c r="AM67" i="21" s="1"/>
  <c r="AN67" i="21" a="1"/>
  <c r="AN67" i="21" s="1"/>
  <c r="AO67" i="21" a="1"/>
  <c r="AO67" i="21" s="1"/>
  <c r="AP67" i="21" a="1"/>
  <c r="AP67" i="21" s="1"/>
  <c r="AQ67" i="21" a="1"/>
  <c r="AQ67" i="21" s="1"/>
  <c r="AR67" i="21" a="1"/>
  <c r="AR67" i="21" s="1"/>
  <c r="AS67" i="21" a="1"/>
  <c r="AS67" i="21" s="1"/>
  <c r="AT67" i="21" a="1"/>
  <c r="AT67" i="21" s="1"/>
  <c r="AU67" i="21" a="1"/>
  <c r="AU67" i="21" s="1"/>
  <c r="AV67" i="21" a="1"/>
  <c r="AV67" i="21" s="1"/>
  <c r="AW67" i="21" a="1"/>
  <c r="AW67" i="21" s="1"/>
  <c r="AX67" i="21" a="1"/>
  <c r="AX67" i="21" s="1"/>
  <c r="AY67" i="21" a="1"/>
  <c r="AY67" i="21" s="1"/>
  <c r="AZ67" i="21" a="1"/>
  <c r="AZ67" i="21" s="1"/>
  <c r="BA67" i="21" a="1"/>
  <c r="BA67" i="21" s="1"/>
  <c r="BB67" i="21" a="1"/>
  <c r="BB67" i="21" s="1"/>
  <c r="BC67" i="21" a="1"/>
  <c r="BC67" i="21" s="1"/>
  <c r="BD67" i="21" a="1"/>
  <c r="BD67" i="21" s="1"/>
  <c r="BE67" i="21" a="1"/>
  <c r="BE67" i="21" s="1"/>
  <c r="BF67" i="21" a="1"/>
  <c r="BF67" i="21" s="1"/>
  <c r="BG67" i="21" a="1"/>
  <c r="BG67" i="21" s="1"/>
  <c r="BH67" i="21" a="1"/>
  <c r="BH67" i="21" s="1"/>
  <c r="BI67" i="21" a="1"/>
  <c r="BI67" i="21" s="1"/>
  <c r="BJ67" i="21" a="1"/>
  <c r="BJ67" i="21" s="1"/>
  <c r="BK67" i="21" a="1"/>
  <c r="BK67" i="21" s="1"/>
  <c r="BL67" i="21" a="1"/>
  <c r="BL67" i="21" s="1"/>
  <c r="BM67" i="21" a="1"/>
  <c r="BM67" i="21" s="1"/>
  <c r="BN67" i="21" a="1"/>
  <c r="BN67" i="21" s="1"/>
  <c r="BO67" i="21" a="1"/>
  <c r="BO67" i="21" s="1"/>
  <c r="BP67" i="21" a="1"/>
  <c r="BP67" i="21" s="1"/>
  <c r="BQ67" i="21" a="1"/>
  <c r="BQ67" i="21" s="1"/>
  <c r="BR67" i="21" a="1"/>
  <c r="BR67" i="21" s="1"/>
  <c r="BS67" i="21" a="1"/>
  <c r="BS67" i="21" s="1"/>
  <c r="BT67" i="21" a="1"/>
  <c r="BT67" i="21" s="1"/>
  <c r="BU67" i="21" a="1"/>
  <c r="BU67" i="21" s="1"/>
  <c r="BV67" i="21" a="1"/>
  <c r="BV67" i="21" s="1"/>
  <c r="BW67" i="21" a="1"/>
  <c r="BW67" i="21" s="1"/>
  <c r="BX67" i="21" a="1"/>
  <c r="BX67" i="21" s="1"/>
  <c r="BY67" i="21" a="1"/>
  <c r="BY67" i="21" s="1"/>
  <c r="BZ67" i="21" a="1"/>
  <c r="BZ67" i="21" s="1"/>
  <c r="CA67" i="21" a="1"/>
  <c r="CA67" i="21" s="1"/>
  <c r="CB67" i="21" a="1"/>
  <c r="CB67" i="21" s="1"/>
  <c r="CC67" i="21" a="1"/>
  <c r="CC67" i="21" s="1"/>
  <c r="CD67" i="21" a="1"/>
  <c r="CD67" i="21" s="1"/>
  <c r="CE67" i="21" a="1"/>
  <c r="CE67" i="21" s="1"/>
  <c r="CF67" i="21" a="1"/>
  <c r="CF67" i="21" s="1"/>
  <c r="CG67" i="21" a="1"/>
  <c r="CG67" i="21" s="1"/>
  <c r="CH67" i="21" a="1"/>
  <c r="CH67" i="21" s="1"/>
  <c r="CI67" i="21" a="1"/>
  <c r="CI67" i="21" s="1"/>
  <c r="CJ67" i="21" a="1"/>
  <c r="CJ67" i="21" s="1"/>
  <c r="CK67" i="21" a="1"/>
  <c r="CK67" i="21" s="1"/>
  <c r="CL67" i="21" a="1"/>
  <c r="CL67" i="21" s="1"/>
  <c r="CM67" i="21" a="1"/>
  <c r="CM67" i="21" s="1"/>
  <c r="CN67" i="21" a="1"/>
  <c r="CN67" i="21" s="1"/>
  <c r="CO67" i="21" a="1"/>
  <c r="CO67" i="21" s="1"/>
  <c r="CP67" i="21" a="1"/>
  <c r="CP67" i="21" s="1"/>
  <c r="CQ67" i="21" a="1"/>
  <c r="CQ67" i="21" s="1"/>
  <c r="CR67" i="21" a="1"/>
  <c r="CR67" i="21" s="1"/>
  <c r="CS67" i="21" a="1"/>
  <c r="CS67" i="21" s="1"/>
  <c r="CT67" i="21" a="1"/>
  <c r="CT67" i="21" s="1"/>
  <c r="CU67" i="21" a="1"/>
  <c r="CU67" i="21" s="1"/>
  <c r="CV67" i="21" a="1"/>
  <c r="CV67" i="21" s="1"/>
  <c r="CW67" i="21" a="1"/>
  <c r="CW67" i="21" s="1"/>
  <c r="N68" i="21" a="1"/>
  <c r="N68" i="21" s="1"/>
  <c r="O68" i="21" a="1"/>
  <c r="O68" i="21" s="1"/>
  <c r="P68" i="21" a="1"/>
  <c r="P68" i="21" s="1"/>
  <c r="Q68" i="21" a="1"/>
  <c r="Q68" i="21" s="1"/>
  <c r="R68" i="21" a="1"/>
  <c r="R68" i="21" s="1"/>
  <c r="S68" i="21" a="1"/>
  <c r="S68" i="21" s="1"/>
  <c r="T68" i="21" a="1"/>
  <c r="T68" i="21" s="1"/>
  <c r="U68" i="21" a="1"/>
  <c r="U68" i="21" s="1"/>
  <c r="V68" i="21" a="1"/>
  <c r="V68" i="21" s="1"/>
  <c r="W68" i="21" a="1"/>
  <c r="W68" i="21" s="1"/>
  <c r="X68" i="21" a="1"/>
  <c r="X68" i="21" s="1"/>
  <c r="Y68" i="21" a="1"/>
  <c r="Y68" i="21" s="1"/>
  <c r="Z68" i="21" a="1"/>
  <c r="Z68" i="21" s="1"/>
  <c r="AA68" i="21" a="1"/>
  <c r="AA68" i="21" s="1"/>
  <c r="AB68" i="21" a="1"/>
  <c r="AB68" i="21" s="1"/>
  <c r="AC68" i="21" a="1"/>
  <c r="AC68" i="21" s="1"/>
  <c r="AD68" i="21" a="1"/>
  <c r="AD68" i="21" s="1"/>
  <c r="AE68" i="21" a="1"/>
  <c r="AE68" i="21" s="1"/>
  <c r="AF68" i="21" a="1"/>
  <c r="AF68" i="21" s="1"/>
  <c r="AG68" i="21" a="1"/>
  <c r="AG68" i="21" s="1"/>
  <c r="AH68" i="21" a="1"/>
  <c r="AH68" i="21" s="1"/>
  <c r="AI68" i="21" a="1"/>
  <c r="AI68" i="21" s="1"/>
  <c r="AJ68" i="21" a="1"/>
  <c r="AJ68" i="21" s="1"/>
  <c r="AK68" i="21" a="1"/>
  <c r="AK68" i="21" s="1"/>
  <c r="AL68" i="21" a="1"/>
  <c r="AL68" i="21" s="1"/>
  <c r="AM68" i="21" a="1"/>
  <c r="AM68" i="21" s="1"/>
  <c r="AN68" i="21" a="1"/>
  <c r="AN68" i="21" s="1"/>
  <c r="AO68" i="21" a="1"/>
  <c r="AO68" i="21" s="1"/>
  <c r="AP68" i="21" a="1"/>
  <c r="AP68" i="21" s="1"/>
  <c r="AQ68" i="21" a="1"/>
  <c r="AQ68" i="21" s="1"/>
  <c r="AR68" i="21" a="1"/>
  <c r="AR68" i="21" s="1"/>
  <c r="AS68" i="21" a="1"/>
  <c r="AS68" i="21" s="1"/>
  <c r="AT68" i="21" a="1"/>
  <c r="AT68" i="21" s="1"/>
  <c r="AU68" i="21" a="1"/>
  <c r="AU68" i="21" s="1"/>
  <c r="AV68" i="21" a="1"/>
  <c r="AV68" i="21" s="1"/>
  <c r="AW68" i="21" a="1"/>
  <c r="AW68" i="21" s="1"/>
  <c r="AX68" i="21" a="1"/>
  <c r="AX68" i="21" s="1"/>
  <c r="AY68" i="21" a="1"/>
  <c r="AY68" i="21" s="1"/>
  <c r="AZ68" i="21" a="1"/>
  <c r="AZ68" i="21" s="1"/>
  <c r="BA68" i="21" a="1"/>
  <c r="BA68" i="21" s="1"/>
  <c r="BB68" i="21" a="1"/>
  <c r="BB68" i="21" s="1"/>
  <c r="BC68" i="21" a="1"/>
  <c r="BC68" i="21" s="1"/>
  <c r="BD68" i="21" a="1"/>
  <c r="BD68" i="21" s="1"/>
  <c r="BE68" i="21" a="1"/>
  <c r="BE68" i="21" s="1"/>
  <c r="BF68" i="21" a="1"/>
  <c r="BF68" i="21" s="1"/>
  <c r="BG68" i="21" a="1"/>
  <c r="BG68" i="21" s="1"/>
  <c r="BH68" i="21" a="1"/>
  <c r="BH68" i="21" s="1"/>
  <c r="BI68" i="21" a="1"/>
  <c r="BI68" i="21" s="1"/>
  <c r="BJ68" i="21" a="1"/>
  <c r="BJ68" i="21" s="1"/>
  <c r="BK68" i="21" a="1"/>
  <c r="BK68" i="21" s="1"/>
  <c r="BL68" i="21" a="1"/>
  <c r="BL68" i="21" s="1"/>
  <c r="BM68" i="21" a="1"/>
  <c r="BM68" i="21" s="1"/>
  <c r="BN68" i="21" a="1"/>
  <c r="BN68" i="21" s="1"/>
  <c r="BO68" i="21" a="1"/>
  <c r="BO68" i="21" s="1"/>
  <c r="BP68" i="21" a="1"/>
  <c r="BP68" i="21" s="1"/>
  <c r="BQ68" i="21" a="1"/>
  <c r="BQ68" i="21" s="1"/>
  <c r="BR68" i="21" a="1"/>
  <c r="BR68" i="21" s="1"/>
  <c r="BS68" i="21" a="1"/>
  <c r="BS68" i="21" s="1"/>
  <c r="BT68" i="21" a="1"/>
  <c r="BT68" i="21" s="1"/>
  <c r="BU68" i="21" a="1"/>
  <c r="BU68" i="21" s="1"/>
  <c r="BV68" i="21" a="1"/>
  <c r="BV68" i="21" s="1"/>
  <c r="BW68" i="21" a="1"/>
  <c r="BW68" i="21" s="1"/>
  <c r="BX68" i="21" a="1"/>
  <c r="BX68" i="21" s="1"/>
  <c r="BY68" i="21" a="1"/>
  <c r="BY68" i="21" s="1"/>
  <c r="BZ68" i="21" a="1"/>
  <c r="BZ68" i="21" s="1"/>
  <c r="CA68" i="21" a="1"/>
  <c r="CA68" i="21" s="1"/>
  <c r="CB68" i="21" a="1"/>
  <c r="CB68" i="21" s="1"/>
  <c r="CC68" i="21" a="1"/>
  <c r="CC68" i="21" s="1"/>
  <c r="CD68" i="21" a="1"/>
  <c r="CD68" i="21" s="1"/>
  <c r="CE68" i="21" a="1"/>
  <c r="CE68" i="21" s="1"/>
  <c r="CF68" i="21" a="1"/>
  <c r="CF68" i="21" s="1"/>
  <c r="CG68" i="21" a="1"/>
  <c r="CG68" i="21" s="1"/>
  <c r="CH68" i="21" a="1"/>
  <c r="CH68" i="21" s="1"/>
  <c r="CI68" i="21" a="1"/>
  <c r="CI68" i="21" s="1"/>
  <c r="CJ68" i="21" a="1"/>
  <c r="CJ68" i="21" s="1"/>
  <c r="CK68" i="21" a="1"/>
  <c r="CK68" i="21" s="1"/>
  <c r="CL68" i="21" a="1"/>
  <c r="CL68" i="21" s="1"/>
  <c r="CM68" i="21" a="1"/>
  <c r="CM68" i="21" s="1"/>
  <c r="CN68" i="21" a="1"/>
  <c r="CN68" i="21" s="1"/>
  <c r="CO68" i="21" a="1"/>
  <c r="CO68" i="21" s="1"/>
  <c r="CP68" i="21" a="1"/>
  <c r="CP68" i="21" s="1"/>
  <c r="CQ68" i="21" a="1"/>
  <c r="CQ68" i="21" s="1"/>
  <c r="CR68" i="21" a="1"/>
  <c r="CR68" i="21" s="1"/>
  <c r="CS68" i="21" a="1"/>
  <c r="CS68" i="21" s="1"/>
  <c r="CT68" i="21" a="1"/>
  <c r="CT68" i="21" s="1"/>
  <c r="CU68" i="21" a="1"/>
  <c r="CU68" i="21" s="1"/>
  <c r="CV68" i="21" a="1"/>
  <c r="CV68" i="21" s="1"/>
  <c r="CW68" i="21" a="1"/>
  <c r="CW68" i="21" s="1"/>
  <c r="N69" i="21" a="1"/>
  <c r="N69" i="21" s="1"/>
  <c r="O69" i="21" a="1"/>
  <c r="O69" i="21" s="1"/>
  <c r="P69" i="21" a="1"/>
  <c r="P69" i="21" s="1"/>
  <c r="Q69" i="21" a="1"/>
  <c r="Q69" i="21" s="1"/>
  <c r="R69" i="21" a="1"/>
  <c r="R69" i="21" s="1"/>
  <c r="S69" i="21" a="1"/>
  <c r="S69" i="21" s="1"/>
  <c r="T69" i="21" a="1"/>
  <c r="T69" i="21" s="1"/>
  <c r="U69" i="21" a="1"/>
  <c r="U69" i="21" s="1"/>
  <c r="V69" i="21" a="1"/>
  <c r="V69" i="21" s="1"/>
  <c r="W69" i="21" a="1"/>
  <c r="W69" i="21" s="1"/>
  <c r="X69" i="21" a="1"/>
  <c r="X69" i="21" s="1"/>
  <c r="Y69" i="21" a="1"/>
  <c r="Y69" i="21" s="1"/>
  <c r="Z69" i="21" a="1"/>
  <c r="Z69" i="21" s="1"/>
  <c r="AA69" i="21" a="1"/>
  <c r="AA69" i="21" s="1"/>
  <c r="AB69" i="21" a="1"/>
  <c r="AB69" i="21" s="1"/>
  <c r="AC69" i="21" a="1"/>
  <c r="AC69" i="21" s="1"/>
  <c r="AD69" i="21" a="1"/>
  <c r="AD69" i="21" s="1"/>
  <c r="AE69" i="21" a="1"/>
  <c r="AE69" i="21" s="1"/>
  <c r="AF69" i="21" a="1"/>
  <c r="AF69" i="21" s="1"/>
  <c r="AG69" i="21" a="1"/>
  <c r="AG69" i="21" s="1"/>
  <c r="AH69" i="21" a="1"/>
  <c r="AH69" i="21" s="1"/>
  <c r="AI69" i="21" a="1"/>
  <c r="AI69" i="21" s="1"/>
  <c r="AJ69" i="21" a="1"/>
  <c r="AJ69" i="21" s="1"/>
  <c r="AK69" i="21" a="1"/>
  <c r="AK69" i="21" s="1"/>
  <c r="AL69" i="21" a="1"/>
  <c r="AL69" i="21" s="1"/>
  <c r="AM69" i="21" a="1"/>
  <c r="AM69" i="21" s="1"/>
  <c r="AN69" i="21" a="1"/>
  <c r="AN69" i="21" s="1"/>
  <c r="AO69" i="21" a="1"/>
  <c r="AO69" i="21" s="1"/>
  <c r="AP69" i="21" a="1"/>
  <c r="AP69" i="21" s="1"/>
  <c r="AQ69" i="21" a="1"/>
  <c r="AQ69" i="21" s="1"/>
  <c r="AR69" i="21" a="1"/>
  <c r="AR69" i="21" s="1"/>
  <c r="AS69" i="21" a="1"/>
  <c r="AS69" i="21" s="1"/>
  <c r="AT69" i="21" a="1"/>
  <c r="AT69" i="21" s="1"/>
  <c r="AU69" i="21" a="1"/>
  <c r="AU69" i="21" s="1"/>
  <c r="AV69" i="21" a="1"/>
  <c r="AV69" i="21" s="1"/>
  <c r="AW69" i="21" a="1"/>
  <c r="AW69" i="21" s="1"/>
  <c r="AX69" i="21" a="1"/>
  <c r="AX69" i="21" s="1"/>
  <c r="AY69" i="21" a="1"/>
  <c r="AY69" i="21" s="1"/>
  <c r="AZ69" i="21" a="1"/>
  <c r="AZ69" i="21" s="1"/>
  <c r="BA69" i="21" a="1"/>
  <c r="BA69" i="21" s="1"/>
  <c r="BB69" i="21" a="1"/>
  <c r="BB69" i="21" s="1"/>
  <c r="BC69" i="21" a="1"/>
  <c r="BC69" i="21" s="1"/>
  <c r="BD69" i="21" a="1"/>
  <c r="BD69" i="21" s="1"/>
  <c r="BE69" i="21" a="1"/>
  <c r="BE69" i="21" s="1"/>
  <c r="BF69" i="21" a="1"/>
  <c r="BF69" i="21" s="1"/>
  <c r="BG69" i="21" a="1"/>
  <c r="BG69" i="21" s="1"/>
  <c r="BH69" i="21" a="1"/>
  <c r="BH69" i="21" s="1"/>
  <c r="BI69" i="21" a="1"/>
  <c r="BI69" i="21" s="1"/>
  <c r="BJ69" i="21" a="1"/>
  <c r="BJ69" i="21" s="1"/>
  <c r="BK69" i="21" a="1"/>
  <c r="BK69" i="21" s="1"/>
  <c r="BL69" i="21" a="1"/>
  <c r="BL69" i="21" s="1"/>
  <c r="BM69" i="21" a="1"/>
  <c r="BM69" i="21" s="1"/>
  <c r="BN69" i="21" a="1"/>
  <c r="BN69" i="21" s="1"/>
  <c r="BO69" i="21" a="1"/>
  <c r="BO69" i="21" s="1"/>
  <c r="BP69" i="21" a="1"/>
  <c r="BP69" i="21" s="1"/>
  <c r="BQ69" i="21" a="1"/>
  <c r="BQ69" i="21" s="1"/>
  <c r="BR69" i="21" a="1"/>
  <c r="BR69" i="21" s="1"/>
  <c r="BS69" i="21" a="1"/>
  <c r="BS69" i="21" s="1"/>
  <c r="BT69" i="21" a="1"/>
  <c r="BT69" i="21" s="1"/>
  <c r="BU69" i="21" a="1"/>
  <c r="BU69" i="21" s="1"/>
  <c r="BV69" i="21" a="1"/>
  <c r="BV69" i="21" s="1"/>
  <c r="BW69" i="21" a="1"/>
  <c r="BW69" i="21" s="1"/>
  <c r="BX69" i="21" a="1"/>
  <c r="BX69" i="21" s="1"/>
  <c r="BY69" i="21" a="1"/>
  <c r="BY69" i="21" s="1"/>
  <c r="BZ69" i="21" a="1"/>
  <c r="BZ69" i="21" s="1"/>
  <c r="CA69" i="21" a="1"/>
  <c r="CA69" i="21" s="1"/>
  <c r="CB69" i="21" a="1"/>
  <c r="CB69" i="21" s="1"/>
  <c r="CC69" i="21" a="1"/>
  <c r="CC69" i="21" s="1"/>
  <c r="CD69" i="21" a="1"/>
  <c r="CD69" i="21" s="1"/>
  <c r="CE69" i="21" a="1"/>
  <c r="CE69" i="21" s="1"/>
  <c r="CF69" i="21" a="1"/>
  <c r="CF69" i="21" s="1"/>
  <c r="CG69" i="21" a="1"/>
  <c r="CG69" i="21" s="1"/>
  <c r="CH69" i="21" a="1"/>
  <c r="CH69" i="21" s="1"/>
  <c r="CI69" i="21" a="1"/>
  <c r="CI69" i="21" s="1"/>
  <c r="CJ69" i="21" a="1"/>
  <c r="CJ69" i="21" s="1"/>
  <c r="CK69" i="21" a="1"/>
  <c r="CK69" i="21" s="1"/>
  <c r="CL69" i="21" a="1"/>
  <c r="CL69" i="21" s="1"/>
  <c r="CM69" i="21" a="1"/>
  <c r="CM69" i="21" s="1"/>
  <c r="CN69" i="21" a="1"/>
  <c r="CN69" i="21" s="1"/>
  <c r="CO69" i="21" a="1"/>
  <c r="CO69" i="21" s="1"/>
  <c r="CP69" i="21" a="1"/>
  <c r="CP69" i="21" s="1"/>
  <c r="CQ69" i="21" a="1"/>
  <c r="CQ69" i="21" s="1"/>
  <c r="CR69" i="21" a="1"/>
  <c r="CR69" i="21" s="1"/>
  <c r="CS69" i="21" a="1"/>
  <c r="CS69" i="21" s="1"/>
  <c r="CT69" i="21" a="1"/>
  <c r="CT69" i="21" s="1"/>
  <c r="CU69" i="21" a="1"/>
  <c r="CU69" i="21" s="1"/>
  <c r="CV69" i="21" a="1"/>
  <c r="CV69" i="21" s="1"/>
  <c r="CW69" i="21" a="1"/>
  <c r="CW69" i="21" s="1"/>
  <c r="N70" i="21" a="1"/>
  <c r="N70" i="21" s="1"/>
  <c r="O70" i="21" a="1"/>
  <c r="O70" i="21" s="1"/>
  <c r="P70" i="21" a="1"/>
  <c r="P70" i="21" s="1"/>
  <c r="Q70" i="21" a="1"/>
  <c r="Q70" i="21" s="1"/>
  <c r="R70" i="21" a="1"/>
  <c r="R70" i="21" s="1"/>
  <c r="S70" i="21" a="1"/>
  <c r="S70" i="21" s="1"/>
  <c r="T70" i="21" a="1"/>
  <c r="T70" i="21" s="1"/>
  <c r="U70" i="21" a="1"/>
  <c r="U70" i="21" s="1"/>
  <c r="V70" i="21" a="1"/>
  <c r="V70" i="21" s="1"/>
  <c r="W70" i="21" a="1"/>
  <c r="W70" i="21" s="1"/>
  <c r="X70" i="21" a="1"/>
  <c r="X70" i="21" s="1"/>
  <c r="Y70" i="21" a="1"/>
  <c r="Y70" i="21" s="1"/>
  <c r="Z70" i="21" a="1"/>
  <c r="Z70" i="21" s="1"/>
  <c r="AA70" i="21" a="1"/>
  <c r="AA70" i="21" s="1"/>
  <c r="AB70" i="21" a="1"/>
  <c r="AB70" i="21" s="1"/>
  <c r="AC70" i="21" a="1"/>
  <c r="AC70" i="21" s="1"/>
  <c r="AD70" i="21" a="1"/>
  <c r="AD70" i="21" s="1"/>
  <c r="AE70" i="21" a="1"/>
  <c r="AE70" i="21" s="1"/>
  <c r="AF70" i="21" a="1"/>
  <c r="AF70" i="21" s="1"/>
  <c r="AG70" i="21" a="1"/>
  <c r="AG70" i="21" s="1"/>
  <c r="AH70" i="21" a="1"/>
  <c r="AH70" i="21" s="1"/>
  <c r="AI70" i="21" a="1"/>
  <c r="AI70" i="21" s="1"/>
  <c r="AJ70" i="21" a="1"/>
  <c r="AJ70" i="21" s="1"/>
  <c r="AK70" i="21" a="1"/>
  <c r="AK70" i="21" s="1"/>
  <c r="AL70" i="21" a="1"/>
  <c r="AL70" i="21" s="1"/>
  <c r="AM70" i="21" a="1"/>
  <c r="AM70" i="21" s="1"/>
  <c r="AN70" i="21" a="1"/>
  <c r="AN70" i="21" s="1"/>
  <c r="AO70" i="21" a="1"/>
  <c r="AO70" i="21" s="1"/>
  <c r="AP70" i="21" a="1"/>
  <c r="AP70" i="21" s="1"/>
  <c r="AQ70" i="21" a="1"/>
  <c r="AQ70" i="21" s="1"/>
  <c r="AR70" i="21" a="1"/>
  <c r="AR70" i="21" s="1"/>
  <c r="AS70" i="21" a="1"/>
  <c r="AS70" i="21" s="1"/>
  <c r="AT70" i="21" a="1"/>
  <c r="AT70" i="21" s="1"/>
  <c r="AU70" i="21" a="1"/>
  <c r="AU70" i="21" s="1"/>
  <c r="AV70" i="21" a="1"/>
  <c r="AV70" i="21" s="1"/>
  <c r="AW70" i="21" a="1"/>
  <c r="AW70" i="21" s="1"/>
  <c r="AX70" i="21" a="1"/>
  <c r="AX70" i="21" s="1"/>
  <c r="AY70" i="21" a="1"/>
  <c r="AY70" i="21" s="1"/>
  <c r="AZ70" i="21" a="1"/>
  <c r="AZ70" i="21" s="1"/>
  <c r="BA70" i="21" a="1"/>
  <c r="BA70" i="21" s="1"/>
  <c r="BB70" i="21" a="1"/>
  <c r="BB70" i="21" s="1"/>
  <c r="BC70" i="21" a="1"/>
  <c r="BC70" i="21" s="1"/>
  <c r="BD70" i="21" a="1"/>
  <c r="BD70" i="21" s="1"/>
  <c r="BE70" i="21" a="1"/>
  <c r="BE70" i="21" s="1"/>
  <c r="BF70" i="21" a="1"/>
  <c r="BF70" i="21" s="1"/>
  <c r="BG70" i="21" a="1"/>
  <c r="BG70" i="21" s="1"/>
  <c r="BH70" i="21" a="1"/>
  <c r="BH70" i="21" s="1"/>
  <c r="BI70" i="21" a="1"/>
  <c r="BI70" i="21" s="1"/>
  <c r="BJ70" i="21" a="1"/>
  <c r="BJ70" i="21" s="1"/>
  <c r="BK70" i="21" a="1"/>
  <c r="BK70" i="21" s="1"/>
  <c r="BL70" i="21" a="1"/>
  <c r="BL70" i="21" s="1"/>
  <c r="BM70" i="21" a="1"/>
  <c r="BM70" i="21" s="1"/>
  <c r="BN70" i="21" a="1"/>
  <c r="BN70" i="21" s="1"/>
  <c r="BO70" i="21" a="1"/>
  <c r="BO70" i="21" s="1"/>
  <c r="BP70" i="21" a="1"/>
  <c r="BP70" i="21" s="1"/>
  <c r="BQ70" i="21" a="1"/>
  <c r="BQ70" i="21" s="1"/>
  <c r="BR70" i="21" a="1"/>
  <c r="BR70" i="21" s="1"/>
  <c r="BS70" i="21" a="1"/>
  <c r="BS70" i="21" s="1"/>
  <c r="BT70" i="21" a="1"/>
  <c r="BT70" i="21" s="1"/>
  <c r="BU70" i="21" a="1"/>
  <c r="BU70" i="21" s="1"/>
  <c r="BV70" i="21" a="1"/>
  <c r="BV70" i="21" s="1"/>
  <c r="BW70" i="21" a="1"/>
  <c r="BW70" i="21" s="1"/>
  <c r="BX70" i="21" a="1"/>
  <c r="BX70" i="21" s="1"/>
  <c r="BY70" i="21" a="1"/>
  <c r="BY70" i="21" s="1"/>
  <c r="BZ70" i="21" a="1"/>
  <c r="BZ70" i="21" s="1"/>
  <c r="CA70" i="21" a="1"/>
  <c r="CA70" i="21" s="1"/>
  <c r="CB70" i="21" a="1"/>
  <c r="CB70" i="21" s="1"/>
  <c r="CC70" i="21" a="1"/>
  <c r="CC70" i="21" s="1"/>
  <c r="CD70" i="21" a="1"/>
  <c r="CD70" i="21" s="1"/>
  <c r="CE70" i="21" a="1"/>
  <c r="CE70" i="21" s="1"/>
  <c r="CF70" i="21" a="1"/>
  <c r="CF70" i="21" s="1"/>
  <c r="CG70" i="21" a="1"/>
  <c r="CG70" i="21" s="1"/>
  <c r="CH70" i="21" a="1"/>
  <c r="CH70" i="21" s="1"/>
  <c r="CI70" i="21" a="1"/>
  <c r="CI70" i="21" s="1"/>
  <c r="CJ70" i="21" a="1"/>
  <c r="CJ70" i="21" s="1"/>
  <c r="CK70" i="21" a="1"/>
  <c r="CK70" i="21" s="1"/>
  <c r="CL70" i="21" a="1"/>
  <c r="CL70" i="21" s="1"/>
  <c r="CM70" i="21" a="1"/>
  <c r="CM70" i="21" s="1"/>
  <c r="CN70" i="21" a="1"/>
  <c r="CN70" i="21" s="1"/>
  <c r="CO70" i="21" a="1"/>
  <c r="CO70" i="21" s="1"/>
  <c r="CP70" i="21" a="1"/>
  <c r="CP70" i="21" s="1"/>
  <c r="CQ70" i="21" a="1"/>
  <c r="CQ70" i="21" s="1"/>
  <c r="CR70" i="21" a="1"/>
  <c r="CR70" i="21" s="1"/>
  <c r="CS70" i="21" a="1"/>
  <c r="CS70" i="21" s="1"/>
  <c r="CT70" i="21" a="1"/>
  <c r="CT70" i="21" s="1"/>
  <c r="CU70" i="21" a="1"/>
  <c r="CU70" i="21" s="1"/>
  <c r="CV70" i="21" a="1"/>
  <c r="CV70" i="21" s="1"/>
  <c r="CW70" i="21" a="1"/>
  <c r="CW70" i="21" s="1"/>
  <c r="N71" i="21" a="1"/>
  <c r="N71" i="21" s="1"/>
  <c r="O71" i="21" a="1"/>
  <c r="O71" i="21" s="1"/>
  <c r="P71" i="21" a="1"/>
  <c r="P71" i="21" s="1"/>
  <c r="Q71" i="21" a="1"/>
  <c r="Q71" i="21" s="1"/>
  <c r="R71" i="21" a="1"/>
  <c r="R71" i="21" s="1"/>
  <c r="S71" i="21" a="1"/>
  <c r="S71" i="21" s="1"/>
  <c r="T71" i="21" a="1"/>
  <c r="T71" i="21" s="1"/>
  <c r="U71" i="21" a="1"/>
  <c r="U71" i="21" s="1"/>
  <c r="V71" i="21" a="1"/>
  <c r="V71" i="21" s="1"/>
  <c r="W71" i="21" a="1"/>
  <c r="W71" i="21" s="1"/>
  <c r="X71" i="21" a="1"/>
  <c r="X71" i="21" s="1"/>
  <c r="Y71" i="21" a="1"/>
  <c r="Y71" i="21" s="1"/>
  <c r="Z71" i="21" a="1"/>
  <c r="Z71" i="21" s="1"/>
  <c r="AA71" i="21" a="1"/>
  <c r="AA71" i="21" s="1"/>
  <c r="AB71" i="21" a="1"/>
  <c r="AB71" i="21" s="1"/>
  <c r="AC71" i="21" a="1"/>
  <c r="AC71" i="21" s="1"/>
  <c r="AD71" i="21" a="1"/>
  <c r="AD71" i="21" s="1"/>
  <c r="AE71" i="21" a="1"/>
  <c r="AE71" i="21" s="1"/>
  <c r="AF71" i="21" a="1"/>
  <c r="AF71" i="21" s="1"/>
  <c r="AG71" i="21" a="1"/>
  <c r="AG71" i="21" s="1"/>
  <c r="AH71" i="21" a="1"/>
  <c r="AH71" i="21" s="1"/>
  <c r="AI71" i="21" a="1"/>
  <c r="AI71" i="21" s="1"/>
  <c r="AJ71" i="21" a="1"/>
  <c r="AJ71" i="21" s="1"/>
  <c r="AK71" i="21" a="1"/>
  <c r="AK71" i="21" s="1"/>
  <c r="AL71" i="21" a="1"/>
  <c r="AL71" i="21" s="1"/>
  <c r="AM71" i="21" a="1"/>
  <c r="AM71" i="21" s="1"/>
  <c r="AN71" i="21" a="1"/>
  <c r="AN71" i="21" s="1"/>
  <c r="AO71" i="21" a="1"/>
  <c r="AO71" i="21" s="1"/>
  <c r="AP71" i="21" a="1"/>
  <c r="AP71" i="21" s="1"/>
  <c r="AQ71" i="21" a="1"/>
  <c r="AQ71" i="21" s="1"/>
  <c r="AR71" i="21" a="1"/>
  <c r="AR71" i="21" s="1"/>
  <c r="AS71" i="21" a="1"/>
  <c r="AS71" i="21" s="1"/>
  <c r="AT71" i="21" a="1"/>
  <c r="AT71" i="21" s="1"/>
  <c r="AU71" i="21" a="1"/>
  <c r="AU71" i="21" s="1"/>
  <c r="AV71" i="21" a="1"/>
  <c r="AV71" i="21" s="1"/>
  <c r="AW71" i="21" a="1"/>
  <c r="AW71" i="21" s="1"/>
  <c r="AX71" i="21" a="1"/>
  <c r="AX71" i="21" s="1"/>
  <c r="AY71" i="21" a="1"/>
  <c r="AY71" i="21" s="1"/>
  <c r="AZ71" i="21" a="1"/>
  <c r="AZ71" i="21" s="1"/>
  <c r="BA71" i="21" a="1"/>
  <c r="BA71" i="21" s="1"/>
  <c r="BB71" i="21" a="1"/>
  <c r="BB71" i="21" s="1"/>
  <c r="BC71" i="21" a="1"/>
  <c r="BC71" i="21" s="1"/>
  <c r="BD71" i="21" a="1"/>
  <c r="BD71" i="21" s="1"/>
  <c r="BE71" i="21" a="1"/>
  <c r="BE71" i="21" s="1"/>
  <c r="BF71" i="21" a="1"/>
  <c r="BF71" i="21" s="1"/>
  <c r="BG71" i="21" a="1"/>
  <c r="BG71" i="21" s="1"/>
  <c r="BH71" i="21" a="1"/>
  <c r="BH71" i="21" s="1"/>
  <c r="BI71" i="21" a="1"/>
  <c r="BI71" i="21" s="1"/>
  <c r="BJ71" i="21" a="1"/>
  <c r="BJ71" i="21" s="1"/>
  <c r="BK71" i="21" a="1"/>
  <c r="BK71" i="21" s="1"/>
  <c r="BL71" i="21" a="1"/>
  <c r="BL71" i="21" s="1"/>
  <c r="BM71" i="21" a="1"/>
  <c r="BM71" i="21" s="1"/>
  <c r="BN71" i="21" a="1"/>
  <c r="BN71" i="21" s="1"/>
  <c r="BO71" i="21" a="1"/>
  <c r="BO71" i="21" s="1"/>
  <c r="BP71" i="21" a="1"/>
  <c r="BP71" i="21" s="1"/>
  <c r="BQ71" i="21" a="1"/>
  <c r="BQ71" i="21" s="1"/>
  <c r="BR71" i="21" a="1"/>
  <c r="BR71" i="21" s="1"/>
  <c r="BS71" i="21" a="1"/>
  <c r="BS71" i="21" s="1"/>
  <c r="BT71" i="21" a="1"/>
  <c r="BT71" i="21" s="1"/>
  <c r="BU71" i="21" a="1"/>
  <c r="BU71" i="21" s="1"/>
  <c r="BV71" i="21" a="1"/>
  <c r="BV71" i="21" s="1"/>
  <c r="BW71" i="21" a="1"/>
  <c r="BW71" i="21" s="1"/>
  <c r="BX71" i="21" a="1"/>
  <c r="BX71" i="21" s="1"/>
  <c r="BY71" i="21" a="1"/>
  <c r="BY71" i="21" s="1"/>
  <c r="BZ71" i="21" a="1"/>
  <c r="BZ71" i="21" s="1"/>
  <c r="CA71" i="21" a="1"/>
  <c r="CA71" i="21" s="1"/>
  <c r="CB71" i="21" a="1"/>
  <c r="CB71" i="21" s="1"/>
  <c r="CC71" i="21" a="1"/>
  <c r="CC71" i="21" s="1"/>
  <c r="CD71" i="21" a="1"/>
  <c r="CD71" i="21" s="1"/>
  <c r="CE71" i="21" a="1"/>
  <c r="CE71" i="21" s="1"/>
  <c r="CF71" i="21" a="1"/>
  <c r="CF71" i="21" s="1"/>
  <c r="CG71" i="21" a="1"/>
  <c r="CG71" i="21" s="1"/>
  <c r="CH71" i="21" a="1"/>
  <c r="CH71" i="21" s="1"/>
  <c r="CI71" i="21" a="1"/>
  <c r="CI71" i="21" s="1"/>
  <c r="CJ71" i="21" a="1"/>
  <c r="CJ71" i="21" s="1"/>
  <c r="CK71" i="21" a="1"/>
  <c r="CK71" i="21" s="1"/>
  <c r="CL71" i="21" a="1"/>
  <c r="CL71" i="21" s="1"/>
  <c r="CM71" i="21" a="1"/>
  <c r="CM71" i="21" s="1"/>
  <c r="CN71" i="21" a="1"/>
  <c r="CN71" i="21" s="1"/>
  <c r="CO71" i="21" a="1"/>
  <c r="CO71" i="21" s="1"/>
  <c r="CP71" i="21" a="1"/>
  <c r="CP71" i="21" s="1"/>
  <c r="CQ71" i="21" a="1"/>
  <c r="CQ71" i="21" s="1"/>
  <c r="CR71" i="21" a="1"/>
  <c r="CR71" i="21" s="1"/>
  <c r="CS71" i="21" a="1"/>
  <c r="CS71" i="21" s="1"/>
  <c r="CT71" i="21" a="1"/>
  <c r="CT71" i="21" s="1"/>
  <c r="CU71" i="21" a="1"/>
  <c r="CU71" i="21" s="1"/>
  <c r="CV71" i="21" a="1"/>
  <c r="CV71" i="21" s="1"/>
  <c r="CW71" i="21" a="1"/>
  <c r="CW71" i="21" s="1"/>
  <c r="N72" i="21" a="1"/>
  <c r="N72" i="21" s="1"/>
  <c r="O72" i="21" a="1"/>
  <c r="O72" i="21" s="1"/>
  <c r="P72" i="21" a="1"/>
  <c r="P72" i="21" s="1"/>
  <c r="Q72" i="21" a="1"/>
  <c r="Q72" i="21" s="1"/>
  <c r="R72" i="21" a="1"/>
  <c r="R72" i="21" s="1"/>
  <c r="S72" i="21" a="1"/>
  <c r="S72" i="21" s="1"/>
  <c r="T72" i="21" a="1"/>
  <c r="T72" i="21" s="1"/>
  <c r="U72" i="21" a="1"/>
  <c r="U72" i="21" s="1"/>
  <c r="V72" i="21" a="1"/>
  <c r="V72" i="21" s="1"/>
  <c r="W72" i="21" a="1"/>
  <c r="W72" i="21" s="1"/>
  <c r="X72" i="21" a="1"/>
  <c r="X72" i="21" s="1"/>
  <c r="Y72" i="21" a="1"/>
  <c r="Y72" i="21" s="1"/>
  <c r="Z72" i="21" a="1"/>
  <c r="Z72" i="21" s="1"/>
  <c r="AA72" i="21" a="1"/>
  <c r="AA72" i="21" s="1"/>
  <c r="AB72" i="21" a="1"/>
  <c r="AB72" i="21" s="1"/>
  <c r="AC72" i="21" a="1"/>
  <c r="AC72" i="21" s="1"/>
  <c r="AD72" i="21" a="1"/>
  <c r="AD72" i="21" s="1"/>
  <c r="AE72" i="21" a="1"/>
  <c r="AE72" i="21" s="1"/>
  <c r="AF72" i="21" a="1"/>
  <c r="AF72" i="21" s="1"/>
  <c r="AG72" i="21" a="1"/>
  <c r="AG72" i="21" s="1"/>
  <c r="AH72" i="21" a="1"/>
  <c r="AH72" i="21" s="1"/>
  <c r="AI72" i="21" a="1"/>
  <c r="AI72" i="21" s="1"/>
  <c r="AJ72" i="21" a="1"/>
  <c r="AJ72" i="21" s="1"/>
  <c r="AK72" i="21" a="1"/>
  <c r="AK72" i="21" s="1"/>
  <c r="AL72" i="21" a="1"/>
  <c r="AL72" i="21" s="1"/>
  <c r="AM72" i="21" a="1"/>
  <c r="AM72" i="21" s="1"/>
  <c r="AN72" i="21" a="1"/>
  <c r="AN72" i="21" s="1"/>
  <c r="AO72" i="21" a="1"/>
  <c r="AO72" i="21" s="1"/>
  <c r="AP72" i="21" a="1"/>
  <c r="AP72" i="21" s="1"/>
  <c r="AQ72" i="21" a="1"/>
  <c r="AQ72" i="21" s="1"/>
  <c r="AR72" i="21" a="1"/>
  <c r="AR72" i="21" s="1"/>
  <c r="AS72" i="21" a="1"/>
  <c r="AS72" i="21" s="1"/>
  <c r="AT72" i="21" a="1"/>
  <c r="AT72" i="21" s="1"/>
  <c r="AU72" i="21" a="1"/>
  <c r="AU72" i="21" s="1"/>
  <c r="AV72" i="21" a="1"/>
  <c r="AV72" i="21" s="1"/>
  <c r="AW72" i="21" a="1"/>
  <c r="AW72" i="21" s="1"/>
  <c r="AX72" i="21" a="1"/>
  <c r="AX72" i="21" s="1"/>
  <c r="AY72" i="21" a="1"/>
  <c r="AY72" i="21" s="1"/>
  <c r="AZ72" i="21" a="1"/>
  <c r="AZ72" i="21" s="1"/>
  <c r="BA72" i="21" a="1"/>
  <c r="BA72" i="21" s="1"/>
  <c r="BB72" i="21" a="1"/>
  <c r="BB72" i="21" s="1"/>
  <c r="BC72" i="21" a="1"/>
  <c r="BC72" i="21" s="1"/>
  <c r="BD72" i="21" a="1"/>
  <c r="BD72" i="21" s="1"/>
  <c r="BE72" i="21" a="1"/>
  <c r="BE72" i="21" s="1"/>
  <c r="BF72" i="21" a="1"/>
  <c r="BF72" i="21" s="1"/>
  <c r="BG72" i="21" a="1"/>
  <c r="BG72" i="21" s="1"/>
  <c r="BH72" i="21" a="1"/>
  <c r="BH72" i="21" s="1"/>
  <c r="BI72" i="21" a="1"/>
  <c r="BI72" i="21" s="1"/>
  <c r="BJ72" i="21" a="1"/>
  <c r="BJ72" i="21" s="1"/>
  <c r="BK72" i="21" a="1"/>
  <c r="BK72" i="21" s="1"/>
  <c r="BL72" i="21" a="1"/>
  <c r="BL72" i="21" s="1"/>
  <c r="BM72" i="21" a="1"/>
  <c r="BM72" i="21" s="1"/>
  <c r="BN72" i="21" a="1"/>
  <c r="BN72" i="21" s="1"/>
  <c r="BO72" i="21" a="1"/>
  <c r="BO72" i="21" s="1"/>
  <c r="BP72" i="21" a="1"/>
  <c r="BP72" i="21" s="1"/>
  <c r="BQ72" i="21" a="1"/>
  <c r="BQ72" i="21" s="1"/>
  <c r="BR72" i="21" a="1"/>
  <c r="BR72" i="21" s="1"/>
  <c r="BS72" i="21" a="1"/>
  <c r="BS72" i="21" s="1"/>
  <c r="BT72" i="21" a="1"/>
  <c r="BT72" i="21" s="1"/>
  <c r="BU72" i="21" a="1"/>
  <c r="BU72" i="21" s="1"/>
  <c r="BV72" i="21" a="1"/>
  <c r="BV72" i="21" s="1"/>
  <c r="BW72" i="21" a="1"/>
  <c r="BW72" i="21" s="1"/>
  <c r="BX72" i="21" a="1"/>
  <c r="BX72" i="21" s="1"/>
  <c r="BY72" i="21" a="1"/>
  <c r="BY72" i="21" s="1"/>
  <c r="BZ72" i="21" a="1"/>
  <c r="BZ72" i="21" s="1"/>
  <c r="CA72" i="21" a="1"/>
  <c r="CA72" i="21" s="1"/>
  <c r="CB72" i="21" a="1"/>
  <c r="CB72" i="21" s="1"/>
  <c r="CC72" i="21" a="1"/>
  <c r="CC72" i="21" s="1"/>
  <c r="CD72" i="21" a="1"/>
  <c r="CD72" i="21" s="1"/>
  <c r="CE72" i="21" a="1"/>
  <c r="CE72" i="21" s="1"/>
  <c r="CF72" i="21" a="1"/>
  <c r="CF72" i="21" s="1"/>
  <c r="CG72" i="21" a="1"/>
  <c r="CG72" i="21" s="1"/>
  <c r="CH72" i="21" a="1"/>
  <c r="CH72" i="21" s="1"/>
  <c r="CI72" i="21" a="1"/>
  <c r="CI72" i="21" s="1"/>
  <c r="CJ72" i="21" a="1"/>
  <c r="CJ72" i="21" s="1"/>
  <c r="CK72" i="21" a="1"/>
  <c r="CK72" i="21" s="1"/>
  <c r="CL72" i="21" a="1"/>
  <c r="CL72" i="21" s="1"/>
  <c r="CM72" i="21" a="1"/>
  <c r="CM72" i="21" s="1"/>
  <c r="CN72" i="21" a="1"/>
  <c r="CN72" i="21" s="1"/>
  <c r="CO72" i="21" a="1"/>
  <c r="CO72" i="21" s="1"/>
  <c r="CP72" i="21" a="1"/>
  <c r="CP72" i="21" s="1"/>
  <c r="CQ72" i="21" a="1"/>
  <c r="CQ72" i="21" s="1"/>
  <c r="CR72" i="21" a="1"/>
  <c r="CR72" i="21" s="1"/>
  <c r="CS72" i="21" a="1"/>
  <c r="CS72" i="21" s="1"/>
  <c r="CT72" i="21" a="1"/>
  <c r="CT72" i="21" s="1"/>
  <c r="CU72" i="21" a="1"/>
  <c r="CU72" i="21" s="1"/>
  <c r="CV72" i="21" a="1"/>
  <c r="CV72" i="21" s="1"/>
  <c r="CW72" i="21" a="1"/>
  <c r="CW72" i="21" s="1"/>
  <c r="N73" i="21" a="1"/>
  <c r="N73" i="21" s="1"/>
  <c r="O73" i="21" a="1"/>
  <c r="O73" i="21" s="1"/>
  <c r="P73" i="21" a="1"/>
  <c r="P73" i="21" s="1"/>
  <c r="Q73" i="21" a="1"/>
  <c r="Q73" i="21" s="1"/>
  <c r="R73" i="21" a="1"/>
  <c r="R73" i="21" s="1"/>
  <c r="S73" i="21" a="1"/>
  <c r="S73" i="21" s="1"/>
  <c r="T73" i="21" a="1"/>
  <c r="T73" i="21" s="1"/>
  <c r="U73" i="21" a="1"/>
  <c r="U73" i="21" s="1"/>
  <c r="V73" i="21" a="1"/>
  <c r="V73" i="21" s="1"/>
  <c r="W73" i="21" a="1"/>
  <c r="W73" i="21" s="1"/>
  <c r="X73" i="21" a="1"/>
  <c r="X73" i="21" s="1"/>
  <c r="Y73" i="21" a="1"/>
  <c r="Y73" i="21" s="1"/>
  <c r="Z73" i="21" a="1"/>
  <c r="Z73" i="21" s="1"/>
  <c r="AA73" i="21" a="1"/>
  <c r="AA73" i="21" s="1"/>
  <c r="AB73" i="21" a="1"/>
  <c r="AB73" i="21" s="1"/>
  <c r="AC73" i="21" a="1"/>
  <c r="AC73" i="21" s="1"/>
  <c r="AD73" i="21" a="1"/>
  <c r="AD73" i="21" s="1"/>
  <c r="AE73" i="21" a="1"/>
  <c r="AE73" i="21" s="1"/>
  <c r="AF73" i="21" a="1"/>
  <c r="AF73" i="21" s="1"/>
  <c r="AG73" i="21" a="1"/>
  <c r="AG73" i="21" s="1"/>
  <c r="AH73" i="21" a="1"/>
  <c r="AH73" i="21" s="1"/>
  <c r="AI73" i="21" a="1"/>
  <c r="AI73" i="21" s="1"/>
  <c r="AJ73" i="21" a="1"/>
  <c r="AJ73" i="21" s="1"/>
  <c r="AK73" i="21" a="1"/>
  <c r="AK73" i="21" s="1"/>
  <c r="AL73" i="21" a="1"/>
  <c r="AL73" i="21" s="1"/>
  <c r="AM73" i="21" a="1"/>
  <c r="AM73" i="21" s="1"/>
  <c r="AN73" i="21" a="1"/>
  <c r="AN73" i="21" s="1"/>
  <c r="AO73" i="21" a="1"/>
  <c r="AO73" i="21" s="1"/>
  <c r="AP73" i="21" a="1"/>
  <c r="AP73" i="21" s="1"/>
  <c r="AQ73" i="21" a="1"/>
  <c r="AQ73" i="21" s="1"/>
  <c r="AR73" i="21" a="1"/>
  <c r="AR73" i="21" s="1"/>
  <c r="AS73" i="21" a="1"/>
  <c r="AS73" i="21" s="1"/>
  <c r="AT73" i="21" a="1"/>
  <c r="AT73" i="21" s="1"/>
  <c r="AU73" i="21" a="1"/>
  <c r="AU73" i="21" s="1"/>
  <c r="AV73" i="21" a="1"/>
  <c r="AV73" i="21" s="1"/>
  <c r="AW73" i="21" a="1"/>
  <c r="AW73" i="21" s="1"/>
  <c r="AX73" i="21" a="1"/>
  <c r="AX73" i="21" s="1"/>
  <c r="AY73" i="21" a="1"/>
  <c r="AY73" i="21" s="1"/>
  <c r="AZ73" i="21" a="1"/>
  <c r="AZ73" i="21" s="1"/>
  <c r="BA73" i="21" a="1"/>
  <c r="BA73" i="21" s="1"/>
  <c r="BB73" i="21" a="1"/>
  <c r="BB73" i="21" s="1"/>
  <c r="BC73" i="21" a="1"/>
  <c r="BC73" i="21" s="1"/>
  <c r="BD73" i="21" a="1"/>
  <c r="BD73" i="21" s="1"/>
  <c r="BE73" i="21" a="1"/>
  <c r="BE73" i="21" s="1"/>
  <c r="BF73" i="21" a="1"/>
  <c r="BF73" i="21" s="1"/>
  <c r="BG73" i="21" a="1"/>
  <c r="BG73" i="21" s="1"/>
  <c r="BH73" i="21" a="1"/>
  <c r="BH73" i="21" s="1"/>
  <c r="BI73" i="21" a="1"/>
  <c r="BI73" i="21" s="1"/>
  <c r="BJ73" i="21" a="1"/>
  <c r="BJ73" i="21" s="1"/>
  <c r="BK73" i="21" a="1"/>
  <c r="BK73" i="21" s="1"/>
  <c r="BL73" i="21" a="1"/>
  <c r="BL73" i="21" s="1"/>
  <c r="BM73" i="21" a="1"/>
  <c r="BM73" i="21" s="1"/>
  <c r="BN73" i="21" a="1"/>
  <c r="BN73" i="21" s="1"/>
  <c r="BO73" i="21" a="1"/>
  <c r="BO73" i="21" s="1"/>
  <c r="BP73" i="21" a="1"/>
  <c r="BP73" i="21" s="1"/>
  <c r="BQ73" i="21" a="1"/>
  <c r="BQ73" i="21" s="1"/>
  <c r="BR73" i="21" a="1"/>
  <c r="BR73" i="21" s="1"/>
  <c r="BS73" i="21" a="1"/>
  <c r="BS73" i="21" s="1"/>
  <c r="BT73" i="21" a="1"/>
  <c r="BT73" i="21" s="1"/>
  <c r="BU73" i="21" a="1"/>
  <c r="BU73" i="21" s="1"/>
  <c r="BV73" i="21" a="1"/>
  <c r="BV73" i="21" s="1"/>
  <c r="BW73" i="21" a="1"/>
  <c r="BW73" i="21" s="1"/>
  <c r="BX73" i="21" a="1"/>
  <c r="BX73" i="21" s="1"/>
  <c r="BY73" i="21" a="1"/>
  <c r="BY73" i="21" s="1"/>
  <c r="BZ73" i="21" a="1"/>
  <c r="BZ73" i="21" s="1"/>
  <c r="CA73" i="21" a="1"/>
  <c r="CA73" i="21" s="1"/>
  <c r="CB73" i="21" a="1"/>
  <c r="CB73" i="21" s="1"/>
  <c r="CC73" i="21" a="1"/>
  <c r="CC73" i="21" s="1"/>
  <c r="CD73" i="21" a="1"/>
  <c r="CD73" i="21" s="1"/>
  <c r="CE73" i="21" a="1"/>
  <c r="CE73" i="21" s="1"/>
  <c r="CF73" i="21" a="1"/>
  <c r="CF73" i="21" s="1"/>
  <c r="CG73" i="21" a="1"/>
  <c r="CG73" i="21" s="1"/>
  <c r="CH73" i="21" a="1"/>
  <c r="CH73" i="21" s="1"/>
  <c r="CI73" i="21" a="1"/>
  <c r="CI73" i="21" s="1"/>
  <c r="CJ73" i="21" a="1"/>
  <c r="CJ73" i="21" s="1"/>
  <c r="CK73" i="21" a="1"/>
  <c r="CK73" i="21" s="1"/>
  <c r="CL73" i="21" a="1"/>
  <c r="CL73" i="21" s="1"/>
  <c r="CM73" i="21" a="1"/>
  <c r="CM73" i="21" s="1"/>
  <c r="CN73" i="21" a="1"/>
  <c r="CN73" i="21" s="1"/>
  <c r="CO73" i="21" a="1"/>
  <c r="CO73" i="21" s="1"/>
  <c r="CP73" i="21" a="1"/>
  <c r="CP73" i="21" s="1"/>
  <c r="CQ73" i="21" a="1"/>
  <c r="CQ73" i="21" s="1"/>
  <c r="CR73" i="21" a="1"/>
  <c r="CR73" i="21" s="1"/>
  <c r="CS73" i="21" a="1"/>
  <c r="CS73" i="21" s="1"/>
  <c r="CT73" i="21" a="1"/>
  <c r="CT73" i="21" s="1"/>
  <c r="CU73" i="21" a="1"/>
  <c r="CU73" i="21" s="1"/>
  <c r="CV73" i="21" a="1"/>
  <c r="CV73" i="21" s="1"/>
  <c r="CW73" i="21" a="1"/>
  <c r="CW73" i="21" s="1"/>
  <c r="N74" i="21" a="1"/>
  <c r="N74" i="21" s="1"/>
  <c r="O74" i="21" a="1"/>
  <c r="O74" i="21" s="1"/>
  <c r="P74" i="21" a="1"/>
  <c r="P74" i="21" s="1"/>
  <c r="Q74" i="21" a="1"/>
  <c r="Q74" i="21" s="1"/>
  <c r="R74" i="21" a="1"/>
  <c r="R74" i="21" s="1"/>
  <c r="S74" i="21" a="1"/>
  <c r="S74" i="21" s="1"/>
  <c r="T74" i="21" a="1"/>
  <c r="T74" i="21" s="1"/>
  <c r="U74" i="21" a="1"/>
  <c r="U74" i="21" s="1"/>
  <c r="V74" i="21" a="1"/>
  <c r="V74" i="21" s="1"/>
  <c r="W74" i="21" a="1"/>
  <c r="W74" i="21" s="1"/>
  <c r="X74" i="21" a="1"/>
  <c r="X74" i="21" s="1"/>
  <c r="Y74" i="21" a="1"/>
  <c r="Y74" i="21" s="1"/>
  <c r="Z74" i="21" a="1"/>
  <c r="Z74" i="21" s="1"/>
  <c r="AA74" i="21" a="1"/>
  <c r="AA74" i="21" s="1"/>
  <c r="AB74" i="21" a="1"/>
  <c r="AB74" i="21" s="1"/>
  <c r="AC74" i="21" a="1"/>
  <c r="AC74" i="21" s="1"/>
  <c r="AD74" i="21" a="1"/>
  <c r="AD74" i="21" s="1"/>
  <c r="AE74" i="21" a="1"/>
  <c r="AE74" i="21" s="1"/>
  <c r="AF74" i="21" a="1"/>
  <c r="AF74" i="21" s="1"/>
  <c r="AG74" i="21" a="1"/>
  <c r="AG74" i="21" s="1"/>
  <c r="AH74" i="21" a="1"/>
  <c r="AH74" i="21" s="1"/>
  <c r="AI74" i="21" a="1"/>
  <c r="AI74" i="21" s="1"/>
  <c r="AJ74" i="21" a="1"/>
  <c r="AJ74" i="21" s="1"/>
  <c r="AK74" i="21" a="1"/>
  <c r="AK74" i="21" s="1"/>
  <c r="AL74" i="21" a="1"/>
  <c r="AL74" i="21" s="1"/>
  <c r="AM74" i="21" a="1"/>
  <c r="AM74" i="21" s="1"/>
  <c r="AN74" i="21" a="1"/>
  <c r="AN74" i="21" s="1"/>
  <c r="AO74" i="21" a="1"/>
  <c r="AO74" i="21" s="1"/>
  <c r="AP74" i="21" a="1"/>
  <c r="AP74" i="21" s="1"/>
  <c r="AQ74" i="21" a="1"/>
  <c r="AQ74" i="21" s="1"/>
  <c r="AR74" i="21" a="1"/>
  <c r="AR74" i="21" s="1"/>
  <c r="AS74" i="21" a="1"/>
  <c r="AS74" i="21" s="1"/>
  <c r="AT74" i="21" a="1"/>
  <c r="AT74" i="21" s="1"/>
  <c r="AU74" i="21" a="1"/>
  <c r="AU74" i="21" s="1"/>
  <c r="AV74" i="21" a="1"/>
  <c r="AV74" i="21" s="1"/>
  <c r="AW74" i="21" a="1"/>
  <c r="AW74" i="21" s="1"/>
  <c r="AX74" i="21" a="1"/>
  <c r="AX74" i="21" s="1"/>
  <c r="AY74" i="21" a="1"/>
  <c r="AY74" i="21" s="1"/>
  <c r="AZ74" i="21" a="1"/>
  <c r="AZ74" i="21" s="1"/>
  <c r="BA74" i="21" a="1"/>
  <c r="BA74" i="21" s="1"/>
  <c r="BB74" i="21" a="1"/>
  <c r="BB74" i="21" s="1"/>
  <c r="BC74" i="21" a="1"/>
  <c r="BC74" i="21" s="1"/>
  <c r="BD74" i="21" a="1"/>
  <c r="BD74" i="21" s="1"/>
  <c r="BE74" i="21" a="1"/>
  <c r="BE74" i="21" s="1"/>
  <c r="BF74" i="21" a="1"/>
  <c r="BF74" i="21" s="1"/>
  <c r="BG74" i="21" a="1"/>
  <c r="BG74" i="21" s="1"/>
  <c r="BH74" i="21" a="1"/>
  <c r="BH74" i="21" s="1"/>
  <c r="BI74" i="21" a="1"/>
  <c r="BI74" i="21" s="1"/>
  <c r="BJ74" i="21" a="1"/>
  <c r="BJ74" i="21" s="1"/>
  <c r="BK74" i="21" a="1"/>
  <c r="BK74" i="21" s="1"/>
  <c r="BL74" i="21" a="1"/>
  <c r="BL74" i="21" s="1"/>
  <c r="BM74" i="21" a="1"/>
  <c r="BM74" i="21" s="1"/>
  <c r="BN74" i="21" a="1"/>
  <c r="BN74" i="21" s="1"/>
  <c r="BO74" i="21" a="1"/>
  <c r="BO74" i="21" s="1"/>
  <c r="BP74" i="21" a="1"/>
  <c r="BP74" i="21" s="1"/>
  <c r="BQ74" i="21" a="1"/>
  <c r="BQ74" i="21" s="1"/>
  <c r="BR74" i="21" a="1"/>
  <c r="BR74" i="21" s="1"/>
  <c r="BS74" i="21" a="1"/>
  <c r="BS74" i="21" s="1"/>
  <c r="BT74" i="21" a="1"/>
  <c r="BT74" i="21" s="1"/>
  <c r="BU74" i="21" a="1"/>
  <c r="BU74" i="21" s="1"/>
  <c r="BV74" i="21" a="1"/>
  <c r="BV74" i="21" s="1"/>
  <c r="BW74" i="21" a="1"/>
  <c r="BW74" i="21" s="1"/>
  <c r="BX74" i="21" a="1"/>
  <c r="BX74" i="21" s="1"/>
  <c r="BY74" i="21" a="1"/>
  <c r="BY74" i="21" s="1"/>
  <c r="BZ74" i="21" a="1"/>
  <c r="BZ74" i="21" s="1"/>
  <c r="CA74" i="21" a="1"/>
  <c r="CA74" i="21" s="1"/>
  <c r="CB74" i="21" a="1"/>
  <c r="CB74" i="21" s="1"/>
  <c r="CC74" i="21" a="1"/>
  <c r="CC74" i="21" s="1"/>
  <c r="CD74" i="21" a="1"/>
  <c r="CD74" i="21" s="1"/>
  <c r="CE74" i="21" a="1"/>
  <c r="CE74" i="21" s="1"/>
  <c r="CF74" i="21" a="1"/>
  <c r="CF74" i="21" s="1"/>
  <c r="CG74" i="21" a="1"/>
  <c r="CG74" i="21" s="1"/>
  <c r="CH74" i="21" a="1"/>
  <c r="CH74" i="21" s="1"/>
  <c r="CI74" i="21" a="1"/>
  <c r="CI74" i="21" s="1"/>
  <c r="CJ74" i="21" a="1"/>
  <c r="CJ74" i="21" s="1"/>
  <c r="CK74" i="21" a="1"/>
  <c r="CK74" i="21" s="1"/>
  <c r="CL74" i="21" a="1"/>
  <c r="CL74" i="21" s="1"/>
  <c r="CM74" i="21" a="1"/>
  <c r="CM74" i="21" s="1"/>
  <c r="CN74" i="21" a="1"/>
  <c r="CN74" i="21" s="1"/>
  <c r="CO74" i="21" a="1"/>
  <c r="CO74" i="21" s="1"/>
  <c r="CP74" i="21" a="1"/>
  <c r="CP74" i="21" s="1"/>
  <c r="CQ74" i="21" a="1"/>
  <c r="CQ74" i="21" s="1"/>
  <c r="CR74" i="21" a="1"/>
  <c r="CR74" i="21" s="1"/>
  <c r="CS74" i="21" a="1"/>
  <c r="CS74" i="21" s="1"/>
  <c r="CT74" i="21" a="1"/>
  <c r="CT74" i="21" s="1"/>
  <c r="CU74" i="21" a="1"/>
  <c r="CU74" i="21" s="1"/>
  <c r="CV74" i="21" a="1"/>
  <c r="CV74" i="21" s="1"/>
  <c r="CW74" i="21" a="1"/>
  <c r="CW74" i="21" s="1"/>
  <c r="N75" i="21" a="1"/>
  <c r="N75" i="21" s="1"/>
  <c r="O75" i="21" a="1"/>
  <c r="O75" i="21" s="1"/>
  <c r="P75" i="21" a="1"/>
  <c r="P75" i="21" s="1"/>
  <c r="Q75" i="21" a="1"/>
  <c r="Q75" i="21" s="1"/>
  <c r="R75" i="21" a="1"/>
  <c r="R75" i="21" s="1"/>
  <c r="S75" i="21" a="1"/>
  <c r="S75" i="21" s="1"/>
  <c r="T75" i="21" a="1"/>
  <c r="T75" i="21" s="1"/>
  <c r="U75" i="21" a="1"/>
  <c r="U75" i="21" s="1"/>
  <c r="V75" i="21" a="1"/>
  <c r="V75" i="21" s="1"/>
  <c r="W75" i="21" a="1"/>
  <c r="W75" i="21" s="1"/>
  <c r="X75" i="21" a="1"/>
  <c r="X75" i="21" s="1"/>
  <c r="Y75" i="21" a="1"/>
  <c r="Y75" i="21" s="1"/>
  <c r="Z75" i="21" a="1"/>
  <c r="Z75" i="21" s="1"/>
  <c r="AA75" i="21" a="1"/>
  <c r="AA75" i="21" s="1"/>
  <c r="AB75" i="21" a="1"/>
  <c r="AB75" i="21" s="1"/>
  <c r="AC75" i="21" a="1"/>
  <c r="AC75" i="21" s="1"/>
  <c r="AD75" i="21" a="1"/>
  <c r="AD75" i="21" s="1"/>
  <c r="AE75" i="21" a="1"/>
  <c r="AE75" i="21" s="1"/>
  <c r="AF75" i="21" a="1"/>
  <c r="AF75" i="21" s="1"/>
  <c r="AG75" i="21" a="1"/>
  <c r="AG75" i="21" s="1"/>
  <c r="AH75" i="21" a="1"/>
  <c r="AH75" i="21" s="1"/>
  <c r="AI75" i="21" a="1"/>
  <c r="AI75" i="21" s="1"/>
  <c r="AJ75" i="21" a="1"/>
  <c r="AJ75" i="21" s="1"/>
  <c r="AK75" i="21" a="1"/>
  <c r="AK75" i="21" s="1"/>
  <c r="AL75" i="21" a="1"/>
  <c r="AL75" i="21" s="1"/>
  <c r="AM75" i="21" a="1"/>
  <c r="AM75" i="21" s="1"/>
  <c r="AN75" i="21" a="1"/>
  <c r="AN75" i="21" s="1"/>
  <c r="AO75" i="21" a="1"/>
  <c r="AO75" i="21" s="1"/>
  <c r="AP75" i="21" a="1"/>
  <c r="AP75" i="21" s="1"/>
  <c r="AQ75" i="21" a="1"/>
  <c r="AQ75" i="21" s="1"/>
  <c r="AR75" i="21" a="1"/>
  <c r="AR75" i="21" s="1"/>
  <c r="AS75" i="21" a="1"/>
  <c r="AS75" i="21" s="1"/>
  <c r="AT75" i="21" a="1"/>
  <c r="AT75" i="21" s="1"/>
  <c r="AU75" i="21" a="1"/>
  <c r="AU75" i="21" s="1"/>
  <c r="AV75" i="21" a="1"/>
  <c r="AV75" i="21" s="1"/>
  <c r="AW75" i="21" a="1"/>
  <c r="AW75" i="21" s="1"/>
  <c r="AX75" i="21" a="1"/>
  <c r="AX75" i="21" s="1"/>
  <c r="AY75" i="21" a="1"/>
  <c r="AY75" i="21" s="1"/>
  <c r="AZ75" i="21" a="1"/>
  <c r="AZ75" i="21" s="1"/>
  <c r="BA75" i="21" a="1"/>
  <c r="BA75" i="21" s="1"/>
  <c r="BB75" i="21" a="1"/>
  <c r="BB75" i="21" s="1"/>
  <c r="BC75" i="21" a="1"/>
  <c r="BC75" i="21" s="1"/>
  <c r="BD75" i="21" a="1"/>
  <c r="BD75" i="21" s="1"/>
  <c r="BE75" i="21" a="1"/>
  <c r="BE75" i="21" s="1"/>
  <c r="BF75" i="21" a="1"/>
  <c r="BF75" i="21" s="1"/>
  <c r="BG75" i="21" a="1"/>
  <c r="BG75" i="21" s="1"/>
  <c r="BH75" i="21" a="1"/>
  <c r="BH75" i="21" s="1"/>
  <c r="BI75" i="21" a="1"/>
  <c r="BI75" i="21" s="1"/>
  <c r="BJ75" i="21" a="1"/>
  <c r="BJ75" i="21" s="1"/>
  <c r="BK75" i="21" a="1"/>
  <c r="BK75" i="21" s="1"/>
  <c r="BL75" i="21" a="1"/>
  <c r="BL75" i="21" s="1"/>
  <c r="BM75" i="21" a="1"/>
  <c r="BM75" i="21" s="1"/>
  <c r="BN75" i="21" a="1"/>
  <c r="BN75" i="21" s="1"/>
  <c r="BO75" i="21" a="1"/>
  <c r="BO75" i="21" s="1"/>
  <c r="BP75" i="21" a="1"/>
  <c r="BP75" i="21" s="1"/>
  <c r="BQ75" i="21" a="1"/>
  <c r="BQ75" i="21" s="1"/>
  <c r="BR75" i="21" a="1"/>
  <c r="BR75" i="21" s="1"/>
  <c r="BS75" i="21" a="1"/>
  <c r="BS75" i="21" s="1"/>
  <c r="BT75" i="21" a="1"/>
  <c r="BT75" i="21" s="1"/>
  <c r="BU75" i="21" a="1"/>
  <c r="BU75" i="21" s="1"/>
  <c r="BV75" i="21" a="1"/>
  <c r="BV75" i="21" s="1"/>
  <c r="BW75" i="21" a="1"/>
  <c r="BW75" i="21" s="1"/>
  <c r="BX75" i="21" a="1"/>
  <c r="BX75" i="21" s="1"/>
  <c r="BY75" i="21" a="1"/>
  <c r="BY75" i="21" s="1"/>
  <c r="BZ75" i="21" a="1"/>
  <c r="BZ75" i="21" s="1"/>
  <c r="CA75" i="21" a="1"/>
  <c r="CA75" i="21" s="1"/>
  <c r="CB75" i="21" a="1"/>
  <c r="CB75" i="21" s="1"/>
  <c r="CC75" i="21" a="1"/>
  <c r="CC75" i="21" s="1"/>
  <c r="CD75" i="21" a="1"/>
  <c r="CD75" i="21" s="1"/>
  <c r="CE75" i="21" a="1"/>
  <c r="CE75" i="21" s="1"/>
  <c r="CF75" i="21" a="1"/>
  <c r="CF75" i="21" s="1"/>
  <c r="CG75" i="21" a="1"/>
  <c r="CG75" i="21" s="1"/>
  <c r="CH75" i="21" a="1"/>
  <c r="CH75" i="21" s="1"/>
  <c r="CI75" i="21" a="1"/>
  <c r="CI75" i="21" s="1"/>
  <c r="CJ75" i="21" a="1"/>
  <c r="CJ75" i="21" s="1"/>
  <c r="CK75" i="21" a="1"/>
  <c r="CK75" i="21" s="1"/>
  <c r="CL75" i="21" a="1"/>
  <c r="CL75" i="21" s="1"/>
  <c r="CM75" i="21" a="1"/>
  <c r="CM75" i="21" s="1"/>
  <c r="CN75" i="21" a="1"/>
  <c r="CN75" i="21" s="1"/>
  <c r="CO75" i="21" a="1"/>
  <c r="CO75" i="21" s="1"/>
  <c r="CP75" i="21" a="1"/>
  <c r="CP75" i="21" s="1"/>
  <c r="CQ75" i="21" a="1"/>
  <c r="CQ75" i="21" s="1"/>
  <c r="CR75" i="21" a="1"/>
  <c r="CR75" i="21" s="1"/>
  <c r="CS75" i="21" a="1"/>
  <c r="CS75" i="21" s="1"/>
  <c r="CT75" i="21" a="1"/>
  <c r="CT75" i="21" s="1"/>
  <c r="CU75" i="21" a="1"/>
  <c r="CU75" i="21" s="1"/>
  <c r="CV75" i="21" a="1"/>
  <c r="CV75" i="21" s="1"/>
  <c r="CW75" i="21" a="1"/>
  <c r="CW75" i="21" s="1"/>
  <c r="N76" i="21" a="1"/>
  <c r="N76" i="21" s="1"/>
  <c r="O76" i="21" a="1"/>
  <c r="O76" i="21" s="1"/>
  <c r="P76" i="21" a="1"/>
  <c r="P76" i="21" s="1"/>
  <c r="Q76" i="21" a="1"/>
  <c r="Q76" i="21" s="1"/>
  <c r="R76" i="21" a="1"/>
  <c r="R76" i="21" s="1"/>
  <c r="S76" i="21" a="1"/>
  <c r="S76" i="21" s="1"/>
  <c r="T76" i="21" a="1"/>
  <c r="T76" i="21" s="1"/>
  <c r="U76" i="21" a="1"/>
  <c r="U76" i="21" s="1"/>
  <c r="V76" i="21" a="1"/>
  <c r="V76" i="21" s="1"/>
  <c r="W76" i="21" a="1"/>
  <c r="W76" i="21" s="1"/>
  <c r="X76" i="21" a="1"/>
  <c r="X76" i="21" s="1"/>
  <c r="Y76" i="21" a="1"/>
  <c r="Y76" i="21" s="1"/>
  <c r="Z76" i="21" a="1"/>
  <c r="Z76" i="21" s="1"/>
  <c r="AA76" i="21" a="1"/>
  <c r="AA76" i="21" s="1"/>
  <c r="AB76" i="21" a="1"/>
  <c r="AB76" i="21" s="1"/>
  <c r="AC76" i="21" a="1"/>
  <c r="AC76" i="21" s="1"/>
  <c r="AD76" i="21" a="1"/>
  <c r="AD76" i="21" s="1"/>
  <c r="AE76" i="21" a="1"/>
  <c r="AE76" i="21" s="1"/>
  <c r="AF76" i="21" a="1"/>
  <c r="AF76" i="21" s="1"/>
  <c r="AG76" i="21" a="1"/>
  <c r="AG76" i="21" s="1"/>
  <c r="AH76" i="21" a="1"/>
  <c r="AH76" i="21" s="1"/>
  <c r="AI76" i="21" a="1"/>
  <c r="AI76" i="21" s="1"/>
  <c r="AJ76" i="21" a="1"/>
  <c r="AJ76" i="21" s="1"/>
  <c r="AK76" i="21" a="1"/>
  <c r="AK76" i="21" s="1"/>
  <c r="AL76" i="21" a="1"/>
  <c r="AL76" i="21" s="1"/>
  <c r="AM76" i="21" a="1"/>
  <c r="AM76" i="21" s="1"/>
  <c r="AN76" i="21" a="1"/>
  <c r="AN76" i="21" s="1"/>
  <c r="AO76" i="21" a="1"/>
  <c r="AO76" i="21" s="1"/>
  <c r="AP76" i="21" a="1"/>
  <c r="AP76" i="21" s="1"/>
  <c r="AQ76" i="21" a="1"/>
  <c r="AQ76" i="21" s="1"/>
  <c r="AR76" i="21" a="1"/>
  <c r="AR76" i="21" s="1"/>
  <c r="AS76" i="21" a="1"/>
  <c r="AS76" i="21" s="1"/>
  <c r="AT76" i="21" a="1"/>
  <c r="AT76" i="21" s="1"/>
  <c r="AU76" i="21" a="1"/>
  <c r="AU76" i="21" s="1"/>
  <c r="AV76" i="21" a="1"/>
  <c r="AV76" i="21" s="1"/>
  <c r="AW76" i="21" a="1"/>
  <c r="AW76" i="21" s="1"/>
  <c r="AX76" i="21" a="1"/>
  <c r="AX76" i="21" s="1"/>
  <c r="AY76" i="21" a="1"/>
  <c r="AY76" i="21" s="1"/>
  <c r="AZ76" i="21" a="1"/>
  <c r="AZ76" i="21" s="1"/>
  <c r="BA76" i="21" a="1"/>
  <c r="BA76" i="21" s="1"/>
  <c r="BB76" i="21" a="1"/>
  <c r="BB76" i="21" s="1"/>
  <c r="BC76" i="21" a="1"/>
  <c r="BC76" i="21" s="1"/>
  <c r="BD76" i="21" a="1"/>
  <c r="BD76" i="21" s="1"/>
  <c r="BE76" i="21" a="1"/>
  <c r="BE76" i="21" s="1"/>
  <c r="BF76" i="21" a="1"/>
  <c r="BF76" i="21" s="1"/>
  <c r="BG76" i="21" a="1"/>
  <c r="BG76" i="21" s="1"/>
  <c r="BH76" i="21" a="1"/>
  <c r="BH76" i="21" s="1"/>
  <c r="BI76" i="21" a="1"/>
  <c r="BI76" i="21" s="1"/>
  <c r="BJ76" i="21" a="1"/>
  <c r="BJ76" i="21" s="1"/>
  <c r="BK76" i="21" a="1"/>
  <c r="BK76" i="21" s="1"/>
  <c r="BL76" i="21" a="1"/>
  <c r="BL76" i="21" s="1"/>
  <c r="BM76" i="21" a="1"/>
  <c r="BM76" i="21" s="1"/>
  <c r="BN76" i="21" a="1"/>
  <c r="BN76" i="21" s="1"/>
  <c r="BO76" i="21" a="1"/>
  <c r="BO76" i="21" s="1"/>
  <c r="BP76" i="21" a="1"/>
  <c r="BP76" i="21" s="1"/>
  <c r="BQ76" i="21" a="1"/>
  <c r="BQ76" i="21" s="1"/>
  <c r="BR76" i="21" a="1"/>
  <c r="BR76" i="21" s="1"/>
  <c r="BS76" i="21" a="1"/>
  <c r="BS76" i="21" s="1"/>
  <c r="BT76" i="21" a="1"/>
  <c r="BT76" i="21" s="1"/>
  <c r="BU76" i="21" a="1"/>
  <c r="BU76" i="21" s="1"/>
  <c r="BV76" i="21" a="1"/>
  <c r="BV76" i="21" s="1"/>
  <c r="BW76" i="21" a="1"/>
  <c r="BW76" i="21" s="1"/>
  <c r="BX76" i="21" a="1"/>
  <c r="BX76" i="21" s="1"/>
  <c r="BY76" i="21" a="1"/>
  <c r="BY76" i="21" s="1"/>
  <c r="BZ76" i="21" a="1"/>
  <c r="BZ76" i="21" s="1"/>
  <c r="CA76" i="21" a="1"/>
  <c r="CA76" i="21" s="1"/>
  <c r="CB76" i="21" a="1"/>
  <c r="CB76" i="21" s="1"/>
  <c r="CC76" i="21" a="1"/>
  <c r="CC76" i="21" s="1"/>
  <c r="CD76" i="21" a="1"/>
  <c r="CD76" i="21" s="1"/>
  <c r="CE76" i="21" a="1"/>
  <c r="CE76" i="21" s="1"/>
  <c r="CF76" i="21" a="1"/>
  <c r="CF76" i="21" s="1"/>
  <c r="CG76" i="21" a="1"/>
  <c r="CG76" i="21" s="1"/>
  <c r="CH76" i="21" a="1"/>
  <c r="CH76" i="21" s="1"/>
  <c r="CI76" i="21" a="1"/>
  <c r="CI76" i="21" s="1"/>
  <c r="CJ76" i="21" a="1"/>
  <c r="CJ76" i="21" s="1"/>
  <c r="CK76" i="21" a="1"/>
  <c r="CK76" i="21" s="1"/>
  <c r="CL76" i="21" a="1"/>
  <c r="CL76" i="21" s="1"/>
  <c r="CM76" i="21" a="1"/>
  <c r="CM76" i="21" s="1"/>
  <c r="CN76" i="21" a="1"/>
  <c r="CN76" i="21" s="1"/>
  <c r="CO76" i="21" a="1"/>
  <c r="CO76" i="21" s="1"/>
  <c r="CP76" i="21" a="1"/>
  <c r="CP76" i="21" s="1"/>
  <c r="CQ76" i="21" a="1"/>
  <c r="CQ76" i="21" s="1"/>
  <c r="CR76" i="21" a="1"/>
  <c r="CR76" i="21" s="1"/>
  <c r="CS76" i="21" a="1"/>
  <c r="CS76" i="21" s="1"/>
  <c r="CT76" i="21" a="1"/>
  <c r="CT76" i="21" s="1"/>
  <c r="CU76" i="21" a="1"/>
  <c r="CU76" i="21" s="1"/>
  <c r="CV76" i="21" a="1"/>
  <c r="CV76" i="21" s="1"/>
  <c r="CW76" i="21" a="1"/>
  <c r="CW76" i="21" s="1"/>
  <c r="N77" i="21" a="1"/>
  <c r="N77" i="21" s="1"/>
  <c r="O77" i="21" a="1"/>
  <c r="O77" i="21" s="1"/>
  <c r="P77" i="21" a="1"/>
  <c r="P77" i="21" s="1"/>
  <c r="Q77" i="21" a="1"/>
  <c r="Q77" i="21" s="1"/>
  <c r="R77" i="21" a="1"/>
  <c r="R77" i="21" s="1"/>
  <c r="S77" i="21" a="1"/>
  <c r="S77" i="21" s="1"/>
  <c r="T77" i="21" a="1"/>
  <c r="T77" i="21" s="1"/>
  <c r="U77" i="21" a="1"/>
  <c r="U77" i="21" s="1"/>
  <c r="V77" i="21" a="1"/>
  <c r="V77" i="21" s="1"/>
  <c r="W77" i="21" a="1"/>
  <c r="W77" i="21" s="1"/>
  <c r="X77" i="21" a="1"/>
  <c r="X77" i="21" s="1"/>
  <c r="Y77" i="21" a="1"/>
  <c r="Y77" i="21" s="1"/>
  <c r="Z77" i="21" a="1"/>
  <c r="Z77" i="21" s="1"/>
  <c r="AA77" i="21" a="1"/>
  <c r="AA77" i="21" s="1"/>
  <c r="AB77" i="21" a="1"/>
  <c r="AB77" i="21" s="1"/>
  <c r="AC77" i="21" a="1"/>
  <c r="AC77" i="21" s="1"/>
  <c r="AD77" i="21" a="1"/>
  <c r="AD77" i="21" s="1"/>
  <c r="AE77" i="21" a="1"/>
  <c r="AE77" i="21" s="1"/>
  <c r="AF77" i="21" a="1"/>
  <c r="AF77" i="21" s="1"/>
  <c r="AG77" i="21" a="1"/>
  <c r="AG77" i="21" s="1"/>
  <c r="AH77" i="21" a="1"/>
  <c r="AH77" i="21" s="1"/>
  <c r="AI77" i="21" a="1"/>
  <c r="AI77" i="21" s="1"/>
  <c r="AJ77" i="21" a="1"/>
  <c r="AJ77" i="21" s="1"/>
  <c r="AK77" i="21" a="1"/>
  <c r="AK77" i="21" s="1"/>
  <c r="AL77" i="21" a="1"/>
  <c r="AL77" i="21" s="1"/>
  <c r="AM77" i="21" a="1"/>
  <c r="AM77" i="21" s="1"/>
  <c r="AN77" i="21" a="1"/>
  <c r="AN77" i="21" s="1"/>
  <c r="AO77" i="21" a="1"/>
  <c r="AO77" i="21" s="1"/>
  <c r="AP77" i="21" a="1"/>
  <c r="AP77" i="21" s="1"/>
  <c r="AQ77" i="21" a="1"/>
  <c r="AQ77" i="21" s="1"/>
  <c r="AR77" i="21" a="1"/>
  <c r="AR77" i="21" s="1"/>
  <c r="AS77" i="21" a="1"/>
  <c r="AS77" i="21" s="1"/>
  <c r="AT77" i="21" a="1"/>
  <c r="AT77" i="21" s="1"/>
  <c r="AU77" i="21" a="1"/>
  <c r="AU77" i="21" s="1"/>
  <c r="AV77" i="21" a="1"/>
  <c r="AV77" i="21" s="1"/>
  <c r="AW77" i="21" a="1"/>
  <c r="AW77" i="21" s="1"/>
  <c r="AX77" i="21" a="1"/>
  <c r="AX77" i="21" s="1"/>
  <c r="AY77" i="21" a="1"/>
  <c r="AY77" i="21" s="1"/>
  <c r="AZ77" i="21" a="1"/>
  <c r="AZ77" i="21" s="1"/>
  <c r="BA77" i="21" a="1"/>
  <c r="BA77" i="21" s="1"/>
  <c r="BB77" i="21" a="1"/>
  <c r="BB77" i="21" s="1"/>
  <c r="BC77" i="21" a="1"/>
  <c r="BC77" i="21" s="1"/>
  <c r="BD77" i="21" a="1"/>
  <c r="BD77" i="21" s="1"/>
  <c r="BE77" i="21" a="1"/>
  <c r="BE77" i="21" s="1"/>
  <c r="BF77" i="21" a="1"/>
  <c r="BF77" i="21" s="1"/>
  <c r="BG77" i="21" a="1"/>
  <c r="BG77" i="21" s="1"/>
  <c r="BH77" i="21" a="1"/>
  <c r="BH77" i="21" s="1"/>
  <c r="BI77" i="21" a="1"/>
  <c r="BI77" i="21" s="1"/>
  <c r="BJ77" i="21" a="1"/>
  <c r="BJ77" i="21" s="1"/>
  <c r="BK77" i="21" a="1"/>
  <c r="BK77" i="21" s="1"/>
  <c r="BL77" i="21" a="1"/>
  <c r="BL77" i="21" s="1"/>
  <c r="BM77" i="21" a="1"/>
  <c r="BM77" i="21" s="1"/>
  <c r="BN77" i="21" a="1"/>
  <c r="BN77" i="21" s="1"/>
  <c r="BO77" i="21" a="1"/>
  <c r="BO77" i="21" s="1"/>
  <c r="BP77" i="21" a="1"/>
  <c r="BP77" i="21" s="1"/>
  <c r="BQ77" i="21" a="1"/>
  <c r="BQ77" i="21" s="1"/>
  <c r="BR77" i="21" a="1"/>
  <c r="BR77" i="21" s="1"/>
  <c r="BS77" i="21" a="1"/>
  <c r="BS77" i="21" s="1"/>
  <c r="BT77" i="21" a="1"/>
  <c r="BT77" i="21" s="1"/>
  <c r="BU77" i="21" a="1"/>
  <c r="BU77" i="21" s="1"/>
  <c r="BV77" i="21" a="1"/>
  <c r="BV77" i="21" s="1"/>
  <c r="BW77" i="21" a="1"/>
  <c r="BW77" i="21" s="1"/>
  <c r="BX77" i="21" a="1"/>
  <c r="BX77" i="21" s="1"/>
  <c r="BY77" i="21" a="1"/>
  <c r="BY77" i="21" s="1"/>
  <c r="BZ77" i="21" a="1"/>
  <c r="BZ77" i="21" s="1"/>
  <c r="CA77" i="21" a="1"/>
  <c r="CA77" i="21" s="1"/>
  <c r="CB77" i="21" a="1"/>
  <c r="CB77" i="21" s="1"/>
  <c r="CC77" i="21" a="1"/>
  <c r="CC77" i="21" s="1"/>
  <c r="CD77" i="21" a="1"/>
  <c r="CD77" i="21" s="1"/>
  <c r="CE77" i="21" a="1"/>
  <c r="CE77" i="21" s="1"/>
  <c r="CF77" i="21" a="1"/>
  <c r="CF77" i="21" s="1"/>
  <c r="CG77" i="21" a="1"/>
  <c r="CG77" i="21" s="1"/>
  <c r="CH77" i="21" a="1"/>
  <c r="CH77" i="21" s="1"/>
  <c r="CI77" i="21" a="1"/>
  <c r="CI77" i="21" s="1"/>
  <c r="CJ77" i="21" a="1"/>
  <c r="CJ77" i="21" s="1"/>
  <c r="CK77" i="21" a="1"/>
  <c r="CK77" i="21" s="1"/>
  <c r="CL77" i="21" a="1"/>
  <c r="CL77" i="21" s="1"/>
  <c r="CM77" i="21" a="1"/>
  <c r="CM77" i="21" s="1"/>
  <c r="CN77" i="21" a="1"/>
  <c r="CN77" i="21" s="1"/>
  <c r="CO77" i="21" a="1"/>
  <c r="CO77" i="21" s="1"/>
  <c r="CP77" i="21" a="1"/>
  <c r="CP77" i="21" s="1"/>
  <c r="CQ77" i="21" a="1"/>
  <c r="CQ77" i="21" s="1"/>
  <c r="CR77" i="21" a="1"/>
  <c r="CR77" i="21" s="1"/>
  <c r="CS77" i="21" a="1"/>
  <c r="CS77" i="21" s="1"/>
  <c r="CT77" i="21" a="1"/>
  <c r="CT77" i="21" s="1"/>
  <c r="CU77" i="21" a="1"/>
  <c r="CU77" i="21" s="1"/>
  <c r="CV77" i="21" a="1"/>
  <c r="CV77" i="21" s="1"/>
  <c r="CW77" i="21" a="1"/>
  <c r="CW77" i="21" s="1"/>
  <c r="N78" i="21" a="1"/>
  <c r="N78" i="21" s="1"/>
  <c r="O78" i="21" a="1"/>
  <c r="O78" i="21" s="1"/>
  <c r="P78" i="21" a="1"/>
  <c r="P78" i="21" s="1"/>
  <c r="Q78" i="21" a="1"/>
  <c r="Q78" i="21" s="1"/>
  <c r="R78" i="21" a="1"/>
  <c r="R78" i="21" s="1"/>
  <c r="S78" i="21" a="1"/>
  <c r="S78" i="21" s="1"/>
  <c r="T78" i="21" a="1"/>
  <c r="T78" i="21" s="1"/>
  <c r="U78" i="21" a="1"/>
  <c r="U78" i="21" s="1"/>
  <c r="V78" i="21" a="1"/>
  <c r="V78" i="21" s="1"/>
  <c r="W78" i="21" a="1"/>
  <c r="W78" i="21" s="1"/>
  <c r="X78" i="21" a="1"/>
  <c r="X78" i="21" s="1"/>
  <c r="Y78" i="21" a="1"/>
  <c r="Y78" i="21" s="1"/>
  <c r="Z78" i="21" a="1"/>
  <c r="Z78" i="21" s="1"/>
  <c r="AA78" i="21" a="1"/>
  <c r="AA78" i="21" s="1"/>
  <c r="AB78" i="21" a="1"/>
  <c r="AB78" i="21" s="1"/>
  <c r="AC78" i="21" a="1"/>
  <c r="AC78" i="21" s="1"/>
  <c r="AD78" i="21" a="1"/>
  <c r="AD78" i="21" s="1"/>
  <c r="AE78" i="21" a="1"/>
  <c r="AE78" i="21" s="1"/>
  <c r="AF78" i="21" a="1"/>
  <c r="AF78" i="21" s="1"/>
  <c r="AG78" i="21" a="1"/>
  <c r="AG78" i="21" s="1"/>
  <c r="AH78" i="21" a="1"/>
  <c r="AH78" i="21" s="1"/>
  <c r="AI78" i="21" a="1"/>
  <c r="AI78" i="21" s="1"/>
  <c r="AJ78" i="21" a="1"/>
  <c r="AJ78" i="21" s="1"/>
  <c r="AK78" i="21" a="1"/>
  <c r="AK78" i="21" s="1"/>
  <c r="AL78" i="21" a="1"/>
  <c r="AL78" i="21" s="1"/>
  <c r="AM78" i="21" a="1"/>
  <c r="AM78" i="21" s="1"/>
  <c r="AN78" i="21" a="1"/>
  <c r="AN78" i="21" s="1"/>
  <c r="AO78" i="21" a="1"/>
  <c r="AO78" i="21" s="1"/>
  <c r="AP78" i="21" a="1"/>
  <c r="AP78" i="21" s="1"/>
  <c r="AQ78" i="21" a="1"/>
  <c r="AQ78" i="21" s="1"/>
  <c r="AR78" i="21" a="1"/>
  <c r="AR78" i="21" s="1"/>
  <c r="AS78" i="21" a="1"/>
  <c r="AS78" i="21" s="1"/>
  <c r="AT78" i="21" a="1"/>
  <c r="AT78" i="21" s="1"/>
  <c r="AU78" i="21" a="1"/>
  <c r="AU78" i="21" s="1"/>
  <c r="AV78" i="21" a="1"/>
  <c r="AV78" i="21" s="1"/>
  <c r="AW78" i="21" a="1"/>
  <c r="AW78" i="21" s="1"/>
  <c r="AX78" i="21" a="1"/>
  <c r="AX78" i="21" s="1"/>
  <c r="AY78" i="21" a="1"/>
  <c r="AY78" i="21" s="1"/>
  <c r="AZ78" i="21" a="1"/>
  <c r="AZ78" i="21" s="1"/>
  <c r="BA78" i="21" a="1"/>
  <c r="BA78" i="21" s="1"/>
  <c r="BB78" i="21" a="1"/>
  <c r="BB78" i="21" s="1"/>
  <c r="BC78" i="21" a="1"/>
  <c r="BC78" i="21" s="1"/>
  <c r="BD78" i="21" a="1"/>
  <c r="BD78" i="21" s="1"/>
  <c r="BE78" i="21" a="1"/>
  <c r="BE78" i="21" s="1"/>
  <c r="BF78" i="21" a="1"/>
  <c r="BF78" i="21" s="1"/>
  <c r="BG78" i="21" a="1"/>
  <c r="BG78" i="21" s="1"/>
  <c r="BH78" i="21" a="1"/>
  <c r="BH78" i="21" s="1"/>
  <c r="BI78" i="21" a="1"/>
  <c r="BI78" i="21" s="1"/>
  <c r="BJ78" i="21" a="1"/>
  <c r="BJ78" i="21" s="1"/>
  <c r="BK78" i="21" a="1"/>
  <c r="BK78" i="21" s="1"/>
  <c r="BL78" i="21" a="1"/>
  <c r="BL78" i="21" s="1"/>
  <c r="BM78" i="21" a="1"/>
  <c r="BM78" i="21" s="1"/>
  <c r="BN78" i="21" a="1"/>
  <c r="BN78" i="21" s="1"/>
  <c r="BO78" i="21" a="1"/>
  <c r="BO78" i="21" s="1"/>
  <c r="BP78" i="21" a="1"/>
  <c r="BP78" i="21" s="1"/>
  <c r="BQ78" i="21" a="1"/>
  <c r="BQ78" i="21" s="1"/>
  <c r="BR78" i="21" a="1"/>
  <c r="BR78" i="21" s="1"/>
  <c r="BS78" i="21" a="1"/>
  <c r="BS78" i="21" s="1"/>
  <c r="BT78" i="21" a="1"/>
  <c r="BT78" i="21" s="1"/>
  <c r="BU78" i="21" a="1"/>
  <c r="BU78" i="21" s="1"/>
  <c r="BV78" i="21" a="1"/>
  <c r="BV78" i="21" s="1"/>
  <c r="BW78" i="21" a="1"/>
  <c r="BW78" i="21" s="1"/>
  <c r="BX78" i="21" a="1"/>
  <c r="BX78" i="21" s="1"/>
  <c r="BY78" i="21" a="1"/>
  <c r="BY78" i="21" s="1"/>
  <c r="BZ78" i="21" a="1"/>
  <c r="BZ78" i="21" s="1"/>
  <c r="CA78" i="21" a="1"/>
  <c r="CA78" i="21" s="1"/>
  <c r="CB78" i="21" a="1"/>
  <c r="CB78" i="21" s="1"/>
  <c r="CC78" i="21" a="1"/>
  <c r="CC78" i="21" s="1"/>
  <c r="CD78" i="21" a="1"/>
  <c r="CD78" i="21" s="1"/>
  <c r="CE78" i="21" a="1"/>
  <c r="CE78" i="21" s="1"/>
  <c r="CF78" i="21" a="1"/>
  <c r="CF78" i="21" s="1"/>
  <c r="CG78" i="21" a="1"/>
  <c r="CG78" i="21" s="1"/>
  <c r="CH78" i="21" a="1"/>
  <c r="CH78" i="21" s="1"/>
  <c r="CI78" i="21" a="1"/>
  <c r="CI78" i="21" s="1"/>
  <c r="CJ78" i="21" a="1"/>
  <c r="CJ78" i="21" s="1"/>
  <c r="CK78" i="21" a="1"/>
  <c r="CK78" i="21" s="1"/>
  <c r="CL78" i="21" a="1"/>
  <c r="CL78" i="21" s="1"/>
  <c r="CM78" i="21" a="1"/>
  <c r="CM78" i="21" s="1"/>
  <c r="CN78" i="21" a="1"/>
  <c r="CN78" i="21" s="1"/>
  <c r="CO78" i="21" a="1"/>
  <c r="CO78" i="21" s="1"/>
  <c r="CP78" i="21" a="1"/>
  <c r="CP78" i="21" s="1"/>
  <c r="CQ78" i="21" a="1"/>
  <c r="CQ78" i="21" s="1"/>
  <c r="CR78" i="21" a="1"/>
  <c r="CR78" i="21" s="1"/>
  <c r="CS78" i="21" a="1"/>
  <c r="CS78" i="21" s="1"/>
  <c r="CT78" i="21" a="1"/>
  <c r="CT78" i="21" s="1"/>
  <c r="CU78" i="21" a="1"/>
  <c r="CU78" i="21" s="1"/>
  <c r="CV78" i="21" a="1"/>
  <c r="CV78" i="21" s="1"/>
  <c r="CW78" i="21" a="1"/>
  <c r="CW78" i="21" s="1"/>
  <c r="N79" i="21" a="1"/>
  <c r="N79" i="21" s="1"/>
  <c r="O79" i="21" a="1"/>
  <c r="O79" i="21" s="1"/>
  <c r="P79" i="21" a="1"/>
  <c r="P79" i="21" s="1"/>
  <c r="Q79" i="21" a="1"/>
  <c r="Q79" i="21" s="1"/>
  <c r="R79" i="21" a="1"/>
  <c r="R79" i="21" s="1"/>
  <c r="S79" i="21" a="1"/>
  <c r="S79" i="21" s="1"/>
  <c r="T79" i="21" a="1"/>
  <c r="T79" i="21" s="1"/>
  <c r="U79" i="21" a="1"/>
  <c r="U79" i="21" s="1"/>
  <c r="V79" i="21" a="1"/>
  <c r="V79" i="21" s="1"/>
  <c r="W79" i="21" a="1"/>
  <c r="W79" i="21" s="1"/>
  <c r="X79" i="21" a="1"/>
  <c r="X79" i="21" s="1"/>
  <c r="Y79" i="21" a="1"/>
  <c r="Y79" i="21" s="1"/>
  <c r="Z79" i="21" a="1"/>
  <c r="Z79" i="21" s="1"/>
  <c r="AA79" i="21" a="1"/>
  <c r="AA79" i="21" s="1"/>
  <c r="AB79" i="21" a="1"/>
  <c r="AB79" i="21" s="1"/>
  <c r="AC79" i="21" a="1"/>
  <c r="AC79" i="21" s="1"/>
  <c r="AD79" i="21" a="1"/>
  <c r="AD79" i="21" s="1"/>
  <c r="AE79" i="21" a="1"/>
  <c r="AE79" i="21" s="1"/>
  <c r="AF79" i="21" a="1"/>
  <c r="AF79" i="21" s="1"/>
  <c r="AG79" i="21" a="1"/>
  <c r="AG79" i="21" s="1"/>
  <c r="AH79" i="21" a="1"/>
  <c r="AH79" i="21" s="1"/>
  <c r="AI79" i="21" a="1"/>
  <c r="AI79" i="21" s="1"/>
  <c r="AJ79" i="21" a="1"/>
  <c r="AJ79" i="21" s="1"/>
  <c r="AK79" i="21" a="1"/>
  <c r="AK79" i="21" s="1"/>
  <c r="AL79" i="21" a="1"/>
  <c r="AL79" i="21" s="1"/>
  <c r="AM79" i="21" a="1"/>
  <c r="AM79" i="21" s="1"/>
  <c r="AN79" i="21" a="1"/>
  <c r="AN79" i="21" s="1"/>
  <c r="AO79" i="21" a="1"/>
  <c r="AO79" i="21" s="1"/>
  <c r="AP79" i="21" a="1"/>
  <c r="AP79" i="21" s="1"/>
  <c r="AQ79" i="21" a="1"/>
  <c r="AQ79" i="21" s="1"/>
  <c r="AR79" i="21" a="1"/>
  <c r="AR79" i="21" s="1"/>
  <c r="AS79" i="21" a="1"/>
  <c r="AS79" i="21" s="1"/>
  <c r="AT79" i="21" a="1"/>
  <c r="AT79" i="21" s="1"/>
  <c r="AU79" i="21" a="1"/>
  <c r="AU79" i="21" s="1"/>
  <c r="AV79" i="21" a="1"/>
  <c r="AV79" i="21" s="1"/>
  <c r="AW79" i="21" a="1"/>
  <c r="AW79" i="21" s="1"/>
  <c r="AX79" i="21" a="1"/>
  <c r="AX79" i="21" s="1"/>
  <c r="AY79" i="21" a="1"/>
  <c r="AY79" i="21" s="1"/>
  <c r="AZ79" i="21" a="1"/>
  <c r="AZ79" i="21" s="1"/>
  <c r="BA79" i="21" a="1"/>
  <c r="BA79" i="21" s="1"/>
  <c r="BB79" i="21" a="1"/>
  <c r="BB79" i="21" s="1"/>
  <c r="BC79" i="21" a="1"/>
  <c r="BC79" i="21" s="1"/>
  <c r="BD79" i="21" a="1"/>
  <c r="BD79" i="21" s="1"/>
  <c r="BE79" i="21" a="1"/>
  <c r="BE79" i="21" s="1"/>
  <c r="BF79" i="21" a="1"/>
  <c r="BF79" i="21" s="1"/>
  <c r="BG79" i="21" a="1"/>
  <c r="BG79" i="21" s="1"/>
  <c r="BH79" i="21" a="1"/>
  <c r="BH79" i="21" s="1"/>
  <c r="BI79" i="21" a="1"/>
  <c r="BI79" i="21" s="1"/>
  <c r="BJ79" i="21" a="1"/>
  <c r="BJ79" i="21" s="1"/>
  <c r="BK79" i="21" a="1"/>
  <c r="BK79" i="21" s="1"/>
  <c r="BL79" i="21" a="1"/>
  <c r="BL79" i="21" s="1"/>
  <c r="BM79" i="21" a="1"/>
  <c r="BM79" i="21" s="1"/>
  <c r="BN79" i="21" a="1"/>
  <c r="BN79" i="21" s="1"/>
  <c r="BO79" i="21" a="1"/>
  <c r="BO79" i="21" s="1"/>
  <c r="BP79" i="21" a="1"/>
  <c r="BP79" i="21" s="1"/>
  <c r="BQ79" i="21" a="1"/>
  <c r="BQ79" i="21" s="1"/>
  <c r="BR79" i="21" a="1"/>
  <c r="BR79" i="21" s="1"/>
  <c r="BS79" i="21" a="1"/>
  <c r="BS79" i="21" s="1"/>
  <c r="BT79" i="21" a="1"/>
  <c r="BT79" i="21" s="1"/>
  <c r="BU79" i="21" a="1"/>
  <c r="BU79" i="21" s="1"/>
  <c r="BV79" i="21" a="1"/>
  <c r="BV79" i="21" s="1"/>
  <c r="BW79" i="21" a="1"/>
  <c r="BW79" i="21" s="1"/>
  <c r="BX79" i="21" a="1"/>
  <c r="BX79" i="21" s="1"/>
  <c r="BY79" i="21" a="1"/>
  <c r="BY79" i="21" s="1"/>
  <c r="BZ79" i="21" a="1"/>
  <c r="BZ79" i="21" s="1"/>
  <c r="CA79" i="21" a="1"/>
  <c r="CA79" i="21" s="1"/>
  <c r="CB79" i="21" a="1"/>
  <c r="CB79" i="21" s="1"/>
  <c r="CC79" i="21" a="1"/>
  <c r="CC79" i="21" s="1"/>
  <c r="CD79" i="21" a="1"/>
  <c r="CD79" i="21" s="1"/>
  <c r="CE79" i="21" a="1"/>
  <c r="CE79" i="21" s="1"/>
  <c r="CF79" i="21" a="1"/>
  <c r="CF79" i="21" s="1"/>
  <c r="CG79" i="21" a="1"/>
  <c r="CG79" i="21" s="1"/>
  <c r="CH79" i="21" a="1"/>
  <c r="CH79" i="21" s="1"/>
  <c r="CI79" i="21" a="1"/>
  <c r="CI79" i="21" s="1"/>
  <c r="CJ79" i="21" a="1"/>
  <c r="CJ79" i="21" s="1"/>
  <c r="CK79" i="21" a="1"/>
  <c r="CK79" i="21" s="1"/>
  <c r="CL79" i="21" a="1"/>
  <c r="CL79" i="21" s="1"/>
  <c r="CM79" i="21" a="1"/>
  <c r="CM79" i="21" s="1"/>
  <c r="CN79" i="21" a="1"/>
  <c r="CN79" i="21" s="1"/>
  <c r="CO79" i="21" a="1"/>
  <c r="CO79" i="21" s="1"/>
  <c r="CP79" i="21" a="1"/>
  <c r="CP79" i="21" s="1"/>
  <c r="CQ79" i="21" a="1"/>
  <c r="CQ79" i="21" s="1"/>
  <c r="CR79" i="21" a="1"/>
  <c r="CR79" i="21" s="1"/>
  <c r="CS79" i="21" a="1"/>
  <c r="CS79" i="21" s="1"/>
  <c r="CT79" i="21" a="1"/>
  <c r="CT79" i="21" s="1"/>
  <c r="CU79" i="21" a="1"/>
  <c r="CU79" i="21" s="1"/>
  <c r="CV79" i="21" a="1"/>
  <c r="CV79" i="21" s="1"/>
  <c r="CW79" i="21" a="1"/>
  <c r="CW79" i="21" s="1"/>
  <c r="N80" i="21" a="1"/>
  <c r="N80" i="21" s="1"/>
  <c r="O80" i="21" a="1"/>
  <c r="O80" i="21" s="1"/>
  <c r="P80" i="21" a="1"/>
  <c r="P80" i="21" s="1"/>
  <c r="Q80" i="21" a="1"/>
  <c r="Q80" i="21" s="1"/>
  <c r="R80" i="21" a="1"/>
  <c r="R80" i="21" s="1"/>
  <c r="S80" i="21" a="1"/>
  <c r="S80" i="21" s="1"/>
  <c r="T80" i="21" a="1"/>
  <c r="T80" i="21" s="1"/>
  <c r="U80" i="21" a="1"/>
  <c r="U80" i="21" s="1"/>
  <c r="V80" i="21" a="1"/>
  <c r="V80" i="21" s="1"/>
  <c r="W80" i="21" a="1"/>
  <c r="W80" i="21" s="1"/>
  <c r="X80" i="21" a="1"/>
  <c r="X80" i="21" s="1"/>
  <c r="Y80" i="21" a="1"/>
  <c r="Y80" i="21" s="1"/>
  <c r="Z80" i="21" a="1"/>
  <c r="Z80" i="21" s="1"/>
  <c r="AA80" i="21" a="1"/>
  <c r="AA80" i="21" s="1"/>
  <c r="AB80" i="21" a="1"/>
  <c r="AB80" i="21" s="1"/>
  <c r="AC80" i="21" a="1"/>
  <c r="AC80" i="21" s="1"/>
  <c r="AD80" i="21" a="1"/>
  <c r="AD80" i="21" s="1"/>
  <c r="AE80" i="21" a="1"/>
  <c r="AE80" i="21" s="1"/>
  <c r="AF80" i="21" a="1"/>
  <c r="AF80" i="21" s="1"/>
  <c r="AG80" i="21" a="1"/>
  <c r="AG80" i="21" s="1"/>
  <c r="AH80" i="21" a="1"/>
  <c r="AH80" i="21" s="1"/>
  <c r="AI80" i="21" a="1"/>
  <c r="AI80" i="21" s="1"/>
  <c r="AJ80" i="21" a="1"/>
  <c r="AJ80" i="21" s="1"/>
  <c r="AK80" i="21" a="1"/>
  <c r="AK80" i="21" s="1"/>
  <c r="AL80" i="21" a="1"/>
  <c r="AL80" i="21" s="1"/>
  <c r="AM80" i="21" a="1"/>
  <c r="AM80" i="21" s="1"/>
  <c r="AN80" i="21" a="1"/>
  <c r="AN80" i="21" s="1"/>
  <c r="AO80" i="21" a="1"/>
  <c r="AO80" i="21" s="1"/>
  <c r="AP80" i="21" a="1"/>
  <c r="AP80" i="21" s="1"/>
  <c r="AQ80" i="21" a="1"/>
  <c r="AQ80" i="21" s="1"/>
  <c r="AR80" i="21" a="1"/>
  <c r="AR80" i="21" s="1"/>
  <c r="AS80" i="21" a="1"/>
  <c r="AS80" i="21" s="1"/>
  <c r="AT80" i="21" a="1"/>
  <c r="AT80" i="21" s="1"/>
  <c r="AU80" i="21" a="1"/>
  <c r="AU80" i="21" s="1"/>
  <c r="AV80" i="21" a="1"/>
  <c r="AV80" i="21" s="1"/>
  <c r="AW80" i="21" a="1"/>
  <c r="AW80" i="21" s="1"/>
  <c r="AX80" i="21" a="1"/>
  <c r="AX80" i="21" s="1"/>
  <c r="AY80" i="21" a="1"/>
  <c r="AY80" i="21" s="1"/>
  <c r="AZ80" i="21" a="1"/>
  <c r="AZ80" i="21" s="1"/>
  <c r="BA80" i="21" a="1"/>
  <c r="BA80" i="21" s="1"/>
  <c r="BB80" i="21" a="1"/>
  <c r="BB80" i="21" s="1"/>
  <c r="BC80" i="21" a="1"/>
  <c r="BC80" i="21" s="1"/>
  <c r="BD80" i="21" a="1"/>
  <c r="BD80" i="21" s="1"/>
  <c r="BE80" i="21" a="1"/>
  <c r="BE80" i="21" s="1"/>
  <c r="BF80" i="21" a="1"/>
  <c r="BF80" i="21" s="1"/>
  <c r="BG80" i="21" a="1"/>
  <c r="BG80" i="21" s="1"/>
  <c r="BH80" i="21" a="1"/>
  <c r="BH80" i="21" s="1"/>
  <c r="BI80" i="21" a="1"/>
  <c r="BI80" i="21" s="1"/>
  <c r="BJ80" i="21" a="1"/>
  <c r="BJ80" i="21" s="1"/>
  <c r="BK80" i="21" a="1"/>
  <c r="BK80" i="21" s="1"/>
  <c r="BL80" i="21" a="1"/>
  <c r="BL80" i="21" s="1"/>
  <c r="BM80" i="21" a="1"/>
  <c r="BM80" i="21" s="1"/>
  <c r="BN80" i="21" a="1"/>
  <c r="BN80" i="21" s="1"/>
  <c r="BO80" i="21" a="1"/>
  <c r="BO80" i="21" s="1"/>
  <c r="BP80" i="21" a="1"/>
  <c r="BP80" i="21" s="1"/>
  <c r="BQ80" i="21" a="1"/>
  <c r="BQ80" i="21" s="1"/>
  <c r="BR80" i="21" a="1"/>
  <c r="BR80" i="21" s="1"/>
  <c r="BS80" i="21" a="1"/>
  <c r="BS80" i="21" s="1"/>
  <c r="BT80" i="21" a="1"/>
  <c r="BT80" i="21" s="1"/>
  <c r="BU80" i="21" a="1"/>
  <c r="BU80" i="21" s="1"/>
  <c r="BV80" i="21" a="1"/>
  <c r="BV80" i="21" s="1"/>
  <c r="BW80" i="21" a="1"/>
  <c r="BW80" i="21" s="1"/>
  <c r="BX80" i="21" a="1"/>
  <c r="BX80" i="21" s="1"/>
  <c r="BY80" i="21" a="1"/>
  <c r="BY80" i="21" s="1"/>
  <c r="BZ80" i="21" a="1"/>
  <c r="BZ80" i="21" s="1"/>
  <c r="CA80" i="21" a="1"/>
  <c r="CA80" i="21" s="1"/>
  <c r="CB80" i="21" a="1"/>
  <c r="CB80" i="21" s="1"/>
  <c r="CC80" i="21" a="1"/>
  <c r="CC80" i="21" s="1"/>
  <c r="CD80" i="21" a="1"/>
  <c r="CD80" i="21" s="1"/>
  <c r="CE80" i="21" a="1"/>
  <c r="CE80" i="21" s="1"/>
  <c r="CF80" i="21" a="1"/>
  <c r="CF80" i="21" s="1"/>
  <c r="CG80" i="21" a="1"/>
  <c r="CG80" i="21" s="1"/>
  <c r="CH80" i="21" a="1"/>
  <c r="CH80" i="21" s="1"/>
  <c r="CI80" i="21" a="1"/>
  <c r="CI80" i="21" s="1"/>
  <c r="CJ80" i="21" a="1"/>
  <c r="CJ80" i="21" s="1"/>
  <c r="CK80" i="21" a="1"/>
  <c r="CK80" i="21" s="1"/>
  <c r="CL80" i="21" a="1"/>
  <c r="CL80" i="21" s="1"/>
  <c r="CM80" i="21" a="1"/>
  <c r="CM80" i="21" s="1"/>
  <c r="CN80" i="21" a="1"/>
  <c r="CN80" i="21" s="1"/>
  <c r="CO80" i="21" a="1"/>
  <c r="CO80" i="21" s="1"/>
  <c r="CP80" i="21" a="1"/>
  <c r="CP80" i="21" s="1"/>
  <c r="CQ80" i="21" a="1"/>
  <c r="CQ80" i="21" s="1"/>
  <c r="CR80" i="21" a="1"/>
  <c r="CR80" i="21" s="1"/>
  <c r="CS80" i="21" a="1"/>
  <c r="CS80" i="21" s="1"/>
  <c r="CT80" i="21" a="1"/>
  <c r="CT80" i="21" s="1"/>
  <c r="CU80" i="21" a="1"/>
  <c r="CU80" i="21" s="1"/>
  <c r="CV80" i="21" a="1"/>
  <c r="CV80" i="21" s="1"/>
  <c r="CW80" i="21" a="1"/>
  <c r="CW80" i="21" s="1"/>
  <c r="N81" i="21" a="1"/>
  <c r="N81" i="21" s="1"/>
  <c r="O81" i="21" a="1"/>
  <c r="O81" i="21" s="1"/>
  <c r="P81" i="21" a="1"/>
  <c r="P81" i="21" s="1"/>
  <c r="Q81" i="21" a="1"/>
  <c r="Q81" i="21" s="1"/>
  <c r="R81" i="21" a="1"/>
  <c r="R81" i="21" s="1"/>
  <c r="S81" i="21" a="1"/>
  <c r="S81" i="21" s="1"/>
  <c r="T81" i="21" a="1"/>
  <c r="T81" i="21" s="1"/>
  <c r="U81" i="21" a="1"/>
  <c r="U81" i="21" s="1"/>
  <c r="V81" i="21" a="1"/>
  <c r="V81" i="21" s="1"/>
  <c r="W81" i="21" a="1"/>
  <c r="W81" i="21" s="1"/>
  <c r="X81" i="21" a="1"/>
  <c r="X81" i="21" s="1"/>
  <c r="Y81" i="21" a="1"/>
  <c r="Y81" i="21" s="1"/>
  <c r="Z81" i="21" a="1"/>
  <c r="Z81" i="21" s="1"/>
  <c r="AA81" i="21" a="1"/>
  <c r="AA81" i="21" s="1"/>
  <c r="AB81" i="21" a="1"/>
  <c r="AB81" i="21" s="1"/>
  <c r="AC81" i="21" a="1"/>
  <c r="AC81" i="21" s="1"/>
  <c r="AD81" i="21" a="1"/>
  <c r="AD81" i="21" s="1"/>
  <c r="AE81" i="21" a="1"/>
  <c r="AE81" i="21" s="1"/>
  <c r="AF81" i="21" a="1"/>
  <c r="AF81" i="21" s="1"/>
  <c r="AG81" i="21" a="1"/>
  <c r="AG81" i="21" s="1"/>
  <c r="AH81" i="21" a="1"/>
  <c r="AH81" i="21" s="1"/>
  <c r="AI81" i="21" a="1"/>
  <c r="AI81" i="21" s="1"/>
  <c r="AJ81" i="21" a="1"/>
  <c r="AJ81" i="21" s="1"/>
  <c r="AK81" i="21" a="1"/>
  <c r="AK81" i="21" s="1"/>
  <c r="AL81" i="21" a="1"/>
  <c r="AL81" i="21" s="1"/>
  <c r="AM81" i="21" a="1"/>
  <c r="AM81" i="21" s="1"/>
  <c r="AN81" i="21" a="1"/>
  <c r="AN81" i="21" s="1"/>
  <c r="AO81" i="21" a="1"/>
  <c r="AO81" i="21" s="1"/>
  <c r="AP81" i="21" a="1"/>
  <c r="AP81" i="21" s="1"/>
  <c r="AQ81" i="21" a="1"/>
  <c r="AQ81" i="21" s="1"/>
  <c r="AR81" i="21" a="1"/>
  <c r="AR81" i="21" s="1"/>
  <c r="AS81" i="21" a="1"/>
  <c r="AS81" i="21" s="1"/>
  <c r="AT81" i="21" a="1"/>
  <c r="AT81" i="21" s="1"/>
  <c r="AU81" i="21" a="1"/>
  <c r="AU81" i="21" s="1"/>
  <c r="AV81" i="21" a="1"/>
  <c r="AV81" i="21" s="1"/>
  <c r="AW81" i="21" a="1"/>
  <c r="AW81" i="21" s="1"/>
  <c r="AX81" i="21" a="1"/>
  <c r="AX81" i="21" s="1"/>
  <c r="AY81" i="21" a="1"/>
  <c r="AY81" i="21" s="1"/>
  <c r="AZ81" i="21" a="1"/>
  <c r="AZ81" i="21" s="1"/>
  <c r="BA81" i="21" a="1"/>
  <c r="BA81" i="21" s="1"/>
  <c r="BB81" i="21" a="1"/>
  <c r="BB81" i="21" s="1"/>
  <c r="BC81" i="21" a="1"/>
  <c r="BC81" i="21" s="1"/>
  <c r="BD81" i="21" a="1"/>
  <c r="BD81" i="21" s="1"/>
  <c r="BE81" i="21" a="1"/>
  <c r="BE81" i="21" s="1"/>
  <c r="BF81" i="21" a="1"/>
  <c r="BF81" i="21" s="1"/>
  <c r="BG81" i="21" a="1"/>
  <c r="BG81" i="21" s="1"/>
  <c r="BH81" i="21" a="1"/>
  <c r="BH81" i="21" s="1"/>
  <c r="BI81" i="21" a="1"/>
  <c r="BI81" i="21" s="1"/>
  <c r="BJ81" i="21" a="1"/>
  <c r="BJ81" i="21" s="1"/>
  <c r="BK81" i="21" a="1"/>
  <c r="BK81" i="21" s="1"/>
  <c r="BL81" i="21" a="1"/>
  <c r="BL81" i="21" s="1"/>
  <c r="BM81" i="21" a="1"/>
  <c r="BM81" i="21" s="1"/>
  <c r="BN81" i="21" a="1"/>
  <c r="BN81" i="21" s="1"/>
  <c r="BO81" i="21" a="1"/>
  <c r="BO81" i="21" s="1"/>
  <c r="BP81" i="21" a="1"/>
  <c r="BP81" i="21" s="1"/>
  <c r="BQ81" i="21" a="1"/>
  <c r="BQ81" i="21" s="1"/>
  <c r="BR81" i="21" a="1"/>
  <c r="BR81" i="21" s="1"/>
  <c r="BS81" i="21" a="1"/>
  <c r="BS81" i="21" s="1"/>
  <c r="BT81" i="21" a="1"/>
  <c r="BT81" i="21" s="1"/>
  <c r="BU81" i="21" a="1"/>
  <c r="BU81" i="21" s="1"/>
  <c r="BV81" i="21" a="1"/>
  <c r="BV81" i="21" s="1"/>
  <c r="BW81" i="21" a="1"/>
  <c r="BW81" i="21" s="1"/>
  <c r="BX81" i="21" a="1"/>
  <c r="BX81" i="21" s="1"/>
  <c r="BY81" i="21" a="1"/>
  <c r="BY81" i="21" s="1"/>
  <c r="BZ81" i="21" a="1"/>
  <c r="BZ81" i="21" s="1"/>
  <c r="CA81" i="21" a="1"/>
  <c r="CA81" i="21" s="1"/>
  <c r="CB81" i="21" a="1"/>
  <c r="CB81" i="21" s="1"/>
  <c r="CC81" i="21" a="1"/>
  <c r="CC81" i="21" s="1"/>
  <c r="CD81" i="21" a="1"/>
  <c r="CD81" i="21" s="1"/>
  <c r="CE81" i="21" a="1"/>
  <c r="CE81" i="21" s="1"/>
  <c r="CF81" i="21" a="1"/>
  <c r="CF81" i="21" s="1"/>
  <c r="CG81" i="21" a="1"/>
  <c r="CG81" i="21" s="1"/>
  <c r="CH81" i="21" a="1"/>
  <c r="CH81" i="21" s="1"/>
  <c r="CI81" i="21" a="1"/>
  <c r="CI81" i="21" s="1"/>
  <c r="CJ81" i="21" a="1"/>
  <c r="CJ81" i="21" s="1"/>
  <c r="CK81" i="21" a="1"/>
  <c r="CK81" i="21" s="1"/>
  <c r="CL81" i="21" a="1"/>
  <c r="CL81" i="21" s="1"/>
  <c r="CM81" i="21" a="1"/>
  <c r="CM81" i="21" s="1"/>
  <c r="CN81" i="21" a="1"/>
  <c r="CN81" i="21" s="1"/>
  <c r="CO81" i="21" a="1"/>
  <c r="CO81" i="21" s="1"/>
  <c r="CP81" i="21" a="1"/>
  <c r="CP81" i="21" s="1"/>
  <c r="CQ81" i="21" a="1"/>
  <c r="CQ81" i="21" s="1"/>
  <c r="CR81" i="21" a="1"/>
  <c r="CR81" i="21" s="1"/>
  <c r="CS81" i="21" a="1"/>
  <c r="CS81" i="21" s="1"/>
  <c r="CT81" i="21" a="1"/>
  <c r="CT81" i="21" s="1"/>
  <c r="CU81" i="21" a="1"/>
  <c r="CU81" i="21" s="1"/>
  <c r="CV81" i="21" a="1"/>
  <c r="CV81" i="21" s="1"/>
  <c r="CW81" i="21" a="1"/>
  <c r="CW81" i="21" s="1"/>
  <c r="S13" i="21" a="1"/>
  <c r="S13" i="21" s="1"/>
  <c r="T13" i="21" a="1"/>
  <c r="T13" i="21" s="1"/>
  <c r="U13" i="21" a="1"/>
  <c r="U13" i="21" s="1"/>
  <c r="V13" i="21" a="1"/>
  <c r="V13" i="21" s="1"/>
  <c r="W13" i="21" a="1"/>
  <c r="W13" i="21" s="1"/>
  <c r="X13" i="21" a="1"/>
  <c r="X13" i="21" s="1"/>
  <c r="Y13" i="21" a="1"/>
  <c r="Y13" i="21" s="1"/>
  <c r="Z13" i="21" a="1"/>
  <c r="Z13" i="21" s="1"/>
  <c r="AA13" i="21" a="1"/>
  <c r="AA13" i="21" s="1"/>
  <c r="AB13" i="21" a="1"/>
  <c r="AB13" i="21" s="1"/>
  <c r="AC13" i="21" a="1"/>
  <c r="AC13" i="21" s="1"/>
  <c r="AD13" i="21" a="1"/>
  <c r="AD13" i="21" s="1"/>
  <c r="AE13" i="21" a="1"/>
  <c r="AE13" i="21" s="1"/>
  <c r="AF13" i="21" a="1"/>
  <c r="AF13" i="21" s="1"/>
  <c r="AG13" i="21" a="1"/>
  <c r="AG13" i="21" s="1"/>
  <c r="AH13" i="21" a="1"/>
  <c r="AH13" i="21" s="1"/>
  <c r="AI13" i="21" a="1"/>
  <c r="AI13" i="21" s="1"/>
  <c r="AJ13" i="21" a="1"/>
  <c r="AJ13" i="21" s="1"/>
  <c r="AK13" i="21" a="1"/>
  <c r="AK13" i="21" s="1"/>
  <c r="AL13" i="21" a="1"/>
  <c r="AL13" i="21" s="1"/>
  <c r="AM13" i="21" a="1"/>
  <c r="AM13" i="21" s="1"/>
  <c r="AN13" i="21" a="1"/>
  <c r="AN13" i="21" s="1"/>
  <c r="AO13" i="21" a="1"/>
  <c r="AO13" i="21" s="1"/>
  <c r="AP13" i="21" a="1"/>
  <c r="AP13" i="21" s="1"/>
  <c r="AQ13" i="21" a="1"/>
  <c r="AQ13" i="21" s="1"/>
  <c r="AR13" i="21" a="1"/>
  <c r="AR13" i="21" s="1"/>
  <c r="AS13" i="21" a="1"/>
  <c r="AS13" i="21" s="1"/>
  <c r="AT13" i="21" a="1"/>
  <c r="AT13" i="21" s="1"/>
  <c r="AU13" i="21" a="1"/>
  <c r="AU13" i="21" s="1"/>
  <c r="AV13" i="21" a="1"/>
  <c r="AV13" i="21" s="1"/>
  <c r="AW13" i="21" a="1"/>
  <c r="AW13" i="21" s="1"/>
  <c r="AX13" i="21" a="1"/>
  <c r="AX13" i="21" s="1"/>
  <c r="AY13" i="21" a="1"/>
  <c r="AY13" i="21" s="1"/>
  <c r="AZ13" i="21" a="1"/>
  <c r="AZ13" i="21" s="1"/>
  <c r="BA13" i="21" a="1"/>
  <c r="BA13" i="21" s="1"/>
  <c r="BB13" i="21" a="1"/>
  <c r="BB13" i="21" s="1"/>
  <c r="BC13" i="21" a="1"/>
  <c r="BC13" i="21" s="1"/>
  <c r="BD13" i="21" a="1"/>
  <c r="BD13" i="21" s="1"/>
  <c r="BE13" i="21" a="1"/>
  <c r="BE13" i="21" s="1"/>
  <c r="BF13" i="21" a="1"/>
  <c r="BF13" i="21" s="1"/>
  <c r="BG13" i="21" a="1"/>
  <c r="BG13" i="21" s="1"/>
  <c r="BH13" i="21" a="1"/>
  <c r="BH13" i="21" s="1"/>
  <c r="BI13" i="21" a="1"/>
  <c r="BI13" i="21" s="1"/>
  <c r="BJ13" i="21" a="1"/>
  <c r="BJ13" i="21" s="1"/>
  <c r="BK13" i="21" a="1"/>
  <c r="BK13" i="21" s="1"/>
  <c r="BL13" i="21" a="1"/>
  <c r="BL13" i="21" s="1"/>
  <c r="BM13" i="21" a="1"/>
  <c r="BM13" i="21" s="1"/>
  <c r="BN13" i="21" a="1"/>
  <c r="BN13" i="21" s="1"/>
  <c r="BO13" i="21" a="1"/>
  <c r="BO13" i="21" s="1"/>
  <c r="BP13" i="21" a="1"/>
  <c r="BP13" i="21" s="1"/>
  <c r="BQ13" i="21" a="1"/>
  <c r="BQ13" i="21" s="1"/>
  <c r="BR13" i="21" a="1"/>
  <c r="BR13" i="21" s="1"/>
  <c r="BS13" i="21" a="1"/>
  <c r="BS13" i="21" s="1"/>
  <c r="BT13" i="21" a="1"/>
  <c r="BT13" i="21" s="1"/>
  <c r="BU13" i="21" a="1"/>
  <c r="BU13" i="21" s="1"/>
  <c r="BV13" i="21" a="1"/>
  <c r="BV13" i="21" s="1"/>
  <c r="BW13" i="21" a="1"/>
  <c r="BW13" i="21" s="1"/>
  <c r="BX13" i="21" a="1"/>
  <c r="BX13" i="21" s="1"/>
  <c r="BY13" i="21" a="1"/>
  <c r="BY13" i="21" s="1"/>
  <c r="BZ13" i="21" a="1"/>
  <c r="BZ13" i="21" s="1"/>
  <c r="CA13" i="21" a="1"/>
  <c r="CA13" i="21" s="1"/>
  <c r="CB13" i="21" a="1"/>
  <c r="CB13" i="21" s="1"/>
  <c r="CC13" i="21" a="1"/>
  <c r="CC13" i="21" s="1"/>
  <c r="CD13" i="21" a="1"/>
  <c r="CD13" i="21" s="1"/>
  <c r="CE13" i="21" a="1"/>
  <c r="CE13" i="21" s="1"/>
  <c r="CF13" i="21" a="1"/>
  <c r="CF13" i="21" s="1"/>
  <c r="CG13" i="21" a="1"/>
  <c r="CG13" i="21" s="1"/>
  <c r="CH13" i="21" a="1"/>
  <c r="CH13" i="21" s="1"/>
  <c r="CI13" i="21" a="1"/>
  <c r="CI13" i="21" s="1"/>
  <c r="CJ13" i="21" a="1"/>
  <c r="CJ13" i="21" s="1"/>
  <c r="CK13" i="21" a="1"/>
  <c r="CK13" i="21" s="1"/>
  <c r="CL13" i="21" a="1"/>
  <c r="CL13" i="21" s="1"/>
  <c r="CM13" i="21" a="1"/>
  <c r="CM13" i="21" s="1"/>
  <c r="CN13" i="21" a="1"/>
  <c r="CN13" i="21" s="1"/>
  <c r="CO13" i="21" a="1"/>
  <c r="CO13" i="21" s="1"/>
  <c r="CP13" i="21" a="1"/>
  <c r="CP13" i="21" s="1"/>
  <c r="CQ13" i="21" a="1"/>
  <c r="CQ13" i="21" s="1"/>
  <c r="CR13" i="21" a="1"/>
  <c r="CR13" i="21" s="1"/>
  <c r="CS13" i="21" a="1"/>
  <c r="CS13" i="21" s="1"/>
  <c r="CT13" i="21" a="1"/>
  <c r="CT13" i="21" s="1"/>
  <c r="CU13" i="21" a="1"/>
  <c r="CU13" i="21" s="1"/>
  <c r="CV13" i="21" a="1"/>
  <c r="CV13" i="21" s="1"/>
  <c r="CW13" i="21" a="1"/>
  <c r="CW13" i="21" s="1"/>
  <c r="S14" i="21" a="1"/>
  <c r="S14" i="21" s="1"/>
  <c r="T14" i="21" a="1"/>
  <c r="T14" i="21" s="1"/>
  <c r="U14" i="21" a="1"/>
  <c r="U14" i="21" s="1"/>
  <c r="V14" i="21" a="1"/>
  <c r="V14" i="21" s="1"/>
  <c r="W14" i="21" a="1"/>
  <c r="W14" i="21" s="1"/>
  <c r="X14" i="21" a="1"/>
  <c r="X14" i="21" s="1"/>
  <c r="Y14" i="21" a="1"/>
  <c r="Y14" i="21" s="1"/>
  <c r="Z14" i="21" a="1"/>
  <c r="Z14" i="21" s="1"/>
  <c r="AA14" i="21" a="1"/>
  <c r="AA14" i="21" s="1"/>
  <c r="AB14" i="21" a="1"/>
  <c r="AB14" i="21" s="1"/>
  <c r="AC14" i="21" a="1"/>
  <c r="AC14" i="21" s="1"/>
  <c r="AD14" i="21" a="1"/>
  <c r="AD14" i="21" s="1"/>
  <c r="AE14" i="21" a="1"/>
  <c r="AE14" i="21" s="1"/>
  <c r="AF14" i="21" a="1"/>
  <c r="AF14" i="21" s="1"/>
  <c r="AG14" i="21" a="1"/>
  <c r="AG14" i="21" s="1"/>
  <c r="AH14" i="21" a="1"/>
  <c r="AH14" i="21" s="1"/>
  <c r="AI14" i="21" a="1"/>
  <c r="AI14" i="21" s="1"/>
  <c r="AJ14" i="21" a="1"/>
  <c r="AJ14" i="21" s="1"/>
  <c r="AK14" i="21" a="1"/>
  <c r="AK14" i="21" s="1"/>
  <c r="AL14" i="21" a="1"/>
  <c r="AL14" i="21" s="1"/>
  <c r="AM14" i="21" a="1"/>
  <c r="AM14" i="21" s="1"/>
  <c r="AN14" i="21" a="1"/>
  <c r="AN14" i="21" s="1"/>
  <c r="AO14" i="21" a="1"/>
  <c r="AO14" i="21" s="1"/>
  <c r="AP14" i="21" a="1"/>
  <c r="AP14" i="21" s="1"/>
  <c r="AQ14" i="21" a="1"/>
  <c r="AQ14" i="21" s="1"/>
  <c r="AR14" i="21" a="1"/>
  <c r="AR14" i="21" s="1"/>
  <c r="AS14" i="21" a="1"/>
  <c r="AS14" i="21" s="1"/>
  <c r="AT14" i="21" a="1"/>
  <c r="AT14" i="21" s="1"/>
  <c r="AU14" i="21" a="1"/>
  <c r="AU14" i="21" s="1"/>
  <c r="AV14" i="21" a="1"/>
  <c r="AV14" i="21" s="1"/>
  <c r="AW14" i="21" a="1"/>
  <c r="AW14" i="21" s="1"/>
  <c r="AX14" i="21" a="1"/>
  <c r="AX14" i="21" s="1"/>
  <c r="AY14" i="21" a="1"/>
  <c r="AY14" i="21" s="1"/>
  <c r="AZ14" i="21" a="1"/>
  <c r="AZ14" i="21" s="1"/>
  <c r="BA14" i="21" a="1"/>
  <c r="BA14" i="21" s="1"/>
  <c r="BB14" i="21" a="1"/>
  <c r="BB14" i="21" s="1"/>
  <c r="BC14" i="21" a="1"/>
  <c r="BC14" i="21" s="1"/>
  <c r="BD14" i="21" a="1"/>
  <c r="BD14" i="21" s="1"/>
  <c r="BE14" i="21" a="1"/>
  <c r="BE14" i="21" s="1"/>
  <c r="BF14" i="21" a="1"/>
  <c r="BF14" i="21" s="1"/>
  <c r="BG14" i="21" a="1"/>
  <c r="BG14" i="21" s="1"/>
  <c r="BH14" i="21" a="1"/>
  <c r="BH14" i="21" s="1"/>
  <c r="BI14" i="21" a="1"/>
  <c r="BI14" i="21" s="1"/>
  <c r="BJ14" i="21" a="1"/>
  <c r="BJ14" i="21" s="1"/>
  <c r="BK14" i="21" a="1"/>
  <c r="BK14" i="21" s="1"/>
  <c r="BL14" i="21" a="1"/>
  <c r="BL14" i="21" s="1"/>
  <c r="BM14" i="21" a="1"/>
  <c r="BM14" i="21" s="1"/>
  <c r="BN14" i="21" a="1"/>
  <c r="BN14" i="21" s="1"/>
  <c r="BO14" i="21" a="1"/>
  <c r="BO14" i="21" s="1"/>
  <c r="BP14" i="21" a="1"/>
  <c r="BP14" i="21" s="1"/>
  <c r="BQ14" i="21" a="1"/>
  <c r="BQ14" i="21" s="1"/>
  <c r="BR14" i="21" a="1"/>
  <c r="BR14" i="21" s="1"/>
  <c r="BS14" i="21" a="1"/>
  <c r="BS14" i="21" s="1"/>
  <c r="BT14" i="21" a="1"/>
  <c r="BT14" i="21" s="1"/>
  <c r="BU14" i="21" a="1"/>
  <c r="BU14" i="21" s="1"/>
  <c r="BV14" i="21" a="1"/>
  <c r="BV14" i="21" s="1"/>
  <c r="BW14" i="21" a="1"/>
  <c r="BW14" i="21" s="1"/>
  <c r="BX14" i="21" a="1"/>
  <c r="BX14" i="21" s="1"/>
  <c r="BY14" i="21" a="1"/>
  <c r="BY14" i="21" s="1"/>
  <c r="BZ14" i="21" a="1"/>
  <c r="BZ14" i="21" s="1"/>
  <c r="CA14" i="21" a="1"/>
  <c r="CA14" i="21" s="1"/>
  <c r="CB14" i="21" a="1"/>
  <c r="CB14" i="21" s="1"/>
  <c r="CC14" i="21" a="1"/>
  <c r="CC14" i="21" s="1"/>
  <c r="CD14" i="21" a="1"/>
  <c r="CD14" i="21" s="1"/>
  <c r="CE14" i="21" a="1"/>
  <c r="CE14" i="21" s="1"/>
  <c r="CF14" i="21" a="1"/>
  <c r="CF14" i="21" s="1"/>
  <c r="CG14" i="21" a="1"/>
  <c r="CG14" i="21" s="1"/>
  <c r="CH14" i="21" a="1"/>
  <c r="CH14" i="21" s="1"/>
  <c r="CI14" i="21" a="1"/>
  <c r="CI14" i="21" s="1"/>
  <c r="CJ14" i="21" a="1"/>
  <c r="CJ14" i="21" s="1"/>
  <c r="CK14" i="21" a="1"/>
  <c r="CK14" i="21" s="1"/>
  <c r="CL14" i="21" a="1"/>
  <c r="CL14" i="21" s="1"/>
  <c r="CM14" i="21" a="1"/>
  <c r="CM14" i="21" s="1"/>
  <c r="CN14" i="21" a="1"/>
  <c r="CN14" i="21" s="1"/>
  <c r="CO14" i="21" a="1"/>
  <c r="CO14" i="21" s="1"/>
  <c r="CP14" i="21" a="1"/>
  <c r="CP14" i="21" s="1"/>
  <c r="CQ14" i="21" a="1"/>
  <c r="CQ14" i="21" s="1"/>
  <c r="CR14" i="21" a="1"/>
  <c r="CR14" i="21" s="1"/>
  <c r="CS14" i="21" a="1"/>
  <c r="CS14" i="21" s="1"/>
  <c r="CT14" i="21" a="1"/>
  <c r="CT14" i="21" s="1"/>
  <c r="CU14" i="21" a="1"/>
  <c r="CU14" i="21" s="1"/>
  <c r="CV14" i="21" a="1"/>
  <c r="CV14" i="21" s="1"/>
  <c r="CW14" i="21" a="1"/>
  <c r="CW14" i="21" s="1"/>
  <c r="S15" i="21" a="1"/>
  <c r="S15" i="21" s="1"/>
  <c r="T15" i="21" a="1"/>
  <c r="T15" i="21" s="1"/>
  <c r="U15" i="21" a="1"/>
  <c r="U15" i="21" s="1"/>
  <c r="V15" i="21" a="1"/>
  <c r="V15" i="21" s="1"/>
  <c r="W15" i="21" a="1"/>
  <c r="W15" i="21" s="1"/>
  <c r="X15" i="21" a="1"/>
  <c r="X15" i="21" s="1"/>
  <c r="Y15" i="21" a="1"/>
  <c r="Y15" i="21" s="1"/>
  <c r="Z15" i="21" a="1"/>
  <c r="Z15" i="21" s="1"/>
  <c r="AA15" i="21" a="1"/>
  <c r="AA15" i="21" s="1"/>
  <c r="AB15" i="21" a="1"/>
  <c r="AB15" i="21" s="1"/>
  <c r="AC15" i="21" a="1"/>
  <c r="AC15" i="21" s="1"/>
  <c r="AD15" i="21" a="1"/>
  <c r="AD15" i="21" s="1"/>
  <c r="AE15" i="21" a="1"/>
  <c r="AE15" i="21" s="1"/>
  <c r="AF15" i="21" a="1"/>
  <c r="AF15" i="21" s="1"/>
  <c r="AG15" i="21" a="1"/>
  <c r="AG15" i="21" s="1"/>
  <c r="AH15" i="21" a="1"/>
  <c r="AH15" i="21" s="1"/>
  <c r="AI15" i="21" a="1"/>
  <c r="AI15" i="21" s="1"/>
  <c r="AJ15" i="21" a="1"/>
  <c r="AJ15" i="21" s="1"/>
  <c r="AK15" i="21" a="1"/>
  <c r="AK15" i="21" s="1"/>
  <c r="AL15" i="21" a="1"/>
  <c r="AL15" i="21" s="1"/>
  <c r="AM15" i="21" a="1"/>
  <c r="AM15" i="21" s="1"/>
  <c r="AN15" i="21" a="1"/>
  <c r="AN15" i="21" s="1"/>
  <c r="AO15" i="21" a="1"/>
  <c r="AO15" i="21" s="1"/>
  <c r="AP15" i="21" a="1"/>
  <c r="AP15" i="21" s="1"/>
  <c r="AQ15" i="21" a="1"/>
  <c r="AQ15" i="21" s="1"/>
  <c r="AR15" i="21" a="1"/>
  <c r="AR15" i="21" s="1"/>
  <c r="AS15" i="21" a="1"/>
  <c r="AS15" i="21" s="1"/>
  <c r="AT15" i="21" a="1"/>
  <c r="AT15" i="21" s="1"/>
  <c r="AU15" i="21" a="1"/>
  <c r="AU15" i="21" s="1"/>
  <c r="AV15" i="21" a="1"/>
  <c r="AV15" i="21" s="1"/>
  <c r="AW15" i="21" a="1"/>
  <c r="AW15" i="21" s="1"/>
  <c r="AX15" i="21" a="1"/>
  <c r="AX15" i="21" s="1"/>
  <c r="AY15" i="21" a="1"/>
  <c r="AY15" i="21" s="1"/>
  <c r="AZ15" i="21" a="1"/>
  <c r="AZ15" i="21" s="1"/>
  <c r="BA15" i="21" a="1"/>
  <c r="BA15" i="21" s="1"/>
  <c r="BB15" i="21" a="1"/>
  <c r="BB15" i="21" s="1"/>
  <c r="BC15" i="21" a="1"/>
  <c r="BC15" i="21" s="1"/>
  <c r="BD15" i="21" a="1"/>
  <c r="BD15" i="21" s="1"/>
  <c r="BE15" i="21" a="1"/>
  <c r="BE15" i="21" s="1"/>
  <c r="BF15" i="21" a="1"/>
  <c r="BF15" i="21" s="1"/>
  <c r="BG15" i="21" a="1"/>
  <c r="BG15" i="21" s="1"/>
  <c r="BH15" i="21" a="1"/>
  <c r="BH15" i="21" s="1"/>
  <c r="BI15" i="21" a="1"/>
  <c r="BI15" i="21" s="1"/>
  <c r="BJ15" i="21" a="1"/>
  <c r="BJ15" i="21" s="1"/>
  <c r="BK15" i="21" a="1"/>
  <c r="BK15" i="21" s="1"/>
  <c r="BL15" i="21" a="1"/>
  <c r="BL15" i="21" s="1"/>
  <c r="BM15" i="21" a="1"/>
  <c r="BM15" i="21" s="1"/>
  <c r="BN15" i="21" a="1"/>
  <c r="BN15" i="21" s="1"/>
  <c r="BO15" i="21" a="1"/>
  <c r="BO15" i="21" s="1"/>
  <c r="BP15" i="21" a="1"/>
  <c r="BP15" i="21" s="1"/>
  <c r="BQ15" i="21" a="1"/>
  <c r="BQ15" i="21" s="1"/>
  <c r="BR15" i="21" a="1"/>
  <c r="BR15" i="21" s="1"/>
  <c r="BS15" i="21" a="1"/>
  <c r="BS15" i="21" s="1"/>
  <c r="BT15" i="21" a="1"/>
  <c r="BT15" i="21" s="1"/>
  <c r="BU15" i="21" a="1"/>
  <c r="BU15" i="21" s="1"/>
  <c r="BV15" i="21" a="1"/>
  <c r="BV15" i="21" s="1"/>
  <c r="BW15" i="21" a="1"/>
  <c r="BW15" i="21" s="1"/>
  <c r="BX15" i="21" a="1"/>
  <c r="BX15" i="21" s="1"/>
  <c r="BY15" i="21" a="1"/>
  <c r="BY15" i="21" s="1"/>
  <c r="BZ15" i="21" a="1"/>
  <c r="BZ15" i="21" s="1"/>
  <c r="CA15" i="21" a="1"/>
  <c r="CA15" i="21" s="1"/>
  <c r="CB15" i="21" a="1"/>
  <c r="CB15" i="21" s="1"/>
  <c r="CC15" i="21" a="1"/>
  <c r="CC15" i="21" s="1"/>
  <c r="CD15" i="21" a="1"/>
  <c r="CD15" i="21" s="1"/>
  <c r="CE15" i="21" a="1"/>
  <c r="CE15" i="21" s="1"/>
  <c r="CF15" i="21" a="1"/>
  <c r="CF15" i="21" s="1"/>
  <c r="CG15" i="21" a="1"/>
  <c r="CG15" i="21" s="1"/>
  <c r="CH15" i="21" a="1"/>
  <c r="CH15" i="21" s="1"/>
  <c r="CI15" i="21" a="1"/>
  <c r="CI15" i="21" s="1"/>
  <c r="CJ15" i="21" a="1"/>
  <c r="CJ15" i="21" s="1"/>
  <c r="CK15" i="21" a="1"/>
  <c r="CK15" i="21" s="1"/>
  <c r="CL15" i="21" a="1"/>
  <c r="CL15" i="21" s="1"/>
  <c r="CM15" i="21" a="1"/>
  <c r="CM15" i="21" s="1"/>
  <c r="CN15" i="21" a="1"/>
  <c r="CN15" i="21" s="1"/>
  <c r="CO15" i="21" a="1"/>
  <c r="CO15" i="21" s="1"/>
  <c r="CP15" i="21" a="1"/>
  <c r="CP15" i="21" s="1"/>
  <c r="CQ15" i="21" a="1"/>
  <c r="CQ15" i="21" s="1"/>
  <c r="CR15" i="21" a="1"/>
  <c r="CR15" i="21" s="1"/>
  <c r="CS15" i="21" a="1"/>
  <c r="CS15" i="21" s="1"/>
  <c r="CT15" i="21" a="1"/>
  <c r="CT15" i="21" s="1"/>
  <c r="CU15" i="21" a="1"/>
  <c r="CU15" i="21" s="1"/>
  <c r="CV15" i="21" a="1"/>
  <c r="CV15" i="21" s="1"/>
  <c r="CW15" i="21" a="1"/>
  <c r="CW15" i="21" s="1"/>
  <c r="S16" i="21" a="1"/>
  <c r="S16" i="21" s="1"/>
  <c r="T16" i="21" a="1"/>
  <c r="T16" i="21" s="1"/>
  <c r="U16" i="21" a="1"/>
  <c r="U16" i="21" s="1"/>
  <c r="V16" i="21" a="1"/>
  <c r="V16" i="21" s="1"/>
  <c r="W16" i="21" a="1"/>
  <c r="W16" i="21" s="1"/>
  <c r="X16" i="21" a="1"/>
  <c r="X16" i="21" s="1"/>
  <c r="Y16" i="21" a="1"/>
  <c r="Y16" i="21" s="1"/>
  <c r="Z16" i="21" a="1"/>
  <c r="Z16" i="21" s="1"/>
  <c r="AA16" i="21" a="1"/>
  <c r="AA16" i="21" s="1"/>
  <c r="AB16" i="21" a="1"/>
  <c r="AB16" i="21" s="1"/>
  <c r="AC16" i="21" a="1"/>
  <c r="AC16" i="21" s="1"/>
  <c r="AD16" i="21" a="1"/>
  <c r="AD16" i="21" s="1"/>
  <c r="AE16" i="21" a="1"/>
  <c r="AE16" i="21" s="1"/>
  <c r="AF16" i="21" a="1"/>
  <c r="AF16" i="21" s="1"/>
  <c r="AG16" i="21" a="1"/>
  <c r="AG16" i="21" s="1"/>
  <c r="AH16" i="21" a="1"/>
  <c r="AH16" i="21" s="1"/>
  <c r="AI16" i="21" a="1"/>
  <c r="AI16" i="21" s="1"/>
  <c r="AJ16" i="21" a="1"/>
  <c r="AJ16" i="21" s="1"/>
  <c r="AK16" i="21" a="1"/>
  <c r="AK16" i="21" s="1"/>
  <c r="AL16" i="21" a="1"/>
  <c r="AL16" i="21" s="1"/>
  <c r="AM16" i="21" a="1"/>
  <c r="AM16" i="21" s="1"/>
  <c r="AN16" i="21" a="1"/>
  <c r="AN16" i="21" s="1"/>
  <c r="AO16" i="21" a="1"/>
  <c r="AO16" i="21" s="1"/>
  <c r="AP16" i="21" a="1"/>
  <c r="AP16" i="21" s="1"/>
  <c r="AQ16" i="21" a="1"/>
  <c r="AQ16" i="21" s="1"/>
  <c r="AR16" i="21" a="1"/>
  <c r="AR16" i="21" s="1"/>
  <c r="AS16" i="21" a="1"/>
  <c r="AS16" i="21" s="1"/>
  <c r="AT16" i="21" a="1"/>
  <c r="AT16" i="21" s="1"/>
  <c r="AU16" i="21" a="1"/>
  <c r="AU16" i="21" s="1"/>
  <c r="AV16" i="21" a="1"/>
  <c r="AV16" i="21" s="1"/>
  <c r="AW16" i="21" a="1"/>
  <c r="AW16" i="21" s="1"/>
  <c r="AX16" i="21" a="1"/>
  <c r="AX16" i="21" s="1"/>
  <c r="AY16" i="21" a="1"/>
  <c r="AY16" i="21" s="1"/>
  <c r="AZ16" i="21" a="1"/>
  <c r="AZ16" i="21" s="1"/>
  <c r="BA16" i="21" a="1"/>
  <c r="BA16" i="21" s="1"/>
  <c r="BB16" i="21" a="1"/>
  <c r="BB16" i="21" s="1"/>
  <c r="BC16" i="21" a="1"/>
  <c r="BC16" i="21" s="1"/>
  <c r="BD16" i="21" a="1"/>
  <c r="BD16" i="21" s="1"/>
  <c r="BE16" i="21" a="1"/>
  <c r="BE16" i="21" s="1"/>
  <c r="BF16" i="21" a="1"/>
  <c r="BF16" i="21" s="1"/>
  <c r="BG16" i="21" a="1"/>
  <c r="BG16" i="21" s="1"/>
  <c r="BH16" i="21" a="1"/>
  <c r="BH16" i="21" s="1"/>
  <c r="BI16" i="21" a="1"/>
  <c r="BI16" i="21" s="1"/>
  <c r="BJ16" i="21" a="1"/>
  <c r="BJ16" i="21" s="1"/>
  <c r="BK16" i="21" a="1"/>
  <c r="BK16" i="21" s="1"/>
  <c r="BL16" i="21" a="1"/>
  <c r="BL16" i="21" s="1"/>
  <c r="BM16" i="21" a="1"/>
  <c r="BM16" i="21" s="1"/>
  <c r="BN16" i="21" a="1"/>
  <c r="BN16" i="21" s="1"/>
  <c r="BO16" i="21" a="1"/>
  <c r="BO16" i="21" s="1"/>
  <c r="BP16" i="21" a="1"/>
  <c r="BP16" i="21" s="1"/>
  <c r="BQ16" i="21" a="1"/>
  <c r="BQ16" i="21" s="1"/>
  <c r="BR16" i="21" a="1"/>
  <c r="BR16" i="21" s="1"/>
  <c r="BS16" i="21" a="1"/>
  <c r="BS16" i="21" s="1"/>
  <c r="BT16" i="21" a="1"/>
  <c r="BT16" i="21" s="1"/>
  <c r="BU16" i="21" a="1"/>
  <c r="BU16" i="21" s="1"/>
  <c r="BV16" i="21" a="1"/>
  <c r="BV16" i="21" s="1"/>
  <c r="BW16" i="21" a="1"/>
  <c r="BW16" i="21" s="1"/>
  <c r="BX16" i="21" a="1"/>
  <c r="BX16" i="21" s="1"/>
  <c r="BY16" i="21" a="1"/>
  <c r="BY16" i="21" s="1"/>
  <c r="BZ16" i="21" a="1"/>
  <c r="BZ16" i="21" s="1"/>
  <c r="CA16" i="21" a="1"/>
  <c r="CA16" i="21" s="1"/>
  <c r="CB16" i="21" a="1"/>
  <c r="CB16" i="21" s="1"/>
  <c r="CC16" i="21" a="1"/>
  <c r="CC16" i="21" s="1"/>
  <c r="CD16" i="21" a="1"/>
  <c r="CD16" i="21" s="1"/>
  <c r="CE16" i="21" a="1"/>
  <c r="CE16" i="21" s="1"/>
  <c r="CF16" i="21" a="1"/>
  <c r="CF16" i="21" s="1"/>
  <c r="CG16" i="21" a="1"/>
  <c r="CG16" i="21" s="1"/>
  <c r="CH16" i="21" a="1"/>
  <c r="CH16" i="21" s="1"/>
  <c r="CI16" i="21" a="1"/>
  <c r="CI16" i="21" s="1"/>
  <c r="CJ16" i="21" a="1"/>
  <c r="CJ16" i="21" s="1"/>
  <c r="CK16" i="21" a="1"/>
  <c r="CK16" i="21" s="1"/>
  <c r="CL16" i="21" a="1"/>
  <c r="CL16" i="21" s="1"/>
  <c r="CM16" i="21" a="1"/>
  <c r="CM16" i="21" s="1"/>
  <c r="CN16" i="21" a="1"/>
  <c r="CN16" i="21" s="1"/>
  <c r="CO16" i="21" a="1"/>
  <c r="CO16" i="21" s="1"/>
  <c r="CP16" i="21" a="1"/>
  <c r="CP16" i="21" s="1"/>
  <c r="CQ16" i="21" a="1"/>
  <c r="CQ16" i="21" s="1"/>
  <c r="CR16" i="21" a="1"/>
  <c r="CR16" i="21" s="1"/>
  <c r="CS16" i="21" a="1"/>
  <c r="CS16" i="21" s="1"/>
  <c r="CT16" i="21" a="1"/>
  <c r="CT16" i="21" s="1"/>
  <c r="CU16" i="21" a="1"/>
  <c r="CU16" i="21" s="1"/>
  <c r="CV16" i="21" a="1"/>
  <c r="CV16" i="21" s="1"/>
  <c r="CW16" i="21" a="1"/>
  <c r="CW16" i="21" s="1"/>
  <c r="S17" i="21" a="1"/>
  <c r="S17" i="21" s="1"/>
  <c r="T17" i="21" a="1"/>
  <c r="T17" i="21" s="1"/>
  <c r="U17" i="21" a="1"/>
  <c r="U17" i="21" s="1"/>
  <c r="V17" i="21" a="1"/>
  <c r="V17" i="21" s="1"/>
  <c r="W17" i="21" a="1"/>
  <c r="W17" i="21" s="1"/>
  <c r="X17" i="21" a="1"/>
  <c r="X17" i="21" s="1"/>
  <c r="Y17" i="21" a="1"/>
  <c r="Y17" i="21" s="1"/>
  <c r="Z17" i="21" a="1"/>
  <c r="Z17" i="21" s="1"/>
  <c r="AA17" i="21" a="1"/>
  <c r="AA17" i="21" s="1"/>
  <c r="AB17" i="21" a="1"/>
  <c r="AB17" i="21" s="1"/>
  <c r="AC17" i="21" a="1"/>
  <c r="AC17" i="21" s="1"/>
  <c r="AD17" i="21" a="1"/>
  <c r="AD17" i="21" s="1"/>
  <c r="AE17" i="21" a="1"/>
  <c r="AE17" i="21" s="1"/>
  <c r="AF17" i="21" a="1"/>
  <c r="AF17" i="21" s="1"/>
  <c r="AG17" i="21" a="1"/>
  <c r="AG17" i="21" s="1"/>
  <c r="AH17" i="21" a="1"/>
  <c r="AH17" i="21" s="1"/>
  <c r="AI17" i="21" a="1"/>
  <c r="AI17" i="21" s="1"/>
  <c r="AJ17" i="21" a="1"/>
  <c r="AJ17" i="21" s="1"/>
  <c r="AK17" i="21" a="1"/>
  <c r="AK17" i="21" s="1"/>
  <c r="AL17" i="21" a="1"/>
  <c r="AL17" i="21" s="1"/>
  <c r="AM17" i="21" a="1"/>
  <c r="AM17" i="21" s="1"/>
  <c r="AN17" i="21" a="1"/>
  <c r="AN17" i="21" s="1"/>
  <c r="AO17" i="21" a="1"/>
  <c r="AO17" i="21" s="1"/>
  <c r="AP17" i="21" a="1"/>
  <c r="AP17" i="21" s="1"/>
  <c r="AQ17" i="21" a="1"/>
  <c r="AQ17" i="21" s="1"/>
  <c r="AR17" i="21" a="1"/>
  <c r="AR17" i="21" s="1"/>
  <c r="AS17" i="21" a="1"/>
  <c r="AS17" i="21" s="1"/>
  <c r="AT17" i="21" a="1"/>
  <c r="AT17" i="21" s="1"/>
  <c r="AU17" i="21" a="1"/>
  <c r="AU17" i="21" s="1"/>
  <c r="AV17" i="21" a="1"/>
  <c r="AV17" i="21" s="1"/>
  <c r="AW17" i="21" a="1"/>
  <c r="AW17" i="21" s="1"/>
  <c r="AX17" i="21" a="1"/>
  <c r="AX17" i="21" s="1"/>
  <c r="AY17" i="21" a="1"/>
  <c r="AY17" i="21" s="1"/>
  <c r="AZ17" i="21" a="1"/>
  <c r="AZ17" i="21" s="1"/>
  <c r="BA17" i="21" a="1"/>
  <c r="BA17" i="21" s="1"/>
  <c r="BB17" i="21" a="1"/>
  <c r="BB17" i="21" s="1"/>
  <c r="BC17" i="21" a="1"/>
  <c r="BC17" i="21" s="1"/>
  <c r="BD17" i="21" a="1"/>
  <c r="BD17" i="21" s="1"/>
  <c r="BE17" i="21" a="1"/>
  <c r="BE17" i="21" s="1"/>
  <c r="BF17" i="21" a="1"/>
  <c r="BF17" i="21" s="1"/>
  <c r="BG17" i="21" a="1"/>
  <c r="BG17" i="21" s="1"/>
  <c r="BH17" i="21" a="1"/>
  <c r="BH17" i="21" s="1"/>
  <c r="BI17" i="21" a="1"/>
  <c r="BI17" i="21" s="1"/>
  <c r="BJ17" i="21" a="1"/>
  <c r="BJ17" i="21" s="1"/>
  <c r="BK17" i="21" a="1"/>
  <c r="BK17" i="21" s="1"/>
  <c r="BL17" i="21" a="1"/>
  <c r="BL17" i="21" s="1"/>
  <c r="BM17" i="21" a="1"/>
  <c r="BM17" i="21" s="1"/>
  <c r="BN17" i="21" a="1"/>
  <c r="BN17" i="21" s="1"/>
  <c r="BO17" i="21" a="1"/>
  <c r="BO17" i="21" s="1"/>
  <c r="BP17" i="21" a="1"/>
  <c r="BP17" i="21" s="1"/>
  <c r="BQ17" i="21" a="1"/>
  <c r="BQ17" i="21" s="1"/>
  <c r="BR17" i="21" a="1"/>
  <c r="BR17" i="21" s="1"/>
  <c r="BS17" i="21" a="1"/>
  <c r="BS17" i="21" s="1"/>
  <c r="BT17" i="21" a="1"/>
  <c r="BT17" i="21" s="1"/>
  <c r="BU17" i="21" a="1"/>
  <c r="BU17" i="21" s="1"/>
  <c r="BV17" i="21" a="1"/>
  <c r="BV17" i="21" s="1"/>
  <c r="BW17" i="21" a="1"/>
  <c r="BW17" i="21" s="1"/>
  <c r="BX17" i="21" a="1"/>
  <c r="BX17" i="21" s="1"/>
  <c r="BY17" i="21" a="1"/>
  <c r="BY17" i="21" s="1"/>
  <c r="BZ17" i="21" a="1"/>
  <c r="BZ17" i="21" s="1"/>
  <c r="CA17" i="21" a="1"/>
  <c r="CA17" i="21" s="1"/>
  <c r="CB17" i="21" a="1"/>
  <c r="CB17" i="21" s="1"/>
  <c r="CC17" i="21" a="1"/>
  <c r="CC17" i="21" s="1"/>
  <c r="CD17" i="21" a="1"/>
  <c r="CD17" i="21" s="1"/>
  <c r="CE17" i="21" a="1"/>
  <c r="CE17" i="21" s="1"/>
  <c r="CF17" i="21" a="1"/>
  <c r="CF17" i="21" s="1"/>
  <c r="CG17" i="21" a="1"/>
  <c r="CG17" i="21" s="1"/>
  <c r="CH17" i="21" a="1"/>
  <c r="CH17" i="21" s="1"/>
  <c r="CI17" i="21" a="1"/>
  <c r="CI17" i="21" s="1"/>
  <c r="CJ17" i="21" a="1"/>
  <c r="CJ17" i="21" s="1"/>
  <c r="CK17" i="21" a="1"/>
  <c r="CK17" i="21" s="1"/>
  <c r="CL17" i="21" a="1"/>
  <c r="CL17" i="21" s="1"/>
  <c r="CM17" i="21" a="1"/>
  <c r="CM17" i="21" s="1"/>
  <c r="CN17" i="21" a="1"/>
  <c r="CN17" i="21" s="1"/>
  <c r="CO17" i="21" a="1"/>
  <c r="CO17" i="21" s="1"/>
  <c r="CP17" i="21" a="1"/>
  <c r="CP17" i="21" s="1"/>
  <c r="CQ17" i="21" a="1"/>
  <c r="CQ17" i="21" s="1"/>
  <c r="CR17" i="21" a="1"/>
  <c r="CR17" i="21" s="1"/>
  <c r="CS17" i="21" a="1"/>
  <c r="CS17" i="21" s="1"/>
  <c r="CT17" i="21" a="1"/>
  <c r="CT17" i="21" s="1"/>
  <c r="CU17" i="21" a="1"/>
  <c r="CU17" i="21" s="1"/>
  <c r="CV17" i="21" a="1"/>
  <c r="CV17" i="21" s="1"/>
  <c r="CW17" i="21" a="1"/>
  <c r="CW17" i="21" s="1"/>
  <c r="S18" i="21" a="1"/>
  <c r="S18" i="21" s="1"/>
  <c r="T18" i="21" a="1"/>
  <c r="T18" i="21" s="1"/>
  <c r="U18" i="21" a="1"/>
  <c r="U18" i="21" s="1"/>
  <c r="V18" i="21" a="1"/>
  <c r="V18" i="21" s="1"/>
  <c r="W18" i="21" a="1"/>
  <c r="W18" i="21" s="1"/>
  <c r="X18" i="21" a="1"/>
  <c r="X18" i="21" s="1"/>
  <c r="Y18" i="21" a="1"/>
  <c r="Y18" i="21" s="1"/>
  <c r="Z18" i="21" a="1"/>
  <c r="Z18" i="21" s="1"/>
  <c r="AA18" i="21" a="1"/>
  <c r="AA18" i="21" s="1"/>
  <c r="AB18" i="21" a="1"/>
  <c r="AB18" i="21" s="1"/>
  <c r="AC18" i="21" a="1"/>
  <c r="AC18" i="21" s="1"/>
  <c r="AD18" i="21" a="1"/>
  <c r="AD18" i="21" s="1"/>
  <c r="AE18" i="21" a="1"/>
  <c r="AE18" i="21" s="1"/>
  <c r="AF18" i="21" a="1"/>
  <c r="AF18" i="21" s="1"/>
  <c r="AG18" i="21" a="1"/>
  <c r="AG18" i="21" s="1"/>
  <c r="AH18" i="21" a="1"/>
  <c r="AH18" i="21" s="1"/>
  <c r="AI18" i="21" a="1"/>
  <c r="AI18" i="21" s="1"/>
  <c r="AJ18" i="21" a="1"/>
  <c r="AJ18" i="21" s="1"/>
  <c r="AK18" i="21" a="1"/>
  <c r="AK18" i="21" s="1"/>
  <c r="AL18" i="21" a="1"/>
  <c r="AL18" i="21" s="1"/>
  <c r="AM18" i="21" a="1"/>
  <c r="AM18" i="21" s="1"/>
  <c r="AN18" i="21" a="1"/>
  <c r="AN18" i="21" s="1"/>
  <c r="AO18" i="21" a="1"/>
  <c r="AO18" i="21" s="1"/>
  <c r="AP18" i="21" a="1"/>
  <c r="AP18" i="21" s="1"/>
  <c r="AQ18" i="21" a="1"/>
  <c r="AQ18" i="21" s="1"/>
  <c r="AR18" i="21" a="1"/>
  <c r="AR18" i="21" s="1"/>
  <c r="AS18" i="21" a="1"/>
  <c r="AS18" i="21" s="1"/>
  <c r="AT18" i="21" a="1"/>
  <c r="AT18" i="21" s="1"/>
  <c r="AU18" i="21" a="1"/>
  <c r="AU18" i="21" s="1"/>
  <c r="AV18" i="21" a="1"/>
  <c r="AV18" i="21" s="1"/>
  <c r="AW18" i="21" a="1"/>
  <c r="AW18" i="21" s="1"/>
  <c r="AX18" i="21" a="1"/>
  <c r="AX18" i="21" s="1"/>
  <c r="AY18" i="21" a="1"/>
  <c r="AY18" i="21" s="1"/>
  <c r="AZ18" i="21" a="1"/>
  <c r="AZ18" i="21" s="1"/>
  <c r="BA18" i="21" a="1"/>
  <c r="BA18" i="21" s="1"/>
  <c r="BB18" i="21" a="1"/>
  <c r="BB18" i="21" s="1"/>
  <c r="BC18" i="21" a="1"/>
  <c r="BC18" i="21" s="1"/>
  <c r="BD18" i="21" a="1"/>
  <c r="BD18" i="21" s="1"/>
  <c r="BE18" i="21" a="1"/>
  <c r="BE18" i="21" s="1"/>
  <c r="BF18" i="21" a="1"/>
  <c r="BF18" i="21" s="1"/>
  <c r="BG18" i="21" a="1"/>
  <c r="BG18" i="21" s="1"/>
  <c r="BH18" i="21" a="1"/>
  <c r="BH18" i="21" s="1"/>
  <c r="BI18" i="21" a="1"/>
  <c r="BI18" i="21" s="1"/>
  <c r="BJ18" i="21" a="1"/>
  <c r="BJ18" i="21" s="1"/>
  <c r="BK18" i="21" a="1"/>
  <c r="BK18" i="21" s="1"/>
  <c r="BL18" i="21" a="1"/>
  <c r="BL18" i="21" s="1"/>
  <c r="BM18" i="21" a="1"/>
  <c r="BM18" i="21" s="1"/>
  <c r="BN18" i="21" a="1"/>
  <c r="BN18" i="21" s="1"/>
  <c r="BO18" i="21" a="1"/>
  <c r="BO18" i="21" s="1"/>
  <c r="BP18" i="21" a="1"/>
  <c r="BP18" i="21" s="1"/>
  <c r="BQ18" i="21" a="1"/>
  <c r="BQ18" i="21" s="1"/>
  <c r="BR18" i="21" a="1"/>
  <c r="BR18" i="21" s="1"/>
  <c r="BS18" i="21" a="1"/>
  <c r="BS18" i="21" s="1"/>
  <c r="BT18" i="21" a="1"/>
  <c r="BT18" i="21" s="1"/>
  <c r="BU18" i="21" a="1"/>
  <c r="BU18" i="21" s="1"/>
  <c r="BV18" i="21" a="1"/>
  <c r="BV18" i="21" s="1"/>
  <c r="BW18" i="21" a="1"/>
  <c r="BW18" i="21" s="1"/>
  <c r="BX18" i="21" a="1"/>
  <c r="BX18" i="21" s="1"/>
  <c r="BY18" i="21" a="1"/>
  <c r="BY18" i="21" s="1"/>
  <c r="BZ18" i="21" a="1"/>
  <c r="BZ18" i="21" s="1"/>
  <c r="CA18" i="21" a="1"/>
  <c r="CA18" i="21" s="1"/>
  <c r="CB18" i="21" a="1"/>
  <c r="CB18" i="21" s="1"/>
  <c r="CC18" i="21" a="1"/>
  <c r="CC18" i="21" s="1"/>
  <c r="CD18" i="21" a="1"/>
  <c r="CD18" i="21" s="1"/>
  <c r="CE18" i="21" a="1"/>
  <c r="CE18" i="21" s="1"/>
  <c r="CF18" i="21" a="1"/>
  <c r="CF18" i="21" s="1"/>
  <c r="CG18" i="21" a="1"/>
  <c r="CG18" i="21" s="1"/>
  <c r="CH18" i="21" a="1"/>
  <c r="CH18" i="21" s="1"/>
  <c r="CI18" i="21" a="1"/>
  <c r="CI18" i="21" s="1"/>
  <c r="CJ18" i="21" a="1"/>
  <c r="CJ18" i="21" s="1"/>
  <c r="CK18" i="21" a="1"/>
  <c r="CK18" i="21" s="1"/>
  <c r="CL18" i="21" a="1"/>
  <c r="CL18" i="21" s="1"/>
  <c r="CM18" i="21" a="1"/>
  <c r="CM18" i="21" s="1"/>
  <c r="CN18" i="21" a="1"/>
  <c r="CN18" i="21" s="1"/>
  <c r="CO18" i="21" a="1"/>
  <c r="CO18" i="21" s="1"/>
  <c r="CP18" i="21" a="1"/>
  <c r="CP18" i="21" s="1"/>
  <c r="CQ18" i="21" a="1"/>
  <c r="CQ18" i="21" s="1"/>
  <c r="CR18" i="21" a="1"/>
  <c r="CR18" i="21" s="1"/>
  <c r="CS18" i="21" a="1"/>
  <c r="CS18" i="21" s="1"/>
  <c r="CT18" i="21" a="1"/>
  <c r="CT18" i="21" s="1"/>
  <c r="CU18" i="21" a="1"/>
  <c r="CU18" i="21" s="1"/>
  <c r="CV18" i="21" a="1"/>
  <c r="CV18" i="21" s="1"/>
  <c r="CW18" i="21" a="1"/>
  <c r="CW18" i="21" s="1"/>
  <c r="S19" i="21" a="1"/>
  <c r="S19" i="21" s="1"/>
  <c r="T19" i="21" a="1"/>
  <c r="T19" i="21" s="1"/>
  <c r="U19" i="21" a="1"/>
  <c r="U19" i="21" s="1"/>
  <c r="V19" i="21" a="1"/>
  <c r="V19" i="21" s="1"/>
  <c r="W19" i="21" a="1"/>
  <c r="W19" i="21" s="1"/>
  <c r="X19" i="21" a="1"/>
  <c r="X19" i="21" s="1"/>
  <c r="Y19" i="21" a="1"/>
  <c r="Y19" i="21" s="1"/>
  <c r="Z19" i="21" a="1"/>
  <c r="Z19" i="21" s="1"/>
  <c r="AA19" i="21" a="1"/>
  <c r="AA19" i="21" s="1"/>
  <c r="AB19" i="21" a="1"/>
  <c r="AB19" i="21" s="1"/>
  <c r="AC19" i="21" a="1"/>
  <c r="AC19" i="21" s="1"/>
  <c r="AD19" i="21" a="1"/>
  <c r="AD19" i="21" s="1"/>
  <c r="AE19" i="21" a="1"/>
  <c r="AE19" i="21" s="1"/>
  <c r="AF19" i="21" a="1"/>
  <c r="AF19" i="21" s="1"/>
  <c r="AG19" i="21" a="1"/>
  <c r="AG19" i="21" s="1"/>
  <c r="AH19" i="21" a="1"/>
  <c r="AH19" i="21" s="1"/>
  <c r="AI19" i="21" a="1"/>
  <c r="AI19" i="21" s="1"/>
  <c r="AJ19" i="21" a="1"/>
  <c r="AJ19" i="21" s="1"/>
  <c r="AK19" i="21" a="1"/>
  <c r="AK19" i="21" s="1"/>
  <c r="AL19" i="21" a="1"/>
  <c r="AL19" i="21" s="1"/>
  <c r="AM19" i="21" a="1"/>
  <c r="AM19" i="21" s="1"/>
  <c r="AN19" i="21" a="1"/>
  <c r="AN19" i="21" s="1"/>
  <c r="AO19" i="21" a="1"/>
  <c r="AO19" i="21" s="1"/>
  <c r="AP19" i="21" a="1"/>
  <c r="AP19" i="21" s="1"/>
  <c r="AQ19" i="21" a="1"/>
  <c r="AQ19" i="21" s="1"/>
  <c r="AR19" i="21" a="1"/>
  <c r="AR19" i="21" s="1"/>
  <c r="AS19" i="21" a="1"/>
  <c r="AS19" i="21" s="1"/>
  <c r="AT19" i="21" a="1"/>
  <c r="AT19" i="21" s="1"/>
  <c r="AU19" i="21" a="1"/>
  <c r="AU19" i="21" s="1"/>
  <c r="AV19" i="21" a="1"/>
  <c r="AV19" i="21" s="1"/>
  <c r="AW19" i="21" a="1"/>
  <c r="AW19" i="21" s="1"/>
  <c r="AX19" i="21" a="1"/>
  <c r="AX19" i="21" s="1"/>
  <c r="AY19" i="21" a="1"/>
  <c r="AY19" i="21" s="1"/>
  <c r="AZ19" i="21" a="1"/>
  <c r="AZ19" i="21" s="1"/>
  <c r="BA19" i="21" a="1"/>
  <c r="BA19" i="21" s="1"/>
  <c r="BB19" i="21" a="1"/>
  <c r="BB19" i="21" s="1"/>
  <c r="BC19" i="21" a="1"/>
  <c r="BC19" i="21" s="1"/>
  <c r="BD19" i="21" a="1"/>
  <c r="BD19" i="21" s="1"/>
  <c r="BE19" i="21" a="1"/>
  <c r="BE19" i="21" s="1"/>
  <c r="BF19" i="21" a="1"/>
  <c r="BF19" i="21" s="1"/>
  <c r="BG19" i="21" a="1"/>
  <c r="BG19" i="21" s="1"/>
  <c r="BH19" i="21" a="1"/>
  <c r="BH19" i="21" s="1"/>
  <c r="BI19" i="21" a="1"/>
  <c r="BI19" i="21" s="1"/>
  <c r="BJ19" i="21" a="1"/>
  <c r="BJ19" i="21" s="1"/>
  <c r="BK19" i="21" a="1"/>
  <c r="BK19" i="21" s="1"/>
  <c r="BL19" i="21" a="1"/>
  <c r="BL19" i="21" s="1"/>
  <c r="BM19" i="21" a="1"/>
  <c r="BM19" i="21" s="1"/>
  <c r="BN19" i="21" a="1"/>
  <c r="BN19" i="21" s="1"/>
  <c r="BO19" i="21" a="1"/>
  <c r="BO19" i="21" s="1"/>
  <c r="BP19" i="21" a="1"/>
  <c r="BP19" i="21" s="1"/>
  <c r="BQ19" i="21" a="1"/>
  <c r="BQ19" i="21" s="1"/>
  <c r="BR19" i="21" a="1"/>
  <c r="BR19" i="21" s="1"/>
  <c r="BS19" i="21" a="1"/>
  <c r="BS19" i="21" s="1"/>
  <c r="BT19" i="21" a="1"/>
  <c r="BT19" i="21" s="1"/>
  <c r="BU19" i="21" a="1"/>
  <c r="BU19" i="21" s="1"/>
  <c r="BV19" i="21" a="1"/>
  <c r="BV19" i="21" s="1"/>
  <c r="BW19" i="21" a="1"/>
  <c r="BW19" i="21" s="1"/>
  <c r="BX19" i="21" a="1"/>
  <c r="BX19" i="21" s="1"/>
  <c r="BY19" i="21" a="1"/>
  <c r="BY19" i="21" s="1"/>
  <c r="BZ19" i="21" a="1"/>
  <c r="BZ19" i="21" s="1"/>
  <c r="CA19" i="21" a="1"/>
  <c r="CA19" i="21" s="1"/>
  <c r="CB19" i="21" a="1"/>
  <c r="CB19" i="21" s="1"/>
  <c r="CC19" i="21" a="1"/>
  <c r="CC19" i="21" s="1"/>
  <c r="CD19" i="21" a="1"/>
  <c r="CD19" i="21" s="1"/>
  <c r="CE19" i="21" a="1"/>
  <c r="CE19" i="21" s="1"/>
  <c r="CF19" i="21" a="1"/>
  <c r="CF19" i="21" s="1"/>
  <c r="CG19" i="21" a="1"/>
  <c r="CG19" i="21" s="1"/>
  <c r="CH19" i="21" a="1"/>
  <c r="CH19" i="21" s="1"/>
  <c r="CI19" i="21" a="1"/>
  <c r="CI19" i="21" s="1"/>
  <c r="CJ19" i="21" a="1"/>
  <c r="CJ19" i="21" s="1"/>
  <c r="CK19" i="21" a="1"/>
  <c r="CK19" i="21" s="1"/>
  <c r="CL19" i="21" a="1"/>
  <c r="CL19" i="21" s="1"/>
  <c r="CM19" i="21" a="1"/>
  <c r="CM19" i="21" s="1"/>
  <c r="CN19" i="21" a="1"/>
  <c r="CN19" i="21" s="1"/>
  <c r="CO19" i="21" a="1"/>
  <c r="CO19" i="21" s="1"/>
  <c r="CP19" i="21" a="1"/>
  <c r="CP19" i="21" s="1"/>
  <c r="CQ19" i="21" a="1"/>
  <c r="CQ19" i="21" s="1"/>
  <c r="CR19" i="21" a="1"/>
  <c r="CR19" i="21" s="1"/>
  <c r="CS19" i="21" a="1"/>
  <c r="CS19" i="21" s="1"/>
  <c r="CT19" i="21" a="1"/>
  <c r="CT19" i="21" s="1"/>
  <c r="CU19" i="21" a="1"/>
  <c r="CU19" i="21" s="1"/>
  <c r="CV19" i="21" a="1"/>
  <c r="CV19" i="21" s="1"/>
  <c r="CW19" i="21" a="1"/>
  <c r="CW19" i="21" s="1"/>
  <c r="S20" i="21" a="1"/>
  <c r="S20" i="21" s="1"/>
  <c r="T20" i="21" a="1"/>
  <c r="T20" i="21" s="1"/>
  <c r="U20" i="21" a="1"/>
  <c r="U20" i="21" s="1"/>
  <c r="V20" i="21" a="1"/>
  <c r="V20" i="21" s="1"/>
  <c r="W20" i="21" a="1"/>
  <c r="W20" i="21" s="1"/>
  <c r="X20" i="21" a="1"/>
  <c r="X20" i="21" s="1"/>
  <c r="Y20" i="21" a="1"/>
  <c r="Y20" i="21" s="1"/>
  <c r="Z20" i="21" a="1"/>
  <c r="Z20" i="21" s="1"/>
  <c r="AA20" i="21" a="1"/>
  <c r="AA20" i="21" s="1"/>
  <c r="AB20" i="21" a="1"/>
  <c r="AB20" i="21" s="1"/>
  <c r="AC20" i="21" a="1"/>
  <c r="AC20" i="21" s="1"/>
  <c r="AD20" i="21" a="1"/>
  <c r="AD20" i="21" s="1"/>
  <c r="AE20" i="21" a="1"/>
  <c r="AE20" i="21" s="1"/>
  <c r="AF20" i="21" a="1"/>
  <c r="AF20" i="21" s="1"/>
  <c r="AG20" i="21" a="1"/>
  <c r="AG20" i="21" s="1"/>
  <c r="AH20" i="21" a="1"/>
  <c r="AH20" i="21" s="1"/>
  <c r="AI20" i="21" a="1"/>
  <c r="AI20" i="21" s="1"/>
  <c r="AJ20" i="21" a="1"/>
  <c r="AJ20" i="21" s="1"/>
  <c r="AK20" i="21" a="1"/>
  <c r="AK20" i="21" s="1"/>
  <c r="AL20" i="21" a="1"/>
  <c r="AL20" i="21" s="1"/>
  <c r="AM20" i="21" a="1"/>
  <c r="AM20" i="21" s="1"/>
  <c r="AN20" i="21" a="1"/>
  <c r="AN20" i="21" s="1"/>
  <c r="AO20" i="21" a="1"/>
  <c r="AO20" i="21" s="1"/>
  <c r="AP20" i="21" a="1"/>
  <c r="AP20" i="21" s="1"/>
  <c r="AQ20" i="21" a="1"/>
  <c r="AQ20" i="21" s="1"/>
  <c r="AR20" i="21" a="1"/>
  <c r="AR20" i="21" s="1"/>
  <c r="AS20" i="21" a="1"/>
  <c r="AS20" i="21" s="1"/>
  <c r="AT20" i="21" a="1"/>
  <c r="AT20" i="21" s="1"/>
  <c r="AU20" i="21" a="1"/>
  <c r="AU20" i="21" s="1"/>
  <c r="AV20" i="21" a="1"/>
  <c r="AV20" i="21" s="1"/>
  <c r="AW20" i="21" a="1"/>
  <c r="AW20" i="21" s="1"/>
  <c r="AX20" i="21" a="1"/>
  <c r="AX20" i="21" s="1"/>
  <c r="AY20" i="21" a="1"/>
  <c r="AY20" i="21" s="1"/>
  <c r="AZ20" i="21" a="1"/>
  <c r="AZ20" i="21" s="1"/>
  <c r="BA20" i="21" a="1"/>
  <c r="BA20" i="21" s="1"/>
  <c r="BB20" i="21" a="1"/>
  <c r="BB20" i="21" s="1"/>
  <c r="BC20" i="21" a="1"/>
  <c r="BC20" i="21" s="1"/>
  <c r="BD20" i="21" a="1"/>
  <c r="BD20" i="21" s="1"/>
  <c r="BE20" i="21" a="1"/>
  <c r="BE20" i="21" s="1"/>
  <c r="BF20" i="21" a="1"/>
  <c r="BF20" i="21" s="1"/>
  <c r="BG20" i="21" a="1"/>
  <c r="BG20" i="21" s="1"/>
  <c r="BH20" i="21" a="1"/>
  <c r="BH20" i="21" s="1"/>
  <c r="BI20" i="21" a="1"/>
  <c r="BI20" i="21" s="1"/>
  <c r="BJ20" i="21" a="1"/>
  <c r="BJ20" i="21" s="1"/>
  <c r="BK20" i="21" a="1"/>
  <c r="BK20" i="21" s="1"/>
  <c r="BL20" i="21" a="1"/>
  <c r="BL20" i="21" s="1"/>
  <c r="BM20" i="21" a="1"/>
  <c r="BM20" i="21" s="1"/>
  <c r="BN20" i="21" a="1"/>
  <c r="BN20" i="21" s="1"/>
  <c r="BO20" i="21" a="1"/>
  <c r="BO20" i="21" s="1"/>
  <c r="BP20" i="21" a="1"/>
  <c r="BP20" i="21" s="1"/>
  <c r="BQ20" i="21" a="1"/>
  <c r="BQ20" i="21" s="1"/>
  <c r="BR20" i="21" a="1"/>
  <c r="BR20" i="21" s="1"/>
  <c r="BS20" i="21" a="1"/>
  <c r="BS20" i="21" s="1"/>
  <c r="BT20" i="21" a="1"/>
  <c r="BT20" i="21" s="1"/>
  <c r="BU20" i="21" a="1"/>
  <c r="BU20" i="21" s="1"/>
  <c r="BV20" i="21" a="1"/>
  <c r="BV20" i="21" s="1"/>
  <c r="BW20" i="21" a="1"/>
  <c r="BW20" i="21" s="1"/>
  <c r="BX20" i="21" a="1"/>
  <c r="BX20" i="21" s="1"/>
  <c r="BY20" i="21" a="1"/>
  <c r="BY20" i="21" s="1"/>
  <c r="BZ20" i="21" a="1"/>
  <c r="BZ20" i="21" s="1"/>
  <c r="CA20" i="21" a="1"/>
  <c r="CA20" i="21" s="1"/>
  <c r="CB20" i="21" a="1"/>
  <c r="CB20" i="21" s="1"/>
  <c r="CC20" i="21" a="1"/>
  <c r="CC20" i="21" s="1"/>
  <c r="CD20" i="21" a="1"/>
  <c r="CD20" i="21" s="1"/>
  <c r="CE20" i="21" a="1"/>
  <c r="CE20" i="21" s="1"/>
  <c r="CF20" i="21" a="1"/>
  <c r="CF20" i="21" s="1"/>
  <c r="CG20" i="21" a="1"/>
  <c r="CG20" i="21" s="1"/>
  <c r="CH20" i="21" a="1"/>
  <c r="CH20" i="21" s="1"/>
  <c r="CI20" i="21" a="1"/>
  <c r="CI20" i="21" s="1"/>
  <c r="CJ20" i="21" a="1"/>
  <c r="CJ20" i="21" s="1"/>
  <c r="CK20" i="21" a="1"/>
  <c r="CK20" i="21" s="1"/>
  <c r="CL20" i="21" a="1"/>
  <c r="CL20" i="21" s="1"/>
  <c r="CM20" i="21" a="1"/>
  <c r="CM20" i="21" s="1"/>
  <c r="CN20" i="21" a="1"/>
  <c r="CN20" i="21" s="1"/>
  <c r="CO20" i="21" a="1"/>
  <c r="CO20" i="21" s="1"/>
  <c r="CP20" i="21" a="1"/>
  <c r="CP20" i="21" s="1"/>
  <c r="CQ20" i="21" a="1"/>
  <c r="CQ20" i="21" s="1"/>
  <c r="CR20" i="21" a="1"/>
  <c r="CR20" i="21" s="1"/>
  <c r="CS20" i="21" a="1"/>
  <c r="CS20" i="21" s="1"/>
  <c r="CT20" i="21" a="1"/>
  <c r="CT20" i="21" s="1"/>
  <c r="CU20" i="21" a="1"/>
  <c r="CU20" i="21" s="1"/>
  <c r="CV20" i="21" a="1"/>
  <c r="CV20" i="21" s="1"/>
  <c r="CW20" i="21" a="1"/>
  <c r="CW20" i="21" s="1"/>
  <c r="S21" i="21" a="1"/>
  <c r="S21" i="21" s="1"/>
  <c r="T21" i="21" a="1"/>
  <c r="T21" i="21" s="1"/>
  <c r="U21" i="21" a="1"/>
  <c r="U21" i="21" s="1"/>
  <c r="V21" i="21" a="1"/>
  <c r="V21" i="21" s="1"/>
  <c r="W21" i="21" a="1"/>
  <c r="W21" i="21" s="1"/>
  <c r="X21" i="21" a="1"/>
  <c r="X21" i="21" s="1"/>
  <c r="Y21" i="21" a="1"/>
  <c r="Y21" i="21" s="1"/>
  <c r="Z21" i="21" a="1"/>
  <c r="Z21" i="21" s="1"/>
  <c r="AA21" i="21" a="1"/>
  <c r="AA21" i="21" s="1"/>
  <c r="AB21" i="21" a="1"/>
  <c r="AB21" i="21" s="1"/>
  <c r="AC21" i="21" a="1"/>
  <c r="AC21" i="21" s="1"/>
  <c r="AD21" i="21" a="1"/>
  <c r="AD21" i="21" s="1"/>
  <c r="AE21" i="21" a="1"/>
  <c r="AE21" i="21" s="1"/>
  <c r="AF21" i="21" a="1"/>
  <c r="AF21" i="21" s="1"/>
  <c r="AG21" i="21" a="1"/>
  <c r="AG21" i="21" s="1"/>
  <c r="AH21" i="21" a="1"/>
  <c r="AH21" i="21" s="1"/>
  <c r="AI21" i="21" a="1"/>
  <c r="AI21" i="21" s="1"/>
  <c r="AJ21" i="21" a="1"/>
  <c r="AJ21" i="21" s="1"/>
  <c r="AK21" i="21" a="1"/>
  <c r="AK21" i="21" s="1"/>
  <c r="AL21" i="21" a="1"/>
  <c r="AL21" i="21" s="1"/>
  <c r="AM21" i="21" a="1"/>
  <c r="AM21" i="21" s="1"/>
  <c r="AN21" i="21" a="1"/>
  <c r="AN21" i="21" s="1"/>
  <c r="AO21" i="21" a="1"/>
  <c r="AO21" i="21" s="1"/>
  <c r="AP21" i="21" a="1"/>
  <c r="AP21" i="21" s="1"/>
  <c r="AQ21" i="21" a="1"/>
  <c r="AQ21" i="21" s="1"/>
  <c r="AR21" i="21" a="1"/>
  <c r="AR21" i="21" s="1"/>
  <c r="AS21" i="21" a="1"/>
  <c r="AS21" i="21" s="1"/>
  <c r="AT21" i="21" a="1"/>
  <c r="AT21" i="21" s="1"/>
  <c r="AU21" i="21" a="1"/>
  <c r="AU21" i="21" s="1"/>
  <c r="AV21" i="21" a="1"/>
  <c r="AV21" i="21" s="1"/>
  <c r="AW21" i="21" a="1"/>
  <c r="AW21" i="21" s="1"/>
  <c r="AX21" i="21" a="1"/>
  <c r="AX21" i="21" s="1"/>
  <c r="AY21" i="21" a="1"/>
  <c r="AY21" i="21" s="1"/>
  <c r="AZ21" i="21" a="1"/>
  <c r="AZ21" i="21" s="1"/>
  <c r="BA21" i="21" a="1"/>
  <c r="BA21" i="21" s="1"/>
  <c r="BB21" i="21" a="1"/>
  <c r="BB21" i="21" s="1"/>
  <c r="BC21" i="21" a="1"/>
  <c r="BC21" i="21" s="1"/>
  <c r="BD21" i="21" a="1"/>
  <c r="BD21" i="21" s="1"/>
  <c r="BE21" i="21" a="1"/>
  <c r="BE21" i="21" s="1"/>
  <c r="BF21" i="21" a="1"/>
  <c r="BF21" i="21" s="1"/>
  <c r="BG21" i="21" a="1"/>
  <c r="BG21" i="21" s="1"/>
  <c r="BH21" i="21" a="1"/>
  <c r="BH21" i="21" s="1"/>
  <c r="BI21" i="21" a="1"/>
  <c r="BI21" i="21" s="1"/>
  <c r="BJ21" i="21" a="1"/>
  <c r="BJ21" i="21" s="1"/>
  <c r="BK21" i="21" a="1"/>
  <c r="BK21" i="21" s="1"/>
  <c r="BL21" i="21" a="1"/>
  <c r="BL21" i="21" s="1"/>
  <c r="BM21" i="21" a="1"/>
  <c r="BM21" i="21" s="1"/>
  <c r="BN21" i="21" a="1"/>
  <c r="BN21" i="21" s="1"/>
  <c r="BO21" i="21" a="1"/>
  <c r="BO21" i="21" s="1"/>
  <c r="BP21" i="21" a="1"/>
  <c r="BP21" i="21" s="1"/>
  <c r="BQ21" i="21" a="1"/>
  <c r="BQ21" i="21" s="1"/>
  <c r="BR21" i="21" a="1"/>
  <c r="BR21" i="21" s="1"/>
  <c r="BS21" i="21" a="1"/>
  <c r="BS21" i="21" s="1"/>
  <c r="BT21" i="21" a="1"/>
  <c r="BT21" i="21" s="1"/>
  <c r="BU21" i="21" a="1"/>
  <c r="BU21" i="21" s="1"/>
  <c r="BV21" i="21" a="1"/>
  <c r="BV21" i="21" s="1"/>
  <c r="BW21" i="21" a="1"/>
  <c r="BW21" i="21" s="1"/>
  <c r="BX21" i="21" a="1"/>
  <c r="BX21" i="21" s="1"/>
  <c r="BY21" i="21" a="1"/>
  <c r="BY21" i="21" s="1"/>
  <c r="BZ21" i="21" a="1"/>
  <c r="BZ21" i="21" s="1"/>
  <c r="CA21" i="21" a="1"/>
  <c r="CA21" i="21" s="1"/>
  <c r="CB21" i="21" a="1"/>
  <c r="CB21" i="21" s="1"/>
  <c r="CC21" i="21" a="1"/>
  <c r="CC21" i="21" s="1"/>
  <c r="CD21" i="21" a="1"/>
  <c r="CD21" i="21" s="1"/>
  <c r="CE21" i="21" a="1"/>
  <c r="CE21" i="21" s="1"/>
  <c r="CF21" i="21" a="1"/>
  <c r="CF21" i="21" s="1"/>
  <c r="CG21" i="21" a="1"/>
  <c r="CG21" i="21" s="1"/>
  <c r="CH21" i="21" a="1"/>
  <c r="CH21" i="21" s="1"/>
  <c r="CI21" i="21" a="1"/>
  <c r="CI21" i="21" s="1"/>
  <c r="CJ21" i="21" a="1"/>
  <c r="CJ21" i="21" s="1"/>
  <c r="CK21" i="21" a="1"/>
  <c r="CK21" i="21" s="1"/>
  <c r="CL21" i="21" a="1"/>
  <c r="CL21" i="21" s="1"/>
  <c r="CM21" i="21" a="1"/>
  <c r="CM21" i="21" s="1"/>
  <c r="CN21" i="21" a="1"/>
  <c r="CN21" i="21" s="1"/>
  <c r="CO21" i="21" a="1"/>
  <c r="CO21" i="21" s="1"/>
  <c r="CP21" i="21" a="1"/>
  <c r="CP21" i="21" s="1"/>
  <c r="CQ21" i="21" a="1"/>
  <c r="CQ21" i="21" s="1"/>
  <c r="CR21" i="21" a="1"/>
  <c r="CR21" i="21" s="1"/>
  <c r="CS21" i="21" a="1"/>
  <c r="CS21" i="21" s="1"/>
  <c r="CT21" i="21" a="1"/>
  <c r="CT21" i="21" s="1"/>
  <c r="CU21" i="21" a="1"/>
  <c r="CU21" i="21" s="1"/>
  <c r="CV21" i="21" a="1"/>
  <c r="CV21" i="21" s="1"/>
  <c r="CW21" i="21" a="1"/>
  <c r="CW21" i="21" s="1"/>
  <c r="S22" i="21" a="1"/>
  <c r="S22" i="21" s="1"/>
  <c r="T22" i="21" a="1"/>
  <c r="T22" i="21" s="1"/>
  <c r="U22" i="21" a="1"/>
  <c r="U22" i="21" s="1"/>
  <c r="V22" i="21" a="1"/>
  <c r="V22" i="21" s="1"/>
  <c r="W22" i="21" a="1"/>
  <c r="W22" i="21" s="1"/>
  <c r="X22" i="21" a="1"/>
  <c r="X22" i="21" s="1"/>
  <c r="Y22" i="21" a="1"/>
  <c r="Y22" i="21" s="1"/>
  <c r="Z22" i="21" a="1"/>
  <c r="Z22" i="21" s="1"/>
  <c r="AA22" i="21" a="1"/>
  <c r="AA22" i="21" s="1"/>
  <c r="AB22" i="21" a="1"/>
  <c r="AB22" i="21" s="1"/>
  <c r="AC22" i="21" a="1"/>
  <c r="AC22" i="21" s="1"/>
  <c r="AD22" i="21" a="1"/>
  <c r="AD22" i="21" s="1"/>
  <c r="AE22" i="21" a="1"/>
  <c r="AE22" i="21" s="1"/>
  <c r="AF22" i="21" a="1"/>
  <c r="AF22" i="21" s="1"/>
  <c r="AG22" i="21" a="1"/>
  <c r="AG22" i="21" s="1"/>
  <c r="AH22" i="21" a="1"/>
  <c r="AH22" i="21" s="1"/>
  <c r="AI22" i="21" a="1"/>
  <c r="AI22" i="21" s="1"/>
  <c r="AJ22" i="21" a="1"/>
  <c r="AJ22" i="21" s="1"/>
  <c r="AK22" i="21" a="1"/>
  <c r="AK22" i="21" s="1"/>
  <c r="AL22" i="21" a="1"/>
  <c r="AL22" i="21" s="1"/>
  <c r="AM22" i="21" a="1"/>
  <c r="AM22" i="21" s="1"/>
  <c r="AN22" i="21" a="1"/>
  <c r="AN22" i="21" s="1"/>
  <c r="AO22" i="21" a="1"/>
  <c r="AO22" i="21" s="1"/>
  <c r="AP22" i="21" a="1"/>
  <c r="AP22" i="21" s="1"/>
  <c r="AQ22" i="21" a="1"/>
  <c r="AQ22" i="21" s="1"/>
  <c r="AR22" i="21" a="1"/>
  <c r="AR22" i="21" s="1"/>
  <c r="AS22" i="21" a="1"/>
  <c r="AS22" i="21" s="1"/>
  <c r="AT22" i="21" a="1"/>
  <c r="AT22" i="21" s="1"/>
  <c r="AU22" i="21" a="1"/>
  <c r="AU22" i="21" s="1"/>
  <c r="AV22" i="21" a="1"/>
  <c r="AV22" i="21" s="1"/>
  <c r="AW22" i="21" a="1"/>
  <c r="AW22" i="21" s="1"/>
  <c r="AX22" i="21" a="1"/>
  <c r="AX22" i="21" s="1"/>
  <c r="AY22" i="21" a="1"/>
  <c r="AY22" i="21" s="1"/>
  <c r="AZ22" i="21" a="1"/>
  <c r="AZ22" i="21" s="1"/>
  <c r="BA22" i="21" a="1"/>
  <c r="BA22" i="21" s="1"/>
  <c r="BB22" i="21" a="1"/>
  <c r="BB22" i="21" s="1"/>
  <c r="BC22" i="21" a="1"/>
  <c r="BC22" i="21" s="1"/>
  <c r="BD22" i="21" a="1"/>
  <c r="BD22" i="21" s="1"/>
  <c r="BE22" i="21" a="1"/>
  <c r="BE22" i="21" s="1"/>
  <c r="BF22" i="21" a="1"/>
  <c r="BF22" i="21" s="1"/>
  <c r="BG22" i="21" a="1"/>
  <c r="BG22" i="21" s="1"/>
  <c r="BH22" i="21" a="1"/>
  <c r="BH22" i="21" s="1"/>
  <c r="BI22" i="21" a="1"/>
  <c r="BI22" i="21" s="1"/>
  <c r="BJ22" i="21" a="1"/>
  <c r="BJ22" i="21" s="1"/>
  <c r="BK22" i="21" a="1"/>
  <c r="BK22" i="21" s="1"/>
  <c r="BL22" i="21" a="1"/>
  <c r="BL22" i="21" s="1"/>
  <c r="BM22" i="21" a="1"/>
  <c r="BM22" i="21" s="1"/>
  <c r="BN22" i="21" a="1"/>
  <c r="BN22" i="21" s="1"/>
  <c r="BO22" i="21" a="1"/>
  <c r="BO22" i="21" s="1"/>
  <c r="BP22" i="21" a="1"/>
  <c r="BP22" i="21" s="1"/>
  <c r="BQ22" i="21" a="1"/>
  <c r="BQ22" i="21" s="1"/>
  <c r="BR22" i="21" a="1"/>
  <c r="BR22" i="21" s="1"/>
  <c r="BS22" i="21" a="1"/>
  <c r="BS22" i="21" s="1"/>
  <c r="BT22" i="21" a="1"/>
  <c r="BT22" i="21" s="1"/>
  <c r="BU22" i="21" a="1"/>
  <c r="BU22" i="21" s="1"/>
  <c r="BV22" i="21" a="1"/>
  <c r="BV22" i="21" s="1"/>
  <c r="BW22" i="21" a="1"/>
  <c r="BW22" i="21" s="1"/>
  <c r="BX22" i="21" a="1"/>
  <c r="BX22" i="21" s="1"/>
  <c r="BY22" i="21" a="1"/>
  <c r="BY22" i="21" s="1"/>
  <c r="BZ22" i="21" a="1"/>
  <c r="BZ22" i="21" s="1"/>
  <c r="CA22" i="21" a="1"/>
  <c r="CA22" i="21" s="1"/>
  <c r="CB22" i="21" a="1"/>
  <c r="CB22" i="21" s="1"/>
  <c r="CC22" i="21" a="1"/>
  <c r="CC22" i="21" s="1"/>
  <c r="CD22" i="21" a="1"/>
  <c r="CD22" i="21" s="1"/>
  <c r="CE22" i="21" a="1"/>
  <c r="CE22" i="21" s="1"/>
  <c r="CF22" i="21" a="1"/>
  <c r="CF22" i="21" s="1"/>
  <c r="CG22" i="21" a="1"/>
  <c r="CG22" i="21" s="1"/>
  <c r="CH22" i="21" a="1"/>
  <c r="CH22" i="21" s="1"/>
  <c r="CI22" i="21" a="1"/>
  <c r="CI22" i="21" s="1"/>
  <c r="CJ22" i="21" a="1"/>
  <c r="CJ22" i="21" s="1"/>
  <c r="CK22" i="21" a="1"/>
  <c r="CK22" i="21" s="1"/>
  <c r="CL22" i="21" a="1"/>
  <c r="CL22" i="21" s="1"/>
  <c r="CM22" i="21" a="1"/>
  <c r="CM22" i="21" s="1"/>
  <c r="CN22" i="21" a="1"/>
  <c r="CN22" i="21" s="1"/>
  <c r="CO22" i="21" a="1"/>
  <c r="CO22" i="21" s="1"/>
  <c r="CP22" i="21" a="1"/>
  <c r="CP22" i="21" s="1"/>
  <c r="CQ22" i="21" a="1"/>
  <c r="CQ22" i="21" s="1"/>
  <c r="CR22" i="21" a="1"/>
  <c r="CR22" i="21" s="1"/>
  <c r="CS22" i="21" a="1"/>
  <c r="CS22" i="21" s="1"/>
  <c r="CT22" i="21" a="1"/>
  <c r="CT22" i="21" s="1"/>
  <c r="CU22" i="21" a="1"/>
  <c r="CU22" i="21" s="1"/>
  <c r="CV22" i="21" a="1"/>
  <c r="CV22" i="21" s="1"/>
  <c r="CW22" i="21" a="1"/>
  <c r="CW22" i="21" s="1"/>
  <c r="S23" i="21" a="1"/>
  <c r="S23" i="21" s="1"/>
  <c r="T23" i="21" a="1"/>
  <c r="T23" i="21" s="1"/>
  <c r="U23" i="21" a="1"/>
  <c r="U23" i="21" s="1"/>
  <c r="V23" i="21" a="1"/>
  <c r="V23" i="21" s="1"/>
  <c r="W23" i="21" a="1"/>
  <c r="W23" i="21" s="1"/>
  <c r="X23" i="21" a="1"/>
  <c r="X23" i="21" s="1"/>
  <c r="Y23" i="21" a="1"/>
  <c r="Y23" i="21" s="1"/>
  <c r="Z23" i="21" a="1"/>
  <c r="Z23" i="21" s="1"/>
  <c r="AA23" i="21" a="1"/>
  <c r="AA23" i="21" s="1"/>
  <c r="AB23" i="21" a="1"/>
  <c r="AB23" i="21" s="1"/>
  <c r="AC23" i="21" a="1"/>
  <c r="AC23" i="21" s="1"/>
  <c r="AD23" i="21" a="1"/>
  <c r="AD23" i="21" s="1"/>
  <c r="AE23" i="21" a="1"/>
  <c r="AE23" i="21" s="1"/>
  <c r="AF23" i="21" a="1"/>
  <c r="AF23" i="21" s="1"/>
  <c r="AG23" i="21" a="1"/>
  <c r="AG23" i="21" s="1"/>
  <c r="AH23" i="21" a="1"/>
  <c r="AH23" i="21" s="1"/>
  <c r="AI23" i="21" a="1"/>
  <c r="AI23" i="21" s="1"/>
  <c r="AJ23" i="21" a="1"/>
  <c r="AJ23" i="21" s="1"/>
  <c r="AK23" i="21" a="1"/>
  <c r="AK23" i="21" s="1"/>
  <c r="AL23" i="21" a="1"/>
  <c r="AL23" i="21" s="1"/>
  <c r="AM23" i="21" a="1"/>
  <c r="AM23" i="21" s="1"/>
  <c r="AN23" i="21" a="1"/>
  <c r="AN23" i="21" s="1"/>
  <c r="AO23" i="21" a="1"/>
  <c r="AO23" i="21" s="1"/>
  <c r="AP23" i="21" a="1"/>
  <c r="AP23" i="21" s="1"/>
  <c r="AQ23" i="21" a="1"/>
  <c r="AQ23" i="21" s="1"/>
  <c r="AR23" i="21" a="1"/>
  <c r="AR23" i="21" s="1"/>
  <c r="AS23" i="21" a="1"/>
  <c r="AS23" i="21" s="1"/>
  <c r="AT23" i="21" a="1"/>
  <c r="AT23" i="21" s="1"/>
  <c r="AU23" i="21" a="1"/>
  <c r="AU23" i="21" s="1"/>
  <c r="AV23" i="21" a="1"/>
  <c r="AV23" i="21" s="1"/>
  <c r="AW23" i="21" a="1"/>
  <c r="AW23" i="21" s="1"/>
  <c r="AX23" i="21" a="1"/>
  <c r="AX23" i="21" s="1"/>
  <c r="AY23" i="21" a="1"/>
  <c r="AY23" i="21" s="1"/>
  <c r="AZ23" i="21" a="1"/>
  <c r="AZ23" i="21" s="1"/>
  <c r="BA23" i="21" a="1"/>
  <c r="BA23" i="21" s="1"/>
  <c r="BB23" i="21" a="1"/>
  <c r="BB23" i="21" s="1"/>
  <c r="BC23" i="21" a="1"/>
  <c r="BC23" i="21" s="1"/>
  <c r="BD23" i="21" a="1"/>
  <c r="BD23" i="21" s="1"/>
  <c r="BE23" i="21" a="1"/>
  <c r="BE23" i="21" s="1"/>
  <c r="BF23" i="21" a="1"/>
  <c r="BF23" i="21" s="1"/>
  <c r="BG23" i="21" a="1"/>
  <c r="BG23" i="21" s="1"/>
  <c r="BH23" i="21" a="1"/>
  <c r="BH23" i="21" s="1"/>
  <c r="BI23" i="21" a="1"/>
  <c r="BI23" i="21" s="1"/>
  <c r="BJ23" i="21" a="1"/>
  <c r="BJ23" i="21" s="1"/>
  <c r="BK23" i="21" a="1"/>
  <c r="BK23" i="21" s="1"/>
  <c r="BL23" i="21" a="1"/>
  <c r="BL23" i="21" s="1"/>
  <c r="BM23" i="21" a="1"/>
  <c r="BM23" i="21" s="1"/>
  <c r="BN23" i="21" a="1"/>
  <c r="BN23" i="21" s="1"/>
  <c r="BO23" i="21" a="1"/>
  <c r="BO23" i="21" s="1"/>
  <c r="BP23" i="21" a="1"/>
  <c r="BP23" i="21" s="1"/>
  <c r="BQ23" i="21" a="1"/>
  <c r="BQ23" i="21" s="1"/>
  <c r="BR23" i="21" a="1"/>
  <c r="BR23" i="21" s="1"/>
  <c r="BS23" i="21" a="1"/>
  <c r="BS23" i="21" s="1"/>
  <c r="BT23" i="21" a="1"/>
  <c r="BT23" i="21" s="1"/>
  <c r="BU23" i="21" a="1"/>
  <c r="BU23" i="21" s="1"/>
  <c r="BV23" i="21" a="1"/>
  <c r="BV23" i="21" s="1"/>
  <c r="BW23" i="21" a="1"/>
  <c r="BW23" i="21" s="1"/>
  <c r="BX23" i="21" a="1"/>
  <c r="BX23" i="21" s="1"/>
  <c r="BY23" i="21" a="1"/>
  <c r="BY23" i="21" s="1"/>
  <c r="BZ23" i="21" a="1"/>
  <c r="BZ23" i="21" s="1"/>
  <c r="CA23" i="21" a="1"/>
  <c r="CA23" i="21" s="1"/>
  <c r="CB23" i="21" a="1"/>
  <c r="CB23" i="21" s="1"/>
  <c r="CC23" i="21" a="1"/>
  <c r="CC23" i="21" s="1"/>
  <c r="CD23" i="21" a="1"/>
  <c r="CD23" i="21" s="1"/>
  <c r="CE23" i="21" a="1"/>
  <c r="CE23" i="21" s="1"/>
  <c r="CF23" i="21" a="1"/>
  <c r="CF23" i="21" s="1"/>
  <c r="CG23" i="21" a="1"/>
  <c r="CG23" i="21" s="1"/>
  <c r="CH23" i="21" a="1"/>
  <c r="CH23" i="21" s="1"/>
  <c r="CI23" i="21" a="1"/>
  <c r="CI23" i="21" s="1"/>
  <c r="CJ23" i="21" a="1"/>
  <c r="CJ23" i="21" s="1"/>
  <c r="CK23" i="21" a="1"/>
  <c r="CK23" i="21" s="1"/>
  <c r="CL23" i="21" a="1"/>
  <c r="CL23" i="21" s="1"/>
  <c r="CM23" i="21" a="1"/>
  <c r="CM23" i="21" s="1"/>
  <c r="CN23" i="21" a="1"/>
  <c r="CN23" i="21" s="1"/>
  <c r="CO23" i="21" a="1"/>
  <c r="CO23" i="21" s="1"/>
  <c r="CP23" i="21" a="1"/>
  <c r="CP23" i="21" s="1"/>
  <c r="CQ23" i="21" a="1"/>
  <c r="CQ23" i="21" s="1"/>
  <c r="CR23" i="21" a="1"/>
  <c r="CR23" i="21" s="1"/>
  <c r="CS23" i="21" a="1"/>
  <c r="CS23" i="21" s="1"/>
  <c r="CT23" i="21" a="1"/>
  <c r="CT23" i="21" s="1"/>
  <c r="CU23" i="21" a="1"/>
  <c r="CU23" i="21" s="1"/>
  <c r="CV23" i="21" a="1"/>
  <c r="CV23" i="21" s="1"/>
  <c r="CW23" i="21" a="1"/>
  <c r="CW23" i="21" s="1"/>
  <c r="S24" i="21" a="1"/>
  <c r="S24" i="21" s="1"/>
  <c r="T24" i="21" a="1"/>
  <c r="T24" i="21" s="1"/>
  <c r="U24" i="21" a="1"/>
  <c r="U24" i="21" s="1"/>
  <c r="V24" i="21" a="1"/>
  <c r="V24" i="21" s="1"/>
  <c r="W24" i="21" a="1"/>
  <c r="W24" i="21" s="1"/>
  <c r="X24" i="21" a="1"/>
  <c r="X24" i="21" s="1"/>
  <c r="Y24" i="21" a="1"/>
  <c r="Y24" i="21" s="1"/>
  <c r="Z24" i="21" a="1"/>
  <c r="Z24" i="21" s="1"/>
  <c r="AA24" i="21" a="1"/>
  <c r="AA24" i="21" s="1"/>
  <c r="AB24" i="21" a="1"/>
  <c r="AB24" i="21" s="1"/>
  <c r="AC24" i="21" a="1"/>
  <c r="AC24" i="21" s="1"/>
  <c r="AD24" i="21" a="1"/>
  <c r="AD24" i="21" s="1"/>
  <c r="AE24" i="21" a="1"/>
  <c r="AE24" i="21" s="1"/>
  <c r="AF24" i="21" a="1"/>
  <c r="AF24" i="21" s="1"/>
  <c r="AG24" i="21" a="1"/>
  <c r="AG24" i="21" s="1"/>
  <c r="AH24" i="21" a="1"/>
  <c r="AH24" i="21" s="1"/>
  <c r="AI24" i="21" a="1"/>
  <c r="AI24" i="21" s="1"/>
  <c r="AJ24" i="21" a="1"/>
  <c r="AJ24" i="21" s="1"/>
  <c r="AK24" i="21" a="1"/>
  <c r="AK24" i="21" s="1"/>
  <c r="AL24" i="21" a="1"/>
  <c r="AL24" i="21" s="1"/>
  <c r="AM24" i="21" a="1"/>
  <c r="AM24" i="21" s="1"/>
  <c r="AN24" i="21" a="1"/>
  <c r="AN24" i="21" s="1"/>
  <c r="AO24" i="21" a="1"/>
  <c r="AO24" i="21" s="1"/>
  <c r="AP24" i="21" a="1"/>
  <c r="AP24" i="21" s="1"/>
  <c r="AQ24" i="21" a="1"/>
  <c r="AQ24" i="21" s="1"/>
  <c r="AR24" i="21" a="1"/>
  <c r="AR24" i="21" s="1"/>
  <c r="AS24" i="21" a="1"/>
  <c r="AS24" i="21" s="1"/>
  <c r="AT24" i="21" a="1"/>
  <c r="AT24" i="21" s="1"/>
  <c r="AU24" i="21" a="1"/>
  <c r="AU24" i="21" s="1"/>
  <c r="AV24" i="21" a="1"/>
  <c r="AV24" i="21" s="1"/>
  <c r="AW24" i="21" a="1"/>
  <c r="AW24" i="21" s="1"/>
  <c r="AX24" i="21" a="1"/>
  <c r="AX24" i="21" s="1"/>
  <c r="AY24" i="21" a="1"/>
  <c r="AY24" i="21" s="1"/>
  <c r="AZ24" i="21" a="1"/>
  <c r="AZ24" i="21" s="1"/>
  <c r="BA24" i="21" a="1"/>
  <c r="BA24" i="21" s="1"/>
  <c r="BB24" i="21" a="1"/>
  <c r="BB24" i="21" s="1"/>
  <c r="BC24" i="21" a="1"/>
  <c r="BC24" i="21" s="1"/>
  <c r="BD24" i="21" a="1"/>
  <c r="BD24" i="21" s="1"/>
  <c r="BE24" i="21" a="1"/>
  <c r="BE24" i="21" s="1"/>
  <c r="BF24" i="21" a="1"/>
  <c r="BF24" i="21" s="1"/>
  <c r="BG24" i="21" a="1"/>
  <c r="BG24" i="21" s="1"/>
  <c r="BH24" i="21" a="1"/>
  <c r="BH24" i="21" s="1"/>
  <c r="BI24" i="21" a="1"/>
  <c r="BI24" i="21" s="1"/>
  <c r="BJ24" i="21" a="1"/>
  <c r="BJ24" i="21" s="1"/>
  <c r="BK24" i="21" a="1"/>
  <c r="BK24" i="21" s="1"/>
  <c r="BL24" i="21" a="1"/>
  <c r="BL24" i="21" s="1"/>
  <c r="BM24" i="21" a="1"/>
  <c r="BM24" i="21" s="1"/>
  <c r="BN24" i="21" a="1"/>
  <c r="BN24" i="21" s="1"/>
  <c r="BO24" i="21" a="1"/>
  <c r="BO24" i="21" s="1"/>
  <c r="BP24" i="21" a="1"/>
  <c r="BP24" i="21" s="1"/>
  <c r="BQ24" i="21" a="1"/>
  <c r="BQ24" i="21" s="1"/>
  <c r="BR24" i="21" a="1"/>
  <c r="BR24" i="21" s="1"/>
  <c r="BS24" i="21" a="1"/>
  <c r="BS24" i="21" s="1"/>
  <c r="BT24" i="21" a="1"/>
  <c r="BT24" i="21" s="1"/>
  <c r="BU24" i="21" a="1"/>
  <c r="BU24" i="21" s="1"/>
  <c r="BV24" i="21" a="1"/>
  <c r="BV24" i="21" s="1"/>
  <c r="BW24" i="21" a="1"/>
  <c r="BW24" i="21" s="1"/>
  <c r="BX24" i="21" a="1"/>
  <c r="BX24" i="21" s="1"/>
  <c r="BY24" i="21" a="1"/>
  <c r="BY24" i="21" s="1"/>
  <c r="BZ24" i="21" a="1"/>
  <c r="BZ24" i="21" s="1"/>
  <c r="CA24" i="21" a="1"/>
  <c r="CA24" i="21" s="1"/>
  <c r="CB24" i="21" a="1"/>
  <c r="CB24" i="21" s="1"/>
  <c r="CC24" i="21" a="1"/>
  <c r="CC24" i="21" s="1"/>
  <c r="CD24" i="21" a="1"/>
  <c r="CD24" i="21" s="1"/>
  <c r="CE24" i="21" a="1"/>
  <c r="CE24" i="21" s="1"/>
  <c r="CF24" i="21" a="1"/>
  <c r="CF24" i="21" s="1"/>
  <c r="CG24" i="21" a="1"/>
  <c r="CG24" i="21" s="1"/>
  <c r="CH24" i="21" a="1"/>
  <c r="CH24" i="21" s="1"/>
  <c r="CI24" i="21" a="1"/>
  <c r="CI24" i="21" s="1"/>
  <c r="CJ24" i="21" a="1"/>
  <c r="CJ24" i="21" s="1"/>
  <c r="CK24" i="21" a="1"/>
  <c r="CK24" i="21" s="1"/>
  <c r="CL24" i="21" a="1"/>
  <c r="CL24" i="21" s="1"/>
  <c r="CM24" i="21" a="1"/>
  <c r="CM24" i="21" s="1"/>
  <c r="CN24" i="21" a="1"/>
  <c r="CN24" i="21" s="1"/>
  <c r="CO24" i="21" a="1"/>
  <c r="CO24" i="21" s="1"/>
  <c r="CP24" i="21" a="1"/>
  <c r="CP24" i="21" s="1"/>
  <c r="CQ24" i="21" a="1"/>
  <c r="CQ24" i="21" s="1"/>
  <c r="CR24" i="21" a="1"/>
  <c r="CR24" i="21" s="1"/>
  <c r="CS24" i="21" a="1"/>
  <c r="CS24" i="21" s="1"/>
  <c r="CT24" i="21" a="1"/>
  <c r="CT24" i="21" s="1"/>
  <c r="CU24" i="21" a="1"/>
  <c r="CU24" i="21" s="1"/>
  <c r="CV24" i="21" a="1"/>
  <c r="CV24" i="21" s="1"/>
  <c r="CW24" i="21" a="1"/>
  <c r="CW24" i="21" s="1"/>
  <c r="S25" i="21" a="1"/>
  <c r="S25" i="21" s="1"/>
  <c r="T25" i="21" a="1"/>
  <c r="T25" i="21" s="1"/>
  <c r="U25" i="21" a="1"/>
  <c r="U25" i="21" s="1"/>
  <c r="V25" i="21" a="1"/>
  <c r="V25" i="21" s="1"/>
  <c r="W25" i="21" a="1"/>
  <c r="W25" i="21" s="1"/>
  <c r="X25" i="21" a="1"/>
  <c r="X25" i="21" s="1"/>
  <c r="Y25" i="21" a="1"/>
  <c r="Y25" i="21" s="1"/>
  <c r="Z25" i="21" a="1"/>
  <c r="Z25" i="21" s="1"/>
  <c r="AA25" i="21" a="1"/>
  <c r="AA25" i="21" s="1"/>
  <c r="AB25" i="21" a="1"/>
  <c r="AB25" i="21" s="1"/>
  <c r="AC25" i="21" a="1"/>
  <c r="AC25" i="21" s="1"/>
  <c r="AD25" i="21" a="1"/>
  <c r="AD25" i="21" s="1"/>
  <c r="AE25" i="21" a="1"/>
  <c r="AE25" i="21" s="1"/>
  <c r="AF25" i="21" a="1"/>
  <c r="AF25" i="21" s="1"/>
  <c r="AG25" i="21" a="1"/>
  <c r="AG25" i="21" s="1"/>
  <c r="AH25" i="21" a="1"/>
  <c r="AH25" i="21" s="1"/>
  <c r="AI25" i="21" a="1"/>
  <c r="AI25" i="21" s="1"/>
  <c r="AJ25" i="21" a="1"/>
  <c r="AJ25" i="21" s="1"/>
  <c r="AK25" i="21" a="1"/>
  <c r="AK25" i="21" s="1"/>
  <c r="AL25" i="21" a="1"/>
  <c r="AL25" i="21" s="1"/>
  <c r="AM25" i="21" a="1"/>
  <c r="AM25" i="21" s="1"/>
  <c r="AN25" i="21" a="1"/>
  <c r="AN25" i="21" s="1"/>
  <c r="AO25" i="21" a="1"/>
  <c r="AO25" i="21" s="1"/>
  <c r="AP25" i="21" a="1"/>
  <c r="AP25" i="21" s="1"/>
  <c r="AQ25" i="21" a="1"/>
  <c r="AQ25" i="21" s="1"/>
  <c r="AR25" i="21" a="1"/>
  <c r="AR25" i="21" s="1"/>
  <c r="AS25" i="21" a="1"/>
  <c r="AS25" i="21" s="1"/>
  <c r="AT25" i="21" a="1"/>
  <c r="AT25" i="21" s="1"/>
  <c r="AU25" i="21" a="1"/>
  <c r="AU25" i="21" s="1"/>
  <c r="AV25" i="21" a="1"/>
  <c r="AV25" i="21" s="1"/>
  <c r="AW25" i="21" a="1"/>
  <c r="AW25" i="21" s="1"/>
  <c r="AX25" i="21" a="1"/>
  <c r="AX25" i="21" s="1"/>
  <c r="AY25" i="21" a="1"/>
  <c r="AY25" i="21" s="1"/>
  <c r="AZ25" i="21" a="1"/>
  <c r="AZ25" i="21" s="1"/>
  <c r="BA25" i="21" a="1"/>
  <c r="BA25" i="21" s="1"/>
  <c r="BB25" i="21" a="1"/>
  <c r="BB25" i="21" s="1"/>
  <c r="BC25" i="21" a="1"/>
  <c r="BC25" i="21" s="1"/>
  <c r="BD25" i="21" a="1"/>
  <c r="BD25" i="21" s="1"/>
  <c r="BE25" i="21" a="1"/>
  <c r="BE25" i="21" s="1"/>
  <c r="BF25" i="21" a="1"/>
  <c r="BF25" i="21" s="1"/>
  <c r="BG25" i="21" a="1"/>
  <c r="BG25" i="21" s="1"/>
  <c r="BH25" i="21" a="1"/>
  <c r="BH25" i="21" s="1"/>
  <c r="BI25" i="21" a="1"/>
  <c r="BI25" i="21" s="1"/>
  <c r="BJ25" i="21" a="1"/>
  <c r="BJ25" i="21" s="1"/>
  <c r="BK25" i="21" a="1"/>
  <c r="BK25" i="21" s="1"/>
  <c r="BL25" i="21" a="1"/>
  <c r="BL25" i="21" s="1"/>
  <c r="BM25" i="21" a="1"/>
  <c r="BM25" i="21" s="1"/>
  <c r="BN25" i="21" a="1"/>
  <c r="BN25" i="21" s="1"/>
  <c r="BO25" i="21" a="1"/>
  <c r="BO25" i="21" s="1"/>
  <c r="BP25" i="21" a="1"/>
  <c r="BP25" i="21" s="1"/>
  <c r="BQ25" i="21" a="1"/>
  <c r="BQ25" i="21" s="1"/>
  <c r="BR25" i="21" a="1"/>
  <c r="BR25" i="21" s="1"/>
  <c r="BS25" i="21" a="1"/>
  <c r="BS25" i="21" s="1"/>
  <c r="BT25" i="21" a="1"/>
  <c r="BT25" i="21" s="1"/>
  <c r="BU25" i="21" a="1"/>
  <c r="BU25" i="21" s="1"/>
  <c r="BV25" i="21" a="1"/>
  <c r="BV25" i="21" s="1"/>
  <c r="BW25" i="21" a="1"/>
  <c r="BW25" i="21" s="1"/>
  <c r="BX25" i="21" a="1"/>
  <c r="BX25" i="21" s="1"/>
  <c r="BY25" i="21" a="1"/>
  <c r="BY25" i="21" s="1"/>
  <c r="BZ25" i="21" a="1"/>
  <c r="BZ25" i="21" s="1"/>
  <c r="CA25" i="21" a="1"/>
  <c r="CA25" i="21" s="1"/>
  <c r="CB25" i="21" a="1"/>
  <c r="CB25" i="21" s="1"/>
  <c r="CC25" i="21" a="1"/>
  <c r="CC25" i="21" s="1"/>
  <c r="CD25" i="21" a="1"/>
  <c r="CD25" i="21" s="1"/>
  <c r="CE25" i="21" a="1"/>
  <c r="CE25" i="21" s="1"/>
  <c r="CF25" i="21" a="1"/>
  <c r="CF25" i="21" s="1"/>
  <c r="CG25" i="21" a="1"/>
  <c r="CG25" i="21" s="1"/>
  <c r="CH25" i="21" a="1"/>
  <c r="CH25" i="21" s="1"/>
  <c r="CI25" i="21" a="1"/>
  <c r="CI25" i="21" s="1"/>
  <c r="CJ25" i="21" a="1"/>
  <c r="CJ25" i="21" s="1"/>
  <c r="CK25" i="21" a="1"/>
  <c r="CK25" i="21" s="1"/>
  <c r="CL25" i="21" a="1"/>
  <c r="CL25" i="21" s="1"/>
  <c r="CM25" i="21" a="1"/>
  <c r="CM25" i="21" s="1"/>
  <c r="CN25" i="21" a="1"/>
  <c r="CN25" i="21" s="1"/>
  <c r="CO25" i="21" a="1"/>
  <c r="CO25" i="21" s="1"/>
  <c r="CP25" i="21" a="1"/>
  <c r="CP25" i="21" s="1"/>
  <c r="CQ25" i="21" a="1"/>
  <c r="CQ25" i="21" s="1"/>
  <c r="CR25" i="21" a="1"/>
  <c r="CR25" i="21" s="1"/>
  <c r="CS25" i="21" a="1"/>
  <c r="CS25" i="21" s="1"/>
  <c r="CT25" i="21" a="1"/>
  <c r="CT25" i="21" s="1"/>
  <c r="CU25" i="21" a="1"/>
  <c r="CU25" i="21" s="1"/>
  <c r="CV25" i="21" a="1"/>
  <c r="CV25" i="21" s="1"/>
  <c r="CW25" i="21" a="1"/>
  <c r="CW25" i="21" s="1"/>
  <c r="S26" i="21" a="1"/>
  <c r="S26" i="21" s="1"/>
  <c r="T26" i="21" a="1"/>
  <c r="T26" i="21" s="1"/>
  <c r="U26" i="21" a="1"/>
  <c r="U26" i="21" s="1"/>
  <c r="V26" i="21" a="1"/>
  <c r="V26" i="21" s="1"/>
  <c r="W26" i="21" a="1"/>
  <c r="W26" i="21" s="1"/>
  <c r="X26" i="21" a="1"/>
  <c r="X26" i="21" s="1"/>
  <c r="Y26" i="21" a="1"/>
  <c r="Y26" i="21" s="1"/>
  <c r="Z26" i="21" a="1"/>
  <c r="Z26" i="21" s="1"/>
  <c r="AA26" i="21" a="1"/>
  <c r="AA26" i="21" s="1"/>
  <c r="AB26" i="21" a="1"/>
  <c r="AB26" i="21" s="1"/>
  <c r="AC26" i="21" a="1"/>
  <c r="AC26" i="21" s="1"/>
  <c r="AD26" i="21" a="1"/>
  <c r="AD26" i="21" s="1"/>
  <c r="AE26" i="21" a="1"/>
  <c r="AE26" i="21" s="1"/>
  <c r="AF26" i="21" a="1"/>
  <c r="AF26" i="21" s="1"/>
  <c r="AG26" i="21" a="1"/>
  <c r="AG26" i="21" s="1"/>
  <c r="AH26" i="21" a="1"/>
  <c r="AH26" i="21" s="1"/>
  <c r="AI26" i="21" a="1"/>
  <c r="AI26" i="21" s="1"/>
  <c r="AJ26" i="21" a="1"/>
  <c r="AJ26" i="21" s="1"/>
  <c r="AK26" i="21" a="1"/>
  <c r="AK26" i="21" s="1"/>
  <c r="AL26" i="21" a="1"/>
  <c r="AL26" i="21" s="1"/>
  <c r="AM26" i="21" a="1"/>
  <c r="AM26" i="21" s="1"/>
  <c r="AN26" i="21" a="1"/>
  <c r="AN26" i="21" s="1"/>
  <c r="AO26" i="21" a="1"/>
  <c r="AO26" i="21" s="1"/>
  <c r="AP26" i="21" a="1"/>
  <c r="AP26" i="21" s="1"/>
  <c r="AQ26" i="21" a="1"/>
  <c r="AQ26" i="21" s="1"/>
  <c r="AR26" i="21" a="1"/>
  <c r="AR26" i="21" s="1"/>
  <c r="AS26" i="21" a="1"/>
  <c r="AS26" i="21" s="1"/>
  <c r="AT26" i="21" a="1"/>
  <c r="AT26" i="21" s="1"/>
  <c r="AU26" i="21" a="1"/>
  <c r="AU26" i="21" s="1"/>
  <c r="AV26" i="21" a="1"/>
  <c r="AV26" i="21" s="1"/>
  <c r="AW26" i="21" a="1"/>
  <c r="AW26" i="21" s="1"/>
  <c r="AX26" i="21" a="1"/>
  <c r="AX26" i="21" s="1"/>
  <c r="AY26" i="21" a="1"/>
  <c r="AY26" i="21" s="1"/>
  <c r="AZ26" i="21" a="1"/>
  <c r="AZ26" i="21" s="1"/>
  <c r="BA26" i="21" a="1"/>
  <c r="BA26" i="21" s="1"/>
  <c r="BB26" i="21" a="1"/>
  <c r="BB26" i="21" s="1"/>
  <c r="BC26" i="21" a="1"/>
  <c r="BC26" i="21" s="1"/>
  <c r="BD26" i="21" a="1"/>
  <c r="BD26" i="21" s="1"/>
  <c r="BE26" i="21" a="1"/>
  <c r="BE26" i="21" s="1"/>
  <c r="BF26" i="21" a="1"/>
  <c r="BF26" i="21" s="1"/>
  <c r="BG26" i="21" a="1"/>
  <c r="BG26" i="21" s="1"/>
  <c r="BH26" i="21" a="1"/>
  <c r="BH26" i="21" s="1"/>
  <c r="BI26" i="21" a="1"/>
  <c r="BI26" i="21" s="1"/>
  <c r="BJ26" i="21" a="1"/>
  <c r="BJ26" i="21" s="1"/>
  <c r="BK26" i="21" a="1"/>
  <c r="BK26" i="21" s="1"/>
  <c r="BL26" i="21" a="1"/>
  <c r="BL26" i="21" s="1"/>
  <c r="BM26" i="21" a="1"/>
  <c r="BM26" i="21" s="1"/>
  <c r="BN26" i="21" a="1"/>
  <c r="BN26" i="21" s="1"/>
  <c r="BO26" i="21" a="1"/>
  <c r="BO26" i="21" s="1"/>
  <c r="BP26" i="21" a="1"/>
  <c r="BP26" i="21" s="1"/>
  <c r="BQ26" i="21" a="1"/>
  <c r="BQ26" i="21" s="1"/>
  <c r="BR26" i="21" a="1"/>
  <c r="BR26" i="21" s="1"/>
  <c r="BS26" i="21" a="1"/>
  <c r="BS26" i="21" s="1"/>
  <c r="BT26" i="21" a="1"/>
  <c r="BT26" i="21" s="1"/>
  <c r="BU26" i="21" a="1"/>
  <c r="BU26" i="21" s="1"/>
  <c r="BV26" i="21" a="1"/>
  <c r="BV26" i="21" s="1"/>
  <c r="BW26" i="21" a="1"/>
  <c r="BW26" i="21" s="1"/>
  <c r="BX26" i="21" a="1"/>
  <c r="BX26" i="21" s="1"/>
  <c r="BY26" i="21" a="1"/>
  <c r="BY26" i="21" s="1"/>
  <c r="BZ26" i="21" a="1"/>
  <c r="BZ26" i="21" s="1"/>
  <c r="CA26" i="21" a="1"/>
  <c r="CA26" i="21" s="1"/>
  <c r="CB26" i="21" a="1"/>
  <c r="CB26" i="21" s="1"/>
  <c r="CC26" i="21" a="1"/>
  <c r="CC26" i="21" s="1"/>
  <c r="CD26" i="21" a="1"/>
  <c r="CD26" i="21" s="1"/>
  <c r="CE26" i="21" a="1"/>
  <c r="CE26" i="21" s="1"/>
  <c r="CF26" i="21" a="1"/>
  <c r="CF26" i="21" s="1"/>
  <c r="CG26" i="21" a="1"/>
  <c r="CG26" i="21" s="1"/>
  <c r="CH26" i="21" a="1"/>
  <c r="CH26" i="21" s="1"/>
  <c r="CI26" i="21" a="1"/>
  <c r="CI26" i="21" s="1"/>
  <c r="CJ26" i="21" a="1"/>
  <c r="CJ26" i="21" s="1"/>
  <c r="CK26" i="21" a="1"/>
  <c r="CK26" i="21" s="1"/>
  <c r="CL26" i="21" a="1"/>
  <c r="CL26" i="21" s="1"/>
  <c r="CM26" i="21" a="1"/>
  <c r="CM26" i="21" s="1"/>
  <c r="CN26" i="21" a="1"/>
  <c r="CN26" i="21" s="1"/>
  <c r="CO26" i="21" a="1"/>
  <c r="CO26" i="21" s="1"/>
  <c r="CP26" i="21" a="1"/>
  <c r="CP26" i="21" s="1"/>
  <c r="CQ26" i="21" a="1"/>
  <c r="CQ26" i="21" s="1"/>
  <c r="CR26" i="21" a="1"/>
  <c r="CR26" i="21" s="1"/>
  <c r="CS26" i="21" a="1"/>
  <c r="CS26" i="21" s="1"/>
  <c r="CT26" i="21" a="1"/>
  <c r="CT26" i="21" s="1"/>
  <c r="CU26" i="21" a="1"/>
  <c r="CU26" i="21" s="1"/>
  <c r="CV26" i="21" a="1"/>
  <c r="CV26" i="21" s="1"/>
  <c r="CW26" i="21" a="1"/>
  <c r="CW26" i="21" s="1"/>
  <c r="S27" i="21" a="1"/>
  <c r="S27" i="21" s="1"/>
  <c r="T27" i="21" a="1"/>
  <c r="T27" i="21" s="1"/>
  <c r="U27" i="21" a="1"/>
  <c r="U27" i="21" s="1"/>
  <c r="V27" i="21" a="1"/>
  <c r="V27" i="21" s="1"/>
  <c r="W27" i="21" a="1"/>
  <c r="W27" i="21" s="1"/>
  <c r="X27" i="21" a="1"/>
  <c r="X27" i="21" s="1"/>
  <c r="Y27" i="21" a="1"/>
  <c r="Y27" i="21" s="1"/>
  <c r="Z27" i="21" a="1"/>
  <c r="Z27" i="21" s="1"/>
  <c r="AA27" i="21" a="1"/>
  <c r="AA27" i="21" s="1"/>
  <c r="AB27" i="21" a="1"/>
  <c r="AB27" i="21" s="1"/>
  <c r="AC27" i="21" a="1"/>
  <c r="AC27" i="21" s="1"/>
  <c r="AD27" i="21" a="1"/>
  <c r="AD27" i="21" s="1"/>
  <c r="AE27" i="21" a="1"/>
  <c r="AE27" i="21" s="1"/>
  <c r="AF27" i="21" a="1"/>
  <c r="AF27" i="21" s="1"/>
  <c r="AG27" i="21" a="1"/>
  <c r="AG27" i="21" s="1"/>
  <c r="AH27" i="21" a="1"/>
  <c r="AH27" i="21" s="1"/>
  <c r="AI27" i="21" a="1"/>
  <c r="AI27" i="21" s="1"/>
  <c r="AJ27" i="21" a="1"/>
  <c r="AJ27" i="21" s="1"/>
  <c r="AK27" i="21" a="1"/>
  <c r="AK27" i="21" s="1"/>
  <c r="AL27" i="21" a="1"/>
  <c r="AL27" i="21" s="1"/>
  <c r="AM27" i="21" a="1"/>
  <c r="AM27" i="21" s="1"/>
  <c r="AN27" i="21" a="1"/>
  <c r="AN27" i="21" s="1"/>
  <c r="AO27" i="21" a="1"/>
  <c r="AO27" i="21" s="1"/>
  <c r="AP27" i="21" a="1"/>
  <c r="AP27" i="21" s="1"/>
  <c r="AQ27" i="21" a="1"/>
  <c r="AQ27" i="21" s="1"/>
  <c r="AR27" i="21" a="1"/>
  <c r="AR27" i="21" s="1"/>
  <c r="AS27" i="21" a="1"/>
  <c r="AS27" i="21" s="1"/>
  <c r="AT27" i="21" a="1"/>
  <c r="AT27" i="21" s="1"/>
  <c r="AU27" i="21" a="1"/>
  <c r="AU27" i="21" s="1"/>
  <c r="AV27" i="21" a="1"/>
  <c r="AV27" i="21" s="1"/>
  <c r="AW27" i="21" a="1"/>
  <c r="AW27" i="21" s="1"/>
  <c r="AX27" i="21" a="1"/>
  <c r="AX27" i="21" s="1"/>
  <c r="AY27" i="21" a="1"/>
  <c r="AY27" i="21" s="1"/>
  <c r="AZ27" i="21" a="1"/>
  <c r="AZ27" i="21" s="1"/>
  <c r="BA27" i="21" a="1"/>
  <c r="BA27" i="21" s="1"/>
  <c r="BB27" i="21" a="1"/>
  <c r="BB27" i="21" s="1"/>
  <c r="BC27" i="21" a="1"/>
  <c r="BC27" i="21" s="1"/>
  <c r="BD27" i="21" a="1"/>
  <c r="BD27" i="21" s="1"/>
  <c r="BE27" i="21" a="1"/>
  <c r="BE27" i="21" s="1"/>
  <c r="BF27" i="21" a="1"/>
  <c r="BF27" i="21" s="1"/>
  <c r="BG27" i="21" a="1"/>
  <c r="BG27" i="21" s="1"/>
  <c r="BH27" i="21" a="1"/>
  <c r="BH27" i="21" s="1"/>
  <c r="BI27" i="21" a="1"/>
  <c r="BI27" i="21" s="1"/>
  <c r="BJ27" i="21" a="1"/>
  <c r="BJ27" i="21" s="1"/>
  <c r="BK27" i="21" a="1"/>
  <c r="BK27" i="21" s="1"/>
  <c r="BL27" i="21" a="1"/>
  <c r="BL27" i="21" s="1"/>
  <c r="BM27" i="21" a="1"/>
  <c r="BM27" i="21" s="1"/>
  <c r="BN27" i="21" a="1"/>
  <c r="BN27" i="21" s="1"/>
  <c r="BO27" i="21" a="1"/>
  <c r="BO27" i="21" s="1"/>
  <c r="BP27" i="21" a="1"/>
  <c r="BP27" i="21" s="1"/>
  <c r="BQ27" i="21" a="1"/>
  <c r="BQ27" i="21" s="1"/>
  <c r="BR27" i="21" a="1"/>
  <c r="BR27" i="21" s="1"/>
  <c r="BS27" i="21" a="1"/>
  <c r="BS27" i="21" s="1"/>
  <c r="BT27" i="21" a="1"/>
  <c r="BT27" i="21" s="1"/>
  <c r="BU27" i="21" a="1"/>
  <c r="BU27" i="21" s="1"/>
  <c r="BV27" i="21" a="1"/>
  <c r="BV27" i="21" s="1"/>
  <c r="BW27" i="21" a="1"/>
  <c r="BW27" i="21" s="1"/>
  <c r="BX27" i="21" a="1"/>
  <c r="BX27" i="21" s="1"/>
  <c r="BY27" i="21" a="1"/>
  <c r="BY27" i="21" s="1"/>
  <c r="BZ27" i="21" a="1"/>
  <c r="BZ27" i="21" s="1"/>
  <c r="CA27" i="21" a="1"/>
  <c r="CA27" i="21" s="1"/>
  <c r="CB27" i="21" a="1"/>
  <c r="CB27" i="21" s="1"/>
  <c r="CC27" i="21" a="1"/>
  <c r="CC27" i="21" s="1"/>
  <c r="CD27" i="21" a="1"/>
  <c r="CD27" i="21" s="1"/>
  <c r="CE27" i="21" a="1"/>
  <c r="CE27" i="21" s="1"/>
  <c r="CF27" i="21" a="1"/>
  <c r="CF27" i="21" s="1"/>
  <c r="CG27" i="21" a="1"/>
  <c r="CG27" i="21" s="1"/>
  <c r="CH27" i="21" a="1"/>
  <c r="CH27" i="21" s="1"/>
  <c r="CI27" i="21" a="1"/>
  <c r="CI27" i="21" s="1"/>
  <c r="CJ27" i="21" a="1"/>
  <c r="CJ27" i="21" s="1"/>
  <c r="CK27" i="21" a="1"/>
  <c r="CK27" i="21" s="1"/>
  <c r="CL27" i="21" a="1"/>
  <c r="CL27" i="21" s="1"/>
  <c r="CM27" i="21" a="1"/>
  <c r="CM27" i="21" s="1"/>
  <c r="CN27" i="21" a="1"/>
  <c r="CN27" i="21" s="1"/>
  <c r="CO27" i="21" a="1"/>
  <c r="CO27" i="21" s="1"/>
  <c r="CP27" i="21" a="1"/>
  <c r="CP27" i="21" s="1"/>
  <c r="CQ27" i="21" a="1"/>
  <c r="CQ27" i="21" s="1"/>
  <c r="CR27" i="21" a="1"/>
  <c r="CR27" i="21" s="1"/>
  <c r="CS27" i="21" a="1"/>
  <c r="CS27" i="21" s="1"/>
  <c r="CT27" i="21" a="1"/>
  <c r="CT27" i="21" s="1"/>
  <c r="CU27" i="21" a="1"/>
  <c r="CU27" i="21" s="1"/>
  <c r="CV27" i="21" a="1"/>
  <c r="CV27" i="21" s="1"/>
  <c r="CW27" i="21" a="1"/>
  <c r="CW27" i="21" s="1"/>
  <c r="S28" i="21" a="1"/>
  <c r="S28" i="21" s="1"/>
  <c r="T28" i="21" a="1"/>
  <c r="T28" i="21" s="1"/>
  <c r="U28" i="21" a="1"/>
  <c r="U28" i="21" s="1"/>
  <c r="V28" i="21" a="1"/>
  <c r="V28" i="21" s="1"/>
  <c r="W28" i="21" a="1"/>
  <c r="W28" i="21" s="1"/>
  <c r="X28" i="21" a="1"/>
  <c r="X28" i="21" s="1"/>
  <c r="Y28" i="21" a="1"/>
  <c r="Y28" i="21" s="1"/>
  <c r="Z28" i="21" a="1"/>
  <c r="Z28" i="21" s="1"/>
  <c r="AA28" i="21" a="1"/>
  <c r="AA28" i="21" s="1"/>
  <c r="AB28" i="21" a="1"/>
  <c r="AB28" i="21" s="1"/>
  <c r="AC28" i="21" a="1"/>
  <c r="AC28" i="21" s="1"/>
  <c r="AD28" i="21" a="1"/>
  <c r="AD28" i="21" s="1"/>
  <c r="AE28" i="21" a="1"/>
  <c r="AE28" i="21" s="1"/>
  <c r="AF28" i="21" a="1"/>
  <c r="AF28" i="21" s="1"/>
  <c r="AG28" i="21" a="1"/>
  <c r="AG28" i="21" s="1"/>
  <c r="AH28" i="21" a="1"/>
  <c r="AH28" i="21" s="1"/>
  <c r="AI28" i="21" a="1"/>
  <c r="AI28" i="21" s="1"/>
  <c r="AJ28" i="21" a="1"/>
  <c r="AJ28" i="21" s="1"/>
  <c r="AK28" i="21" a="1"/>
  <c r="AK28" i="21" s="1"/>
  <c r="AL28" i="21" a="1"/>
  <c r="AL28" i="21" s="1"/>
  <c r="AM28" i="21" a="1"/>
  <c r="AM28" i="21" s="1"/>
  <c r="AN28" i="21" a="1"/>
  <c r="AN28" i="21" s="1"/>
  <c r="AO28" i="21" a="1"/>
  <c r="AO28" i="21" s="1"/>
  <c r="AP28" i="21" a="1"/>
  <c r="AP28" i="21" s="1"/>
  <c r="AQ28" i="21" a="1"/>
  <c r="AQ28" i="21" s="1"/>
  <c r="AR28" i="21" a="1"/>
  <c r="AR28" i="21" s="1"/>
  <c r="AS28" i="21" a="1"/>
  <c r="AS28" i="21" s="1"/>
  <c r="AT28" i="21" a="1"/>
  <c r="AT28" i="21" s="1"/>
  <c r="AU28" i="21" a="1"/>
  <c r="AU28" i="21" s="1"/>
  <c r="AV28" i="21" a="1"/>
  <c r="AV28" i="21" s="1"/>
  <c r="AW28" i="21" a="1"/>
  <c r="AW28" i="21" s="1"/>
  <c r="AX28" i="21" a="1"/>
  <c r="AX28" i="21" s="1"/>
  <c r="AY28" i="21" a="1"/>
  <c r="AY28" i="21" s="1"/>
  <c r="AZ28" i="21" a="1"/>
  <c r="AZ28" i="21" s="1"/>
  <c r="BA28" i="21" a="1"/>
  <c r="BA28" i="21" s="1"/>
  <c r="BB28" i="21" a="1"/>
  <c r="BB28" i="21" s="1"/>
  <c r="BC28" i="21" a="1"/>
  <c r="BC28" i="21" s="1"/>
  <c r="BD28" i="21" a="1"/>
  <c r="BD28" i="21" s="1"/>
  <c r="BE28" i="21" a="1"/>
  <c r="BE28" i="21" s="1"/>
  <c r="BF28" i="21" a="1"/>
  <c r="BF28" i="21" s="1"/>
  <c r="BG28" i="21" a="1"/>
  <c r="BG28" i="21" s="1"/>
  <c r="BH28" i="21" a="1"/>
  <c r="BH28" i="21" s="1"/>
  <c r="BI28" i="21" a="1"/>
  <c r="BI28" i="21" s="1"/>
  <c r="BJ28" i="21" a="1"/>
  <c r="BJ28" i="21" s="1"/>
  <c r="BK28" i="21" a="1"/>
  <c r="BK28" i="21" s="1"/>
  <c r="BL28" i="21" a="1"/>
  <c r="BL28" i="21" s="1"/>
  <c r="BM28" i="21" a="1"/>
  <c r="BM28" i="21" s="1"/>
  <c r="BN28" i="21" a="1"/>
  <c r="BN28" i="21" s="1"/>
  <c r="BO28" i="21" a="1"/>
  <c r="BO28" i="21" s="1"/>
  <c r="BP28" i="21" a="1"/>
  <c r="BP28" i="21" s="1"/>
  <c r="BQ28" i="21" a="1"/>
  <c r="BQ28" i="21" s="1"/>
  <c r="BR28" i="21" a="1"/>
  <c r="BR28" i="21" s="1"/>
  <c r="BS28" i="21" a="1"/>
  <c r="BS28" i="21" s="1"/>
  <c r="BT28" i="21" a="1"/>
  <c r="BT28" i="21" s="1"/>
  <c r="BU28" i="21" a="1"/>
  <c r="BU28" i="21" s="1"/>
  <c r="BV28" i="21" a="1"/>
  <c r="BV28" i="21" s="1"/>
  <c r="BW28" i="21" a="1"/>
  <c r="BW28" i="21" s="1"/>
  <c r="BX28" i="21" a="1"/>
  <c r="BX28" i="21" s="1"/>
  <c r="BY28" i="21" a="1"/>
  <c r="BY28" i="21" s="1"/>
  <c r="BZ28" i="21" a="1"/>
  <c r="BZ28" i="21" s="1"/>
  <c r="CA28" i="21" a="1"/>
  <c r="CA28" i="21" s="1"/>
  <c r="CB28" i="21" a="1"/>
  <c r="CB28" i="21" s="1"/>
  <c r="CC28" i="21" a="1"/>
  <c r="CC28" i="21" s="1"/>
  <c r="CD28" i="21" a="1"/>
  <c r="CD28" i="21" s="1"/>
  <c r="CE28" i="21" a="1"/>
  <c r="CE28" i="21" s="1"/>
  <c r="CF28" i="21" a="1"/>
  <c r="CF28" i="21" s="1"/>
  <c r="CG28" i="21" a="1"/>
  <c r="CG28" i="21" s="1"/>
  <c r="CH28" i="21" a="1"/>
  <c r="CH28" i="21" s="1"/>
  <c r="CI28" i="21" a="1"/>
  <c r="CI28" i="21" s="1"/>
  <c r="CJ28" i="21" a="1"/>
  <c r="CJ28" i="21" s="1"/>
  <c r="CK28" i="21" a="1"/>
  <c r="CK28" i="21" s="1"/>
  <c r="CL28" i="21" a="1"/>
  <c r="CL28" i="21" s="1"/>
  <c r="CM28" i="21" a="1"/>
  <c r="CM28" i="21" s="1"/>
  <c r="CN28" i="21" a="1"/>
  <c r="CN28" i="21" s="1"/>
  <c r="CO28" i="21" a="1"/>
  <c r="CO28" i="21" s="1"/>
  <c r="CP28" i="21" a="1"/>
  <c r="CP28" i="21" s="1"/>
  <c r="CQ28" i="21" a="1"/>
  <c r="CQ28" i="21" s="1"/>
  <c r="CR28" i="21" a="1"/>
  <c r="CR28" i="21" s="1"/>
  <c r="CS28" i="21" a="1"/>
  <c r="CS28" i="21" s="1"/>
  <c r="CT28" i="21" a="1"/>
  <c r="CT28" i="21" s="1"/>
  <c r="CU28" i="21" a="1"/>
  <c r="CU28" i="21" s="1"/>
  <c r="CV28" i="21" a="1"/>
  <c r="CV28" i="21" s="1"/>
  <c r="CW28" i="21" a="1"/>
  <c r="CW28" i="21" s="1"/>
  <c r="S29" i="21" a="1"/>
  <c r="S29" i="21" s="1"/>
  <c r="T29" i="21" a="1"/>
  <c r="T29" i="21" s="1"/>
  <c r="U29" i="21" a="1"/>
  <c r="U29" i="21" s="1"/>
  <c r="V29" i="21" a="1"/>
  <c r="V29" i="21" s="1"/>
  <c r="W29" i="21" a="1"/>
  <c r="W29" i="21" s="1"/>
  <c r="X29" i="21" a="1"/>
  <c r="X29" i="21" s="1"/>
  <c r="Y29" i="21" a="1"/>
  <c r="Y29" i="21" s="1"/>
  <c r="Z29" i="21" a="1"/>
  <c r="Z29" i="21" s="1"/>
  <c r="AA29" i="21" a="1"/>
  <c r="AA29" i="21" s="1"/>
  <c r="AB29" i="21" a="1"/>
  <c r="AB29" i="21" s="1"/>
  <c r="AC29" i="21" a="1"/>
  <c r="AC29" i="21" s="1"/>
  <c r="AD29" i="21" a="1"/>
  <c r="AD29" i="21" s="1"/>
  <c r="AE29" i="21" a="1"/>
  <c r="AE29" i="21" s="1"/>
  <c r="AF29" i="21" a="1"/>
  <c r="AF29" i="21" s="1"/>
  <c r="AG29" i="21" a="1"/>
  <c r="AG29" i="21" s="1"/>
  <c r="AH29" i="21" a="1"/>
  <c r="AH29" i="21" s="1"/>
  <c r="AI29" i="21" a="1"/>
  <c r="AI29" i="21" s="1"/>
  <c r="AJ29" i="21" a="1"/>
  <c r="AJ29" i="21" s="1"/>
  <c r="AK29" i="21" a="1"/>
  <c r="AK29" i="21" s="1"/>
  <c r="AL29" i="21" a="1"/>
  <c r="AL29" i="21" s="1"/>
  <c r="AM29" i="21" a="1"/>
  <c r="AM29" i="21" s="1"/>
  <c r="AN29" i="21" a="1"/>
  <c r="AN29" i="21" s="1"/>
  <c r="AO29" i="21" a="1"/>
  <c r="AO29" i="21" s="1"/>
  <c r="AP29" i="21" a="1"/>
  <c r="AP29" i="21" s="1"/>
  <c r="AQ29" i="21" a="1"/>
  <c r="AQ29" i="21" s="1"/>
  <c r="AR29" i="21" a="1"/>
  <c r="AR29" i="21" s="1"/>
  <c r="AS29" i="21" a="1"/>
  <c r="AS29" i="21" s="1"/>
  <c r="AT29" i="21" a="1"/>
  <c r="AT29" i="21" s="1"/>
  <c r="AU29" i="21" a="1"/>
  <c r="AU29" i="21" s="1"/>
  <c r="AV29" i="21" a="1"/>
  <c r="AV29" i="21" s="1"/>
  <c r="AW29" i="21" a="1"/>
  <c r="AW29" i="21" s="1"/>
  <c r="AX29" i="21" a="1"/>
  <c r="AX29" i="21" s="1"/>
  <c r="AY29" i="21" a="1"/>
  <c r="AY29" i="21" s="1"/>
  <c r="AZ29" i="21" a="1"/>
  <c r="AZ29" i="21" s="1"/>
  <c r="BA29" i="21" a="1"/>
  <c r="BA29" i="21" s="1"/>
  <c r="BB29" i="21" a="1"/>
  <c r="BB29" i="21" s="1"/>
  <c r="BC29" i="21" a="1"/>
  <c r="BC29" i="21" s="1"/>
  <c r="BD29" i="21" a="1"/>
  <c r="BD29" i="21" s="1"/>
  <c r="BE29" i="21" a="1"/>
  <c r="BE29" i="21" s="1"/>
  <c r="BF29" i="21" a="1"/>
  <c r="BF29" i="21" s="1"/>
  <c r="BG29" i="21" a="1"/>
  <c r="BG29" i="21" s="1"/>
  <c r="BH29" i="21" a="1"/>
  <c r="BH29" i="21" s="1"/>
  <c r="BI29" i="21" a="1"/>
  <c r="BI29" i="21" s="1"/>
  <c r="BJ29" i="21" a="1"/>
  <c r="BJ29" i="21" s="1"/>
  <c r="BK29" i="21" a="1"/>
  <c r="BK29" i="21" s="1"/>
  <c r="BL29" i="21" a="1"/>
  <c r="BL29" i="21" s="1"/>
  <c r="BM29" i="21" a="1"/>
  <c r="BM29" i="21" s="1"/>
  <c r="BN29" i="21" a="1"/>
  <c r="BN29" i="21" s="1"/>
  <c r="BO29" i="21" a="1"/>
  <c r="BO29" i="21" s="1"/>
  <c r="BP29" i="21" a="1"/>
  <c r="BP29" i="21" s="1"/>
  <c r="BQ29" i="21" a="1"/>
  <c r="BQ29" i="21" s="1"/>
  <c r="BR29" i="21" a="1"/>
  <c r="BR29" i="21" s="1"/>
  <c r="BS29" i="21" a="1"/>
  <c r="BS29" i="21" s="1"/>
  <c r="BT29" i="21" a="1"/>
  <c r="BT29" i="21" s="1"/>
  <c r="BU29" i="21" a="1"/>
  <c r="BU29" i="21" s="1"/>
  <c r="BV29" i="21" a="1"/>
  <c r="BV29" i="21" s="1"/>
  <c r="BW29" i="21" a="1"/>
  <c r="BW29" i="21" s="1"/>
  <c r="BX29" i="21" a="1"/>
  <c r="BX29" i="21" s="1"/>
  <c r="BY29" i="21" a="1"/>
  <c r="BY29" i="21" s="1"/>
  <c r="BZ29" i="21" a="1"/>
  <c r="BZ29" i="21" s="1"/>
  <c r="CA29" i="21" a="1"/>
  <c r="CA29" i="21" s="1"/>
  <c r="CB29" i="21" a="1"/>
  <c r="CB29" i="21" s="1"/>
  <c r="CC29" i="21" a="1"/>
  <c r="CC29" i="21" s="1"/>
  <c r="CD29" i="21" a="1"/>
  <c r="CD29" i="21" s="1"/>
  <c r="CE29" i="21" a="1"/>
  <c r="CE29" i="21" s="1"/>
  <c r="CF29" i="21" a="1"/>
  <c r="CF29" i="21" s="1"/>
  <c r="CG29" i="21" a="1"/>
  <c r="CG29" i="21" s="1"/>
  <c r="CH29" i="21" a="1"/>
  <c r="CH29" i="21" s="1"/>
  <c r="CI29" i="21" a="1"/>
  <c r="CI29" i="21" s="1"/>
  <c r="CJ29" i="21" a="1"/>
  <c r="CJ29" i="21" s="1"/>
  <c r="CK29" i="21" a="1"/>
  <c r="CK29" i="21" s="1"/>
  <c r="CL29" i="21" a="1"/>
  <c r="CL29" i="21" s="1"/>
  <c r="CM29" i="21" a="1"/>
  <c r="CM29" i="21" s="1"/>
  <c r="CN29" i="21" a="1"/>
  <c r="CN29" i="21" s="1"/>
  <c r="CO29" i="21" a="1"/>
  <c r="CO29" i="21" s="1"/>
  <c r="CP29" i="21" a="1"/>
  <c r="CP29" i="21" s="1"/>
  <c r="CQ29" i="21" a="1"/>
  <c r="CQ29" i="21" s="1"/>
  <c r="CR29" i="21" a="1"/>
  <c r="CR29" i="21" s="1"/>
  <c r="CS29" i="21" a="1"/>
  <c r="CS29" i="21" s="1"/>
  <c r="CT29" i="21" a="1"/>
  <c r="CT29" i="21" s="1"/>
  <c r="CU29" i="21" a="1"/>
  <c r="CU29" i="21" s="1"/>
  <c r="CV29" i="21" a="1"/>
  <c r="CV29" i="21" s="1"/>
  <c r="CW29" i="21" a="1"/>
  <c r="CW29" i="21" s="1"/>
  <c r="S30" i="21" a="1"/>
  <c r="S30" i="21" s="1"/>
  <c r="T30" i="21" a="1"/>
  <c r="T30" i="21" s="1"/>
  <c r="U30" i="21" a="1"/>
  <c r="U30" i="21" s="1"/>
  <c r="V30" i="21" a="1"/>
  <c r="V30" i="21" s="1"/>
  <c r="W30" i="21" a="1"/>
  <c r="W30" i="21" s="1"/>
  <c r="X30" i="21" a="1"/>
  <c r="X30" i="21" s="1"/>
  <c r="Y30" i="21" a="1"/>
  <c r="Y30" i="21" s="1"/>
  <c r="Z30" i="21" a="1"/>
  <c r="Z30" i="21" s="1"/>
  <c r="AA30" i="21" a="1"/>
  <c r="AA30" i="21" s="1"/>
  <c r="AB30" i="21" a="1"/>
  <c r="AB30" i="21" s="1"/>
  <c r="AC30" i="21" a="1"/>
  <c r="AC30" i="21" s="1"/>
  <c r="AD30" i="21" a="1"/>
  <c r="AD30" i="21" s="1"/>
  <c r="AE30" i="21" a="1"/>
  <c r="AE30" i="21" s="1"/>
  <c r="AF30" i="21" a="1"/>
  <c r="AF30" i="21" s="1"/>
  <c r="AG30" i="21" a="1"/>
  <c r="AG30" i="21" s="1"/>
  <c r="AH30" i="21" a="1"/>
  <c r="AH30" i="21" s="1"/>
  <c r="AI30" i="21" a="1"/>
  <c r="AI30" i="21" s="1"/>
  <c r="AJ30" i="21" a="1"/>
  <c r="AJ30" i="21" s="1"/>
  <c r="AK30" i="21" a="1"/>
  <c r="AK30" i="21" s="1"/>
  <c r="AL30" i="21" a="1"/>
  <c r="AL30" i="21" s="1"/>
  <c r="AM30" i="21" a="1"/>
  <c r="AM30" i="21" s="1"/>
  <c r="AN30" i="21" a="1"/>
  <c r="AN30" i="21" s="1"/>
  <c r="AO30" i="21" a="1"/>
  <c r="AO30" i="21" s="1"/>
  <c r="AP30" i="21" a="1"/>
  <c r="AP30" i="21" s="1"/>
  <c r="AQ30" i="21" a="1"/>
  <c r="AQ30" i="21" s="1"/>
  <c r="AR30" i="21" a="1"/>
  <c r="AR30" i="21" s="1"/>
  <c r="AS30" i="21" a="1"/>
  <c r="AS30" i="21" s="1"/>
  <c r="AT30" i="21" a="1"/>
  <c r="AT30" i="21" s="1"/>
  <c r="AU30" i="21" a="1"/>
  <c r="AU30" i="21" s="1"/>
  <c r="AV30" i="21" a="1"/>
  <c r="AV30" i="21" s="1"/>
  <c r="AW30" i="21" a="1"/>
  <c r="AW30" i="21" s="1"/>
  <c r="AX30" i="21" a="1"/>
  <c r="AX30" i="21" s="1"/>
  <c r="AY30" i="21" a="1"/>
  <c r="AY30" i="21" s="1"/>
  <c r="AZ30" i="21" a="1"/>
  <c r="AZ30" i="21" s="1"/>
  <c r="BA30" i="21" a="1"/>
  <c r="BA30" i="21" s="1"/>
  <c r="BB30" i="21" a="1"/>
  <c r="BB30" i="21" s="1"/>
  <c r="BC30" i="21" a="1"/>
  <c r="BC30" i="21" s="1"/>
  <c r="BD30" i="21" a="1"/>
  <c r="BD30" i="21" s="1"/>
  <c r="BE30" i="21" a="1"/>
  <c r="BE30" i="21" s="1"/>
  <c r="BF30" i="21" a="1"/>
  <c r="BF30" i="21" s="1"/>
  <c r="BG30" i="21" a="1"/>
  <c r="BG30" i="21" s="1"/>
  <c r="BH30" i="21" a="1"/>
  <c r="BH30" i="21" s="1"/>
  <c r="BI30" i="21" a="1"/>
  <c r="BI30" i="21" s="1"/>
  <c r="BJ30" i="21" a="1"/>
  <c r="BJ30" i="21" s="1"/>
  <c r="BK30" i="21" a="1"/>
  <c r="BK30" i="21" s="1"/>
  <c r="BL30" i="21" a="1"/>
  <c r="BL30" i="21" s="1"/>
  <c r="BM30" i="21" a="1"/>
  <c r="BM30" i="21" s="1"/>
  <c r="BN30" i="21" a="1"/>
  <c r="BN30" i="21" s="1"/>
  <c r="BO30" i="21" a="1"/>
  <c r="BO30" i="21" s="1"/>
  <c r="BP30" i="21" a="1"/>
  <c r="BP30" i="21" s="1"/>
  <c r="BQ30" i="21" a="1"/>
  <c r="BQ30" i="21" s="1"/>
  <c r="BR30" i="21" a="1"/>
  <c r="BR30" i="21" s="1"/>
  <c r="BS30" i="21" a="1"/>
  <c r="BS30" i="21" s="1"/>
  <c r="BT30" i="21" a="1"/>
  <c r="BT30" i="21" s="1"/>
  <c r="BU30" i="21" a="1"/>
  <c r="BU30" i="21" s="1"/>
  <c r="BV30" i="21" a="1"/>
  <c r="BV30" i="21" s="1"/>
  <c r="BW30" i="21" a="1"/>
  <c r="BW30" i="21" s="1"/>
  <c r="BX30" i="21" a="1"/>
  <c r="BX30" i="21" s="1"/>
  <c r="BY30" i="21" a="1"/>
  <c r="BY30" i="21" s="1"/>
  <c r="BZ30" i="21" a="1"/>
  <c r="BZ30" i="21" s="1"/>
  <c r="CA30" i="21" a="1"/>
  <c r="CA30" i="21" s="1"/>
  <c r="CB30" i="21" a="1"/>
  <c r="CB30" i="21" s="1"/>
  <c r="CC30" i="21" a="1"/>
  <c r="CC30" i="21" s="1"/>
  <c r="CD30" i="21" a="1"/>
  <c r="CD30" i="21" s="1"/>
  <c r="CE30" i="21" a="1"/>
  <c r="CE30" i="21" s="1"/>
  <c r="CF30" i="21" a="1"/>
  <c r="CF30" i="21" s="1"/>
  <c r="CG30" i="21" a="1"/>
  <c r="CG30" i="21" s="1"/>
  <c r="CH30" i="21" a="1"/>
  <c r="CH30" i="21" s="1"/>
  <c r="CI30" i="21" a="1"/>
  <c r="CI30" i="21" s="1"/>
  <c r="CJ30" i="21" a="1"/>
  <c r="CJ30" i="21" s="1"/>
  <c r="CK30" i="21" a="1"/>
  <c r="CK30" i="21" s="1"/>
  <c r="CL30" i="21" a="1"/>
  <c r="CL30" i="21" s="1"/>
  <c r="CM30" i="21" a="1"/>
  <c r="CM30" i="21" s="1"/>
  <c r="CN30" i="21" a="1"/>
  <c r="CN30" i="21" s="1"/>
  <c r="CO30" i="21" a="1"/>
  <c r="CO30" i="21" s="1"/>
  <c r="CP30" i="21" a="1"/>
  <c r="CP30" i="21" s="1"/>
  <c r="CQ30" i="21" a="1"/>
  <c r="CQ30" i="21" s="1"/>
  <c r="CR30" i="21" a="1"/>
  <c r="CR30" i="21" s="1"/>
  <c r="CS30" i="21" a="1"/>
  <c r="CS30" i="21" s="1"/>
  <c r="CT30" i="21" a="1"/>
  <c r="CT30" i="21" s="1"/>
  <c r="CU30" i="21" a="1"/>
  <c r="CU30" i="21" s="1"/>
  <c r="CV30" i="21" a="1"/>
  <c r="CV30" i="21" s="1"/>
  <c r="CW30" i="21" a="1"/>
  <c r="CW30" i="21" s="1"/>
  <c r="S31" i="21" a="1"/>
  <c r="S31" i="21" s="1"/>
  <c r="T31" i="21" a="1"/>
  <c r="T31" i="21" s="1"/>
  <c r="U31" i="21" a="1"/>
  <c r="U31" i="21" s="1"/>
  <c r="V31" i="21" a="1"/>
  <c r="V31" i="21" s="1"/>
  <c r="W31" i="21" a="1"/>
  <c r="W31" i="21" s="1"/>
  <c r="X31" i="21" a="1"/>
  <c r="X31" i="21" s="1"/>
  <c r="Y31" i="21" a="1"/>
  <c r="Y31" i="21" s="1"/>
  <c r="Z31" i="21" a="1"/>
  <c r="Z31" i="21" s="1"/>
  <c r="AA31" i="21" a="1"/>
  <c r="AA31" i="21" s="1"/>
  <c r="AB31" i="21" a="1"/>
  <c r="AB31" i="21" s="1"/>
  <c r="AC31" i="21" a="1"/>
  <c r="AC31" i="21" s="1"/>
  <c r="AD31" i="21" a="1"/>
  <c r="AD31" i="21" s="1"/>
  <c r="AE31" i="21" a="1"/>
  <c r="AE31" i="21" s="1"/>
  <c r="AF31" i="21" a="1"/>
  <c r="AF31" i="21" s="1"/>
  <c r="AG31" i="21" a="1"/>
  <c r="AG31" i="21" s="1"/>
  <c r="AH31" i="21" a="1"/>
  <c r="AH31" i="21" s="1"/>
  <c r="AI31" i="21" a="1"/>
  <c r="AI31" i="21" s="1"/>
  <c r="AJ31" i="21" a="1"/>
  <c r="AJ31" i="21" s="1"/>
  <c r="AK31" i="21" a="1"/>
  <c r="AK31" i="21" s="1"/>
  <c r="AL31" i="21" a="1"/>
  <c r="AL31" i="21" s="1"/>
  <c r="AM31" i="21" a="1"/>
  <c r="AM31" i="21" s="1"/>
  <c r="AN31" i="21" a="1"/>
  <c r="AN31" i="21" s="1"/>
  <c r="AO31" i="21" a="1"/>
  <c r="AO31" i="21" s="1"/>
  <c r="AP31" i="21" a="1"/>
  <c r="AP31" i="21" s="1"/>
  <c r="AQ31" i="21" a="1"/>
  <c r="AQ31" i="21" s="1"/>
  <c r="AR31" i="21" a="1"/>
  <c r="AR31" i="21" s="1"/>
  <c r="AS31" i="21" a="1"/>
  <c r="AS31" i="21" s="1"/>
  <c r="AT31" i="21" a="1"/>
  <c r="AT31" i="21" s="1"/>
  <c r="AU31" i="21" a="1"/>
  <c r="AU31" i="21" s="1"/>
  <c r="AV31" i="21" a="1"/>
  <c r="AV31" i="21" s="1"/>
  <c r="AW31" i="21" a="1"/>
  <c r="AW31" i="21" s="1"/>
  <c r="AX31" i="21" a="1"/>
  <c r="AX31" i="21" s="1"/>
  <c r="AY31" i="21" a="1"/>
  <c r="AY31" i="21" s="1"/>
  <c r="AZ31" i="21" a="1"/>
  <c r="AZ31" i="21" s="1"/>
  <c r="BA31" i="21" a="1"/>
  <c r="BA31" i="21" s="1"/>
  <c r="BB31" i="21" a="1"/>
  <c r="BB31" i="21" s="1"/>
  <c r="BC31" i="21" a="1"/>
  <c r="BC31" i="21" s="1"/>
  <c r="BD31" i="21" a="1"/>
  <c r="BD31" i="21" s="1"/>
  <c r="BE31" i="21" a="1"/>
  <c r="BE31" i="21" s="1"/>
  <c r="BF31" i="21" a="1"/>
  <c r="BF31" i="21" s="1"/>
  <c r="BG31" i="21" a="1"/>
  <c r="BG31" i="21" s="1"/>
  <c r="BH31" i="21" a="1"/>
  <c r="BH31" i="21" s="1"/>
  <c r="BI31" i="21" a="1"/>
  <c r="BI31" i="21" s="1"/>
  <c r="BJ31" i="21" a="1"/>
  <c r="BJ31" i="21" s="1"/>
  <c r="BK31" i="21" a="1"/>
  <c r="BK31" i="21" s="1"/>
  <c r="BL31" i="21" a="1"/>
  <c r="BL31" i="21" s="1"/>
  <c r="BM31" i="21" a="1"/>
  <c r="BM31" i="21" s="1"/>
  <c r="BN31" i="21" a="1"/>
  <c r="BN31" i="21" s="1"/>
  <c r="BO31" i="21" a="1"/>
  <c r="BO31" i="21" s="1"/>
  <c r="BP31" i="21" a="1"/>
  <c r="BP31" i="21" s="1"/>
  <c r="BQ31" i="21" a="1"/>
  <c r="BQ31" i="21" s="1"/>
  <c r="BR31" i="21" a="1"/>
  <c r="BR31" i="21" s="1"/>
  <c r="BS31" i="21" a="1"/>
  <c r="BS31" i="21" s="1"/>
  <c r="BT31" i="21" a="1"/>
  <c r="BT31" i="21" s="1"/>
  <c r="BU31" i="21" a="1"/>
  <c r="BU31" i="21" s="1"/>
  <c r="BV31" i="21" a="1"/>
  <c r="BV31" i="21" s="1"/>
  <c r="BW31" i="21" a="1"/>
  <c r="BW31" i="21" s="1"/>
  <c r="BX31" i="21" a="1"/>
  <c r="BX31" i="21" s="1"/>
  <c r="BY31" i="21" a="1"/>
  <c r="BY31" i="21" s="1"/>
  <c r="BZ31" i="21" a="1"/>
  <c r="BZ31" i="21" s="1"/>
  <c r="CA31" i="21" a="1"/>
  <c r="CA31" i="21" s="1"/>
  <c r="CB31" i="21" a="1"/>
  <c r="CB31" i="21" s="1"/>
  <c r="CC31" i="21" a="1"/>
  <c r="CC31" i="21" s="1"/>
  <c r="CD31" i="21" a="1"/>
  <c r="CD31" i="21" s="1"/>
  <c r="CE31" i="21" a="1"/>
  <c r="CE31" i="21" s="1"/>
  <c r="CF31" i="21" a="1"/>
  <c r="CF31" i="21" s="1"/>
  <c r="CG31" i="21" a="1"/>
  <c r="CG31" i="21" s="1"/>
  <c r="CH31" i="21" a="1"/>
  <c r="CH31" i="21" s="1"/>
  <c r="CI31" i="21" a="1"/>
  <c r="CI31" i="21" s="1"/>
  <c r="CJ31" i="21" a="1"/>
  <c r="CJ31" i="21" s="1"/>
  <c r="CK31" i="21" a="1"/>
  <c r="CK31" i="21" s="1"/>
  <c r="CL31" i="21" a="1"/>
  <c r="CL31" i="21" s="1"/>
  <c r="CM31" i="21" a="1"/>
  <c r="CM31" i="21" s="1"/>
  <c r="CN31" i="21" a="1"/>
  <c r="CN31" i="21" s="1"/>
  <c r="CO31" i="21" a="1"/>
  <c r="CO31" i="21" s="1"/>
  <c r="CP31" i="21" a="1"/>
  <c r="CP31" i="21" s="1"/>
  <c r="CQ31" i="21" a="1"/>
  <c r="CQ31" i="21" s="1"/>
  <c r="CR31" i="21" a="1"/>
  <c r="CR31" i="21" s="1"/>
  <c r="CS31" i="21" a="1"/>
  <c r="CS31" i="21" s="1"/>
  <c r="CT31" i="21" a="1"/>
  <c r="CT31" i="21" s="1"/>
  <c r="CU31" i="21" a="1"/>
  <c r="CU31" i="21" s="1"/>
  <c r="CV31" i="21" a="1"/>
  <c r="CV31" i="21" s="1"/>
  <c r="CW31" i="21" a="1"/>
  <c r="CW31" i="21" s="1"/>
  <c r="S32" i="21" a="1"/>
  <c r="S32" i="21" s="1"/>
  <c r="T32" i="21" a="1"/>
  <c r="T32" i="21" s="1"/>
  <c r="U32" i="21" a="1"/>
  <c r="U32" i="21" s="1"/>
  <c r="V32" i="21" a="1"/>
  <c r="V32" i="21" s="1"/>
  <c r="W32" i="21" a="1"/>
  <c r="W32" i="21" s="1"/>
  <c r="X32" i="21" a="1"/>
  <c r="X32" i="21" s="1"/>
  <c r="Y32" i="21" a="1"/>
  <c r="Y32" i="21" s="1"/>
  <c r="Z32" i="21" a="1"/>
  <c r="Z32" i="21" s="1"/>
  <c r="AA32" i="21" a="1"/>
  <c r="AA32" i="21" s="1"/>
  <c r="AB32" i="21" a="1"/>
  <c r="AB32" i="21" s="1"/>
  <c r="AC32" i="21" a="1"/>
  <c r="AC32" i="21" s="1"/>
  <c r="AD32" i="21" a="1"/>
  <c r="AD32" i="21" s="1"/>
  <c r="AE32" i="21" a="1"/>
  <c r="AE32" i="21" s="1"/>
  <c r="AF32" i="21" a="1"/>
  <c r="AF32" i="21" s="1"/>
  <c r="AG32" i="21" a="1"/>
  <c r="AG32" i="21" s="1"/>
  <c r="AH32" i="21" a="1"/>
  <c r="AH32" i="21" s="1"/>
  <c r="AI32" i="21" a="1"/>
  <c r="AI32" i="21" s="1"/>
  <c r="AJ32" i="21" a="1"/>
  <c r="AJ32" i="21" s="1"/>
  <c r="AK32" i="21" a="1"/>
  <c r="AK32" i="21" s="1"/>
  <c r="AL32" i="21" a="1"/>
  <c r="AL32" i="21" s="1"/>
  <c r="AM32" i="21" a="1"/>
  <c r="AM32" i="21" s="1"/>
  <c r="AN32" i="21" a="1"/>
  <c r="AN32" i="21" s="1"/>
  <c r="AO32" i="21" a="1"/>
  <c r="AO32" i="21" s="1"/>
  <c r="AP32" i="21" a="1"/>
  <c r="AP32" i="21" s="1"/>
  <c r="AQ32" i="21" a="1"/>
  <c r="AQ32" i="21" s="1"/>
  <c r="AR32" i="21" a="1"/>
  <c r="AR32" i="21" s="1"/>
  <c r="AS32" i="21" a="1"/>
  <c r="AS32" i="21" s="1"/>
  <c r="AT32" i="21" a="1"/>
  <c r="AT32" i="21" s="1"/>
  <c r="AU32" i="21" a="1"/>
  <c r="AU32" i="21" s="1"/>
  <c r="AV32" i="21" a="1"/>
  <c r="AV32" i="21" s="1"/>
  <c r="AW32" i="21" a="1"/>
  <c r="AW32" i="21" s="1"/>
  <c r="AX32" i="21" a="1"/>
  <c r="AX32" i="21" s="1"/>
  <c r="AY32" i="21" a="1"/>
  <c r="AY32" i="21" s="1"/>
  <c r="AZ32" i="21" a="1"/>
  <c r="AZ32" i="21" s="1"/>
  <c r="BA32" i="21" a="1"/>
  <c r="BA32" i="21" s="1"/>
  <c r="BB32" i="21" a="1"/>
  <c r="BB32" i="21" s="1"/>
  <c r="BC32" i="21" a="1"/>
  <c r="BC32" i="21" s="1"/>
  <c r="BD32" i="21" a="1"/>
  <c r="BD32" i="21" s="1"/>
  <c r="BE32" i="21" a="1"/>
  <c r="BE32" i="21" s="1"/>
  <c r="BF32" i="21" a="1"/>
  <c r="BF32" i="21" s="1"/>
  <c r="BG32" i="21" a="1"/>
  <c r="BG32" i="21" s="1"/>
  <c r="BH32" i="21" a="1"/>
  <c r="BH32" i="21" s="1"/>
  <c r="BI32" i="21" a="1"/>
  <c r="BI32" i="21" s="1"/>
  <c r="BJ32" i="21" a="1"/>
  <c r="BJ32" i="21" s="1"/>
  <c r="BK32" i="21" a="1"/>
  <c r="BK32" i="21" s="1"/>
  <c r="BL32" i="21" a="1"/>
  <c r="BL32" i="21" s="1"/>
  <c r="BM32" i="21" a="1"/>
  <c r="BM32" i="21" s="1"/>
  <c r="BN32" i="21" a="1"/>
  <c r="BN32" i="21" s="1"/>
  <c r="BO32" i="21" a="1"/>
  <c r="BO32" i="21" s="1"/>
  <c r="BP32" i="21" a="1"/>
  <c r="BP32" i="21" s="1"/>
  <c r="BQ32" i="21" a="1"/>
  <c r="BQ32" i="21" s="1"/>
  <c r="BR32" i="21" a="1"/>
  <c r="BR32" i="21" s="1"/>
  <c r="BS32" i="21" a="1"/>
  <c r="BS32" i="21" s="1"/>
  <c r="BT32" i="21" a="1"/>
  <c r="BT32" i="21" s="1"/>
  <c r="BU32" i="21" a="1"/>
  <c r="BU32" i="21" s="1"/>
  <c r="BV32" i="21" a="1"/>
  <c r="BV32" i="21" s="1"/>
  <c r="BW32" i="21" a="1"/>
  <c r="BW32" i="21" s="1"/>
  <c r="BX32" i="21" a="1"/>
  <c r="BX32" i="21" s="1"/>
  <c r="BY32" i="21" a="1"/>
  <c r="BY32" i="21" s="1"/>
  <c r="BZ32" i="21" a="1"/>
  <c r="BZ32" i="21" s="1"/>
  <c r="CA32" i="21" a="1"/>
  <c r="CA32" i="21" s="1"/>
  <c r="CB32" i="21" a="1"/>
  <c r="CB32" i="21" s="1"/>
  <c r="CC32" i="21" a="1"/>
  <c r="CC32" i="21" s="1"/>
  <c r="CD32" i="21" a="1"/>
  <c r="CD32" i="21" s="1"/>
  <c r="CE32" i="21" a="1"/>
  <c r="CE32" i="21" s="1"/>
  <c r="CF32" i="21" a="1"/>
  <c r="CF32" i="21" s="1"/>
  <c r="CG32" i="21" a="1"/>
  <c r="CG32" i="21" s="1"/>
  <c r="CH32" i="21" a="1"/>
  <c r="CH32" i="21" s="1"/>
  <c r="CI32" i="21" a="1"/>
  <c r="CI32" i="21" s="1"/>
  <c r="CJ32" i="21" a="1"/>
  <c r="CJ32" i="21" s="1"/>
  <c r="CK32" i="21" a="1"/>
  <c r="CK32" i="21" s="1"/>
  <c r="CL32" i="21" a="1"/>
  <c r="CL32" i="21" s="1"/>
  <c r="CM32" i="21" a="1"/>
  <c r="CM32" i="21" s="1"/>
  <c r="CN32" i="21" a="1"/>
  <c r="CN32" i="21" s="1"/>
  <c r="CO32" i="21" a="1"/>
  <c r="CO32" i="21" s="1"/>
  <c r="CP32" i="21" a="1"/>
  <c r="CP32" i="21" s="1"/>
  <c r="CQ32" i="21" a="1"/>
  <c r="CQ32" i="21" s="1"/>
  <c r="CR32" i="21" a="1"/>
  <c r="CR32" i="21" s="1"/>
  <c r="CS32" i="21" a="1"/>
  <c r="CS32" i="21" s="1"/>
  <c r="CT32" i="21" a="1"/>
  <c r="CT32" i="21" s="1"/>
  <c r="CU32" i="21" a="1"/>
  <c r="CU32" i="21" s="1"/>
  <c r="CV32" i="21" a="1"/>
  <c r="CV32" i="21" s="1"/>
  <c r="CW32" i="21" a="1"/>
  <c r="CW32" i="21" s="1"/>
  <c r="S33" i="21" a="1"/>
  <c r="S33" i="21" s="1"/>
  <c r="T33" i="21" a="1"/>
  <c r="T33" i="21" s="1"/>
  <c r="U33" i="21" a="1"/>
  <c r="U33" i="21" s="1"/>
  <c r="V33" i="21" a="1"/>
  <c r="V33" i="21" s="1"/>
  <c r="W33" i="21" a="1"/>
  <c r="W33" i="21" s="1"/>
  <c r="X33" i="21" a="1"/>
  <c r="X33" i="21" s="1"/>
  <c r="Y33" i="21" a="1"/>
  <c r="Y33" i="21" s="1"/>
  <c r="Z33" i="21" a="1"/>
  <c r="Z33" i="21" s="1"/>
  <c r="AA33" i="21" a="1"/>
  <c r="AA33" i="21" s="1"/>
  <c r="AB33" i="21" a="1"/>
  <c r="AB33" i="21" s="1"/>
  <c r="AC33" i="21" a="1"/>
  <c r="AC33" i="21" s="1"/>
  <c r="AD33" i="21" a="1"/>
  <c r="AD33" i="21" s="1"/>
  <c r="AE33" i="21" a="1"/>
  <c r="AE33" i="21" s="1"/>
  <c r="AF33" i="21" a="1"/>
  <c r="AF33" i="21" s="1"/>
  <c r="AG33" i="21" a="1"/>
  <c r="AG33" i="21" s="1"/>
  <c r="AH33" i="21" a="1"/>
  <c r="AH33" i="21" s="1"/>
  <c r="AI33" i="21" a="1"/>
  <c r="AI33" i="21" s="1"/>
  <c r="AJ33" i="21" a="1"/>
  <c r="AJ33" i="21" s="1"/>
  <c r="AK33" i="21" a="1"/>
  <c r="AK33" i="21" s="1"/>
  <c r="AL33" i="21" a="1"/>
  <c r="AL33" i="21" s="1"/>
  <c r="AM33" i="21" a="1"/>
  <c r="AM33" i="21" s="1"/>
  <c r="AN33" i="21" a="1"/>
  <c r="AN33" i="21" s="1"/>
  <c r="AO33" i="21" a="1"/>
  <c r="AO33" i="21" s="1"/>
  <c r="AP33" i="21" a="1"/>
  <c r="AP33" i="21" s="1"/>
  <c r="AQ33" i="21" a="1"/>
  <c r="AQ33" i="21" s="1"/>
  <c r="AR33" i="21" a="1"/>
  <c r="AR33" i="21" s="1"/>
  <c r="AS33" i="21" a="1"/>
  <c r="AS33" i="21" s="1"/>
  <c r="AT33" i="21" a="1"/>
  <c r="AT33" i="21" s="1"/>
  <c r="AU33" i="21" a="1"/>
  <c r="AU33" i="21" s="1"/>
  <c r="AV33" i="21" a="1"/>
  <c r="AV33" i="21" s="1"/>
  <c r="AW33" i="21" a="1"/>
  <c r="AW33" i="21" s="1"/>
  <c r="AX33" i="21" a="1"/>
  <c r="AX33" i="21" s="1"/>
  <c r="AY33" i="21" a="1"/>
  <c r="AY33" i="21" s="1"/>
  <c r="AZ33" i="21" a="1"/>
  <c r="AZ33" i="21" s="1"/>
  <c r="BA33" i="21" a="1"/>
  <c r="BA33" i="21" s="1"/>
  <c r="BB33" i="21" a="1"/>
  <c r="BB33" i="21" s="1"/>
  <c r="BC33" i="21" a="1"/>
  <c r="BC33" i="21" s="1"/>
  <c r="BD33" i="21" a="1"/>
  <c r="BD33" i="21" s="1"/>
  <c r="BE33" i="21" a="1"/>
  <c r="BE33" i="21" s="1"/>
  <c r="BF33" i="21" a="1"/>
  <c r="BF33" i="21" s="1"/>
  <c r="BG33" i="21" a="1"/>
  <c r="BG33" i="21" s="1"/>
  <c r="BH33" i="21" a="1"/>
  <c r="BH33" i="21" s="1"/>
  <c r="BI33" i="21" a="1"/>
  <c r="BI33" i="21" s="1"/>
  <c r="BJ33" i="21" a="1"/>
  <c r="BJ33" i="21" s="1"/>
  <c r="BK33" i="21" a="1"/>
  <c r="BK33" i="21" s="1"/>
  <c r="BL33" i="21" a="1"/>
  <c r="BL33" i="21" s="1"/>
  <c r="BM33" i="21" a="1"/>
  <c r="BM33" i="21" s="1"/>
  <c r="BN33" i="21" a="1"/>
  <c r="BN33" i="21" s="1"/>
  <c r="BO33" i="21" a="1"/>
  <c r="BO33" i="21" s="1"/>
  <c r="BP33" i="21" a="1"/>
  <c r="BP33" i="21" s="1"/>
  <c r="BQ33" i="21" a="1"/>
  <c r="BQ33" i="21" s="1"/>
  <c r="BR33" i="21" a="1"/>
  <c r="BR33" i="21" s="1"/>
  <c r="BS33" i="21" a="1"/>
  <c r="BS33" i="21" s="1"/>
  <c r="BT33" i="21" a="1"/>
  <c r="BT33" i="21" s="1"/>
  <c r="BU33" i="21" a="1"/>
  <c r="BU33" i="21" s="1"/>
  <c r="BV33" i="21" a="1"/>
  <c r="BV33" i="21" s="1"/>
  <c r="BW33" i="21" a="1"/>
  <c r="BW33" i="21" s="1"/>
  <c r="BX33" i="21" a="1"/>
  <c r="BX33" i="21" s="1"/>
  <c r="BY33" i="21" a="1"/>
  <c r="BY33" i="21" s="1"/>
  <c r="BZ33" i="21" a="1"/>
  <c r="BZ33" i="21" s="1"/>
  <c r="CA33" i="21" a="1"/>
  <c r="CA33" i="21" s="1"/>
  <c r="CB33" i="21" a="1"/>
  <c r="CB33" i="21" s="1"/>
  <c r="CC33" i="21" a="1"/>
  <c r="CC33" i="21" s="1"/>
  <c r="CD33" i="21" a="1"/>
  <c r="CD33" i="21" s="1"/>
  <c r="CE33" i="21" a="1"/>
  <c r="CE33" i="21" s="1"/>
  <c r="CF33" i="21" a="1"/>
  <c r="CF33" i="21" s="1"/>
  <c r="CG33" i="21" a="1"/>
  <c r="CG33" i="21" s="1"/>
  <c r="CH33" i="21" a="1"/>
  <c r="CH33" i="21" s="1"/>
  <c r="CI33" i="21" a="1"/>
  <c r="CI33" i="21" s="1"/>
  <c r="CJ33" i="21" a="1"/>
  <c r="CJ33" i="21" s="1"/>
  <c r="CK33" i="21" a="1"/>
  <c r="CK33" i="21" s="1"/>
  <c r="CL33" i="21" a="1"/>
  <c r="CL33" i="21" s="1"/>
  <c r="CM33" i="21" a="1"/>
  <c r="CM33" i="21" s="1"/>
  <c r="CN33" i="21" a="1"/>
  <c r="CN33" i="21" s="1"/>
  <c r="CO33" i="21" a="1"/>
  <c r="CO33" i="21" s="1"/>
  <c r="CP33" i="21" a="1"/>
  <c r="CP33" i="21" s="1"/>
  <c r="CQ33" i="21" a="1"/>
  <c r="CQ33" i="21" s="1"/>
  <c r="CR33" i="21" a="1"/>
  <c r="CR33" i="21" s="1"/>
  <c r="CS33" i="21" a="1"/>
  <c r="CS33" i="21" s="1"/>
  <c r="CT33" i="21" a="1"/>
  <c r="CT33" i="21" s="1"/>
  <c r="CU33" i="21" a="1"/>
  <c r="CU33" i="21" s="1"/>
  <c r="CV33" i="21" a="1"/>
  <c r="CV33" i="21" s="1"/>
  <c r="CW33" i="21" a="1"/>
  <c r="CW33" i="21" s="1"/>
  <c r="S34" i="21" a="1"/>
  <c r="S34" i="21" s="1"/>
  <c r="T34" i="21" a="1"/>
  <c r="T34" i="21" s="1"/>
  <c r="U34" i="21" a="1"/>
  <c r="U34" i="21" s="1"/>
  <c r="V34" i="21" a="1"/>
  <c r="V34" i="21" s="1"/>
  <c r="W34" i="21" a="1"/>
  <c r="W34" i="21" s="1"/>
  <c r="X34" i="21" a="1"/>
  <c r="X34" i="21" s="1"/>
  <c r="Y34" i="21" a="1"/>
  <c r="Y34" i="21" s="1"/>
  <c r="Z34" i="21" a="1"/>
  <c r="Z34" i="21" s="1"/>
  <c r="AA34" i="21" a="1"/>
  <c r="AA34" i="21" s="1"/>
  <c r="AB34" i="21" a="1"/>
  <c r="AB34" i="21" s="1"/>
  <c r="AC34" i="21" a="1"/>
  <c r="AC34" i="21" s="1"/>
  <c r="AD34" i="21" a="1"/>
  <c r="AD34" i="21" s="1"/>
  <c r="AE34" i="21" a="1"/>
  <c r="AE34" i="21" s="1"/>
  <c r="AF34" i="21" a="1"/>
  <c r="AF34" i="21" s="1"/>
  <c r="AG34" i="21" a="1"/>
  <c r="AG34" i="21" s="1"/>
  <c r="AH34" i="21" a="1"/>
  <c r="AH34" i="21" s="1"/>
  <c r="AI34" i="21" a="1"/>
  <c r="AI34" i="21" s="1"/>
  <c r="AJ34" i="21" a="1"/>
  <c r="AJ34" i="21" s="1"/>
  <c r="AK34" i="21" a="1"/>
  <c r="AK34" i="21" s="1"/>
  <c r="AL34" i="21" a="1"/>
  <c r="AL34" i="21" s="1"/>
  <c r="AM34" i="21" a="1"/>
  <c r="AM34" i="21" s="1"/>
  <c r="AN34" i="21" a="1"/>
  <c r="AN34" i="21" s="1"/>
  <c r="AO34" i="21" a="1"/>
  <c r="AO34" i="21" s="1"/>
  <c r="AP34" i="21" a="1"/>
  <c r="AP34" i="21" s="1"/>
  <c r="AQ34" i="21" a="1"/>
  <c r="AQ34" i="21" s="1"/>
  <c r="AR34" i="21" a="1"/>
  <c r="AR34" i="21" s="1"/>
  <c r="AS34" i="21" a="1"/>
  <c r="AS34" i="21" s="1"/>
  <c r="AT34" i="21" a="1"/>
  <c r="AT34" i="21" s="1"/>
  <c r="AU34" i="21" a="1"/>
  <c r="AU34" i="21" s="1"/>
  <c r="AV34" i="21" a="1"/>
  <c r="AV34" i="21" s="1"/>
  <c r="AW34" i="21" a="1"/>
  <c r="AW34" i="21" s="1"/>
  <c r="AX34" i="21" a="1"/>
  <c r="AX34" i="21" s="1"/>
  <c r="AY34" i="21" a="1"/>
  <c r="AY34" i="21" s="1"/>
  <c r="AZ34" i="21" a="1"/>
  <c r="AZ34" i="21" s="1"/>
  <c r="BA34" i="21" a="1"/>
  <c r="BA34" i="21" s="1"/>
  <c r="BB34" i="21" a="1"/>
  <c r="BB34" i="21" s="1"/>
  <c r="BC34" i="21" a="1"/>
  <c r="BC34" i="21" s="1"/>
  <c r="BD34" i="21" a="1"/>
  <c r="BD34" i="21" s="1"/>
  <c r="BE34" i="21" a="1"/>
  <c r="BE34" i="21" s="1"/>
  <c r="BF34" i="21" a="1"/>
  <c r="BF34" i="21" s="1"/>
  <c r="BG34" i="21" a="1"/>
  <c r="BG34" i="21" s="1"/>
  <c r="BH34" i="21" a="1"/>
  <c r="BH34" i="21" s="1"/>
  <c r="BI34" i="21" a="1"/>
  <c r="BI34" i="21" s="1"/>
  <c r="BJ34" i="21" a="1"/>
  <c r="BJ34" i="21" s="1"/>
  <c r="BK34" i="21" a="1"/>
  <c r="BK34" i="21" s="1"/>
  <c r="BL34" i="21" a="1"/>
  <c r="BL34" i="21" s="1"/>
  <c r="BM34" i="21" a="1"/>
  <c r="BM34" i="21" s="1"/>
  <c r="BN34" i="21" a="1"/>
  <c r="BN34" i="21" s="1"/>
  <c r="BO34" i="21" a="1"/>
  <c r="BO34" i="21" s="1"/>
  <c r="BP34" i="21" a="1"/>
  <c r="BP34" i="21" s="1"/>
  <c r="BQ34" i="21" a="1"/>
  <c r="BQ34" i="21" s="1"/>
  <c r="BR34" i="21" a="1"/>
  <c r="BR34" i="21" s="1"/>
  <c r="BS34" i="21" a="1"/>
  <c r="BS34" i="21" s="1"/>
  <c r="BT34" i="21" a="1"/>
  <c r="BT34" i="21" s="1"/>
  <c r="BU34" i="21" a="1"/>
  <c r="BU34" i="21" s="1"/>
  <c r="BV34" i="21" a="1"/>
  <c r="BV34" i="21" s="1"/>
  <c r="BW34" i="21" a="1"/>
  <c r="BW34" i="21" s="1"/>
  <c r="BX34" i="21" a="1"/>
  <c r="BX34" i="21" s="1"/>
  <c r="BY34" i="21" a="1"/>
  <c r="BY34" i="21" s="1"/>
  <c r="BZ34" i="21" a="1"/>
  <c r="BZ34" i="21" s="1"/>
  <c r="CA34" i="21" a="1"/>
  <c r="CA34" i="21" s="1"/>
  <c r="CB34" i="21" a="1"/>
  <c r="CB34" i="21" s="1"/>
  <c r="CC34" i="21" a="1"/>
  <c r="CC34" i="21" s="1"/>
  <c r="CD34" i="21" a="1"/>
  <c r="CD34" i="21" s="1"/>
  <c r="CE34" i="21" a="1"/>
  <c r="CE34" i="21" s="1"/>
  <c r="CF34" i="21" a="1"/>
  <c r="CF34" i="21" s="1"/>
  <c r="CG34" i="21" a="1"/>
  <c r="CG34" i="21" s="1"/>
  <c r="CH34" i="21" a="1"/>
  <c r="CH34" i="21" s="1"/>
  <c r="CI34" i="21" a="1"/>
  <c r="CI34" i="21" s="1"/>
  <c r="CJ34" i="21" a="1"/>
  <c r="CJ34" i="21" s="1"/>
  <c r="CK34" i="21" a="1"/>
  <c r="CK34" i="21" s="1"/>
  <c r="CL34" i="21" a="1"/>
  <c r="CL34" i="21" s="1"/>
  <c r="CM34" i="21" a="1"/>
  <c r="CM34" i="21" s="1"/>
  <c r="CN34" i="21" a="1"/>
  <c r="CN34" i="21" s="1"/>
  <c r="CO34" i="21" a="1"/>
  <c r="CO34" i="21" s="1"/>
  <c r="CP34" i="21" a="1"/>
  <c r="CP34" i="21" s="1"/>
  <c r="CQ34" i="21" a="1"/>
  <c r="CQ34" i="21" s="1"/>
  <c r="CR34" i="21" a="1"/>
  <c r="CR34" i="21" s="1"/>
  <c r="CS34" i="21" a="1"/>
  <c r="CS34" i="21" s="1"/>
  <c r="CT34" i="21" a="1"/>
  <c r="CT34" i="21" s="1"/>
  <c r="CU34" i="21" a="1"/>
  <c r="CU34" i="21" s="1"/>
  <c r="CV34" i="21" a="1"/>
  <c r="CV34" i="21" s="1"/>
  <c r="CW34" i="21" a="1"/>
  <c r="CW34" i="21" s="1"/>
  <c r="S35" i="21" a="1"/>
  <c r="S35" i="21" s="1"/>
  <c r="T35" i="21" a="1"/>
  <c r="T35" i="21" s="1"/>
  <c r="U35" i="21" a="1"/>
  <c r="U35" i="21" s="1"/>
  <c r="V35" i="21" a="1"/>
  <c r="V35" i="21" s="1"/>
  <c r="W35" i="21" a="1"/>
  <c r="W35" i="21" s="1"/>
  <c r="X35" i="21" a="1"/>
  <c r="X35" i="21" s="1"/>
  <c r="Y35" i="21" a="1"/>
  <c r="Y35" i="21" s="1"/>
  <c r="Z35" i="21" a="1"/>
  <c r="Z35" i="21" s="1"/>
  <c r="AA35" i="21" a="1"/>
  <c r="AA35" i="21" s="1"/>
  <c r="AB35" i="21" a="1"/>
  <c r="AB35" i="21" s="1"/>
  <c r="AC35" i="21" a="1"/>
  <c r="AC35" i="21" s="1"/>
  <c r="AD35" i="21" a="1"/>
  <c r="AD35" i="21" s="1"/>
  <c r="AE35" i="21" a="1"/>
  <c r="AE35" i="21" s="1"/>
  <c r="AF35" i="21" a="1"/>
  <c r="AF35" i="21" s="1"/>
  <c r="AG35" i="21" a="1"/>
  <c r="AG35" i="21" s="1"/>
  <c r="AH35" i="21" a="1"/>
  <c r="AH35" i="21" s="1"/>
  <c r="AI35" i="21" a="1"/>
  <c r="AI35" i="21" s="1"/>
  <c r="AJ35" i="21" a="1"/>
  <c r="AJ35" i="21" s="1"/>
  <c r="AK35" i="21" a="1"/>
  <c r="AK35" i="21" s="1"/>
  <c r="AL35" i="21" a="1"/>
  <c r="AL35" i="21" s="1"/>
  <c r="AM35" i="21" a="1"/>
  <c r="AM35" i="21" s="1"/>
  <c r="AN35" i="21" a="1"/>
  <c r="AN35" i="21" s="1"/>
  <c r="AO35" i="21" a="1"/>
  <c r="AO35" i="21" s="1"/>
  <c r="AP35" i="21" a="1"/>
  <c r="AP35" i="21" s="1"/>
  <c r="AQ35" i="21" a="1"/>
  <c r="AQ35" i="21" s="1"/>
  <c r="AR35" i="21" a="1"/>
  <c r="AR35" i="21" s="1"/>
  <c r="AS35" i="21" a="1"/>
  <c r="AS35" i="21" s="1"/>
  <c r="AT35" i="21" a="1"/>
  <c r="AT35" i="21" s="1"/>
  <c r="AU35" i="21" a="1"/>
  <c r="AU35" i="21" s="1"/>
  <c r="AV35" i="21" a="1"/>
  <c r="AV35" i="21" s="1"/>
  <c r="AW35" i="21" a="1"/>
  <c r="AW35" i="21" s="1"/>
  <c r="AX35" i="21" a="1"/>
  <c r="AX35" i="21" s="1"/>
  <c r="AY35" i="21" a="1"/>
  <c r="AY35" i="21" s="1"/>
  <c r="AZ35" i="21" a="1"/>
  <c r="AZ35" i="21" s="1"/>
  <c r="BA35" i="21" a="1"/>
  <c r="BA35" i="21" s="1"/>
  <c r="BB35" i="21" a="1"/>
  <c r="BB35" i="21" s="1"/>
  <c r="BC35" i="21" a="1"/>
  <c r="BC35" i="21" s="1"/>
  <c r="BD35" i="21" a="1"/>
  <c r="BD35" i="21" s="1"/>
  <c r="BE35" i="21" a="1"/>
  <c r="BE35" i="21" s="1"/>
  <c r="BF35" i="21" a="1"/>
  <c r="BF35" i="21" s="1"/>
  <c r="BG35" i="21" a="1"/>
  <c r="BG35" i="21" s="1"/>
  <c r="BH35" i="21" a="1"/>
  <c r="BH35" i="21" s="1"/>
  <c r="BI35" i="21" a="1"/>
  <c r="BI35" i="21" s="1"/>
  <c r="BJ35" i="21" a="1"/>
  <c r="BJ35" i="21" s="1"/>
  <c r="BK35" i="21" a="1"/>
  <c r="BK35" i="21" s="1"/>
  <c r="BL35" i="21" a="1"/>
  <c r="BL35" i="21" s="1"/>
  <c r="BM35" i="21" a="1"/>
  <c r="BM35" i="21" s="1"/>
  <c r="BN35" i="21" a="1"/>
  <c r="BN35" i="21" s="1"/>
  <c r="BO35" i="21" a="1"/>
  <c r="BO35" i="21" s="1"/>
  <c r="BP35" i="21" a="1"/>
  <c r="BP35" i="21" s="1"/>
  <c r="BQ35" i="21" a="1"/>
  <c r="BQ35" i="21" s="1"/>
  <c r="BR35" i="21" a="1"/>
  <c r="BR35" i="21" s="1"/>
  <c r="BS35" i="21" a="1"/>
  <c r="BS35" i="21" s="1"/>
  <c r="BT35" i="21" a="1"/>
  <c r="BT35" i="21" s="1"/>
  <c r="BU35" i="21" a="1"/>
  <c r="BU35" i="21" s="1"/>
  <c r="BV35" i="21" a="1"/>
  <c r="BV35" i="21" s="1"/>
  <c r="BW35" i="21" a="1"/>
  <c r="BW35" i="21" s="1"/>
  <c r="BX35" i="21" a="1"/>
  <c r="BX35" i="21" s="1"/>
  <c r="BY35" i="21" a="1"/>
  <c r="BY35" i="21" s="1"/>
  <c r="BZ35" i="21" a="1"/>
  <c r="BZ35" i="21" s="1"/>
  <c r="CA35" i="21" a="1"/>
  <c r="CA35" i="21" s="1"/>
  <c r="CB35" i="21" a="1"/>
  <c r="CB35" i="21" s="1"/>
  <c r="CC35" i="21" a="1"/>
  <c r="CC35" i="21" s="1"/>
  <c r="CD35" i="21" a="1"/>
  <c r="CD35" i="21" s="1"/>
  <c r="CE35" i="21" a="1"/>
  <c r="CE35" i="21" s="1"/>
  <c r="CF35" i="21" a="1"/>
  <c r="CF35" i="21" s="1"/>
  <c r="CG35" i="21" a="1"/>
  <c r="CG35" i="21" s="1"/>
  <c r="CH35" i="21" a="1"/>
  <c r="CH35" i="21" s="1"/>
  <c r="CI35" i="21" a="1"/>
  <c r="CI35" i="21" s="1"/>
  <c r="CJ35" i="21" a="1"/>
  <c r="CJ35" i="21" s="1"/>
  <c r="CK35" i="21" a="1"/>
  <c r="CK35" i="21" s="1"/>
  <c r="CL35" i="21" a="1"/>
  <c r="CL35" i="21" s="1"/>
  <c r="CM35" i="21" a="1"/>
  <c r="CM35" i="21" s="1"/>
  <c r="CN35" i="21" a="1"/>
  <c r="CN35" i="21" s="1"/>
  <c r="CO35" i="21" a="1"/>
  <c r="CO35" i="21" s="1"/>
  <c r="CP35" i="21" a="1"/>
  <c r="CP35" i="21" s="1"/>
  <c r="CQ35" i="21" a="1"/>
  <c r="CQ35" i="21" s="1"/>
  <c r="CR35" i="21" a="1"/>
  <c r="CR35" i="21" s="1"/>
  <c r="CS35" i="21" a="1"/>
  <c r="CS35" i="21" s="1"/>
  <c r="CT35" i="21" a="1"/>
  <c r="CT35" i="21" s="1"/>
  <c r="CU35" i="21" a="1"/>
  <c r="CU35" i="21" s="1"/>
  <c r="CV35" i="21" a="1"/>
  <c r="CV35" i="21" s="1"/>
  <c r="CW35" i="21" a="1"/>
  <c r="CW35" i="21" s="1"/>
  <c r="S36" i="21" a="1"/>
  <c r="S36" i="21" s="1"/>
  <c r="T36" i="21" a="1"/>
  <c r="T36" i="21" s="1"/>
  <c r="U36" i="21" a="1"/>
  <c r="U36" i="21" s="1"/>
  <c r="V36" i="21" a="1"/>
  <c r="V36" i="21" s="1"/>
  <c r="W36" i="21" a="1"/>
  <c r="W36" i="21" s="1"/>
  <c r="X36" i="21" a="1"/>
  <c r="X36" i="21" s="1"/>
  <c r="Y36" i="21" a="1"/>
  <c r="Y36" i="21" s="1"/>
  <c r="Z36" i="21" a="1"/>
  <c r="Z36" i="21" s="1"/>
  <c r="AA36" i="21" a="1"/>
  <c r="AA36" i="21" s="1"/>
  <c r="AB36" i="21" a="1"/>
  <c r="AB36" i="21" s="1"/>
  <c r="AC36" i="21" a="1"/>
  <c r="AC36" i="21" s="1"/>
  <c r="AD36" i="21" a="1"/>
  <c r="AD36" i="21" s="1"/>
  <c r="AE36" i="21" a="1"/>
  <c r="AE36" i="21" s="1"/>
  <c r="AF36" i="21" a="1"/>
  <c r="AF36" i="21" s="1"/>
  <c r="AG36" i="21" a="1"/>
  <c r="AG36" i="21" s="1"/>
  <c r="AH36" i="21" a="1"/>
  <c r="AH36" i="21" s="1"/>
  <c r="AI36" i="21" a="1"/>
  <c r="AI36" i="21" s="1"/>
  <c r="AJ36" i="21" a="1"/>
  <c r="AJ36" i="21" s="1"/>
  <c r="AK36" i="21" a="1"/>
  <c r="AK36" i="21" s="1"/>
  <c r="AL36" i="21" a="1"/>
  <c r="AL36" i="21" s="1"/>
  <c r="AM36" i="21" a="1"/>
  <c r="AM36" i="21" s="1"/>
  <c r="AN36" i="21" a="1"/>
  <c r="AN36" i="21" s="1"/>
  <c r="AO36" i="21" a="1"/>
  <c r="AO36" i="21" s="1"/>
  <c r="AP36" i="21" a="1"/>
  <c r="AP36" i="21" s="1"/>
  <c r="AQ36" i="21" a="1"/>
  <c r="AQ36" i="21" s="1"/>
  <c r="AR36" i="21" a="1"/>
  <c r="AR36" i="21" s="1"/>
  <c r="AS36" i="21" a="1"/>
  <c r="AS36" i="21" s="1"/>
  <c r="AT36" i="21" a="1"/>
  <c r="AT36" i="21" s="1"/>
  <c r="AU36" i="21" a="1"/>
  <c r="AU36" i="21" s="1"/>
  <c r="AV36" i="21" a="1"/>
  <c r="AV36" i="21" s="1"/>
  <c r="AW36" i="21" a="1"/>
  <c r="AW36" i="21" s="1"/>
  <c r="AX36" i="21" a="1"/>
  <c r="AX36" i="21" s="1"/>
  <c r="AY36" i="21" a="1"/>
  <c r="AY36" i="21" s="1"/>
  <c r="AZ36" i="21" a="1"/>
  <c r="AZ36" i="21" s="1"/>
  <c r="BA36" i="21" a="1"/>
  <c r="BA36" i="21" s="1"/>
  <c r="BB36" i="21" a="1"/>
  <c r="BB36" i="21" s="1"/>
  <c r="BC36" i="21" a="1"/>
  <c r="BC36" i="21" s="1"/>
  <c r="BD36" i="21" a="1"/>
  <c r="BD36" i="21" s="1"/>
  <c r="BE36" i="21" a="1"/>
  <c r="BE36" i="21" s="1"/>
  <c r="BF36" i="21" a="1"/>
  <c r="BF36" i="21" s="1"/>
  <c r="BG36" i="21" a="1"/>
  <c r="BG36" i="21" s="1"/>
  <c r="BH36" i="21" a="1"/>
  <c r="BH36" i="21" s="1"/>
  <c r="BI36" i="21" a="1"/>
  <c r="BI36" i="21" s="1"/>
  <c r="BJ36" i="21" a="1"/>
  <c r="BJ36" i="21" s="1"/>
  <c r="BK36" i="21" a="1"/>
  <c r="BK36" i="21" s="1"/>
  <c r="BL36" i="21" a="1"/>
  <c r="BL36" i="21" s="1"/>
  <c r="BM36" i="21" a="1"/>
  <c r="BM36" i="21" s="1"/>
  <c r="BN36" i="21" a="1"/>
  <c r="BN36" i="21" s="1"/>
  <c r="BO36" i="21" a="1"/>
  <c r="BO36" i="21" s="1"/>
  <c r="BP36" i="21" a="1"/>
  <c r="BP36" i="21" s="1"/>
  <c r="BQ36" i="21" a="1"/>
  <c r="BQ36" i="21" s="1"/>
  <c r="BR36" i="21" a="1"/>
  <c r="BR36" i="21" s="1"/>
  <c r="BS36" i="21" a="1"/>
  <c r="BS36" i="21" s="1"/>
  <c r="BT36" i="21" a="1"/>
  <c r="BT36" i="21" s="1"/>
  <c r="BU36" i="21" a="1"/>
  <c r="BU36" i="21" s="1"/>
  <c r="BV36" i="21" a="1"/>
  <c r="BV36" i="21" s="1"/>
  <c r="BW36" i="21" a="1"/>
  <c r="BW36" i="21" s="1"/>
  <c r="BX36" i="21" a="1"/>
  <c r="BX36" i="21" s="1"/>
  <c r="BY36" i="21" a="1"/>
  <c r="BY36" i="21" s="1"/>
  <c r="BZ36" i="21" a="1"/>
  <c r="BZ36" i="21" s="1"/>
  <c r="CA36" i="21" a="1"/>
  <c r="CA36" i="21" s="1"/>
  <c r="CB36" i="21" a="1"/>
  <c r="CB36" i="21" s="1"/>
  <c r="CC36" i="21" a="1"/>
  <c r="CC36" i="21" s="1"/>
  <c r="CD36" i="21" a="1"/>
  <c r="CD36" i="21" s="1"/>
  <c r="CE36" i="21" a="1"/>
  <c r="CE36" i="21" s="1"/>
  <c r="CF36" i="21" a="1"/>
  <c r="CF36" i="21" s="1"/>
  <c r="CG36" i="21" a="1"/>
  <c r="CG36" i="21" s="1"/>
  <c r="CH36" i="21" a="1"/>
  <c r="CH36" i="21" s="1"/>
  <c r="CI36" i="21" a="1"/>
  <c r="CI36" i="21" s="1"/>
  <c r="CJ36" i="21" a="1"/>
  <c r="CJ36" i="21" s="1"/>
  <c r="CK36" i="21" a="1"/>
  <c r="CK36" i="21" s="1"/>
  <c r="CL36" i="21" a="1"/>
  <c r="CL36" i="21" s="1"/>
  <c r="CM36" i="21" a="1"/>
  <c r="CM36" i="21" s="1"/>
  <c r="CN36" i="21" a="1"/>
  <c r="CN36" i="21" s="1"/>
  <c r="CO36" i="21" a="1"/>
  <c r="CO36" i="21" s="1"/>
  <c r="CP36" i="21" a="1"/>
  <c r="CP36" i="21" s="1"/>
  <c r="CQ36" i="21" a="1"/>
  <c r="CQ36" i="21" s="1"/>
  <c r="CR36" i="21" a="1"/>
  <c r="CR36" i="21" s="1"/>
  <c r="CS36" i="21" a="1"/>
  <c r="CS36" i="21" s="1"/>
  <c r="CT36" i="21" a="1"/>
  <c r="CT36" i="21" s="1"/>
  <c r="CU36" i="21" a="1"/>
  <c r="CU36" i="21" s="1"/>
  <c r="CV36" i="21" a="1"/>
  <c r="CV36" i="21" s="1"/>
  <c r="CW36" i="21" a="1"/>
  <c r="CW36" i="21" s="1"/>
  <c r="S37" i="21" a="1"/>
  <c r="S37" i="21" s="1"/>
  <c r="T37" i="21" a="1"/>
  <c r="T37" i="21" s="1"/>
  <c r="U37" i="21" a="1"/>
  <c r="U37" i="21" s="1"/>
  <c r="V37" i="21" a="1"/>
  <c r="V37" i="21" s="1"/>
  <c r="W37" i="21" a="1"/>
  <c r="W37" i="21" s="1"/>
  <c r="X37" i="21" a="1"/>
  <c r="X37" i="21" s="1"/>
  <c r="Y37" i="21" a="1"/>
  <c r="Y37" i="21" s="1"/>
  <c r="Z37" i="21" a="1"/>
  <c r="Z37" i="21" s="1"/>
  <c r="AA37" i="21" a="1"/>
  <c r="AA37" i="21" s="1"/>
  <c r="AB37" i="21" a="1"/>
  <c r="AB37" i="21" s="1"/>
  <c r="AC37" i="21" a="1"/>
  <c r="AC37" i="21" s="1"/>
  <c r="AD37" i="21" a="1"/>
  <c r="AD37" i="21" s="1"/>
  <c r="AE37" i="21" a="1"/>
  <c r="AE37" i="21" s="1"/>
  <c r="AF37" i="21" a="1"/>
  <c r="AF37" i="21" s="1"/>
  <c r="AG37" i="21" a="1"/>
  <c r="AG37" i="21" s="1"/>
  <c r="AH37" i="21" a="1"/>
  <c r="AH37" i="21" s="1"/>
  <c r="AI37" i="21" a="1"/>
  <c r="AI37" i="21" s="1"/>
  <c r="AJ37" i="21" a="1"/>
  <c r="AJ37" i="21" s="1"/>
  <c r="AK37" i="21" a="1"/>
  <c r="AK37" i="21" s="1"/>
  <c r="AL37" i="21" a="1"/>
  <c r="AL37" i="21" s="1"/>
  <c r="AM37" i="21" a="1"/>
  <c r="AM37" i="21" s="1"/>
  <c r="AN37" i="21" a="1"/>
  <c r="AN37" i="21" s="1"/>
  <c r="AO37" i="21" a="1"/>
  <c r="AO37" i="21" s="1"/>
  <c r="AP37" i="21" a="1"/>
  <c r="AP37" i="21" s="1"/>
  <c r="AQ37" i="21" a="1"/>
  <c r="AQ37" i="21" s="1"/>
  <c r="AR37" i="21" a="1"/>
  <c r="AR37" i="21" s="1"/>
  <c r="AS37" i="21" a="1"/>
  <c r="AS37" i="21" s="1"/>
  <c r="AT37" i="21" a="1"/>
  <c r="AT37" i="21" s="1"/>
  <c r="AU37" i="21" a="1"/>
  <c r="AU37" i="21" s="1"/>
  <c r="AV37" i="21" a="1"/>
  <c r="AV37" i="21" s="1"/>
  <c r="AW37" i="21" a="1"/>
  <c r="AW37" i="21" s="1"/>
  <c r="AX37" i="21" a="1"/>
  <c r="AX37" i="21" s="1"/>
  <c r="AY37" i="21" a="1"/>
  <c r="AY37" i="21" s="1"/>
  <c r="AZ37" i="21" a="1"/>
  <c r="AZ37" i="21" s="1"/>
  <c r="BA37" i="21" a="1"/>
  <c r="BA37" i="21" s="1"/>
  <c r="BB37" i="21" a="1"/>
  <c r="BB37" i="21" s="1"/>
  <c r="BC37" i="21" a="1"/>
  <c r="BC37" i="21" s="1"/>
  <c r="BD37" i="21" a="1"/>
  <c r="BD37" i="21" s="1"/>
  <c r="BE37" i="21" a="1"/>
  <c r="BE37" i="21" s="1"/>
  <c r="BF37" i="21" a="1"/>
  <c r="BF37" i="21" s="1"/>
  <c r="BG37" i="21" a="1"/>
  <c r="BG37" i="21" s="1"/>
  <c r="BH37" i="21" a="1"/>
  <c r="BH37" i="21" s="1"/>
  <c r="BI37" i="21" a="1"/>
  <c r="BI37" i="21" s="1"/>
  <c r="BJ37" i="21" a="1"/>
  <c r="BJ37" i="21" s="1"/>
  <c r="BK37" i="21" a="1"/>
  <c r="BK37" i="21" s="1"/>
  <c r="BL37" i="21" a="1"/>
  <c r="BL37" i="21" s="1"/>
  <c r="BM37" i="21" a="1"/>
  <c r="BM37" i="21" s="1"/>
  <c r="BN37" i="21" a="1"/>
  <c r="BN37" i="21" s="1"/>
  <c r="BO37" i="21" a="1"/>
  <c r="BO37" i="21" s="1"/>
  <c r="BP37" i="21" a="1"/>
  <c r="BP37" i="21" s="1"/>
  <c r="BQ37" i="21" a="1"/>
  <c r="BQ37" i="21" s="1"/>
  <c r="BR37" i="21" a="1"/>
  <c r="BR37" i="21" s="1"/>
  <c r="BS37" i="21" a="1"/>
  <c r="BS37" i="21" s="1"/>
  <c r="BT37" i="21" a="1"/>
  <c r="BT37" i="21" s="1"/>
  <c r="BU37" i="21" a="1"/>
  <c r="BU37" i="21" s="1"/>
  <c r="BV37" i="21" a="1"/>
  <c r="BV37" i="21" s="1"/>
  <c r="BW37" i="21" a="1"/>
  <c r="BW37" i="21" s="1"/>
  <c r="BX37" i="21" a="1"/>
  <c r="BX37" i="21" s="1"/>
  <c r="BY37" i="21" a="1"/>
  <c r="BY37" i="21" s="1"/>
  <c r="BZ37" i="21" a="1"/>
  <c r="BZ37" i="21" s="1"/>
  <c r="CA37" i="21" a="1"/>
  <c r="CA37" i="21" s="1"/>
  <c r="CB37" i="21" a="1"/>
  <c r="CB37" i="21" s="1"/>
  <c r="CC37" i="21" a="1"/>
  <c r="CC37" i="21" s="1"/>
  <c r="CD37" i="21" a="1"/>
  <c r="CD37" i="21" s="1"/>
  <c r="CE37" i="21" a="1"/>
  <c r="CE37" i="21" s="1"/>
  <c r="CF37" i="21" a="1"/>
  <c r="CF37" i="21" s="1"/>
  <c r="CG37" i="21" a="1"/>
  <c r="CG37" i="21" s="1"/>
  <c r="CH37" i="21" a="1"/>
  <c r="CH37" i="21" s="1"/>
  <c r="CI37" i="21" a="1"/>
  <c r="CI37" i="21" s="1"/>
  <c r="CJ37" i="21" a="1"/>
  <c r="CJ37" i="21" s="1"/>
  <c r="CK37" i="21" a="1"/>
  <c r="CK37" i="21" s="1"/>
  <c r="CL37" i="21" a="1"/>
  <c r="CL37" i="21" s="1"/>
  <c r="CM37" i="21" a="1"/>
  <c r="CM37" i="21" s="1"/>
  <c r="CN37" i="21" a="1"/>
  <c r="CN37" i="21" s="1"/>
  <c r="CO37" i="21" a="1"/>
  <c r="CO37" i="21" s="1"/>
  <c r="CP37" i="21" a="1"/>
  <c r="CP37" i="21" s="1"/>
  <c r="CQ37" i="21" a="1"/>
  <c r="CQ37" i="21" s="1"/>
  <c r="CR37" i="21" a="1"/>
  <c r="CR37" i="21" s="1"/>
  <c r="CS37" i="21" a="1"/>
  <c r="CS37" i="21" s="1"/>
  <c r="CT37" i="21" a="1"/>
  <c r="CT37" i="21" s="1"/>
  <c r="CU37" i="21" a="1"/>
  <c r="CU37" i="21" s="1"/>
  <c r="CV37" i="21" a="1"/>
  <c r="CV37" i="21" s="1"/>
  <c r="CW37" i="21" a="1"/>
  <c r="CW37" i="21" s="1"/>
  <c r="S38" i="21" a="1"/>
  <c r="S38" i="21" s="1"/>
  <c r="T38" i="21" a="1"/>
  <c r="T38" i="21" s="1"/>
  <c r="U38" i="21" a="1"/>
  <c r="U38" i="21" s="1"/>
  <c r="V38" i="21" a="1"/>
  <c r="V38" i="21" s="1"/>
  <c r="W38" i="21" a="1"/>
  <c r="W38" i="21" s="1"/>
  <c r="X38" i="21" a="1"/>
  <c r="X38" i="21" s="1"/>
  <c r="Y38" i="21" a="1"/>
  <c r="Y38" i="21" s="1"/>
  <c r="Z38" i="21" a="1"/>
  <c r="Z38" i="21" s="1"/>
  <c r="AA38" i="21" a="1"/>
  <c r="AA38" i="21" s="1"/>
  <c r="AB38" i="21" a="1"/>
  <c r="AB38" i="21" s="1"/>
  <c r="AC38" i="21" a="1"/>
  <c r="AC38" i="21" s="1"/>
  <c r="AD38" i="21" a="1"/>
  <c r="AD38" i="21" s="1"/>
  <c r="AE38" i="21" a="1"/>
  <c r="AE38" i="21" s="1"/>
  <c r="AF38" i="21" a="1"/>
  <c r="AF38" i="21" s="1"/>
  <c r="AG38" i="21" a="1"/>
  <c r="AG38" i="21" s="1"/>
  <c r="AH38" i="21" a="1"/>
  <c r="AH38" i="21" s="1"/>
  <c r="AI38" i="21" a="1"/>
  <c r="AI38" i="21" s="1"/>
  <c r="AJ38" i="21" a="1"/>
  <c r="AJ38" i="21" s="1"/>
  <c r="AK38" i="21" a="1"/>
  <c r="AK38" i="21" s="1"/>
  <c r="AL38" i="21" a="1"/>
  <c r="AL38" i="21" s="1"/>
  <c r="AM38" i="21" a="1"/>
  <c r="AM38" i="21" s="1"/>
  <c r="AN38" i="21" a="1"/>
  <c r="AN38" i="21" s="1"/>
  <c r="AO38" i="21" a="1"/>
  <c r="AO38" i="21" s="1"/>
  <c r="AP38" i="21" a="1"/>
  <c r="AP38" i="21" s="1"/>
  <c r="AQ38" i="21" a="1"/>
  <c r="AQ38" i="21" s="1"/>
  <c r="AR38" i="21" a="1"/>
  <c r="AR38" i="21" s="1"/>
  <c r="AS38" i="21" a="1"/>
  <c r="AS38" i="21" s="1"/>
  <c r="AT38" i="21" a="1"/>
  <c r="AT38" i="21" s="1"/>
  <c r="AU38" i="21" a="1"/>
  <c r="AU38" i="21" s="1"/>
  <c r="AV38" i="21" a="1"/>
  <c r="AV38" i="21" s="1"/>
  <c r="AW38" i="21" a="1"/>
  <c r="AW38" i="21" s="1"/>
  <c r="AX38" i="21" a="1"/>
  <c r="AX38" i="21" s="1"/>
  <c r="AY38" i="21" a="1"/>
  <c r="AY38" i="21" s="1"/>
  <c r="AZ38" i="21" a="1"/>
  <c r="AZ38" i="21" s="1"/>
  <c r="BA38" i="21" a="1"/>
  <c r="BA38" i="21" s="1"/>
  <c r="BB38" i="21" a="1"/>
  <c r="BB38" i="21" s="1"/>
  <c r="BC38" i="21" a="1"/>
  <c r="BC38" i="21" s="1"/>
  <c r="BD38" i="21" a="1"/>
  <c r="BD38" i="21" s="1"/>
  <c r="BE38" i="21" a="1"/>
  <c r="BE38" i="21" s="1"/>
  <c r="BF38" i="21" a="1"/>
  <c r="BF38" i="21" s="1"/>
  <c r="BG38" i="21" a="1"/>
  <c r="BG38" i="21" s="1"/>
  <c r="BH38" i="21" a="1"/>
  <c r="BH38" i="21" s="1"/>
  <c r="BI38" i="21" a="1"/>
  <c r="BI38" i="21" s="1"/>
  <c r="BJ38" i="21" a="1"/>
  <c r="BJ38" i="21" s="1"/>
  <c r="BK38" i="21" a="1"/>
  <c r="BK38" i="21" s="1"/>
  <c r="BL38" i="21" a="1"/>
  <c r="BL38" i="21" s="1"/>
  <c r="BM38" i="21" a="1"/>
  <c r="BM38" i="21" s="1"/>
  <c r="BN38" i="21" a="1"/>
  <c r="BN38" i="21" s="1"/>
  <c r="BO38" i="21" a="1"/>
  <c r="BO38" i="21" s="1"/>
  <c r="BP38" i="21" a="1"/>
  <c r="BP38" i="21" s="1"/>
  <c r="BQ38" i="21" a="1"/>
  <c r="BQ38" i="21" s="1"/>
  <c r="BR38" i="21" a="1"/>
  <c r="BR38" i="21" s="1"/>
  <c r="BS38" i="21" a="1"/>
  <c r="BS38" i="21" s="1"/>
  <c r="BT38" i="21" a="1"/>
  <c r="BT38" i="21" s="1"/>
  <c r="BU38" i="21" a="1"/>
  <c r="BU38" i="21" s="1"/>
  <c r="BV38" i="21" a="1"/>
  <c r="BV38" i="21" s="1"/>
  <c r="BW38" i="21" a="1"/>
  <c r="BW38" i="21" s="1"/>
  <c r="BX38" i="21" a="1"/>
  <c r="BX38" i="21" s="1"/>
  <c r="BY38" i="21" a="1"/>
  <c r="BY38" i="21" s="1"/>
  <c r="BZ38" i="21" a="1"/>
  <c r="BZ38" i="21" s="1"/>
  <c r="CA38" i="21" a="1"/>
  <c r="CA38" i="21" s="1"/>
  <c r="CB38" i="21" a="1"/>
  <c r="CB38" i="21" s="1"/>
  <c r="CC38" i="21" a="1"/>
  <c r="CC38" i="21" s="1"/>
  <c r="CD38" i="21" a="1"/>
  <c r="CD38" i="21" s="1"/>
  <c r="CE38" i="21" a="1"/>
  <c r="CE38" i="21" s="1"/>
  <c r="CF38" i="21" a="1"/>
  <c r="CF38" i="21" s="1"/>
  <c r="CG38" i="21" a="1"/>
  <c r="CG38" i="21" s="1"/>
  <c r="CH38" i="21" a="1"/>
  <c r="CH38" i="21" s="1"/>
  <c r="CI38" i="21" a="1"/>
  <c r="CI38" i="21" s="1"/>
  <c r="CJ38" i="21" a="1"/>
  <c r="CJ38" i="21" s="1"/>
  <c r="CK38" i="21" a="1"/>
  <c r="CK38" i="21" s="1"/>
  <c r="CL38" i="21" a="1"/>
  <c r="CL38" i="21" s="1"/>
  <c r="CM38" i="21" a="1"/>
  <c r="CM38" i="21" s="1"/>
  <c r="CN38" i="21" a="1"/>
  <c r="CN38" i="21" s="1"/>
  <c r="CO38" i="21" a="1"/>
  <c r="CO38" i="21" s="1"/>
  <c r="CP38" i="21" a="1"/>
  <c r="CP38" i="21" s="1"/>
  <c r="CQ38" i="21" a="1"/>
  <c r="CQ38" i="21" s="1"/>
  <c r="CR38" i="21" a="1"/>
  <c r="CR38" i="21" s="1"/>
  <c r="CS38" i="21" a="1"/>
  <c r="CS38" i="21" s="1"/>
  <c r="CT38" i="21" a="1"/>
  <c r="CT38" i="21" s="1"/>
  <c r="CU38" i="21" a="1"/>
  <c r="CU38" i="21" s="1"/>
  <c r="CV38" i="21" a="1"/>
  <c r="CV38" i="21" s="1"/>
  <c r="CW38" i="21" a="1"/>
  <c r="CW38" i="21" s="1"/>
  <c r="S39" i="21" a="1"/>
  <c r="S39" i="21" s="1"/>
  <c r="T39" i="21" a="1"/>
  <c r="T39" i="21" s="1"/>
  <c r="U39" i="21" a="1"/>
  <c r="U39" i="21" s="1"/>
  <c r="V39" i="21" a="1"/>
  <c r="V39" i="21" s="1"/>
  <c r="W39" i="21" a="1"/>
  <c r="W39" i="21" s="1"/>
  <c r="X39" i="21" a="1"/>
  <c r="X39" i="21" s="1"/>
  <c r="Y39" i="21" a="1"/>
  <c r="Y39" i="21" s="1"/>
  <c r="Z39" i="21" a="1"/>
  <c r="Z39" i="21" s="1"/>
  <c r="AA39" i="21" a="1"/>
  <c r="AA39" i="21" s="1"/>
  <c r="AB39" i="21" a="1"/>
  <c r="AB39" i="21" s="1"/>
  <c r="AC39" i="21" a="1"/>
  <c r="AC39" i="21" s="1"/>
  <c r="AD39" i="21" a="1"/>
  <c r="AD39" i="21" s="1"/>
  <c r="AE39" i="21" a="1"/>
  <c r="AE39" i="21" s="1"/>
  <c r="AF39" i="21" a="1"/>
  <c r="AF39" i="21" s="1"/>
  <c r="AG39" i="21" a="1"/>
  <c r="AG39" i="21" s="1"/>
  <c r="AH39" i="21" a="1"/>
  <c r="AH39" i="21" s="1"/>
  <c r="AI39" i="21" a="1"/>
  <c r="AI39" i="21" s="1"/>
  <c r="AJ39" i="21" a="1"/>
  <c r="AJ39" i="21" s="1"/>
  <c r="AK39" i="21" a="1"/>
  <c r="AK39" i="21" s="1"/>
  <c r="AL39" i="21" a="1"/>
  <c r="AL39" i="21" s="1"/>
  <c r="AM39" i="21" a="1"/>
  <c r="AM39" i="21" s="1"/>
  <c r="AN39" i="21" a="1"/>
  <c r="AN39" i="21" s="1"/>
  <c r="AO39" i="21" a="1"/>
  <c r="AO39" i="21" s="1"/>
  <c r="AP39" i="21" a="1"/>
  <c r="AP39" i="21" s="1"/>
  <c r="AQ39" i="21" a="1"/>
  <c r="AQ39" i="21" s="1"/>
  <c r="AR39" i="21" a="1"/>
  <c r="AR39" i="21" s="1"/>
  <c r="AS39" i="21" a="1"/>
  <c r="AS39" i="21" s="1"/>
  <c r="AT39" i="21" a="1"/>
  <c r="AT39" i="21" s="1"/>
  <c r="AU39" i="21" a="1"/>
  <c r="AU39" i="21" s="1"/>
  <c r="AV39" i="21" a="1"/>
  <c r="AV39" i="21" s="1"/>
  <c r="AW39" i="21" a="1"/>
  <c r="AW39" i="21" s="1"/>
  <c r="AX39" i="21" a="1"/>
  <c r="AX39" i="21" s="1"/>
  <c r="AY39" i="21" a="1"/>
  <c r="AY39" i="21" s="1"/>
  <c r="AZ39" i="21" a="1"/>
  <c r="AZ39" i="21" s="1"/>
  <c r="BA39" i="21" a="1"/>
  <c r="BA39" i="21" s="1"/>
  <c r="BB39" i="21" a="1"/>
  <c r="BB39" i="21" s="1"/>
  <c r="BC39" i="21" a="1"/>
  <c r="BC39" i="21" s="1"/>
  <c r="BD39" i="21" a="1"/>
  <c r="BD39" i="21" s="1"/>
  <c r="BE39" i="21" a="1"/>
  <c r="BE39" i="21" s="1"/>
  <c r="BF39" i="21" a="1"/>
  <c r="BF39" i="21" s="1"/>
  <c r="BG39" i="21" a="1"/>
  <c r="BG39" i="21" s="1"/>
  <c r="BH39" i="21" a="1"/>
  <c r="BH39" i="21" s="1"/>
  <c r="BI39" i="21" a="1"/>
  <c r="BI39" i="21" s="1"/>
  <c r="BJ39" i="21" a="1"/>
  <c r="BJ39" i="21" s="1"/>
  <c r="BK39" i="21" a="1"/>
  <c r="BK39" i="21" s="1"/>
  <c r="BL39" i="21" a="1"/>
  <c r="BL39" i="21" s="1"/>
  <c r="BM39" i="21" a="1"/>
  <c r="BM39" i="21" s="1"/>
  <c r="BN39" i="21" a="1"/>
  <c r="BN39" i="21" s="1"/>
  <c r="BO39" i="21" a="1"/>
  <c r="BO39" i="21" s="1"/>
  <c r="BP39" i="21" a="1"/>
  <c r="BP39" i="21" s="1"/>
  <c r="BQ39" i="21" a="1"/>
  <c r="BQ39" i="21" s="1"/>
  <c r="BR39" i="21" a="1"/>
  <c r="BR39" i="21" s="1"/>
  <c r="BS39" i="21" a="1"/>
  <c r="BS39" i="21" s="1"/>
  <c r="BT39" i="21" a="1"/>
  <c r="BT39" i="21" s="1"/>
  <c r="BU39" i="21" a="1"/>
  <c r="BU39" i="21" s="1"/>
  <c r="BV39" i="21" a="1"/>
  <c r="BV39" i="21" s="1"/>
  <c r="BW39" i="21" a="1"/>
  <c r="BW39" i="21" s="1"/>
  <c r="BX39" i="21" a="1"/>
  <c r="BX39" i="21" s="1"/>
  <c r="BY39" i="21" a="1"/>
  <c r="BY39" i="21" s="1"/>
  <c r="BZ39" i="21" a="1"/>
  <c r="BZ39" i="21" s="1"/>
  <c r="CA39" i="21" a="1"/>
  <c r="CA39" i="21" s="1"/>
  <c r="CB39" i="21" a="1"/>
  <c r="CB39" i="21" s="1"/>
  <c r="CC39" i="21" a="1"/>
  <c r="CC39" i="21" s="1"/>
  <c r="CD39" i="21" a="1"/>
  <c r="CD39" i="21" s="1"/>
  <c r="CE39" i="21" a="1"/>
  <c r="CE39" i="21" s="1"/>
  <c r="CF39" i="21" a="1"/>
  <c r="CF39" i="21" s="1"/>
  <c r="CG39" i="21" a="1"/>
  <c r="CG39" i="21" s="1"/>
  <c r="CH39" i="21" a="1"/>
  <c r="CH39" i="21" s="1"/>
  <c r="CI39" i="21" a="1"/>
  <c r="CI39" i="21" s="1"/>
  <c r="CJ39" i="21" a="1"/>
  <c r="CJ39" i="21" s="1"/>
  <c r="CK39" i="21" a="1"/>
  <c r="CK39" i="21" s="1"/>
  <c r="CL39" i="21" a="1"/>
  <c r="CL39" i="21" s="1"/>
  <c r="CM39" i="21" a="1"/>
  <c r="CM39" i="21" s="1"/>
  <c r="CN39" i="21" a="1"/>
  <c r="CN39" i="21" s="1"/>
  <c r="CO39" i="21" a="1"/>
  <c r="CO39" i="21" s="1"/>
  <c r="CP39" i="21" a="1"/>
  <c r="CP39" i="21" s="1"/>
  <c r="CQ39" i="21" a="1"/>
  <c r="CQ39" i="21" s="1"/>
  <c r="CR39" i="21" a="1"/>
  <c r="CR39" i="21" s="1"/>
  <c r="CS39" i="21" a="1"/>
  <c r="CS39" i="21" s="1"/>
  <c r="CT39" i="21" a="1"/>
  <c r="CT39" i="21" s="1"/>
  <c r="CU39" i="21" a="1"/>
  <c r="CU39" i="21" s="1"/>
  <c r="CV39" i="21" a="1"/>
  <c r="CV39" i="21" s="1"/>
  <c r="CW39" i="21" a="1"/>
  <c r="CW39" i="21" s="1"/>
  <c r="S40" i="21" a="1"/>
  <c r="S40" i="21" s="1"/>
  <c r="T40" i="21" a="1"/>
  <c r="T40" i="21" s="1"/>
  <c r="U40" i="21" a="1"/>
  <c r="U40" i="21" s="1"/>
  <c r="V40" i="21" a="1"/>
  <c r="V40" i="21" s="1"/>
  <c r="W40" i="21" a="1"/>
  <c r="W40" i="21" s="1"/>
  <c r="X40" i="21" a="1"/>
  <c r="X40" i="21" s="1"/>
  <c r="Y40" i="21" a="1"/>
  <c r="Y40" i="21" s="1"/>
  <c r="Z40" i="21" a="1"/>
  <c r="Z40" i="21" s="1"/>
  <c r="AA40" i="21" a="1"/>
  <c r="AA40" i="21" s="1"/>
  <c r="AB40" i="21" a="1"/>
  <c r="AB40" i="21" s="1"/>
  <c r="AC40" i="21" a="1"/>
  <c r="AC40" i="21" s="1"/>
  <c r="AD40" i="21" a="1"/>
  <c r="AD40" i="21" s="1"/>
  <c r="AE40" i="21" a="1"/>
  <c r="AE40" i="21" s="1"/>
  <c r="AF40" i="21" a="1"/>
  <c r="AF40" i="21" s="1"/>
  <c r="AG40" i="21" a="1"/>
  <c r="AG40" i="21" s="1"/>
  <c r="AH40" i="21" a="1"/>
  <c r="AH40" i="21" s="1"/>
  <c r="AI40" i="21" a="1"/>
  <c r="AI40" i="21" s="1"/>
  <c r="AJ40" i="21" a="1"/>
  <c r="AJ40" i="21" s="1"/>
  <c r="AK40" i="21" a="1"/>
  <c r="AK40" i="21" s="1"/>
  <c r="AL40" i="21" a="1"/>
  <c r="AL40" i="21" s="1"/>
  <c r="AM40" i="21" a="1"/>
  <c r="AM40" i="21" s="1"/>
  <c r="AN40" i="21" a="1"/>
  <c r="AN40" i="21" s="1"/>
  <c r="AO40" i="21" a="1"/>
  <c r="AO40" i="21" s="1"/>
  <c r="AP40" i="21" a="1"/>
  <c r="AP40" i="21" s="1"/>
  <c r="AQ40" i="21" a="1"/>
  <c r="AQ40" i="21" s="1"/>
  <c r="AR40" i="21" a="1"/>
  <c r="AR40" i="21" s="1"/>
  <c r="AS40" i="21" a="1"/>
  <c r="AS40" i="21" s="1"/>
  <c r="AT40" i="21" a="1"/>
  <c r="AT40" i="21" s="1"/>
  <c r="AU40" i="21" a="1"/>
  <c r="AU40" i="21" s="1"/>
  <c r="AV40" i="21" a="1"/>
  <c r="AV40" i="21" s="1"/>
  <c r="AW40" i="21" a="1"/>
  <c r="AW40" i="21" s="1"/>
  <c r="AX40" i="21" a="1"/>
  <c r="AX40" i="21" s="1"/>
  <c r="AY40" i="21" a="1"/>
  <c r="AY40" i="21" s="1"/>
  <c r="AZ40" i="21" a="1"/>
  <c r="AZ40" i="21" s="1"/>
  <c r="BA40" i="21" a="1"/>
  <c r="BA40" i="21" s="1"/>
  <c r="BB40" i="21" a="1"/>
  <c r="BB40" i="21" s="1"/>
  <c r="BC40" i="21" a="1"/>
  <c r="BC40" i="21" s="1"/>
  <c r="BD40" i="21" a="1"/>
  <c r="BD40" i="21" s="1"/>
  <c r="BE40" i="21" a="1"/>
  <c r="BE40" i="21" s="1"/>
  <c r="BF40" i="21" a="1"/>
  <c r="BF40" i="21" s="1"/>
  <c r="BG40" i="21" a="1"/>
  <c r="BG40" i="21" s="1"/>
  <c r="BH40" i="21" a="1"/>
  <c r="BH40" i="21" s="1"/>
  <c r="BI40" i="21" a="1"/>
  <c r="BI40" i="21" s="1"/>
  <c r="BJ40" i="21" a="1"/>
  <c r="BJ40" i="21" s="1"/>
  <c r="BK40" i="21" a="1"/>
  <c r="BK40" i="21" s="1"/>
  <c r="BL40" i="21" a="1"/>
  <c r="BL40" i="21" s="1"/>
  <c r="BM40" i="21" a="1"/>
  <c r="BM40" i="21" s="1"/>
  <c r="BN40" i="21" a="1"/>
  <c r="BN40" i="21" s="1"/>
  <c r="BO40" i="21" a="1"/>
  <c r="BO40" i="21" s="1"/>
  <c r="BP40" i="21" a="1"/>
  <c r="BP40" i="21" s="1"/>
  <c r="BQ40" i="21" a="1"/>
  <c r="BQ40" i="21" s="1"/>
  <c r="BR40" i="21" a="1"/>
  <c r="BR40" i="21" s="1"/>
  <c r="BS40" i="21" a="1"/>
  <c r="BS40" i="21" s="1"/>
  <c r="BT40" i="21" a="1"/>
  <c r="BT40" i="21" s="1"/>
  <c r="BU40" i="21" a="1"/>
  <c r="BU40" i="21" s="1"/>
  <c r="BV40" i="21" a="1"/>
  <c r="BV40" i="21" s="1"/>
  <c r="BW40" i="21" a="1"/>
  <c r="BW40" i="21" s="1"/>
  <c r="BX40" i="21" a="1"/>
  <c r="BX40" i="21" s="1"/>
  <c r="BY40" i="21" a="1"/>
  <c r="BY40" i="21" s="1"/>
  <c r="BZ40" i="21" a="1"/>
  <c r="BZ40" i="21" s="1"/>
  <c r="CA40" i="21" a="1"/>
  <c r="CA40" i="21" s="1"/>
  <c r="CB40" i="21" a="1"/>
  <c r="CB40" i="21" s="1"/>
  <c r="CC40" i="21" a="1"/>
  <c r="CC40" i="21" s="1"/>
  <c r="CD40" i="21" a="1"/>
  <c r="CD40" i="21" s="1"/>
  <c r="CE40" i="21" a="1"/>
  <c r="CE40" i="21" s="1"/>
  <c r="CF40" i="21" a="1"/>
  <c r="CF40" i="21" s="1"/>
  <c r="CG40" i="21" a="1"/>
  <c r="CG40" i="21" s="1"/>
  <c r="CH40" i="21" a="1"/>
  <c r="CH40" i="21" s="1"/>
  <c r="CI40" i="21" a="1"/>
  <c r="CI40" i="21" s="1"/>
  <c r="CJ40" i="21" a="1"/>
  <c r="CJ40" i="21" s="1"/>
  <c r="CK40" i="21" a="1"/>
  <c r="CK40" i="21" s="1"/>
  <c r="CL40" i="21" a="1"/>
  <c r="CL40" i="21" s="1"/>
  <c r="CM40" i="21" a="1"/>
  <c r="CM40" i="21" s="1"/>
  <c r="CN40" i="21" a="1"/>
  <c r="CN40" i="21" s="1"/>
  <c r="CO40" i="21" a="1"/>
  <c r="CO40" i="21" s="1"/>
  <c r="CP40" i="21" a="1"/>
  <c r="CP40" i="21" s="1"/>
  <c r="CQ40" i="21" a="1"/>
  <c r="CQ40" i="21" s="1"/>
  <c r="CR40" i="21" a="1"/>
  <c r="CR40" i="21" s="1"/>
  <c r="CS40" i="21" a="1"/>
  <c r="CS40" i="21" s="1"/>
  <c r="CT40" i="21" a="1"/>
  <c r="CT40" i="21" s="1"/>
  <c r="CU40" i="21" a="1"/>
  <c r="CU40" i="21" s="1"/>
  <c r="CV40" i="21" a="1"/>
  <c r="CV40" i="21" s="1"/>
  <c r="CW40" i="21" a="1"/>
  <c r="CW40" i="21" s="1"/>
  <c r="S41" i="21" a="1"/>
  <c r="S41" i="21" s="1"/>
  <c r="T41" i="21" a="1"/>
  <c r="T41" i="21" s="1"/>
  <c r="U41" i="21" a="1"/>
  <c r="U41" i="21" s="1"/>
  <c r="V41" i="21" a="1"/>
  <c r="V41" i="21" s="1"/>
  <c r="W41" i="21" a="1"/>
  <c r="W41" i="21" s="1"/>
  <c r="X41" i="21" a="1"/>
  <c r="X41" i="21" s="1"/>
  <c r="Y41" i="21" a="1"/>
  <c r="Y41" i="21" s="1"/>
  <c r="Z41" i="21" a="1"/>
  <c r="Z41" i="21" s="1"/>
  <c r="AA41" i="21" a="1"/>
  <c r="AA41" i="21" s="1"/>
  <c r="AB41" i="21" a="1"/>
  <c r="AB41" i="21" s="1"/>
  <c r="AC41" i="21" a="1"/>
  <c r="AC41" i="21" s="1"/>
  <c r="AD41" i="21" a="1"/>
  <c r="AD41" i="21" s="1"/>
  <c r="AE41" i="21" a="1"/>
  <c r="AE41" i="21" s="1"/>
  <c r="AF41" i="21" a="1"/>
  <c r="AF41" i="21" s="1"/>
  <c r="AG41" i="21" a="1"/>
  <c r="AG41" i="21" s="1"/>
  <c r="AH41" i="21" a="1"/>
  <c r="AH41" i="21" s="1"/>
  <c r="AI41" i="21" a="1"/>
  <c r="AI41" i="21" s="1"/>
  <c r="AJ41" i="21" a="1"/>
  <c r="AJ41" i="21" s="1"/>
  <c r="AK41" i="21" a="1"/>
  <c r="AK41" i="21" s="1"/>
  <c r="AL41" i="21" a="1"/>
  <c r="AL41" i="21" s="1"/>
  <c r="AM41" i="21" a="1"/>
  <c r="AM41" i="21" s="1"/>
  <c r="AN41" i="21" a="1"/>
  <c r="AN41" i="21" s="1"/>
  <c r="AO41" i="21" a="1"/>
  <c r="AO41" i="21" s="1"/>
  <c r="AP41" i="21" a="1"/>
  <c r="AP41" i="21" s="1"/>
  <c r="AQ41" i="21" a="1"/>
  <c r="AQ41" i="21" s="1"/>
  <c r="AR41" i="21" a="1"/>
  <c r="AR41" i="21" s="1"/>
  <c r="AS41" i="21" a="1"/>
  <c r="AS41" i="21" s="1"/>
  <c r="AT41" i="21" a="1"/>
  <c r="AT41" i="21" s="1"/>
  <c r="AU41" i="21" a="1"/>
  <c r="AU41" i="21" s="1"/>
  <c r="AV41" i="21" a="1"/>
  <c r="AV41" i="21" s="1"/>
  <c r="AW41" i="21" a="1"/>
  <c r="AW41" i="21" s="1"/>
  <c r="AX41" i="21" a="1"/>
  <c r="AX41" i="21" s="1"/>
  <c r="AY41" i="21" a="1"/>
  <c r="AY41" i="21" s="1"/>
  <c r="AZ41" i="21" a="1"/>
  <c r="AZ41" i="21" s="1"/>
  <c r="BA41" i="21" a="1"/>
  <c r="BA41" i="21" s="1"/>
  <c r="BB41" i="21" a="1"/>
  <c r="BB41" i="21" s="1"/>
  <c r="BC41" i="21" a="1"/>
  <c r="BC41" i="21" s="1"/>
  <c r="BD41" i="21" a="1"/>
  <c r="BD41" i="21" s="1"/>
  <c r="BE41" i="21" a="1"/>
  <c r="BE41" i="21" s="1"/>
  <c r="BF41" i="21" a="1"/>
  <c r="BF41" i="21" s="1"/>
  <c r="BG41" i="21" a="1"/>
  <c r="BG41" i="21" s="1"/>
  <c r="BH41" i="21" a="1"/>
  <c r="BH41" i="21" s="1"/>
  <c r="BI41" i="21" a="1"/>
  <c r="BI41" i="21" s="1"/>
  <c r="BJ41" i="21" a="1"/>
  <c r="BJ41" i="21" s="1"/>
  <c r="BK41" i="21" a="1"/>
  <c r="BK41" i="21" s="1"/>
  <c r="BL41" i="21" a="1"/>
  <c r="BL41" i="21" s="1"/>
  <c r="BM41" i="21" a="1"/>
  <c r="BM41" i="21" s="1"/>
  <c r="BN41" i="21" a="1"/>
  <c r="BN41" i="21" s="1"/>
  <c r="BO41" i="21" a="1"/>
  <c r="BO41" i="21" s="1"/>
  <c r="BP41" i="21" a="1"/>
  <c r="BP41" i="21" s="1"/>
  <c r="BQ41" i="21" a="1"/>
  <c r="BQ41" i="21" s="1"/>
  <c r="BR41" i="21" a="1"/>
  <c r="BR41" i="21" s="1"/>
  <c r="BS41" i="21" a="1"/>
  <c r="BS41" i="21" s="1"/>
  <c r="BT41" i="21" a="1"/>
  <c r="BT41" i="21" s="1"/>
  <c r="BU41" i="21" a="1"/>
  <c r="BU41" i="21" s="1"/>
  <c r="BV41" i="21" a="1"/>
  <c r="BV41" i="21" s="1"/>
  <c r="BW41" i="21" a="1"/>
  <c r="BW41" i="21" s="1"/>
  <c r="BX41" i="21" a="1"/>
  <c r="BX41" i="21" s="1"/>
  <c r="BY41" i="21" a="1"/>
  <c r="BY41" i="21" s="1"/>
  <c r="BZ41" i="21" a="1"/>
  <c r="BZ41" i="21" s="1"/>
  <c r="CA41" i="21" a="1"/>
  <c r="CA41" i="21" s="1"/>
  <c r="CB41" i="21" a="1"/>
  <c r="CB41" i="21" s="1"/>
  <c r="CC41" i="21" a="1"/>
  <c r="CC41" i="21" s="1"/>
  <c r="CD41" i="21" a="1"/>
  <c r="CD41" i="21" s="1"/>
  <c r="CE41" i="21" a="1"/>
  <c r="CE41" i="21" s="1"/>
  <c r="CF41" i="21" a="1"/>
  <c r="CF41" i="21" s="1"/>
  <c r="CG41" i="21" a="1"/>
  <c r="CG41" i="21" s="1"/>
  <c r="CH41" i="21" a="1"/>
  <c r="CH41" i="21" s="1"/>
  <c r="CI41" i="21" a="1"/>
  <c r="CI41" i="21" s="1"/>
  <c r="CJ41" i="21" a="1"/>
  <c r="CJ41" i="21" s="1"/>
  <c r="CK41" i="21" a="1"/>
  <c r="CK41" i="21" s="1"/>
  <c r="CL41" i="21" a="1"/>
  <c r="CL41" i="21" s="1"/>
  <c r="CM41" i="21" a="1"/>
  <c r="CM41" i="21" s="1"/>
  <c r="CN41" i="21" a="1"/>
  <c r="CN41" i="21" s="1"/>
  <c r="CO41" i="21" a="1"/>
  <c r="CO41" i="21" s="1"/>
  <c r="CP41" i="21" a="1"/>
  <c r="CP41" i="21" s="1"/>
  <c r="CQ41" i="21" a="1"/>
  <c r="CQ41" i="21" s="1"/>
  <c r="CR41" i="21" a="1"/>
  <c r="CR41" i="21" s="1"/>
  <c r="CS41" i="21" a="1"/>
  <c r="CS41" i="21" s="1"/>
  <c r="CT41" i="21" a="1"/>
  <c r="CT41" i="21" s="1"/>
  <c r="CU41" i="21" a="1"/>
  <c r="CU41" i="21" s="1"/>
  <c r="CV41" i="21" a="1"/>
  <c r="CV41" i="21" s="1"/>
  <c r="CW41" i="21" a="1"/>
  <c r="CW41" i="21" s="1"/>
  <c r="S42" i="21" a="1"/>
  <c r="S42" i="21" s="1"/>
  <c r="T42" i="21" a="1"/>
  <c r="T42" i="21" s="1"/>
  <c r="U42" i="21" a="1"/>
  <c r="U42" i="21" s="1"/>
  <c r="V42" i="21" a="1"/>
  <c r="V42" i="21" s="1"/>
  <c r="W42" i="21" a="1"/>
  <c r="W42" i="21" s="1"/>
  <c r="X42" i="21" a="1"/>
  <c r="X42" i="21" s="1"/>
  <c r="Y42" i="21" a="1"/>
  <c r="Y42" i="21" s="1"/>
  <c r="Z42" i="21" a="1"/>
  <c r="Z42" i="21" s="1"/>
  <c r="AA42" i="21" a="1"/>
  <c r="AA42" i="21" s="1"/>
  <c r="AB42" i="21" a="1"/>
  <c r="AB42" i="21" s="1"/>
  <c r="AC42" i="21" a="1"/>
  <c r="AC42" i="21" s="1"/>
  <c r="AD42" i="21" a="1"/>
  <c r="AD42" i="21" s="1"/>
  <c r="AE42" i="21" a="1"/>
  <c r="AE42" i="21" s="1"/>
  <c r="AF42" i="21" a="1"/>
  <c r="AF42" i="21" s="1"/>
  <c r="AG42" i="21" a="1"/>
  <c r="AG42" i="21" s="1"/>
  <c r="AH42" i="21" a="1"/>
  <c r="AH42" i="21" s="1"/>
  <c r="AI42" i="21" a="1"/>
  <c r="AI42" i="21" s="1"/>
  <c r="AJ42" i="21" a="1"/>
  <c r="AJ42" i="21" s="1"/>
  <c r="AK42" i="21" a="1"/>
  <c r="AK42" i="21" s="1"/>
  <c r="AL42" i="21" a="1"/>
  <c r="AL42" i="21" s="1"/>
  <c r="AM42" i="21" a="1"/>
  <c r="AM42" i="21" s="1"/>
  <c r="AN42" i="21" a="1"/>
  <c r="AN42" i="21" s="1"/>
  <c r="AO42" i="21" a="1"/>
  <c r="AO42" i="21" s="1"/>
  <c r="AP42" i="21" a="1"/>
  <c r="AP42" i="21" s="1"/>
  <c r="AQ42" i="21" a="1"/>
  <c r="AQ42" i="21" s="1"/>
  <c r="AR42" i="21" a="1"/>
  <c r="AR42" i="21" s="1"/>
  <c r="AS42" i="21" a="1"/>
  <c r="AS42" i="21" s="1"/>
  <c r="AT42" i="21" a="1"/>
  <c r="AT42" i="21" s="1"/>
  <c r="AU42" i="21" a="1"/>
  <c r="AU42" i="21" s="1"/>
  <c r="AV42" i="21" a="1"/>
  <c r="AV42" i="21" s="1"/>
  <c r="AW42" i="21" a="1"/>
  <c r="AW42" i="21" s="1"/>
  <c r="AX42" i="21" a="1"/>
  <c r="AX42" i="21" s="1"/>
  <c r="AY42" i="21" a="1"/>
  <c r="AY42" i="21" s="1"/>
  <c r="AZ42" i="21" a="1"/>
  <c r="AZ42" i="21" s="1"/>
  <c r="BA42" i="21" a="1"/>
  <c r="BA42" i="21" s="1"/>
  <c r="BB42" i="21" a="1"/>
  <c r="BB42" i="21" s="1"/>
  <c r="BC42" i="21" a="1"/>
  <c r="BC42" i="21" s="1"/>
  <c r="BD42" i="21" a="1"/>
  <c r="BD42" i="21" s="1"/>
  <c r="BE42" i="21" a="1"/>
  <c r="BE42" i="21" s="1"/>
  <c r="BF42" i="21" a="1"/>
  <c r="BF42" i="21" s="1"/>
  <c r="BG42" i="21" a="1"/>
  <c r="BG42" i="21" s="1"/>
  <c r="BH42" i="21" a="1"/>
  <c r="BH42" i="21" s="1"/>
  <c r="BI42" i="21" a="1"/>
  <c r="BI42" i="21" s="1"/>
  <c r="BJ42" i="21" a="1"/>
  <c r="BJ42" i="21" s="1"/>
  <c r="BK42" i="21" a="1"/>
  <c r="BK42" i="21" s="1"/>
  <c r="BL42" i="21" a="1"/>
  <c r="BL42" i="21" s="1"/>
  <c r="BM42" i="21" a="1"/>
  <c r="BM42" i="21" s="1"/>
  <c r="BN42" i="21" a="1"/>
  <c r="BN42" i="21" s="1"/>
  <c r="BO42" i="21" a="1"/>
  <c r="BO42" i="21" s="1"/>
  <c r="BP42" i="21" a="1"/>
  <c r="BP42" i="21" s="1"/>
  <c r="BQ42" i="21" a="1"/>
  <c r="BQ42" i="21" s="1"/>
  <c r="BR42" i="21" a="1"/>
  <c r="BR42" i="21" s="1"/>
  <c r="BS42" i="21" a="1"/>
  <c r="BS42" i="21" s="1"/>
  <c r="BT42" i="21" a="1"/>
  <c r="BT42" i="21" s="1"/>
  <c r="BU42" i="21" a="1"/>
  <c r="BU42" i="21" s="1"/>
  <c r="BV42" i="21" a="1"/>
  <c r="BV42" i="21" s="1"/>
  <c r="BW42" i="21" a="1"/>
  <c r="BW42" i="21" s="1"/>
  <c r="BX42" i="21" a="1"/>
  <c r="BX42" i="21" s="1"/>
  <c r="BY42" i="21" a="1"/>
  <c r="BY42" i="21" s="1"/>
  <c r="BZ42" i="21" a="1"/>
  <c r="BZ42" i="21" s="1"/>
  <c r="CA42" i="21" a="1"/>
  <c r="CA42" i="21" s="1"/>
  <c r="CB42" i="21" a="1"/>
  <c r="CB42" i="21" s="1"/>
  <c r="CC42" i="21" a="1"/>
  <c r="CC42" i="21" s="1"/>
  <c r="CD42" i="21" a="1"/>
  <c r="CD42" i="21" s="1"/>
  <c r="CE42" i="21" a="1"/>
  <c r="CE42" i="21" s="1"/>
  <c r="CF42" i="21" a="1"/>
  <c r="CF42" i="21" s="1"/>
  <c r="CG42" i="21" a="1"/>
  <c r="CG42" i="21" s="1"/>
  <c r="CH42" i="21" a="1"/>
  <c r="CH42" i="21" s="1"/>
  <c r="CI42" i="21" a="1"/>
  <c r="CI42" i="21" s="1"/>
  <c r="CJ42" i="21" a="1"/>
  <c r="CJ42" i="21" s="1"/>
  <c r="CK42" i="21" a="1"/>
  <c r="CK42" i="21" s="1"/>
  <c r="CL42" i="21" a="1"/>
  <c r="CL42" i="21" s="1"/>
  <c r="CM42" i="21" a="1"/>
  <c r="CM42" i="21" s="1"/>
  <c r="CN42" i="21" a="1"/>
  <c r="CN42" i="21" s="1"/>
  <c r="CO42" i="21" a="1"/>
  <c r="CO42" i="21" s="1"/>
  <c r="CP42" i="21" a="1"/>
  <c r="CP42" i="21" s="1"/>
  <c r="CQ42" i="21" a="1"/>
  <c r="CQ42" i="21" s="1"/>
  <c r="CR42" i="21" a="1"/>
  <c r="CR42" i="21" s="1"/>
  <c r="CS42" i="21" a="1"/>
  <c r="CS42" i="21" s="1"/>
  <c r="CT42" i="21" a="1"/>
  <c r="CT42" i="21" s="1"/>
  <c r="CU42" i="21" a="1"/>
  <c r="CU42" i="21" s="1"/>
  <c r="CV42" i="21" a="1"/>
  <c r="CV42" i="21" s="1"/>
  <c r="CW42" i="21" a="1"/>
  <c r="CW42" i="21" s="1"/>
  <c r="S43" i="21" a="1"/>
  <c r="S43" i="21" s="1"/>
  <c r="T43" i="21" a="1"/>
  <c r="T43" i="21" s="1"/>
  <c r="U43" i="21" a="1"/>
  <c r="U43" i="21" s="1"/>
  <c r="V43" i="21" a="1"/>
  <c r="V43" i="21" s="1"/>
  <c r="W43" i="21" a="1"/>
  <c r="W43" i="21" s="1"/>
  <c r="X43" i="21" a="1"/>
  <c r="X43" i="21" s="1"/>
  <c r="Y43" i="21" a="1"/>
  <c r="Y43" i="21" s="1"/>
  <c r="Z43" i="21" a="1"/>
  <c r="Z43" i="21" s="1"/>
  <c r="AA43" i="21" a="1"/>
  <c r="AA43" i="21" s="1"/>
  <c r="AB43" i="21" a="1"/>
  <c r="AB43" i="21" s="1"/>
  <c r="AC43" i="21" a="1"/>
  <c r="AC43" i="21" s="1"/>
  <c r="AD43" i="21" a="1"/>
  <c r="AD43" i="21" s="1"/>
  <c r="AE43" i="21" a="1"/>
  <c r="AE43" i="21" s="1"/>
  <c r="AF43" i="21" a="1"/>
  <c r="AF43" i="21" s="1"/>
  <c r="AG43" i="21" a="1"/>
  <c r="AG43" i="21" s="1"/>
  <c r="AH43" i="21" a="1"/>
  <c r="AH43" i="21" s="1"/>
  <c r="AI43" i="21" a="1"/>
  <c r="AI43" i="21" s="1"/>
  <c r="AJ43" i="21" a="1"/>
  <c r="AJ43" i="21" s="1"/>
  <c r="AK43" i="21" a="1"/>
  <c r="AK43" i="21" s="1"/>
  <c r="AL43" i="21" a="1"/>
  <c r="AL43" i="21" s="1"/>
  <c r="AM43" i="21" a="1"/>
  <c r="AM43" i="21" s="1"/>
  <c r="AN43" i="21" a="1"/>
  <c r="AN43" i="21" s="1"/>
  <c r="AO43" i="21" a="1"/>
  <c r="AO43" i="21" s="1"/>
  <c r="AP43" i="21" a="1"/>
  <c r="AP43" i="21" s="1"/>
  <c r="AQ43" i="21" a="1"/>
  <c r="AQ43" i="21" s="1"/>
  <c r="AR43" i="21" a="1"/>
  <c r="AR43" i="21" s="1"/>
  <c r="AS43" i="21" a="1"/>
  <c r="AS43" i="21" s="1"/>
  <c r="AT43" i="21" a="1"/>
  <c r="AT43" i="21" s="1"/>
  <c r="AU43" i="21" a="1"/>
  <c r="AU43" i="21" s="1"/>
  <c r="AV43" i="21" a="1"/>
  <c r="AV43" i="21" s="1"/>
  <c r="AW43" i="21" a="1"/>
  <c r="AW43" i="21" s="1"/>
  <c r="AX43" i="21" a="1"/>
  <c r="AX43" i="21" s="1"/>
  <c r="AY43" i="21" a="1"/>
  <c r="AY43" i="21" s="1"/>
  <c r="AZ43" i="21" a="1"/>
  <c r="AZ43" i="21" s="1"/>
  <c r="BA43" i="21" a="1"/>
  <c r="BA43" i="21" s="1"/>
  <c r="BB43" i="21" a="1"/>
  <c r="BB43" i="21" s="1"/>
  <c r="BC43" i="21" a="1"/>
  <c r="BC43" i="21" s="1"/>
  <c r="BD43" i="21" a="1"/>
  <c r="BD43" i="21" s="1"/>
  <c r="BE43" i="21" a="1"/>
  <c r="BE43" i="21" s="1"/>
  <c r="BF43" i="21" a="1"/>
  <c r="BF43" i="21" s="1"/>
  <c r="BG43" i="21" a="1"/>
  <c r="BG43" i="21" s="1"/>
  <c r="BH43" i="21" a="1"/>
  <c r="BH43" i="21" s="1"/>
  <c r="BI43" i="21" a="1"/>
  <c r="BI43" i="21" s="1"/>
  <c r="BJ43" i="21" a="1"/>
  <c r="BJ43" i="21" s="1"/>
  <c r="BK43" i="21" a="1"/>
  <c r="BK43" i="21" s="1"/>
  <c r="BL43" i="21" a="1"/>
  <c r="BL43" i="21" s="1"/>
  <c r="BM43" i="21" a="1"/>
  <c r="BM43" i="21" s="1"/>
  <c r="BN43" i="21" a="1"/>
  <c r="BN43" i="21" s="1"/>
  <c r="BO43" i="21" a="1"/>
  <c r="BO43" i="21" s="1"/>
  <c r="BP43" i="21" a="1"/>
  <c r="BP43" i="21" s="1"/>
  <c r="BQ43" i="21" a="1"/>
  <c r="BQ43" i="21" s="1"/>
  <c r="BR43" i="21" a="1"/>
  <c r="BR43" i="21" s="1"/>
  <c r="BS43" i="21" a="1"/>
  <c r="BS43" i="21" s="1"/>
  <c r="BT43" i="21" a="1"/>
  <c r="BT43" i="21" s="1"/>
  <c r="BU43" i="21" a="1"/>
  <c r="BU43" i="21" s="1"/>
  <c r="BV43" i="21" a="1"/>
  <c r="BV43" i="21" s="1"/>
  <c r="BW43" i="21" a="1"/>
  <c r="BW43" i="21" s="1"/>
  <c r="BX43" i="21" a="1"/>
  <c r="BX43" i="21" s="1"/>
  <c r="BY43" i="21" a="1"/>
  <c r="BY43" i="21" s="1"/>
  <c r="BZ43" i="21" a="1"/>
  <c r="BZ43" i="21" s="1"/>
  <c r="CA43" i="21" a="1"/>
  <c r="CA43" i="21" s="1"/>
  <c r="CB43" i="21" a="1"/>
  <c r="CB43" i="21" s="1"/>
  <c r="CC43" i="21" a="1"/>
  <c r="CC43" i="21" s="1"/>
  <c r="CD43" i="21" a="1"/>
  <c r="CD43" i="21" s="1"/>
  <c r="CE43" i="21" a="1"/>
  <c r="CE43" i="21" s="1"/>
  <c r="CF43" i="21" a="1"/>
  <c r="CF43" i="21" s="1"/>
  <c r="CG43" i="21" a="1"/>
  <c r="CG43" i="21" s="1"/>
  <c r="CH43" i="21" a="1"/>
  <c r="CH43" i="21" s="1"/>
  <c r="CI43" i="21" a="1"/>
  <c r="CI43" i="21" s="1"/>
  <c r="CJ43" i="21" a="1"/>
  <c r="CJ43" i="21" s="1"/>
  <c r="CK43" i="21" a="1"/>
  <c r="CK43" i="21" s="1"/>
  <c r="CL43" i="21" a="1"/>
  <c r="CL43" i="21" s="1"/>
  <c r="CM43" i="21" a="1"/>
  <c r="CM43" i="21" s="1"/>
  <c r="CN43" i="21" a="1"/>
  <c r="CN43" i="21" s="1"/>
  <c r="CO43" i="21" a="1"/>
  <c r="CO43" i="21" s="1"/>
  <c r="CP43" i="21" a="1"/>
  <c r="CP43" i="21" s="1"/>
  <c r="CQ43" i="21" a="1"/>
  <c r="CQ43" i="21" s="1"/>
  <c r="CR43" i="21" a="1"/>
  <c r="CR43" i="21" s="1"/>
  <c r="CS43" i="21" a="1"/>
  <c r="CS43" i="21" s="1"/>
  <c r="CT43" i="21" a="1"/>
  <c r="CT43" i="21" s="1"/>
  <c r="CU43" i="21" a="1"/>
  <c r="CU43" i="21" s="1"/>
  <c r="CV43" i="21" a="1"/>
  <c r="CV43" i="21" s="1"/>
  <c r="CW43" i="21" a="1"/>
  <c r="CW43" i="21" s="1"/>
  <c r="S44" i="21" a="1"/>
  <c r="S44" i="21" s="1"/>
  <c r="T44" i="21" a="1"/>
  <c r="T44" i="21" s="1"/>
  <c r="U44" i="21" a="1"/>
  <c r="U44" i="21" s="1"/>
  <c r="V44" i="21" a="1"/>
  <c r="V44" i="21" s="1"/>
  <c r="W44" i="21" a="1"/>
  <c r="W44" i="21" s="1"/>
  <c r="X44" i="21" a="1"/>
  <c r="X44" i="21" s="1"/>
  <c r="Y44" i="21" a="1"/>
  <c r="Y44" i="21" s="1"/>
  <c r="Z44" i="21" a="1"/>
  <c r="Z44" i="21" s="1"/>
  <c r="AA44" i="21" a="1"/>
  <c r="AA44" i="21" s="1"/>
  <c r="AB44" i="21" a="1"/>
  <c r="AB44" i="21" s="1"/>
  <c r="AC44" i="21" a="1"/>
  <c r="AC44" i="21" s="1"/>
  <c r="AD44" i="21" a="1"/>
  <c r="AD44" i="21" s="1"/>
  <c r="AE44" i="21" a="1"/>
  <c r="AE44" i="21" s="1"/>
  <c r="AF44" i="21" a="1"/>
  <c r="AF44" i="21" s="1"/>
  <c r="AG44" i="21" a="1"/>
  <c r="AG44" i="21" s="1"/>
  <c r="AH44" i="21" a="1"/>
  <c r="AH44" i="21" s="1"/>
  <c r="AI44" i="21" a="1"/>
  <c r="AI44" i="21" s="1"/>
  <c r="AJ44" i="21" a="1"/>
  <c r="AJ44" i="21" s="1"/>
  <c r="AK44" i="21" a="1"/>
  <c r="AK44" i="21" s="1"/>
  <c r="AL44" i="21" a="1"/>
  <c r="AL44" i="21" s="1"/>
  <c r="AM44" i="21" a="1"/>
  <c r="AM44" i="21" s="1"/>
  <c r="AN44" i="21" a="1"/>
  <c r="AN44" i="21" s="1"/>
  <c r="AO44" i="21" a="1"/>
  <c r="AO44" i="21" s="1"/>
  <c r="AP44" i="21" a="1"/>
  <c r="AP44" i="21" s="1"/>
  <c r="AQ44" i="21" a="1"/>
  <c r="AQ44" i="21" s="1"/>
  <c r="AR44" i="21" a="1"/>
  <c r="AR44" i="21" s="1"/>
  <c r="AS44" i="21" a="1"/>
  <c r="AS44" i="21" s="1"/>
  <c r="AT44" i="21" a="1"/>
  <c r="AT44" i="21" s="1"/>
  <c r="AU44" i="21" a="1"/>
  <c r="AU44" i="21" s="1"/>
  <c r="AV44" i="21" a="1"/>
  <c r="AV44" i="21" s="1"/>
  <c r="AW44" i="21" a="1"/>
  <c r="AW44" i="21" s="1"/>
  <c r="AX44" i="21" a="1"/>
  <c r="AX44" i="21" s="1"/>
  <c r="AY44" i="21" a="1"/>
  <c r="AY44" i="21" s="1"/>
  <c r="AZ44" i="21" a="1"/>
  <c r="AZ44" i="21" s="1"/>
  <c r="BA44" i="21" a="1"/>
  <c r="BA44" i="21" s="1"/>
  <c r="BB44" i="21" a="1"/>
  <c r="BB44" i="21" s="1"/>
  <c r="BC44" i="21" a="1"/>
  <c r="BC44" i="21" s="1"/>
  <c r="BD44" i="21" a="1"/>
  <c r="BD44" i="21" s="1"/>
  <c r="BE44" i="21" a="1"/>
  <c r="BE44" i="21" s="1"/>
  <c r="BF44" i="21" a="1"/>
  <c r="BF44" i="21" s="1"/>
  <c r="BG44" i="21" a="1"/>
  <c r="BG44" i="21" s="1"/>
  <c r="BH44" i="21" a="1"/>
  <c r="BH44" i="21" s="1"/>
  <c r="BI44" i="21" a="1"/>
  <c r="BI44" i="21" s="1"/>
  <c r="BJ44" i="21" a="1"/>
  <c r="BJ44" i="21" s="1"/>
  <c r="BK44" i="21" a="1"/>
  <c r="BK44" i="21" s="1"/>
  <c r="BL44" i="21" a="1"/>
  <c r="BL44" i="21" s="1"/>
  <c r="BM44" i="21" a="1"/>
  <c r="BM44" i="21" s="1"/>
  <c r="BN44" i="21" a="1"/>
  <c r="BN44" i="21" s="1"/>
  <c r="BO44" i="21" a="1"/>
  <c r="BO44" i="21" s="1"/>
  <c r="BP44" i="21" a="1"/>
  <c r="BP44" i="21" s="1"/>
  <c r="BQ44" i="21" a="1"/>
  <c r="BQ44" i="21" s="1"/>
  <c r="BR44" i="21" a="1"/>
  <c r="BR44" i="21" s="1"/>
  <c r="BS44" i="21" a="1"/>
  <c r="BS44" i="21" s="1"/>
  <c r="BT44" i="21" a="1"/>
  <c r="BT44" i="21" s="1"/>
  <c r="BU44" i="21" a="1"/>
  <c r="BU44" i="21" s="1"/>
  <c r="BV44" i="21" a="1"/>
  <c r="BV44" i="21" s="1"/>
  <c r="BW44" i="21" a="1"/>
  <c r="BW44" i="21" s="1"/>
  <c r="BX44" i="21" a="1"/>
  <c r="BX44" i="21" s="1"/>
  <c r="BY44" i="21" a="1"/>
  <c r="BY44" i="21" s="1"/>
  <c r="BZ44" i="21" a="1"/>
  <c r="BZ44" i="21" s="1"/>
  <c r="CA44" i="21" a="1"/>
  <c r="CA44" i="21" s="1"/>
  <c r="CB44" i="21" a="1"/>
  <c r="CB44" i="21" s="1"/>
  <c r="CC44" i="21" a="1"/>
  <c r="CC44" i="21" s="1"/>
  <c r="CD44" i="21" a="1"/>
  <c r="CD44" i="21" s="1"/>
  <c r="CE44" i="21" a="1"/>
  <c r="CE44" i="21" s="1"/>
  <c r="CF44" i="21" a="1"/>
  <c r="CF44" i="21" s="1"/>
  <c r="CG44" i="21" a="1"/>
  <c r="CG44" i="21" s="1"/>
  <c r="CH44" i="21" a="1"/>
  <c r="CH44" i="21" s="1"/>
  <c r="CI44" i="21" a="1"/>
  <c r="CI44" i="21" s="1"/>
  <c r="CJ44" i="21" a="1"/>
  <c r="CJ44" i="21" s="1"/>
  <c r="CK44" i="21" a="1"/>
  <c r="CK44" i="21" s="1"/>
  <c r="CL44" i="21" a="1"/>
  <c r="CL44" i="21" s="1"/>
  <c r="CM44" i="21" a="1"/>
  <c r="CM44" i="21" s="1"/>
  <c r="CN44" i="21" a="1"/>
  <c r="CN44" i="21" s="1"/>
  <c r="CO44" i="21" a="1"/>
  <c r="CO44" i="21" s="1"/>
  <c r="CP44" i="21" a="1"/>
  <c r="CP44" i="21" s="1"/>
  <c r="CQ44" i="21" a="1"/>
  <c r="CQ44" i="21" s="1"/>
  <c r="CR44" i="21" a="1"/>
  <c r="CR44" i="21" s="1"/>
  <c r="CS44" i="21" a="1"/>
  <c r="CS44" i="21" s="1"/>
  <c r="CT44" i="21" a="1"/>
  <c r="CT44" i="21" s="1"/>
  <c r="CU44" i="21" a="1"/>
  <c r="CU44" i="21" s="1"/>
  <c r="CV44" i="21" a="1"/>
  <c r="CV44" i="21" s="1"/>
  <c r="CW44" i="21" a="1"/>
  <c r="CW44" i="21" s="1"/>
  <c r="S45" i="21" a="1"/>
  <c r="S45" i="21" s="1"/>
  <c r="T45" i="21" a="1"/>
  <c r="T45" i="21" s="1"/>
  <c r="U45" i="21" a="1"/>
  <c r="U45" i="21" s="1"/>
  <c r="V45" i="21" a="1"/>
  <c r="V45" i="21" s="1"/>
  <c r="W45" i="21" a="1"/>
  <c r="W45" i="21" s="1"/>
  <c r="X45" i="21" a="1"/>
  <c r="X45" i="21" s="1"/>
  <c r="Y45" i="21" a="1"/>
  <c r="Y45" i="21" s="1"/>
  <c r="Z45" i="21" a="1"/>
  <c r="Z45" i="21" s="1"/>
  <c r="AA45" i="21" a="1"/>
  <c r="AA45" i="21" s="1"/>
  <c r="AB45" i="21" a="1"/>
  <c r="AB45" i="21" s="1"/>
  <c r="AC45" i="21" a="1"/>
  <c r="AC45" i="21" s="1"/>
  <c r="AD45" i="21" a="1"/>
  <c r="AD45" i="21" s="1"/>
  <c r="AE45" i="21" a="1"/>
  <c r="AE45" i="21" s="1"/>
  <c r="AF45" i="21" a="1"/>
  <c r="AF45" i="21" s="1"/>
  <c r="AG45" i="21" a="1"/>
  <c r="AG45" i="21" s="1"/>
  <c r="AH45" i="21" a="1"/>
  <c r="AH45" i="21" s="1"/>
  <c r="AI45" i="21" a="1"/>
  <c r="AI45" i="21" s="1"/>
  <c r="AJ45" i="21" a="1"/>
  <c r="AJ45" i="21" s="1"/>
  <c r="AK45" i="21" a="1"/>
  <c r="AK45" i="21" s="1"/>
  <c r="AL45" i="21" a="1"/>
  <c r="AL45" i="21" s="1"/>
  <c r="AM45" i="21" a="1"/>
  <c r="AM45" i="21" s="1"/>
  <c r="AN45" i="21" a="1"/>
  <c r="AN45" i="21" s="1"/>
  <c r="AO45" i="21" a="1"/>
  <c r="AO45" i="21" s="1"/>
  <c r="AP45" i="21" a="1"/>
  <c r="AP45" i="21" s="1"/>
  <c r="AQ45" i="21" a="1"/>
  <c r="AQ45" i="21" s="1"/>
  <c r="AR45" i="21" a="1"/>
  <c r="AR45" i="21" s="1"/>
  <c r="AS45" i="21" a="1"/>
  <c r="AS45" i="21" s="1"/>
  <c r="AT45" i="21" a="1"/>
  <c r="AT45" i="21" s="1"/>
  <c r="AU45" i="21" a="1"/>
  <c r="AU45" i="21" s="1"/>
  <c r="AV45" i="21" a="1"/>
  <c r="AV45" i="21" s="1"/>
  <c r="AW45" i="21" a="1"/>
  <c r="AW45" i="21" s="1"/>
  <c r="AX45" i="21" a="1"/>
  <c r="AX45" i="21" s="1"/>
  <c r="AY45" i="21" a="1"/>
  <c r="AY45" i="21" s="1"/>
  <c r="AZ45" i="21" a="1"/>
  <c r="AZ45" i="21" s="1"/>
  <c r="BA45" i="21" a="1"/>
  <c r="BA45" i="21" s="1"/>
  <c r="BB45" i="21" a="1"/>
  <c r="BB45" i="21" s="1"/>
  <c r="BC45" i="21" a="1"/>
  <c r="BC45" i="21" s="1"/>
  <c r="BD45" i="21" a="1"/>
  <c r="BD45" i="21" s="1"/>
  <c r="BE45" i="21" a="1"/>
  <c r="BE45" i="21" s="1"/>
  <c r="BF45" i="21" a="1"/>
  <c r="BF45" i="21" s="1"/>
  <c r="BG45" i="21" a="1"/>
  <c r="BG45" i="21" s="1"/>
  <c r="BH45" i="21" a="1"/>
  <c r="BH45" i="21" s="1"/>
  <c r="BI45" i="21" a="1"/>
  <c r="BI45" i="21" s="1"/>
  <c r="BJ45" i="21" a="1"/>
  <c r="BJ45" i="21" s="1"/>
  <c r="BK45" i="21" a="1"/>
  <c r="BK45" i="21" s="1"/>
  <c r="BL45" i="21" a="1"/>
  <c r="BL45" i="21" s="1"/>
  <c r="BM45" i="21" a="1"/>
  <c r="BM45" i="21" s="1"/>
  <c r="BN45" i="21" a="1"/>
  <c r="BN45" i="21" s="1"/>
  <c r="BO45" i="21" a="1"/>
  <c r="BO45" i="21" s="1"/>
  <c r="BP45" i="21" a="1"/>
  <c r="BP45" i="21" s="1"/>
  <c r="BQ45" i="21" a="1"/>
  <c r="BQ45" i="21" s="1"/>
  <c r="BR45" i="21" a="1"/>
  <c r="BR45" i="21" s="1"/>
  <c r="BS45" i="21" a="1"/>
  <c r="BS45" i="21" s="1"/>
  <c r="BT45" i="21" a="1"/>
  <c r="BT45" i="21" s="1"/>
  <c r="BU45" i="21" a="1"/>
  <c r="BU45" i="21" s="1"/>
  <c r="BV45" i="21" a="1"/>
  <c r="BV45" i="21" s="1"/>
  <c r="BW45" i="21" a="1"/>
  <c r="BW45" i="21" s="1"/>
  <c r="BX45" i="21" a="1"/>
  <c r="BX45" i="21" s="1"/>
  <c r="BY45" i="21" a="1"/>
  <c r="BY45" i="21" s="1"/>
  <c r="BZ45" i="21" a="1"/>
  <c r="BZ45" i="21" s="1"/>
  <c r="CA45" i="21" a="1"/>
  <c r="CA45" i="21" s="1"/>
  <c r="CB45" i="21" a="1"/>
  <c r="CB45" i="21" s="1"/>
  <c r="CC45" i="21" a="1"/>
  <c r="CC45" i="21" s="1"/>
  <c r="CD45" i="21" a="1"/>
  <c r="CD45" i="21" s="1"/>
  <c r="CE45" i="21" a="1"/>
  <c r="CE45" i="21" s="1"/>
  <c r="CF45" i="21" a="1"/>
  <c r="CF45" i="21" s="1"/>
  <c r="CG45" i="21" a="1"/>
  <c r="CG45" i="21" s="1"/>
  <c r="CH45" i="21" a="1"/>
  <c r="CH45" i="21" s="1"/>
  <c r="CI45" i="21" a="1"/>
  <c r="CI45" i="21" s="1"/>
  <c r="CJ45" i="21" a="1"/>
  <c r="CJ45" i="21" s="1"/>
  <c r="CK45" i="21" a="1"/>
  <c r="CK45" i="21" s="1"/>
  <c r="CL45" i="21" a="1"/>
  <c r="CL45" i="21" s="1"/>
  <c r="CM45" i="21" a="1"/>
  <c r="CM45" i="21" s="1"/>
  <c r="CN45" i="21" a="1"/>
  <c r="CN45" i="21" s="1"/>
  <c r="CO45" i="21" a="1"/>
  <c r="CO45" i="21" s="1"/>
  <c r="CP45" i="21" a="1"/>
  <c r="CP45" i="21" s="1"/>
  <c r="CQ45" i="21" a="1"/>
  <c r="CQ45" i="21" s="1"/>
  <c r="CR45" i="21" a="1"/>
  <c r="CR45" i="21" s="1"/>
  <c r="CS45" i="21" a="1"/>
  <c r="CS45" i="21" s="1"/>
  <c r="CT45" i="21" a="1"/>
  <c r="CT45" i="21" s="1"/>
  <c r="CU45" i="21" a="1"/>
  <c r="CU45" i="21" s="1"/>
  <c r="CV45" i="21" a="1"/>
  <c r="CV45" i="21" s="1"/>
  <c r="CW45" i="21" a="1"/>
  <c r="CW45" i="21" s="1"/>
  <c r="S46" i="21" a="1"/>
  <c r="S46" i="21" s="1"/>
  <c r="T46" i="21" a="1"/>
  <c r="T46" i="21" s="1"/>
  <c r="U46" i="21" a="1"/>
  <c r="U46" i="21" s="1"/>
  <c r="V46" i="21" a="1"/>
  <c r="V46" i="21" s="1"/>
  <c r="W46" i="21" a="1"/>
  <c r="W46" i="21" s="1"/>
  <c r="X46" i="21" a="1"/>
  <c r="X46" i="21" s="1"/>
  <c r="Y46" i="21" a="1"/>
  <c r="Y46" i="21" s="1"/>
  <c r="Z46" i="21" a="1"/>
  <c r="Z46" i="21" s="1"/>
  <c r="AA46" i="21" a="1"/>
  <c r="AA46" i="21" s="1"/>
  <c r="AB46" i="21" a="1"/>
  <c r="AB46" i="21" s="1"/>
  <c r="AC46" i="21" a="1"/>
  <c r="AC46" i="21" s="1"/>
  <c r="AD46" i="21" a="1"/>
  <c r="AD46" i="21" s="1"/>
  <c r="AE46" i="21" a="1"/>
  <c r="AE46" i="21" s="1"/>
  <c r="AF46" i="21" a="1"/>
  <c r="AF46" i="21" s="1"/>
  <c r="AG46" i="21" a="1"/>
  <c r="AG46" i="21" s="1"/>
  <c r="AH46" i="21" a="1"/>
  <c r="AH46" i="21" s="1"/>
  <c r="AI46" i="21" a="1"/>
  <c r="AI46" i="21" s="1"/>
  <c r="AJ46" i="21" a="1"/>
  <c r="AJ46" i="21" s="1"/>
  <c r="AK46" i="21" a="1"/>
  <c r="AK46" i="21" s="1"/>
  <c r="AL46" i="21" a="1"/>
  <c r="AL46" i="21" s="1"/>
  <c r="AM46" i="21" a="1"/>
  <c r="AM46" i="21" s="1"/>
  <c r="AN46" i="21" a="1"/>
  <c r="AN46" i="21" s="1"/>
  <c r="AO46" i="21" a="1"/>
  <c r="AO46" i="21" s="1"/>
  <c r="AP46" i="21" a="1"/>
  <c r="AP46" i="21" s="1"/>
  <c r="AQ46" i="21" a="1"/>
  <c r="AQ46" i="21" s="1"/>
  <c r="AR46" i="21" a="1"/>
  <c r="AR46" i="21" s="1"/>
  <c r="AS46" i="21" a="1"/>
  <c r="AS46" i="21" s="1"/>
  <c r="AT46" i="21" a="1"/>
  <c r="AT46" i="21" s="1"/>
  <c r="AU46" i="21" a="1"/>
  <c r="AU46" i="21" s="1"/>
  <c r="AV46" i="21" a="1"/>
  <c r="AV46" i="21" s="1"/>
  <c r="AW46" i="21" a="1"/>
  <c r="AW46" i="21" s="1"/>
  <c r="AX46" i="21" a="1"/>
  <c r="AX46" i="21" s="1"/>
  <c r="AY46" i="21" a="1"/>
  <c r="AY46" i="21" s="1"/>
  <c r="AZ46" i="21" a="1"/>
  <c r="AZ46" i="21" s="1"/>
  <c r="BA46" i="21" a="1"/>
  <c r="BA46" i="21" s="1"/>
  <c r="BB46" i="21" a="1"/>
  <c r="BB46" i="21" s="1"/>
  <c r="BC46" i="21" a="1"/>
  <c r="BC46" i="21" s="1"/>
  <c r="BD46" i="21" a="1"/>
  <c r="BD46" i="21" s="1"/>
  <c r="BE46" i="21" a="1"/>
  <c r="BE46" i="21" s="1"/>
  <c r="BF46" i="21" a="1"/>
  <c r="BF46" i="21" s="1"/>
  <c r="BG46" i="21" a="1"/>
  <c r="BG46" i="21" s="1"/>
  <c r="BH46" i="21" a="1"/>
  <c r="BH46" i="21" s="1"/>
  <c r="BI46" i="21" a="1"/>
  <c r="BI46" i="21" s="1"/>
  <c r="BJ46" i="21" a="1"/>
  <c r="BJ46" i="21" s="1"/>
  <c r="BK46" i="21" a="1"/>
  <c r="BK46" i="21" s="1"/>
  <c r="BL46" i="21" a="1"/>
  <c r="BL46" i="21" s="1"/>
  <c r="BM46" i="21" a="1"/>
  <c r="BM46" i="21" s="1"/>
  <c r="BN46" i="21" a="1"/>
  <c r="BN46" i="21" s="1"/>
  <c r="BO46" i="21" a="1"/>
  <c r="BO46" i="21" s="1"/>
  <c r="BP46" i="21" a="1"/>
  <c r="BP46" i="21" s="1"/>
  <c r="BQ46" i="21" a="1"/>
  <c r="BQ46" i="21" s="1"/>
  <c r="BR46" i="21" a="1"/>
  <c r="BR46" i="21" s="1"/>
  <c r="BS46" i="21" a="1"/>
  <c r="BS46" i="21" s="1"/>
  <c r="BT46" i="21" a="1"/>
  <c r="BT46" i="21" s="1"/>
  <c r="BU46" i="21" a="1"/>
  <c r="BU46" i="21" s="1"/>
  <c r="BV46" i="21" a="1"/>
  <c r="BV46" i="21" s="1"/>
  <c r="BW46" i="21" a="1"/>
  <c r="BW46" i="21" s="1"/>
  <c r="BX46" i="21" a="1"/>
  <c r="BX46" i="21" s="1"/>
  <c r="BY46" i="21" a="1"/>
  <c r="BY46" i="21" s="1"/>
  <c r="BZ46" i="21" a="1"/>
  <c r="BZ46" i="21" s="1"/>
  <c r="CA46" i="21" a="1"/>
  <c r="CA46" i="21" s="1"/>
  <c r="CB46" i="21" a="1"/>
  <c r="CB46" i="21" s="1"/>
  <c r="CC46" i="21" a="1"/>
  <c r="CC46" i="21" s="1"/>
  <c r="CD46" i="21" a="1"/>
  <c r="CD46" i="21" s="1"/>
  <c r="CE46" i="21" a="1"/>
  <c r="CE46" i="21" s="1"/>
  <c r="CF46" i="21" a="1"/>
  <c r="CF46" i="21" s="1"/>
  <c r="CG46" i="21" a="1"/>
  <c r="CG46" i="21" s="1"/>
  <c r="CH46" i="21" a="1"/>
  <c r="CH46" i="21" s="1"/>
  <c r="CI46" i="21" a="1"/>
  <c r="CI46" i="21" s="1"/>
  <c r="CJ46" i="21" a="1"/>
  <c r="CJ46" i="21" s="1"/>
  <c r="CK46" i="21" a="1"/>
  <c r="CK46" i="21" s="1"/>
  <c r="CL46" i="21" a="1"/>
  <c r="CL46" i="21" s="1"/>
  <c r="CM46" i="21" a="1"/>
  <c r="CM46" i="21" s="1"/>
  <c r="CN46" i="21" a="1"/>
  <c r="CN46" i="21" s="1"/>
  <c r="CO46" i="21" a="1"/>
  <c r="CO46" i="21" s="1"/>
  <c r="CP46" i="21" a="1"/>
  <c r="CP46" i="21" s="1"/>
  <c r="CQ46" i="21" a="1"/>
  <c r="CQ46" i="21" s="1"/>
  <c r="CR46" i="21" a="1"/>
  <c r="CR46" i="21" s="1"/>
  <c r="CS46" i="21" a="1"/>
  <c r="CS46" i="21" s="1"/>
  <c r="CT46" i="21" a="1"/>
  <c r="CT46" i="21" s="1"/>
  <c r="CU46" i="21" a="1"/>
  <c r="CU46" i="21" s="1"/>
  <c r="CV46" i="21" a="1"/>
  <c r="CV46" i="21" s="1"/>
  <c r="CW46" i="21" a="1"/>
  <c r="CW46" i="21" s="1"/>
  <c r="S47" i="21" a="1"/>
  <c r="S47" i="21" s="1"/>
  <c r="T47" i="21" a="1"/>
  <c r="T47" i="21" s="1"/>
  <c r="U47" i="21" a="1"/>
  <c r="U47" i="21" s="1"/>
  <c r="V47" i="21" a="1"/>
  <c r="V47" i="21" s="1"/>
  <c r="W47" i="21" a="1"/>
  <c r="W47" i="21" s="1"/>
  <c r="X47" i="21" a="1"/>
  <c r="X47" i="21" s="1"/>
  <c r="Y47" i="21" a="1"/>
  <c r="Y47" i="21" s="1"/>
  <c r="Z47" i="21" a="1"/>
  <c r="Z47" i="21" s="1"/>
  <c r="AA47" i="21" a="1"/>
  <c r="AA47" i="21" s="1"/>
  <c r="AB47" i="21" a="1"/>
  <c r="AB47" i="21" s="1"/>
  <c r="AC47" i="21" a="1"/>
  <c r="AC47" i="21" s="1"/>
  <c r="AD47" i="21" a="1"/>
  <c r="AD47" i="21" s="1"/>
  <c r="AE47" i="21" a="1"/>
  <c r="AE47" i="21" s="1"/>
  <c r="AF47" i="21" a="1"/>
  <c r="AF47" i="21" s="1"/>
  <c r="AG47" i="21" a="1"/>
  <c r="AG47" i="21" s="1"/>
  <c r="AH47" i="21" a="1"/>
  <c r="AH47" i="21" s="1"/>
  <c r="AI47" i="21" a="1"/>
  <c r="AI47" i="21" s="1"/>
  <c r="AJ47" i="21" a="1"/>
  <c r="AJ47" i="21" s="1"/>
  <c r="AK47" i="21" a="1"/>
  <c r="AK47" i="21" s="1"/>
  <c r="AL47" i="21" a="1"/>
  <c r="AL47" i="21" s="1"/>
  <c r="AM47" i="21" a="1"/>
  <c r="AM47" i="21" s="1"/>
  <c r="AN47" i="21" a="1"/>
  <c r="AN47" i="21" s="1"/>
  <c r="AO47" i="21" a="1"/>
  <c r="AO47" i="21" s="1"/>
  <c r="AP47" i="21" a="1"/>
  <c r="AP47" i="21" s="1"/>
  <c r="AQ47" i="21" a="1"/>
  <c r="AQ47" i="21" s="1"/>
  <c r="AR47" i="21" a="1"/>
  <c r="AR47" i="21" s="1"/>
  <c r="AS47" i="21" a="1"/>
  <c r="AS47" i="21" s="1"/>
  <c r="AT47" i="21" a="1"/>
  <c r="AT47" i="21" s="1"/>
  <c r="AU47" i="21" a="1"/>
  <c r="AU47" i="21" s="1"/>
  <c r="AV47" i="21" a="1"/>
  <c r="AV47" i="21" s="1"/>
  <c r="AW47" i="21" a="1"/>
  <c r="AW47" i="21" s="1"/>
  <c r="AX47" i="21" a="1"/>
  <c r="AX47" i="21" s="1"/>
  <c r="AY47" i="21" a="1"/>
  <c r="AY47" i="21" s="1"/>
  <c r="AZ47" i="21" a="1"/>
  <c r="AZ47" i="21" s="1"/>
  <c r="BA47" i="21" a="1"/>
  <c r="BA47" i="21" s="1"/>
  <c r="BB47" i="21" a="1"/>
  <c r="BB47" i="21" s="1"/>
  <c r="BC47" i="21" a="1"/>
  <c r="BC47" i="21" s="1"/>
  <c r="BD47" i="21" a="1"/>
  <c r="BD47" i="21" s="1"/>
  <c r="BE47" i="21" a="1"/>
  <c r="BE47" i="21" s="1"/>
  <c r="BF47" i="21" a="1"/>
  <c r="BF47" i="21" s="1"/>
  <c r="BG47" i="21" a="1"/>
  <c r="BG47" i="21" s="1"/>
  <c r="BH47" i="21" a="1"/>
  <c r="BH47" i="21" s="1"/>
  <c r="BI47" i="21" a="1"/>
  <c r="BI47" i="21" s="1"/>
  <c r="BJ47" i="21" a="1"/>
  <c r="BJ47" i="21" s="1"/>
  <c r="BK47" i="21" a="1"/>
  <c r="BK47" i="21" s="1"/>
  <c r="BL47" i="21" a="1"/>
  <c r="BL47" i="21" s="1"/>
  <c r="BM47" i="21" a="1"/>
  <c r="BM47" i="21" s="1"/>
  <c r="BN47" i="21" a="1"/>
  <c r="BN47" i="21" s="1"/>
  <c r="BO47" i="21" a="1"/>
  <c r="BO47" i="21" s="1"/>
  <c r="BP47" i="21" a="1"/>
  <c r="BP47" i="21" s="1"/>
  <c r="BQ47" i="21" a="1"/>
  <c r="BQ47" i="21" s="1"/>
  <c r="BR47" i="21" a="1"/>
  <c r="BR47" i="21" s="1"/>
  <c r="BS47" i="21" a="1"/>
  <c r="BS47" i="21" s="1"/>
  <c r="BT47" i="21" a="1"/>
  <c r="BT47" i="21" s="1"/>
  <c r="BU47" i="21" a="1"/>
  <c r="BU47" i="21" s="1"/>
  <c r="BV47" i="21" a="1"/>
  <c r="BV47" i="21" s="1"/>
  <c r="BW47" i="21" a="1"/>
  <c r="BW47" i="21" s="1"/>
  <c r="BX47" i="21" a="1"/>
  <c r="BX47" i="21" s="1"/>
  <c r="BY47" i="21" a="1"/>
  <c r="BY47" i="21" s="1"/>
  <c r="BZ47" i="21" a="1"/>
  <c r="BZ47" i="21" s="1"/>
  <c r="CA47" i="21" a="1"/>
  <c r="CA47" i="21" s="1"/>
  <c r="CB47" i="21" a="1"/>
  <c r="CB47" i="21" s="1"/>
  <c r="CC47" i="21" a="1"/>
  <c r="CC47" i="21" s="1"/>
  <c r="CD47" i="21" a="1"/>
  <c r="CD47" i="21" s="1"/>
  <c r="CE47" i="21" a="1"/>
  <c r="CE47" i="21" s="1"/>
  <c r="CF47" i="21" a="1"/>
  <c r="CF47" i="21" s="1"/>
  <c r="CG47" i="21" a="1"/>
  <c r="CG47" i="21" s="1"/>
  <c r="CH47" i="21" a="1"/>
  <c r="CH47" i="21" s="1"/>
  <c r="CI47" i="21" a="1"/>
  <c r="CI47" i="21" s="1"/>
  <c r="CJ47" i="21" a="1"/>
  <c r="CJ47" i="21" s="1"/>
  <c r="CK47" i="21" a="1"/>
  <c r="CK47" i="21" s="1"/>
  <c r="CL47" i="21" a="1"/>
  <c r="CL47" i="21" s="1"/>
  <c r="CM47" i="21" a="1"/>
  <c r="CM47" i="21" s="1"/>
  <c r="CN47" i="21" a="1"/>
  <c r="CN47" i="21" s="1"/>
  <c r="CO47" i="21" a="1"/>
  <c r="CO47" i="21" s="1"/>
  <c r="CP47" i="21" a="1"/>
  <c r="CP47" i="21" s="1"/>
  <c r="CQ47" i="21" a="1"/>
  <c r="CQ47" i="21" s="1"/>
  <c r="CR47" i="21" a="1"/>
  <c r="CR47" i="21" s="1"/>
  <c r="CS47" i="21" a="1"/>
  <c r="CS47" i="21" s="1"/>
  <c r="CT47" i="21" a="1"/>
  <c r="CT47" i="21" s="1"/>
  <c r="CU47" i="21" a="1"/>
  <c r="CU47" i="21" s="1"/>
  <c r="CV47" i="21" a="1"/>
  <c r="CV47" i="21" s="1"/>
  <c r="CW47" i="21" a="1"/>
  <c r="CW47" i="21" s="1"/>
  <c r="S48" i="21" a="1"/>
  <c r="S48" i="21" s="1"/>
  <c r="T48" i="21" a="1"/>
  <c r="T48" i="21" s="1"/>
  <c r="U48" i="21" a="1"/>
  <c r="U48" i="21" s="1"/>
  <c r="V48" i="21" a="1"/>
  <c r="V48" i="21" s="1"/>
  <c r="W48" i="21" a="1"/>
  <c r="W48" i="21" s="1"/>
  <c r="X48" i="21" a="1"/>
  <c r="X48" i="21" s="1"/>
  <c r="Y48" i="21" a="1"/>
  <c r="Y48" i="21" s="1"/>
  <c r="Z48" i="21" a="1"/>
  <c r="Z48" i="21" s="1"/>
  <c r="AA48" i="21" a="1"/>
  <c r="AA48" i="21" s="1"/>
  <c r="AB48" i="21" a="1"/>
  <c r="AB48" i="21" s="1"/>
  <c r="AC48" i="21" a="1"/>
  <c r="AC48" i="21" s="1"/>
  <c r="AD48" i="21" a="1"/>
  <c r="AD48" i="21" s="1"/>
  <c r="AE48" i="21" a="1"/>
  <c r="AE48" i="21" s="1"/>
  <c r="AF48" i="21" a="1"/>
  <c r="AF48" i="21" s="1"/>
  <c r="AG48" i="21" a="1"/>
  <c r="AG48" i="21" s="1"/>
  <c r="AH48" i="21" a="1"/>
  <c r="AH48" i="21" s="1"/>
  <c r="AI48" i="21" a="1"/>
  <c r="AI48" i="21" s="1"/>
  <c r="AJ48" i="21" a="1"/>
  <c r="AJ48" i="21" s="1"/>
  <c r="AK48" i="21" a="1"/>
  <c r="AK48" i="21" s="1"/>
  <c r="AL48" i="21" a="1"/>
  <c r="AL48" i="21" s="1"/>
  <c r="AM48" i="21" a="1"/>
  <c r="AM48" i="21" s="1"/>
  <c r="AN48" i="21" a="1"/>
  <c r="AN48" i="21" s="1"/>
  <c r="AO48" i="21" a="1"/>
  <c r="AO48" i="21" s="1"/>
  <c r="AP48" i="21" a="1"/>
  <c r="AP48" i="21" s="1"/>
  <c r="AQ48" i="21" a="1"/>
  <c r="AQ48" i="21" s="1"/>
  <c r="AR48" i="21" a="1"/>
  <c r="AR48" i="21" s="1"/>
  <c r="AS48" i="21" a="1"/>
  <c r="AS48" i="21" s="1"/>
  <c r="AT48" i="21" a="1"/>
  <c r="AT48" i="21" s="1"/>
  <c r="AU48" i="21" a="1"/>
  <c r="AU48" i="21" s="1"/>
  <c r="AV48" i="21" a="1"/>
  <c r="AV48" i="21" s="1"/>
  <c r="AW48" i="21" a="1"/>
  <c r="AW48" i="21" s="1"/>
  <c r="AX48" i="21" a="1"/>
  <c r="AX48" i="21" s="1"/>
  <c r="AY48" i="21" a="1"/>
  <c r="AY48" i="21" s="1"/>
  <c r="AZ48" i="21" a="1"/>
  <c r="AZ48" i="21" s="1"/>
  <c r="BA48" i="21" a="1"/>
  <c r="BA48" i="21" s="1"/>
  <c r="BB48" i="21" a="1"/>
  <c r="BB48" i="21" s="1"/>
  <c r="BC48" i="21" a="1"/>
  <c r="BC48" i="21" s="1"/>
  <c r="BD48" i="21" a="1"/>
  <c r="BD48" i="21" s="1"/>
  <c r="BE48" i="21" a="1"/>
  <c r="BE48" i="21" s="1"/>
  <c r="BF48" i="21" a="1"/>
  <c r="BF48" i="21" s="1"/>
  <c r="BG48" i="21" a="1"/>
  <c r="BG48" i="21" s="1"/>
  <c r="BH48" i="21" a="1"/>
  <c r="BH48" i="21" s="1"/>
  <c r="BI48" i="21" a="1"/>
  <c r="BI48" i="21" s="1"/>
  <c r="BJ48" i="21" a="1"/>
  <c r="BJ48" i="21" s="1"/>
  <c r="BK48" i="21" a="1"/>
  <c r="BK48" i="21" s="1"/>
  <c r="BL48" i="21" a="1"/>
  <c r="BL48" i="21" s="1"/>
  <c r="BM48" i="21" a="1"/>
  <c r="BM48" i="21" s="1"/>
  <c r="BN48" i="21" a="1"/>
  <c r="BN48" i="21" s="1"/>
  <c r="BO48" i="21" a="1"/>
  <c r="BO48" i="21" s="1"/>
  <c r="BP48" i="21" a="1"/>
  <c r="BP48" i="21" s="1"/>
  <c r="BQ48" i="21" a="1"/>
  <c r="BQ48" i="21" s="1"/>
  <c r="BR48" i="21" a="1"/>
  <c r="BR48" i="21" s="1"/>
  <c r="BS48" i="21" a="1"/>
  <c r="BS48" i="21" s="1"/>
  <c r="BT48" i="21" a="1"/>
  <c r="BT48" i="21" s="1"/>
  <c r="BU48" i="21" a="1"/>
  <c r="BU48" i="21" s="1"/>
  <c r="BV48" i="21" a="1"/>
  <c r="BV48" i="21" s="1"/>
  <c r="BW48" i="21" a="1"/>
  <c r="BW48" i="21" s="1"/>
  <c r="BX48" i="21" a="1"/>
  <c r="BX48" i="21" s="1"/>
  <c r="BY48" i="21" a="1"/>
  <c r="BY48" i="21" s="1"/>
  <c r="BZ48" i="21" a="1"/>
  <c r="BZ48" i="21" s="1"/>
  <c r="CA48" i="21" a="1"/>
  <c r="CA48" i="21" s="1"/>
  <c r="CB48" i="21" a="1"/>
  <c r="CB48" i="21" s="1"/>
  <c r="CC48" i="21" a="1"/>
  <c r="CC48" i="21" s="1"/>
  <c r="CD48" i="21" a="1"/>
  <c r="CD48" i="21" s="1"/>
  <c r="CE48" i="21" a="1"/>
  <c r="CE48" i="21" s="1"/>
  <c r="CF48" i="21" a="1"/>
  <c r="CF48" i="21" s="1"/>
  <c r="CG48" i="21" a="1"/>
  <c r="CG48" i="21" s="1"/>
  <c r="CH48" i="21" a="1"/>
  <c r="CH48" i="21" s="1"/>
  <c r="CI48" i="21" a="1"/>
  <c r="CI48" i="21" s="1"/>
  <c r="CJ48" i="21" a="1"/>
  <c r="CJ48" i="21" s="1"/>
  <c r="CK48" i="21" a="1"/>
  <c r="CK48" i="21" s="1"/>
  <c r="CL48" i="21" a="1"/>
  <c r="CL48" i="21" s="1"/>
  <c r="CM48" i="21" a="1"/>
  <c r="CM48" i="21" s="1"/>
  <c r="CN48" i="21" a="1"/>
  <c r="CN48" i="21" s="1"/>
  <c r="CO48" i="21" a="1"/>
  <c r="CO48" i="21" s="1"/>
  <c r="CP48" i="21" a="1"/>
  <c r="CP48" i="21" s="1"/>
  <c r="CQ48" i="21" a="1"/>
  <c r="CQ48" i="21" s="1"/>
  <c r="CR48" i="21" a="1"/>
  <c r="CR48" i="21" s="1"/>
  <c r="CS48" i="21" a="1"/>
  <c r="CS48" i="21" s="1"/>
  <c r="CT48" i="21" a="1"/>
  <c r="CT48" i="21" s="1"/>
  <c r="CU48" i="21" a="1"/>
  <c r="CU48" i="21" s="1"/>
  <c r="CV48" i="21" a="1"/>
  <c r="CV48" i="21" s="1"/>
  <c r="CW48" i="21" a="1"/>
  <c r="CW48" i="21" s="1"/>
  <c r="S49" i="21" a="1"/>
  <c r="S49" i="21" s="1"/>
  <c r="T49" i="21" a="1"/>
  <c r="T49" i="21" s="1"/>
  <c r="U49" i="21" a="1"/>
  <c r="U49" i="21" s="1"/>
  <c r="V49" i="21" a="1"/>
  <c r="V49" i="21" s="1"/>
  <c r="W49" i="21" a="1"/>
  <c r="W49" i="21" s="1"/>
  <c r="X49" i="21" a="1"/>
  <c r="X49" i="21" s="1"/>
  <c r="Y49" i="21" a="1"/>
  <c r="Y49" i="21" s="1"/>
  <c r="Z49" i="21" a="1"/>
  <c r="Z49" i="21" s="1"/>
  <c r="AA49" i="21" a="1"/>
  <c r="AA49" i="21" s="1"/>
  <c r="AB49" i="21" a="1"/>
  <c r="AB49" i="21" s="1"/>
  <c r="AC49" i="21" a="1"/>
  <c r="AC49" i="21" s="1"/>
  <c r="AD49" i="21" a="1"/>
  <c r="AD49" i="21" s="1"/>
  <c r="AE49" i="21" a="1"/>
  <c r="AE49" i="21" s="1"/>
  <c r="AF49" i="21" a="1"/>
  <c r="AF49" i="21" s="1"/>
  <c r="AG49" i="21" a="1"/>
  <c r="AG49" i="21" s="1"/>
  <c r="AH49" i="21" a="1"/>
  <c r="AH49" i="21" s="1"/>
  <c r="AI49" i="21" a="1"/>
  <c r="AI49" i="21" s="1"/>
  <c r="AJ49" i="21" a="1"/>
  <c r="AJ49" i="21" s="1"/>
  <c r="AK49" i="21" a="1"/>
  <c r="AK49" i="21" s="1"/>
  <c r="AL49" i="21" a="1"/>
  <c r="AL49" i="21" s="1"/>
  <c r="AM49" i="21" a="1"/>
  <c r="AM49" i="21" s="1"/>
  <c r="AN49" i="21" a="1"/>
  <c r="AN49" i="21" s="1"/>
  <c r="AO49" i="21" a="1"/>
  <c r="AO49" i="21" s="1"/>
  <c r="AP49" i="21" a="1"/>
  <c r="AP49" i="21" s="1"/>
  <c r="AQ49" i="21" a="1"/>
  <c r="AQ49" i="21" s="1"/>
  <c r="AR49" i="21" a="1"/>
  <c r="AR49" i="21" s="1"/>
  <c r="AS49" i="21" a="1"/>
  <c r="AS49" i="21" s="1"/>
  <c r="AT49" i="21" a="1"/>
  <c r="AT49" i="21" s="1"/>
  <c r="AU49" i="21" a="1"/>
  <c r="AU49" i="21" s="1"/>
  <c r="AV49" i="21" a="1"/>
  <c r="AV49" i="21" s="1"/>
  <c r="AW49" i="21" a="1"/>
  <c r="AW49" i="21" s="1"/>
  <c r="AX49" i="21" a="1"/>
  <c r="AX49" i="21" s="1"/>
  <c r="AY49" i="21" a="1"/>
  <c r="AY49" i="21" s="1"/>
  <c r="AZ49" i="21" a="1"/>
  <c r="AZ49" i="21" s="1"/>
  <c r="BA49" i="21" a="1"/>
  <c r="BA49" i="21" s="1"/>
  <c r="BB49" i="21" a="1"/>
  <c r="BB49" i="21" s="1"/>
  <c r="BC49" i="21" a="1"/>
  <c r="BC49" i="21" s="1"/>
  <c r="BD49" i="21" a="1"/>
  <c r="BD49" i="21" s="1"/>
  <c r="BE49" i="21" a="1"/>
  <c r="BE49" i="21" s="1"/>
  <c r="BF49" i="21" a="1"/>
  <c r="BF49" i="21" s="1"/>
  <c r="BG49" i="21" a="1"/>
  <c r="BG49" i="21" s="1"/>
  <c r="BH49" i="21" a="1"/>
  <c r="BH49" i="21" s="1"/>
  <c r="BI49" i="21" a="1"/>
  <c r="BI49" i="21" s="1"/>
  <c r="BJ49" i="21" a="1"/>
  <c r="BJ49" i="21" s="1"/>
  <c r="BK49" i="21" a="1"/>
  <c r="BK49" i="21" s="1"/>
  <c r="BL49" i="21" a="1"/>
  <c r="BL49" i="21" s="1"/>
  <c r="BM49" i="21" a="1"/>
  <c r="BM49" i="21" s="1"/>
  <c r="BN49" i="21" a="1"/>
  <c r="BN49" i="21" s="1"/>
  <c r="BO49" i="21" a="1"/>
  <c r="BO49" i="21" s="1"/>
  <c r="BP49" i="21" a="1"/>
  <c r="BP49" i="21" s="1"/>
  <c r="BQ49" i="21" a="1"/>
  <c r="BQ49" i="21" s="1"/>
  <c r="BR49" i="21" a="1"/>
  <c r="BR49" i="21" s="1"/>
  <c r="BS49" i="21" a="1"/>
  <c r="BS49" i="21" s="1"/>
  <c r="BT49" i="21" a="1"/>
  <c r="BT49" i="21" s="1"/>
  <c r="BU49" i="21" a="1"/>
  <c r="BU49" i="21" s="1"/>
  <c r="BV49" i="21" a="1"/>
  <c r="BV49" i="21" s="1"/>
  <c r="BW49" i="21" a="1"/>
  <c r="BW49" i="21" s="1"/>
  <c r="BX49" i="21" a="1"/>
  <c r="BX49" i="21" s="1"/>
  <c r="BY49" i="21" a="1"/>
  <c r="BY49" i="21" s="1"/>
  <c r="BZ49" i="21" a="1"/>
  <c r="BZ49" i="21" s="1"/>
  <c r="CA49" i="21" a="1"/>
  <c r="CA49" i="21" s="1"/>
  <c r="CB49" i="21" a="1"/>
  <c r="CB49" i="21" s="1"/>
  <c r="CC49" i="21" a="1"/>
  <c r="CC49" i="21" s="1"/>
  <c r="CD49" i="21" a="1"/>
  <c r="CD49" i="21" s="1"/>
  <c r="CE49" i="21" a="1"/>
  <c r="CE49" i="21" s="1"/>
  <c r="CF49" i="21" a="1"/>
  <c r="CF49" i="21" s="1"/>
  <c r="CG49" i="21" a="1"/>
  <c r="CG49" i="21" s="1"/>
  <c r="CH49" i="21" a="1"/>
  <c r="CH49" i="21" s="1"/>
  <c r="CI49" i="21" a="1"/>
  <c r="CI49" i="21" s="1"/>
  <c r="CJ49" i="21" a="1"/>
  <c r="CJ49" i="21" s="1"/>
  <c r="CK49" i="21" a="1"/>
  <c r="CK49" i="21" s="1"/>
  <c r="CL49" i="21" a="1"/>
  <c r="CL49" i="21" s="1"/>
  <c r="CM49" i="21" a="1"/>
  <c r="CM49" i="21" s="1"/>
  <c r="CN49" i="21" a="1"/>
  <c r="CN49" i="21" s="1"/>
  <c r="CO49" i="21" a="1"/>
  <c r="CO49" i="21" s="1"/>
  <c r="CP49" i="21" a="1"/>
  <c r="CP49" i="21" s="1"/>
  <c r="CQ49" i="21" a="1"/>
  <c r="CQ49" i="21" s="1"/>
  <c r="CR49" i="21" a="1"/>
  <c r="CR49" i="21" s="1"/>
  <c r="CS49" i="21" a="1"/>
  <c r="CS49" i="21" s="1"/>
  <c r="CT49" i="21" a="1"/>
  <c r="CT49" i="21" s="1"/>
  <c r="CU49" i="21" a="1"/>
  <c r="CU49" i="21" s="1"/>
  <c r="CV49" i="21" a="1"/>
  <c r="CV49" i="21" s="1"/>
  <c r="CW49" i="21" a="1"/>
  <c r="CW49" i="21" s="1"/>
  <c r="S50" i="21" a="1"/>
  <c r="S50" i="21" s="1"/>
  <c r="T50" i="21" a="1"/>
  <c r="T50" i="21" s="1"/>
  <c r="U50" i="21" a="1"/>
  <c r="U50" i="21" s="1"/>
  <c r="V50" i="21" a="1"/>
  <c r="V50" i="21" s="1"/>
  <c r="W50" i="21" a="1"/>
  <c r="W50" i="21" s="1"/>
  <c r="X50" i="21" a="1"/>
  <c r="X50" i="21" s="1"/>
  <c r="Y50" i="21" a="1"/>
  <c r="Y50" i="21" s="1"/>
  <c r="Z50" i="21" a="1"/>
  <c r="Z50" i="21" s="1"/>
  <c r="AA50" i="21" a="1"/>
  <c r="AA50" i="21" s="1"/>
  <c r="AB50" i="21" a="1"/>
  <c r="AB50" i="21" s="1"/>
  <c r="AC50" i="21" a="1"/>
  <c r="AC50" i="21" s="1"/>
  <c r="AD50" i="21" a="1"/>
  <c r="AD50" i="21" s="1"/>
  <c r="AE50" i="21" a="1"/>
  <c r="AE50" i="21" s="1"/>
  <c r="AF50" i="21" a="1"/>
  <c r="AF50" i="21" s="1"/>
  <c r="AG50" i="21" a="1"/>
  <c r="AG50" i="21" s="1"/>
  <c r="AH50" i="21" a="1"/>
  <c r="AH50" i="21" s="1"/>
  <c r="AI50" i="21" a="1"/>
  <c r="AI50" i="21" s="1"/>
  <c r="AJ50" i="21" a="1"/>
  <c r="AJ50" i="21" s="1"/>
  <c r="AK50" i="21" a="1"/>
  <c r="AK50" i="21" s="1"/>
  <c r="AL50" i="21" a="1"/>
  <c r="AL50" i="21" s="1"/>
  <c r="AM50" i="21" a="1"/>
  <c r="AM50" i="21" s="1"/>
  <c r="AN50" i="21" a="1"/>
  <c r="AN50" i="21" s="1"/>
  <c r="AO50" i="21" a="1"/>
  <c r="AO50" i="21" s="1"/>
  <c r="AP50" i="21" a="1"/>
  <c r="AP50" i="21" s="1"/>
  <c r="AQ50" i="21" a="1"/>
  <c r="AQ50" i="21" s="1"/>
  <c r="AR50" i="21" a="1"/>
  <c r="AR50" i="21" s="1"/>
  <c r="AS50" i="21" a="1"/>
  <c r="AS50" i="21" s="1"/>
  <c r="AT50" i="21" a="1"/>
  <c r="AT50" i="21" s="1"/>
  <c r="AU50" i="21" a="1"/>
  <c r="AU50" i="21" s="1"/>
  <c r="AV50" i="21" a="1"/>
  <c r="AV50" i="21" s="1"/>
  <c r="AW50" i="21" a="1"/>
  <c r="AW50" i="21" s="1"/>
  <c r="AX50" i="21" a="1"/>
  <c r="AX50" i="21" s="1"/>
  <c r="AY50" i="21" a="1"/>
  <c r="AY50" i="21" s="1"/>
  <c r="AZ50" i="21" a="1"/>
  <c r="AZ50" i="21" s="1"/>
  <c r="BA50" i="21" a="1"/>
  <c r="BA50" i="21" s="1"/>
  <c r="BB50" i="21" a="1"/>
  <c r="BB50" i="21" s="1"/>
  <c r="BC50" i="21" a="1"/>
  <c r="BC50" i="21" s="1"/>
  <c r="BD50" i="21" a="1"/>
  <c r="BD50" i="21" s="1"/>
  <c r="BE50" i="21" a="1"/>
  <c r="BE50" i="21" s="1"/>
  <c r="BF50" i="21" a="1"/>
  <c r="BF50" i="21" s="1"/>
  <c r="BG50" i="21" a="1"/>
  <c r="BG50" i="21" s="1"/>
  <c r="BH50" i="21" a="1"/>
  <c r="BH50" i="21" s="1"/>
  <c r="BI50" i="21" a="1"/>
  <c r="BI50" i="21" s="1"/>
  <c r="BJ50" i="21" a="1"/>
  <c r="BJ50" i="21" s="1"/>
  <c r="BK50" i="21" a="1"/>
  <c r="BK50" i="21" s="1"/>
  <c r="BL50" i="21" a="1"/>
  <c r="BL50" i="21" s="1"/>
  <c r="BM50" i="21" a="1"/>
  <c r="BM50" i="21" s="1"/>
  <c r="BN50" i="21" a="1"/>
  <c r="BN50" i="21" s="1"/>
  <c r="BO50" i="21" a="1"/>
  <c r="BO50" i="21" s="1"/>
  <c r="BP50" i="21" a="1"/>
  <c r="BP50" i="21" s="1"/>
  <c r="BQ50" i="21" a="1"/>
  <c r="BQ50" i="21" s="1"/>
  <c r="BR50" i="21" a="1"/>
  <c r="BR50" i="21" s="1"/>
  <c r="BS50" i="21" a="1"/>
  <c r="BS50" i="21" s="1"/>
  <c r="BT50" i="21" a="1"/>
  <c r="BT50" i="21" s="1"/>
  <c r="BU50" i="21" a="1"/>
  <c r="BU50" i="21" s="1"/>
  <c r="BV50" i="21" a="1"/>
  <c r="BV50" i="21" s="1"/>
  <c r="BW50" i="21" a="1"/>
  <c r="BW50" i="21" s="1"/>
  <c r="BX50" i="21" a="1"/>
  <c r="BX50" i="21" s="1"/>
  <c r="BY50" i="21" a="1"/>
  <c r="BY50" i="21" s="1"/>
  <c r="BZ50" i="21" a="1"/>
  <c r="BZ50" i="21" s="1"/>
  <c r="CA50" i="21" a="1"/>
  <c r="CA50" i="21" s="1"/>
  <c r="CB50" i="21" a="1"/>
  <c r="CB50" i="21" s="1"/>
  <c r="CC50" i="21" a="1"/>
  <c r="CC50" i="21" s="1"/>
  <c r="CD50" i="21" a="1"/>
  <c r="CD50" i="21" s="1"/>
  <c r="CE50" i="21" a="1"/>
  <c r="CE50" i="21" s="1"/>
  <c r="CF50" i="21" a="1"/>
  <c r="CF50" i="21" s="1"/>
  <c r="CG50" i="21" a="1"/>
  <c r="CG50" i="21" s="1"/>
  <c r="CH50" i="21" a="1"/>
  <c r="CH50" i="21" s="1"/>
  <c r="CI50" i="21" a="1"/>
  <c r="CI50" i="21" s="1"/>
  <c r="CJ50" i="21" a="1"/>
  <c r="CJ50" i="21" s="1"/>
  <c r="CK50" i="21" a="1"/>
  <c r="CK50" i="21" s="1"/>
  <c r="CL50" i="21" a="1"/>
  <c r="CL50" i="21" s="1"/>
  <c r="CM50" i="21" a="1"/>
  <c r="CM50" i="21" s="1"/>
  <c r="CN50" i="21" a="1"/>
  <c r="CN50" i="21" s="1"/>
  <c r="CO50" i="21" a="1"/>
  <c r="CO50" i="21" s="1"/>
  <c r="CP50" i="21" a="1"/>
  <c r="CP50" i="21" s="1"/>
  <c r="CQ50" i="21" a="1"/>
  <c r="CQ50" i="21" s="1"/>
  <c r="CR50" i="21" a="1"/>
  <c r="CR50" i="21" s="1"/>
  <c r="CS50" i="21" a="1"/>
  <c r="CS50" i="21" s="1"/>
  <c r="CT50" i="21" a="1"/>
  <c r="CT50" i="21" s="1"/>
  <c r="CU50" i="21" a="1"/>
  <c r="CU50" i="21" s="1"/>
  <c r="CV50" i="21" a="1"/>
  <c r="CV50" i="21" s="1"/>
  <c r="CW50" i="21" a="1"/>
  <c r="CW50" i="21" s="1"/>
  <c r="S51" i="21" a="1"/>
  <c r="S51" i="21" s="1"/>
  <c r="T51" i="21" a="1"/>
  <c r="T51" i="21" s="1"/>
  <c r="U51" i="21" a="1"/>
  <c r="U51" i="21" s="1"/>
  <c r="V51" i="21" a="1"/>
  <c r="V51" i="21" s="1"/>
  <c r="W51" i="21" a="1"/>
  <c r="W51" i="21" s="1"/>
  <c r="X51" i="21" a="1"/>
  <c r="X51" i="21" s="1"/>
  <c r="Y51" i="21" a="1"/>
  <c r="Y51" i="21" s="1"/>
  <c r="Z51" i="21" a="1"/>
  <c r="Z51" i="21" s="1"/>
  <c r="AA51" i="21" a="1"/>
  <c r="AA51" i="21" s="1"/>
  <c r="AB51" i="21" a="1"/>
  <c r="AB51" i="21" s="1"/>
  <c r="AC51" i="21" a="1"/>
  <c r="AC51" i="21" s="1"/>
  <c r="AD51" i="21" a="1"/>
  <c r="AD51" i="21" s="1"/>
  <c r="AE51" i="21" a="1"/>
  <c r="AE51" i="21" s="1"/>
  <c r="AF51" i="21" a="1"/>
  <c r="AF51" i="21" s="1"/>
  <c r="AG51" i="21" a="1"/>
  <c r="AG51" i="21" s="1"/>
  <c r="AH51" i="21" a="1"/>
  <c r="AH51" i="21" s="1"/>
  <c r="AI51" i="21" a="1"/>
  <c r="AI51" i="21" s="1"/>
  <c r="AJ51" i="21" a="1"/>
  <c r="AJ51" i="21" s="1"/>
  <c r="AK51" i="21" a="1"/>
  <c r="AK51" i="21" s="1"/>
  <c r="AL51" i="21" a="1"/>
  <c r="AL51" i="21" s="1"/>
  <c r="AM51" i="21" a="1"/>
  <c r="AM51" i="21" s="1"/>
  <c r="AN51" i="21" a="1"/>
  <c r="AN51" i="21" s="1"/>
  <c r="AO51" i="21" a="1"/>
  <c r="AO51" i="21" s="1"/>
  <c r="AP51" i="21" a="1"/>
  <c r="AP51" i="21" s="1"/>
  <c r="AQ51" i="21" a="1"/>
  <c r="AQ51" i="21" s="1"/>
  <c r="AR51" i="21" a="1"/>
  <c r="AR51" i="21" s="1"/>
  <c r="AS51" i="21" a="1"/>
  <c r="AS51" i="21" s="1"/>
  <c r="AT51" i="21" a="1"/>
  <c r="AT51" i="21" s="1"/>
  <c r="AU51" i="21" a="1"/>
  <c r="AU51" i="21" s="1"/>
  <c r="AV51" i="21" a="1"/>
  <c r="AV51" i="21" s="1"/>
  <c r="AW51" i="21" a="1"/>
  <c r="AW51" i="21" s="1"/>
  <c r="AX51" i="21" a="1"/>
  <c r="AX51" i="21" s="1"/>
  <c r="AY51" i="21" a="1"/>
  <c r="AY51" i="21" s="1"/>
  <c r="AZ51" i="21" a="1"/>
  <c r="AZ51" i="21" s="1"/>
  <c r="BA51" i="21" a="1"/>
  <c r="BA51" i="21" s="1"/>
  <c r="BB51" i="21" a="1"/>
  <c r="BB51" i="21" s="1"/>
  <c r="BC51" i="21" a="1"/>
  <c r="BC51" i="21" s="1"/>
  <c r="BD51" i="21" a="1"/>
  <c r="BD51" i="21" s="1"/>
  <c r="BE51" i="21" a="1"/>
  <c r="BE51" i="21" s="1"/>
  <c r="BF51" i="21" a="1"/>
  <c r="BF51" i="21" s="1"/>
  <c r="BG51" i="21" a="1"/>
  <c r="BG51" i="21" s="1"/>
  <c r="BH51" i="21" a="1"/>
  <c r="BH51" i="21" s="1"/>
  <c r="BI51" i="21" a="1"/>
  <c r="BI51" i="21" s="1"/>
  <c r="BJ51" i="21" a="1"/>
  <c r="BJ51" i="21" s="1"/>
  <c r="BK51" i="21" a="1"/>
  <c r="BK51" i="21" s="1"/>
  <c r="BL51" i="21" a="1"/>
  <c r="BL51" i="21" s="1"/>
  <c r="BM51" i="21" a="1"/>
  <c r="BM51" i="21" s="1"/>
  <c r="BN51" i="21" a="1"/>
  <c r="BN51" i="21" s="1"/>
  <c r="BO51" i="21" a="1"/>
  <c r="BO51" i="21" s="1"/>
  <c r="BP51" i="21" a="1"/>
  <c r="BP51" i="21" s="1"/>
  <c r="BQ51" i="21" a="1"/>
  <c r="BQ51" i="21" s="1"/>
  <c r="BR51" i="21" a="1"/>
  <c r="BR51" i="21" s="1"/>
  <c r="BS51" i="21" a="1"/>
  <c r="BS51" i="21" s="1"/>
  <c r="BT51" i="21" a="1"/>
  <c r="BT51" i="21" s="1"/>
  <c r="BU51" i="21" a="1"/>
  <c r="BU51" i="21" s="1"/>
  <c r="BV51" i="21" a="1"/>
  <c r="BV51" i="21" s="1"/>
  <c r="BW51" i="21" a="1"/>
  <c r="BW51" i="21" s="1"/>
  <c r="BX51" i="21" a="1"/>
  <c r="BX51" i="21" s="1"/>
  <c r="BY51" i="21" a="1"/>
  <c r="BY51" i="21" s="1"/>
  <c r="BZ51" i="21" a="1"/>
  <c r="BZ51" i="21" s="1"/>
  <c r="CA51" i="21" a="1"/>
  <c r="CA51" i="21" s="1"/>
  <c r="CB51" i="21" a="1"/>
  <c r="CB51" i="21" s="1"/>
  <c r="CC51" i="21" a="1"/>
  <c r="CC51" i="21" s="1"/>
  <c r="CD51" i="21" a="1"/>
  <c r="CD51" i="21" s="1"/>
  <c r="CE51" i="21" a="1"/>
  <c r="CE51" i="21" s="1"/>
  <c r="CF51" i="21" a="1"/>
  <c r="CF51" i="21" s="1"/>
  <c r="CG51" i="21" a="1"/>
  <c r="CG51" i="21" s="1"/>
  <c r="CH51" i="21" a="1"/>
  <c r="CH51" i="21" s="1"/>
  <c r="CI51" i="21" a="1"/>
  <c r="CI51" i="21" s="1"/>
  <c r="CJ51" i="21" a="1"/>
  <c r="CJ51" i="21" s="1"/>
  <c r="CK51" i="21" a="1"/>
  <c r="CK51" i="21" s="1"/>
  <c r="CL51" i="21" a="1"/>
  <c r="CL51" i="21" s="1"/>
  <c r="CM51" i="21" a="1"/>
  <c r="CM51" i="21" s="1"/>
  <c r="CN51" i="21" a="1"/>
  <c r="CN51" i="21" s="1"/>
  <c r="CO51" i="21" a="1"/>
  <c r="CO51" i="21" s="1"/>
  <c r="CP51" i="21" a="1"/>
  <c r="CP51" i="21" s="1"/>
  <c r="CQ51" i="21" a="1"/>
  <c r="CQ51" i="21" s="1"/>
  <c r="CR51" i="21" a="1"/>
  <c r="CR51" i="21" s="1"/>
  <c r="CS51" i="21" a="1"/>
  <c r="CS51" i="21" s="1"/>
  <c r="CT51" i="21" a="1"/>
  <c r="CT51" i="21" s="1"/>
  <c r="CU51" i="21" a="1"/>
  <c r="CU51" i="21" s="1"/>
  <c r="CV51" i="21" a="1"/>
  <c r="CV51" i="21" s="1"/>
  <c r="CW51" i="21" a="1"/>
  <c r="CW51" i="21" s="1"/>
  <c r="S52" i="21" a="1"/>
  <c r="S52" i="21" s="1"/>
  <c r="T52" i="21" a="1"/>
  <c r="T52" i="21" s="1"/>
  <c r="U52" i="21" a="1"/>
  <c r="U52" i="21" s="1"/>
  <c r="V52" i="21" a="1"/>
  <c r="V52" i="21" s="1"/>
  <c r="W52" i="21" a="1"/>
  <c r="W52" i="21" s="1"/>
  <c r="X52" i="21" a="1"/>
  <c r="X52" i="21" s="1"/>
  <c r="Y52" i="21" a="1"/>
  <c r="Y52" i="21" s="1"/>
  <c r="Z52" i="21" a="1"/>
  <c r="Z52" i="21" s="1"/>
  <c r="AA52" i="21" a="1"/>
  <c r="AA52" i="21" s="1"/>
  <c r="AB52" i="21" a="1"/>
  <c r="AB52" i="21" s="1"/>
  <c r="AC52" i="21" a="1"/>
  <c r="AC52" i="21" s="1"/>
  <c r="AD52" i="21" a="1"/>
  <c r="AD52" i="21" s="1"/>
  <c r="AE52" i="21" a="1"/>
  <c r="AE52" i="21" s="1"/>
  <c r="AF52" i="21" a="1"/>
  <c r="AF52" i="21" s="1"/>
  <c r="AG52" i="21" a="1"/>
  <c r="AG52" i="21" s="1"/>
  <c r="AH52" i="21" a="1"/>
  <c r="AH52" i="21" s="1"/>
  <c r="AI52" i="21" a="1"/>
  <c r="AI52" i="21" s="1"/>
  <c r="AJ52" i="21" a="1"/>
  <c r="AJ52" i="21" s="1"/>
  <c r="AK52" i="21" a="1"/>
  <c r="AK52" i="21" s="1"/>
  <c r="AL52" i="21" a="1"/>
  <c r="AL52" i="21" s="1"/>
  <c r="AM52" i="21" a="1"/>
  <c r="AM52" i="21" s="1"/>
  <c r="AN52" i="21" a="1"/>
  <c r="AN52" i="21" s="1"/>
  <c r="AO52" i="21" a="1"/>
  <c r="AO52" i="21" s="1"/>
  <c r="AP52" i="21" a="1"/>
  <c r="AP52" i="21" s="1"/>
  <c r="AQ52" i="21" a="1"/>
  <c r="AQ52" i="21" s="1"/>
  <c r="AR52" i="21" a="1"/>
  <c r="AR52" i="21" s="1"/>
  <c r="AS52" i="21" a="1"/>
  <c r="AS52" i="21" s="1"/>
  <c r="AT52" i="21" a="1"/>
  <c r="AT52" i="21" s="1"/>
  <c r="AU52" i="21" a="1"/>
  <c r="AU52" i="21" s="1"/>
  <c r="AV52" i="21" a="1"/>
  <c r="AV52" i="21" s="1"/>
  <c r="AW52" i="21" a="1"/>
  <c r="AW52" i="21" s="1"/>
  <c r="AX52" i="21" a="1"/>
  <c r="AX52" i="21" s="1"/>
  <c r="AY52" i="21" a="1"/>
  <c r="AY52" i="21" s="1"/>
  <c r="AZ52" i="21" a="1"/>
  <c r="AZ52" i="21" s="1"/>
  <c r="BA52" i="21" a="1"/>
  <c r="BA52" i="21" s="1"/>
  <c r="BB52" i="21" a="1"/>
  <c r="BB52" i="21" s="1"/>
  <c r="BC52" i="21" a="1"/>
  <c r="BC52" i="21" s="1"/>
  <c r="BD52" i="21" a="1"/>
  <c r="BD52" i="21" s="1"/>
  <c r="BE52" i="21" a="1"/>
  <c r="BE52" i="21" s="1"/>
  <c r="BF52" i="21" a="1"/>
  <c r="BF52" i="21" s="1"/>
  <c r="BG52" i="21" a="1"/>
  <c r="BG52" i="21" s="1"/>
  <c r="BH52" i="21" a="1"/>
  <c r="BH52" i="21" s="1"/>
  <c r="BI52" i="21" a="1"/>
  <c r="BI52" i="21" s="1"/>
  <c r="BJ52" i="21" a="1"/>
  <c r="BJ52" i="21" s="1"/>
  <c r="BK52" i="21" a="1"/>
  <c r="BK52" i="21" s="1"/>
  <c r="BL52" i="21" a="1"/>
  <c r="BL52" i="21" s="1"/>
  <c r="BM52" i="21" a="1"/>
  <c r="BM52" i="21" s="1"/>
  <c r="BN52" i="21" a="1"/>
  <c r="BN52" i="21" s="1"/>
  <c r="BO52" i="21" a="1"/>
  <c r="BO52" i="21" s="1"/>
  <c r="BP52" i="21" a="1"/>
  <c r="BP52" i="21" s="1"/>
  <c r="BQ52" i="21" a="1"/>
  <c r="BQ52" i="21" s="1"/>
  <c r="BR52" i="21" a="1"/>
  <c r="BR52" i="21" s="1"/>
  <c r="BS52" i="21" a="1"/>
  <c r="BS52" i="21" s="1"/>
  <c r="BT52" i="21" a="1"/>
  <c r="BT52" i="21" s="1"/>
  <c r="BU52" i="21" a="1"/>
  <c r="BU52" i="21" s="1"/>
  <c r="BV52" i="21" a="1"/>
  <c r="BV52" i="21" s="1"/>
  <c r="BW52" i="21" a="1"/>
  <c r="BW52" i="21" s="1"/>
  <c r="BX52" i="21" a="1"/>
  <c r="BX52" i="21" s="1"/>
  <c r="BY52" i="21" a="1"/>
  <c r="BY52" i="21" s="1"/>
  <c r="BZ52" i="21" a="1"/>
  <c r="BZ52" i="21" s="1"/>
  <c r="CA52" i="21" a="1"/>
  <c r="CA52" i="21" s="1"/>
  <c r="CB52" i="21" a="1"/>
  <c r="CB52" i="21" s="1"/>
  <c r="CC52" i="21" a="1"/>
  <c r="CC52" i="21" s="1"/>
  <c r="CD52" i="21" a="1"/>
  <c r="CD52" i="21" s="1"/>
  <c r="CE52" i="21" a="1"/>
  <c r="CE52" i="21" s="1"/>
  <c r="CF52" i="21" a="1"/>
  <c r="CF52" i="21" s="1"/>
  <c r="CG52" i="21" a="1"/>
  <c r="CG52" i="21" s="1"/>
  <c r="CH52" i="21" a="1"/>
  <c r="CH52" i="21" s="1"/>
  <c r="CI52" i="21" a="1"/>
  <c r="CI52" i="21" s="1"/>
  <c r="CJ52" i="21" a="1"/>
  <c r="CJ52" i="21" s="1"/>
  <c r="CK52" i="21" a="1"/>
  <c r="CK52" i="21" s="1"/>
  <c r="CL52" i="21" a="1"/>
  <c r="CL52" i="21" s="1"/>
  <c r="CM52" i="21" a="1"/>
  <c r="CM52" i="21" s="1"/>
  <c r="CN52" i="21" a="1"/>
  <c r="CN52" i="21" s="1"/>
  <c r="CO52" i="21" a="1"/>
  <c r="CO52" i="21" s="1"/>
  <c r="CP52" i="21" a="1"/>
  <c r="CP52" i="21" s="1"/>
  <c r="CQ52" i="21" a="1"/>
  <c r="CQ52" i="21" s="1"/>
  <c r="CR52" i="21" a="1"/>
  <c r="CR52" i="21" s="1"/>
  <c r="CS52" i="21" a="1"/>
  <c r="CS52" i="21" s="1"/>
  <c r="CT52" i="21" a="1"/>
  <c r="CT52" i="21" s="1"/>
  <c r="CU52" i="21" a="1"/>
  <c r="CU52" i="21" s="1"/>
  <c r="CV52" i="21" a="1"/>
  <c r="CV52" i="21" s="1"/>
  <c r="CW52" i="21" a="1"/>
  <c r="CW52" i="21" s="1"/>
  <c r="S53" i="21" a="1"/>
  <c r="S53" i="21" s="1"/>
  <c r="T53" i="21" a="1"/>
  <c r="T53" i="21" s="1"/>
  <c r="U53" i="21" a="1"/>
  <c r="U53" i="21" s="1"/>
  <c r="V53" i="21" a="1"/>
  <c r="V53" i="21" s="1"/>
  <c r="W53" i="21" a="1"/>
  <c r="W53" i="21" s="1"/>
  <c r="X53" i="21" a="1"/>
  <c r="X53" i="21" s="1"/>
  <c r="Y53" i="21" a="1"/>
  <c r="Y53" i="21" s="1"/>
  <c r="Z53" i="21" a="1"/>
  <c r="Z53" i="21" s="1"/>
  <c r="AA53" i="21" a="1"/>
  <c r="AA53" i="21" s="1"/>
  <c r="AB53" i="21" a="1"/>
  <c r="AB53" i="21" s="1"/>
  <c r="AC53" i="21" a="1"/>
  <c r="AC53" i="21" s="1"/>
  <c r="AD53" i="21" a="1"/>
  <c r="AD53" i="21" s="1"/>
  <c r="AE53" i="21" a="1"/>
  <c r="AE53" i="21" s="1"/>
  <c r="AF53" i="21" a="1"/>
  <c r="AF53" i="21" s="1"/>
  <c r="AG53" i="21" a="1"/>
  <c r="AG53" i="21" s="1"/>
  <c r="AH53" i="21" a="1"/>
  <c r="AH53" i="21" s="1"/>
  <c r="AI53" i="21" a="1"/>
  <c r="AI53" i="21" s="1"/>
  <c r="AJ53" i="21" a="1"/>
  <c r="AJ53" i="21" s="1"/>
  <c r="AK53" i="21" a="1"/>
  <c r="AK53" i="21" s="1"/>
  <c r="AL53" i="21" a="1"/>
  <c r="AL53" i="21" s="1"/>
  <c r="AM53" i="21" a="1"/>
  <c r="AM53" i="21" s="1"/>
  <c r="AN53" i="21" a="1"/>
  <c r="AN53" i="21" s="1"/>
  <c r="AO53" i="21" a="1"/>
  <c r="AO53" i="21" s="1"/>
  <c r="AP53" i="21" a="1"/>
  <c r="AP53" i="21" s="1"/>
  <c r="AQ53" i="21" a="1"/>
  <c r="AQ53" i="21" s="1"/>
  <c r="AR53" i="21" a="1"/>
  <c r="AR53" i="21" s="1"/>
  <c r="AS53" i="21" a="1"/>
  <c r="AS53" i="21" s="1"/>
  <c r="AT53" i="21" a="1"/>
  <c r="AT53" i="21" s="1"/>
  <c r="AU53" i="21" a="1"/>
  <c r="AU53" i="21" s="1"/>
  <c r="AV53" i="21" a="1"/>
  <c r="AV53" i="21" s="1"/>
  <c r="AW53" i="21" a="1"/>
  <c r="AW53" i="21" s="1"/>
  <c r="AX53" i="21" a="1"/>
  <c r="AX53" i="21" s="1"/>
  <c r="AY53" i="21" a="1"/>
  <c r="AY53" i="21" s="1"/>
  <c r="AZ53" i="21" a="1"/>
  <c r="AZ53" i="21" s="1"/>
  <c r="BA53" i="21" a="1"/>
  <c r="BA53" i="21" s="1"/>
  <c r="BB53" i="21" a="1"/>
  <c r="BB53" i="21" s="1"/>
  <c r="BC53" i="21" a="1"/>
  <c r="BC53" i="21" s="1"/>
  <c r="BD53" i="21" a="1"/>
  <c r="BD53" i="21" s="1"/>
  <c r="BE53" i="21" a="1"/>
  <c r="BE53" i="21" s="1"/>
  <c r="BF53" i="21" a="1"/>
  <c r="BF53" i="21" s="1"/>
  <c r="BG53" i="21" a="1"/>
  <c r="BG53" i="21" s="1"/>
  <c r="BH53" i="21" a="1"/>
  <c r="BH53" i="21" s="1"/>
  <c r="BI53" i="21" a="1"/>
  <c r="BI53" i="21" s="1"/>
  <c r="BJ53" i="21" a="1"/>
  <c r="BJ53" i="21" s="1"/>
  <c r="BK53" i="21" a="1"/>
  <c r="BK53" i="21" s="1"/>
  <c r="BL53" i="21" a="1"/>
  <c r="BL53" i="21" s="1"/>
  <c r="BM53" i="21" a="1"/>
  <c r="BM53" i="21" s="1"/>
  <c r="BN53" i="21" a="1"/>
  <c r="BN53" i="21" s="1"/>
  <c r="BO53" i="21" a="1"/>
  <c r="BO53" i="21" s="1"/>
  <c r="BP53" i="21" a="1"/>
  <c r="BP53" i="21" s="1"/>
  <c r="BQ53" i="21" a="1"/>
  <c r="BQ53" i="21" s="1"/>
  <c r="BR53" i="21" a="1"/>
  <c r="BR53" i="21" s="1"/>
  <c r="BS53" i="21" a="1"/>
  <c r="BS53" i="21" s="1"/>
  <c r="BT53" i="21" a="1"/>
  <c r="BT53" i="21" s="1"/>
  <c r="BU53" i="21" a="1"/>
  <c r="BU53" i="21" s="1"/>
  <c r="BV53" i="21" a="1"/>
  <c r="BV53" i="21" s="1"/>
  <c r="BW53" i="21" a="1"/>
  <c r="BW53" i="21" s="1"/>
  <c r="BX53" i="21" a="1"/>
  <c r="BX53" i="21" s="1"/>
  <c r="BY53" i="21" a="1"/>
  <c r="BY53" i="21" s="1"/>
  <c r="BZ53" i="21" a="1"/>
  <c r="BZ53" i="21" s="1"/>
  <c r="CA53" i="21" a="1"/>
  <c r="CA53" i="21" s="1"/>
  <c r="CB53" i="21" a="1"/>
  <c r="CB53" i="21" s="1"/>
  <c r="CC53" i="21" a="1"/>
  <c r="CC53" i="21" s="1"/>
  <c r="CD53" i="21" a="1"/>
  <c r="CD53" i="21" s="1"/>
  <c r="CE53" i="21" a="1"/>
  <c r="CE53" i="21" s="1"/>
  <c r="CF53" i="21" a="1"/>
  <c r="CF53" i="21" s="1"/>
  <c r="CG53" i="21" a="1"/>
  <c r="CG53" i="21" s="1"/>
  <c r="CH53" i="21" a="1"/>
  <c r="CH53" i="21" s="1"/>
  <c r="CI53" i="21" a="1"/>
  <c r="CI53" i="21" s="1"/>
  <c r="CJ53" i="21" a="1"/>
  <c r="CJ53" i="21" s="1"/>
  <c r="CK53" i="21" a="1"/>
  <c r="CK53" i="21" s="1"/>
  <c r="CL53" i="21" a="1"/>
  <c r="CL53" i="21" s="1"/>
  <c r="CM53" i="21" a="1"/>
  <c r="CM53" i="21" s="1"/>
  <c r="CN53" i="21" a="1"/>
  <c r="CN53" i="21" s="1"/>
  <c r="CO53" i="21" a="1"/>
  <c r="CO53" i="21" s="1"/>
  <c r="CP53" i="21" a="1"/>
  <c r="CP53" i="21" s="1"/>
  <c r="CQ53" i="21" a="1"/>
  <c r="CQ53" i="21" s="1"/>
  <c r="CR53" i="21" a="1"/>
  <c r="CR53" i="21" s="1"/>
  <c r="CS53" i="21" a="1"/>
  <c r="CS53" i="21" s="1"/>
  <c r="CT53" i="21" a="1"/>
  <c r="CT53" i="21" s="1"/>
  <c r="CU53" i="21" a="1"/>
  <c r="CU53" i="21" s="1"/>
  <c r="CV53" i="21" a="1"/>
  <c r="CV53" i="21" s="1"/>
  <c r="CW53" i="21" a="1"/>
  <c r="CW53" i="21" s="1"/>
  <c r="S54" i="21" a="1"/>
  <c r="S54" i="21" s="1"/>
  <c r="T54" i="21" a="1"/>
  <c r="T54" i="21" s="1"/>
  <c r="U54" i="21" a="1"/>
  <c r="U54" i="21" s="1"/>
  <c r="V54" i="21" a="1"/>
  <c r="V54" i="21" s="1"/>
  <c r="W54" i="21" a="1"/>
  <c r="W54" i="21" s="1"/>
  <c r="X54" i="21" a="1"/>
  <c r="X54" i="21" s="1"/>
  <c r="Y54" i="21" a="1"/>
  <c r="Y54" i="21" s="1"/>
  <c r="Z54" i="21" a="1"/>
  <c r="Z54" i="21" s="1"/>
  <c r="AA54" i="21" a="1"/>
  <c r="AA54" i="21" s="1"/>
  <c r="AB54" i="21" a="1"/>
  <c r="AB54" i="21" s="1"/>
  <c r="AC54" i="21" a="1"/>
  <c r="AC54" i="21" s="1"/>
  <c r="AD54" i="21" a="1"/>
  <c r="AD54" i="21" s="1"/>
  <c r="AE54" i="21" a="1"/>
  <c r="AE54" i="21" s="1"/>
  <c r="AF54" i="21" a="1"/>
  <c r="AF54" i="21" s="1"/>
  <c r="AG54" i="21" a="1"/>
  <c r="AG54" i="21" s="1"/>
  <c r="AH54" i="21" a="1"/>
  <c r="AH54" i="21" s="1"/>
  <c r="AI54" i="21" a="1"/>
  <c r="AI54" i="21" s="1"/>
  <c r="AJ54" i="21" a="1"/>
  <c r="AJ54" i="21" s="1"/>
  <c r="AK54" i="21" a="1"/>
  <c r="AK54" i="21" s="1"/>
  <c r="AL54" i="21" a="1"/>
  <c r="AL54" i="21" s="1"/>
  <c r="AM54" i="21" a="1"/>
  <c r="AM54" i="21" s="1"/>
  <c r="AN54" i="21" a="1"/>
  <c r="AN54" i="21" s="1"/>
  <c r="AO54" i="21" a="1"/>
  <c r="AO54" i="21" s="1"/>
  <c r="AP54" i="21" a="1"/>
  <c r="AP54" i="21" s="1"/>
  <c r="AQ54" i="21" a="1"/>
  <c r="AQ54" i="21" s="1"/>
  <c r="AR54" i="21" a="1"/>
  <c r="AR54" i="21" s="1"/>
  <c r="AS54" i="21" a="1"/>
  <c r="AS54" i="21" s="1"/>
  <c r="AT54" i="21" a="1"/>
  <c r="AT54" i="21" s="1"/>
  <c r="AU54" i="21" a="1"/>
  <c r="AU54" i="21" s="1"/>
  <c r="AV54" i="21" a="1"/>
  <c r="AV54" i="21" s="1"/>
  <c r="AW54" i="21" a="1"/>
  <c r="AW54" i="21" s="1"/>
  <c r="AX54" i="21" a="1"/>
  <c r="AX54" i="21" s="1"/>
  <c r="AY54" i="21" a="1"/>
  <c r="AY54" i="21" s="1"/>
  <c r="AZ54" i="21" a="1"/>
  <c r="AZ54" i="21" s="1"/>
  <c r="BA54" i="21" a="1"/>
  <c r="BA54" i="21" s="1"/>
  <c r="BB54" i="21" a="1"/>
  <c r="BB54" i="21" s="1"/>
  <c r="BC54" i="21" a="1"/>
  <c r="BC54" i="21" s="1"/>
  <c r="BD54" i="21" a="1"/>
  <c r="BD54" i="21" s="1"/>
  <c r="BE54" i="21" a="1"/>
  <c r="BE54" i="21" s="1"/>
  <c r="BF54" i="21" a="1"/>
  <c r="BF54" i="21" s="1"/>
  <c r="BG54" i="21" a="1"/>
  <c r="BG54" i="21" s="1"/>
  <c r="BH54" i="21" a="1"/>
  <c r="BH54" i="21" s="1"/>
  <c r="BI54" i="21" a="1"/>
  <c r="BI54" i="21" s="1"/>
  <c r="BJ54" i="21" a="1"/>
  <c r="BJ54" i="21" s="1"/>
  <c r="BK54" i="21" a="1"/>
  <c r="BK54" i="21" s="1"/>
  <c r="BL54" i="21" a="1"/>
  <c r="BL54" i="21" s="1"/>
  <c r="BM54" i="21" a="1"/>
  <c r="BM54" i="21" s="1"/>
  <c r="BN54" i="21" a="1"/>
  <c r="BN54" i="21" s="1"/>
  <c r="BO54" i="21" a="1"/>
  <c r="BO54" i="21" s="1"/>
  <c r="BP54" i="21" a="1"/>
  <c r="BP54" i="21" s="1"/>
  <c r="BQ54" i="21" a="1"/>
  <c r="BQ54" i="21" s="1"/>
  <c r="BR54" i="21" a="1"/>
  <c r="BR54" i="21" s="1"/>
  <c r="BS54" i="21" a="1"/>
  <c r="BS54" i="21" s="1"/>
  <c r="BT54" i="21" a="1"/>
  <c r="BT54" i="21" s="1"/>
  <c r="BU54" i="21" a="1"/>
  <c r="BU54" i="21" s="1"/>
  <c r="BV54" i="21" a="1"/>
  <c r="BV54" i="21" s="1"/>
  <c r="BW54" i="21" a="1"/>
  <c r="BW54" i="21" s="1"/>
  <c r="BX54" i="21" a="1"/>
  <c r="BX54" i="21" s="1"/>
  <c r="BY54" i="21" a="1"/>
  <c r="BY54" i="21" s="1"/>
  <c r="BZ54" i="21" a="1"/>
  <c r="BZ54" i="21" s="1"/>
  <c r="CA54" i="21" a="1"/>
  <c r="CA54" i="21" s="1"/>
  <c r="CB54" i="21" a="1"/>
  <c r="CB54" i="21" s="1"/>
  <c r="CC54" i="21" a="1"/>
  <c r="CC54" i="21" s="1"/>
  <c r="CD54" i="21" a="1"/>
  <c r="CD54" i="21" s="1"/>
  <c r="CE54" i="21" a="1"/>
  <c r="CE54" i="21" s="1"/>
  <c r="CF54" i="21" a="1"/>
  <c r="CF54" i="21" s="1"/>
  <c r="CG54" i="21" a="1"/>
  <c r="CG54" i="21" s="1"/>
  <c r="CH54" i="21" a="1"/>
  <c r="CH54" i="21" s="1"/>
  <c r="CI54" i="21" a="1"/>
  <c r="CI54" i="21" s="1"/>
  <c r="CJ54" i="21" a="1"/>
  <c r="CJ54" i="21" s="1"/>
  <c r="CK54" i="21" a="1"/>
  <c r="CK54" i="21" s="1"/>
  <c r="CL54" i="21" a="1"/>
  <c r="CL54" i="21" s="1"/>
  <c r="CM54" i="21" a="1"/>
  <c r="CM54" i="21" s="1"/>
  <c r="CN54" i="21" a="1"/>
  <c r="CN54" i="21" s="1"/>
  <c r="CO54" i="21" a="1"/>
  <c r="CO54" i="21" s="1"/>
  <c r="CP54" i="21" a="1"/>
  <c r="CP54" i="21" s="1"/>
  <c r="CQ54" i="21" a="1"/>
  <c r="CQ54" i="21" s="1"/>
  <c r="CR54" i="21" a="1"/>
  <c r="CR54" i="21" s="1"/>
  <c r="CS54" i="21" a="1"/>
  <c r="CS54" i="21" s="1"/>
  <c r="CT54" i="21" a="1"/>
  <c r="CT54" i="21" s="1"/>
  <c r="CU54" i="21" a="1"/>
  <c r="CU54" i="21" s="1"/>
  <c r="CV54" i="21" a="1"/>
  <c r="CV54" i="21" s="1"/>
  <c r="CW54" i="21" a="1"/>
  <c r="CW54" i="21" s="1"/>
  <c r="S55" i="21" a="1"/>
  <c r="S55" i="21" s="1"/>
  <c r="T55" i="21" a="1"/>
  <c r="T55" i="21" s="1"/>
  <c r="U55" i="21" a="1"/>
  <c r="U55" i="21" s="1"/>
  <c r="V55" i="21" a="1"/>
  <c r="V55" i="21" s="1"/>
  <c r="W55" i="21" a="1"/>
  <c r="W55" i="21" s="1"/>
  <c r="X55" i="21" a="1"/>
  <c r="X55" i="21" s="1"/>
  <c r="Y55" i="21" a="1"/>
  <c r="Y55" i="21" s="1"/>
  <c r="Z55" i="21" a="1"/>
  <c r="Z55" i="21" s="1"/>
  <c r="AA55" i="21" a="1"/>
  <c r="AA55" i="21" s="1"/>
  <c r="AB55" i="21" a="1"/>
  <c r="AB55" i="21" s="1"/>
  <c r="AC55" i="21" a="1"/>
  <c r="AC55" i="21" s="1"/>
  <c r="AD55" i="21" a="1"/>
  <c r="AD55" i="21" s="1"/>
  <c r="AE55" i="21" a="1"/>
  <c r="AE55" i="21" s="1"/>
  <c r="AF55" i="21" a="1"/>
  <c r="AF55" i="21" s="1"/>
  <c r="AG55" i="21" a="1"/>
  <c r="AG55" i="21" s="1"/>
  <c r="AH55" i="21" a="1"/>
  <c r="AH55" i="21" s="1"/>
  <c r="AI55" i="21" a="1"/>
  <c r="AI55" i="21" s="1"/>
  <c r="AJ55" i="21" a="1"/>
  <c r="AJ55" i="21" s="1"/>
  <c r="AK55" i="21" a="1"/>
  <c r="AK55" i="21" s="1"/>
  <c r="AL55" i="21" a="1"/>
  <c r="AL55" i="21" s="1"/>
  <c r="AM55" i="21" a="1"/>
  <c r="AM55" i="21" s="1"/>
  <c r="AN55" i="21" a="1"/>
  <c r="AN55" i="21" s="1"/>
  <c r="AO55" i="21" a="1"/>
  <c r="AO55" i="21" s="1"/>
  <c r="AP55" i="21" a="1"/>
  <c r="AP55" i="21" s="1"/>
  <c r="AQ55" i="21" a="1"/>
  <c r="AQ55" i="21" s="1"/>
  <c r="AR55" i="21" a="1"/>
  <c r="AR55" i="21" s="1"/>
  <c r="AS55" i="21" a="1"/>
  <c r="AS55" i="21" s="1"/>
  <c r="AT55" i="21" a="1"/>
  <c r="AT55" i="21" s="1"/>
  <c r="AU55" i="21" a="1"/>
  <c r="AU55" i="21" s="1"/>
  <c r="AV55" i="21" a="1"/>
  <c r="AV55" i="21" s="1"/>
  <c r="AW55" i="21" a="1"/>
  <c r="AW55" i="21" s="1"/>
  <c r="AX55" i="21" a="1"/>
  <c r="AX55" i="21" s="1"/>
  <c r="AY55" i="21" a="1"/>
  <c r="AY55" i="21" s="1"/>
  <c r="AZ55" i="21" a="1"/>
  <c r="AZ55" i="21" s="1"/>
  <c r="BA55" i="21" a="1"/>
  <c r="BA55" i="21" s="1"/>
  <c r="BB55" i="21" a="1"/>
  <c r="BB55" i="21" s="1"/>
  <c r="BC55" i="21" a="1"/>
  <c r="BC55" i="21" s="1"/>
  <c r="BD55" i="21" a="1"/>
  <c r="BD55" i="21" s="1"/>
  <c r="BE55" i="21" a="1"/>
  <c r="BE55" i="21" s="1"/>
  <c r="BF55" i="21" a="1"/>
  <c r="BF55" i="21" s="1"/>
  <c r="BG55" i="21" a="1"/>
  <c r="BG55" i="21" s="1"/>
  <c r="BH55" i="21" a="1"/>
  <c r="BH55" i="21" s="1"/>
  <c r="BI55" i="21" a="1"/>
  <c r="BI55" i="21" s="1"/>
  <c r="BJ55" i="21" a="1"/>
  <c r="BJ55" i="21" s="1"/>
  <c r="BK55" i="21" a="1"/>
  <c r="BK55" i="21" s="1"/>
  <c r="BL55" i="21" a="1"/>
  <c r="BL55" i="21" s="1"/>
  <c r="BM55" i="21" a="1"/>
  <c r="BM55" i="21" s="1"/>
  <c r="BN55" i="21" a="1"/>
  <c r="BN55" i="21" s="1"/>
  <c r="BO55" i="21" a="1"/>
  <c r="BO55" i="21" s="1"/>
  <c r="BP55" i="21" a="1"/>
  <c r="BP55" i="21" s="1"/>
  <c r="BQ55" i="21" a="1"/>
  <c r="BQ55" i="21" s="1"/>
  <c r="BR55" i="21" a="1"/>
  <c r="BR55" i="21" s="1"/>
  <c r="BS55" i="21" a="1"/>
  <c r="BS55" i="21" s="1"/>
  <c r="BT55" i="21" a="1"/>
  <c r="BT55" i="21" s="1"/>
  <c r="BU55" i="21" a="1"/>
  <c r="BU55" i="21" s="1"/>
  <c r="BV55" i="21" a="1"/>
  <c r="BV55" i="21" s="1"/>
  <c r="BW55" i="21" a="1"/>
  <c r="BW55" i="21" s="1"/>
  <c r="BX55" i="21" a="1"/>
  <c r="BX55" i="21" s="1"/>
  <c r="BY55" i="21" a="1"/>
  <c r="BY55" i="21" s="1"/>
  <c r="BZ55" i="21" a="1"/>
  <c r="BZ55" i="21" s="1"/>
  <c r="CA55" i="21" a="1"/>
  <c r="CA55" i="21" s="1"/>
  <c r="CB55" i="21" a="1"/>
  <c r="CB55" i="21" s="1"/>
  <c r="CC55" i="21" a="1"/>
  <c r="CC55" i="21" s="1"/>
  <c r="CD55" i="21" a="1"/>
  <c r="CD55" i="21" s="1"/>
  <c r="CE55" i="21" a="1"/>
  <c r="CE55" i="21" s="1"/>
  <c r="CF55" i="21" a="1"/>
  <c r="CF55" i="21" s="1"/>
  <c r="CG55" i="21" a="1"/>
  <c r="CG55" i="21" s="1"/>
  <c r="CH55" i="21" a="1"/>
  <c r="CH55" i="21" s="1"/>
  <c r="CI55" i="21" a="1"/>
  <c r="CI55" i="21" s="1"/>
  <c r="CJ55" i="21" a="1"/>
  <c r="CJ55" i="21" s="1"/>
  <c r="CK55" i="21" a="1"/>
  <c r="CK55" i="21" s="1"/>
  <c r="CL55" i="21" a="1"/>
  <c r="CL55" i="21" s="1"/>
  <c r="CM55" i="21" a="1"/>
  <c r="CM55" i="21" s="1"/>
  <c r="CN55" i="21" a="1"/>
  <c r="CN55" i="21" s="1"/>
  <c r="CO55" i="21" a="1"/>
  <c r="CO55" i="21" s="1"/>
  <c r="CP55" i="21" a="1"/>
  <c r="CP55" i="21" s="1"/>
  <c r="CQ55" i="21" a="1"/>
  <c r="CQ55" i="21" s="1"/>
  <c r="CR55" i="21" a="1"/>
  <c r="CR55" i="21" s="1"/>
  <c r="CS55" i="21" a="1"/>
  <c r="CS55" i="21" s="1"/>
  <c r="CT55" i="21" a="1"/>
  <c r="CT55" i="21" s="1"/>
  <c r="CU55" i="21" a="1"/>
  <c r="CU55" i="21" s="1"/>
  <c r="CV55" i="21" a="1"/>
  <c r="CV55" i="21" s="1"/>
  <c r="CW55" i="21" a="1"/>
  <c r="CW55" i="21" s="1"/>
  <c r="S56" i="21" a="1"/>
  <c r="S56" i="21" s="1"/>
  <c r="T56" i="21" a="1"/>
  <c r="T56" i="21" s="1"/>
  <c r="U56" i="21" a="1"/>
  <c r="U56" i="21" s="1"/>
  <c r="V56" i="21" a="1"/>
  <c r="V56" i="21" s="1"/>
  <c r="W56" i="21" a="1"/>
  <c r="W56" i="21" s="1"/>
  <c r="X56" i="21" a="1"/>
  <c r="X56" i="21" s="1"/>
  <c r="Y56" i="21" a="1"/>
  <c r="Y56" i="21" s="1"/>
  <c r="Z56" i="21" a="1"/>
  <c r="Z56" i="21" s="1"/>
  <c r="AA56" i="21" a="1"/>
  <c r="AA56" i="21" s="1"/>
  <c r="AB56" i="21" a="1"/>
  <c r="AB56" i="21" s="1"/>
  <c r="AC56" i="21" a="1"/>
  <c r="AC56" i="21" s="1"/>
  <c r="AD56" i="21" a="1"/>
  <c r="AD56" i="21" s="1"/>
  <c r="AE56" i="21" a="1"/>
  <c r="AE56" i="21" s="1"/>
  <c r="AF56" i="21" a="1"/>
  <c r="AF56" i="21" s="1"/>
  <c r="AG56" i="21" a="1"/>
  <c r="AG56" i="21" s="1"/>
  <c r="AH56" i="21" a="1"/>
  <c r="AH56" i="21" s="1"/>
  <c r="AI56" i="21" a="1"/>
  <c r="AI56" i="21" s="1"/>
  <c r="AJ56" i="21" a="1"/>
  <c r="AJ56" i="21" s="1"/>
  <c r="AK56" i="21" a="1"/>
  <c r="AK56" i="21" s="1"/>
  <c r="AL56" i="21" a="1"/>
  <c r="AL56" i="21" s="1"/>
  <c r="AM56" i="21" a="1"/>
  <c r="AM56" i="21" s="1"/>
  <c r="AN56" i="21" a="1"/>
  <c r="AN56" i="21" s="1"/>
  <c r="AO56" i="21" a="1"/>
  <c r="AO56" i="21" s="1"/>
  <c r="AP56" i="21" a="1"/>
  <c r="AP56" i="21" s="1"/>
  <c r="AQ56" i="21" a="1"/>
  <c r="AQ56" i="21" s="1"/>
  <c r="AR56" i="21" a="1"/>
  <c r="AR56" i="21" s="1"/>
  <c r="AS56" i="21" a="1"/>
  <c r="AS56" i="21" s="1"/>
  <c r="AT56" i="21" a="1"/>
  <c r="AT56" i="21" s="1"/>
  <c r="AU56" i="21" a="1"/>
  <c r="AU56" i="21" s="1"/>
  <c r="AV56" i="21" a="1"/>
  <c r="AV56" i="21" s="1"/>
  <c r="AW56" i="21" a="1"/>
  <c r="AW56" i="21" s="1"/>
  <c r="AX56" i="21" a="1"/>
  <c r="AX56" i="21" s="1"/>
  <c r="AY56" i="21" a="1"/>
  <c r="AY56" i="21" s="1"/>
  <c r="AZ56" i="21" a="1"/>
  <c r="AZ56" i="21" s="1"/>
  <c r="BA56" i="21" a="1"/>
  <c r="BA56" i="21" s="1"/>
  <c r="BB56" i="21" a="1"/>
  <c r="BB56" i="21" s="1"/>
  <c r="BC56" i="21" a="1"/>
  <c r="BC56" i="21" s="1"/>
  <c r="BD56" i="21" a="1"/>
  <c r="BD56" i="21" s="1"/>
  <c r="BE56" i="21" a="1"/>
  <c r="BE56" i="21" s="1"/>
  <c r="BF56" i="21" a="1"/>
  <c r="BF56" i="21" s="1"/>
  <c r="BG56" i="21" a="1"/>
  <c r="BG56" i="21" s="1"/>
  <c r="BH56" i="21" a="1"/>
  <c r="BH56" i="21" s="1"/>
  <c r="BI56" i="21" a="1"/>
  <c r="BI56" i="21" s="1"/>
  <c r="BJ56" i="21" a="1"/>
  <c r="BJ56" i="21" s="1"/>
  <c r="BK56" i="21" a="1"/>
  <c r="BK56" i="21" s="1"/>
  <c r="BL56" i="21" a="1"/>
  <c r="BL56" i="21" s="1"/>
  <c r="BM56" i="21" a="1"/>
  <c r="BM56" i="21" s="1"/>
  <c r="BN56" i="21" a="1"/>
  <c r="BN56" i="21" s="1"/>
  <c r="BO56" i="21" a="1"/>
  <c r="BO56" i="21" s="1"/>
  <c r="BP56" i="21" a="1"/>
  <c r="BP56" i="21" s="1"/>
  <c r="BQ56" i="21" a="1"/>
  <c r="BQ56" i="21" s="1"/>
  <c r="BR56" i="21" a="1"/>
  <c r="BR56" i="21" s="1"/>
  <c r="BS56" i="21" a="1"/>
  <c r="BS56" i="21" s="1"/>
  <c r="BT56" i="21" a="1"/>
  <c r="BT56" i="21" s="1"/>
  <c r="BU56" i="21" a="1"/>
  <c r="BU56" i="21" s="1"/>
  <c r="BV56" i="21" a="1"/>
  <c r="BV56" i="21" s="1"/>
  <c r="BW56" i="21" a="1"/>
  <c r="BW56" i="21" s="1"/>
  <c r="BX56" i="21" a="1"/>
  <c r="BX56" i="21" s="1"/>
  <c r="BY56" i="21" a="1"/>
  <c r="BY56" i="21" s="1"/>
  <c r="BZ56" i="21" a="1"/>
  <c r="BZ56" i="21" s="1"/>
  <c r="CA56" i="21" a="1"/>
  <c r="CA56" i="21" s="1"/>
  <c r="CB56" i="21" a="1"/>
  <c r="CB56" i="21" s="1"/>
  <c r="CC56" i="21" a="1"/>
  <c r="CC56" i="21" s="1"/>
  <c r="CD56" i="21" a="1"/>
  <c r="CD56" i="21" s="1"/>
  <c r="CE56" i="21" a="1"/>
  <c r="CE56" i="21" s="1"/>
  <c r="CF56" i="21" a="1"/>
  <c r="CF56" i="21" s="1"/>
  <c r="CG56" i="21" a="1"/>
  <c r="CG56" i="21" s="1"/>
  <c r="CH56" i="21" a="1"/>
  <c r="CH56" i="21" s="1"/>
  <c r="CI56" i="21" a="1"/>
  <c r="CI56" i="21" s="1"/>
  <c r="CJ56" i="21" a="1"/>
  <c r="CJ56" i="21" s="1"/>
  <c r="CK56" i="21" a="1"/>
  <c r="CK56" i="21" s="1"/>
  <c r="CL56" i="21" a="1"/>
  <c r="CL56" i="21" s="1"/>
  <c r="CM56" i="21" a="1"/>
  <c r="CM56" i="21" s="1"/>
  <c r="CN56" i="21" a="1"/>
  <c r="CN56" i="21" s="1"/>
  <c r="CO56" i="21" a="1"/>
  <c r="CO56" i="21" s="1"/>
  <c r="CP56" i="21" a="1"/>
  <c r="CP56" i="21" s="1"/>
  <c r="CQ56" i="21" a="1"/>
  <c r="CQ56" i="21" s="1"/>
  <c r="CR56" i="21" a="1"/>
  <c r="CR56" i="21" s="1"/>
  <c r="CS56" i="21" a="1"/>
  <c r="CS56" i="21" s="1"/>
  <c r="CT56" i="21" a="1"/>
  <c r="CT56" i="21" s="1"/>
  <c r="CU56" i="21" a="1"/>
  <c r="CU56" i="21" s="1"/>
  <c r="CV56" i="21" a="1"/>
  <c r="CV56" i="21" s="1"/>
  <c r="CW56" i="21" a="1"/>
  <c r="CW56" i="21" s="1"/>
  <c r="S57" i="21" a="1"/>
  <c r="S57" i="21" s="1"/>
  <c r="T57" i="21" a="1"/>
  <c r="T57" i="21" s="1"/>
  <c r="U57" i="21" a="1"/>
  <c r="U57" i="21" s="1"/>
  <c r="V57" i="21" a="1"/>
  <c r="V57" i="21" s="1"/>
  <c r="W57" i="21" a="1"/>
  <c r="W57" i="21" s="1"/>
  <c r="X57" i="21" a="1"/>
  <c r="X57" i="21" s="1"/>
  <c r="Y57" i="21" a="1"/>
  <c r="Y57" i="21" s="1"/>
  <c r="Z57" i="21" a="1"/>
  <c r="Z57" i="21" s="1"/>
  <c r="AA57" i="21" a="1"/>
  <c r="AA57" i="21" s="1"/>
  <c r="AB57" i="21" a="1"/>
  <c r="AB57" i="21" s="1"/>
  <c r="AC57" i="21" a="1"/>
  <c r="AC57" i="21" s="1"/>
  <c r="AD57" i="21" a="1"/>
  <c r="AD57" i="21" s="1"/>
  <c r="AE57" i="21" a="1"/>
  <c r="AE57" i="21" s="1"/>
  <c r="AF57" i="21" a="1"/>
  <c r="AF57" i="21" s="1"/>
  <c r="AG57" i="21" a="1"/>
  <c r="AG57" i="21" s="1"/>
  <c r="AH57" i="21" a="1"/>
  <c r="AH57" i="21" s="1"/>
  <c r="AI57" i="21" a="1"/>
  <c r="AI57" i="21" s="1"/>
  <c r="AJ57" i="21" a="1"/>
  <c r="AJ57" i="21" s="1"/>
  <c r="AK57" i="21" a="1"/>
  <c r="AK57" i="21" s="1"/>
  <c r="AL57" i="21" a="1"/>
  <c r="AL57" i="21" s="1"/>
  <c r="AM57" i="21" a="1"/>
  <c r="AM57" i="21" s="1"/>
  <c r="AN57" i="21" a="1"/>
  <c r="AN57" i="21" s="1"/>
  <c r="AO57" i="21" a="1"/>
  <c r="AO57" i="21" s="1"/>
  <c r="AP57" i="21" a="1"/>
  <c r="AP57" i="21" s="1"/>
  <c r="AQ57" i="21" a="1"/>
  <c r="AQ57" i="21" s="1"/>
  <c r="AR57" i="21" a="1"/>
  <c r="AR57" i="21" s="1"/>
  <c r="AS57" i="21" a="1"/>
  <c r="AS57" i="21" s="1"/>
  <c r="AT57" i="21" a="1"/>
  <c r="AT57" i="21" s="1"/>
  <c r="AU57" i="21" a="1"/>
  <c r="AU57" i="21" s="1"/>
  <c r="AV57" i="21" a="1"/>
  <c r="AV57" i="21" s="1"/>
  <c r="AW57" i="21" a="1"/>
  <c r="AW57" i="21" s="1"/>
  <c r="AX57" i="21" a="1"/>
  <c r="AX57" i="21" s="1"/>
  <c r="AY57" i="21" a="1"/>
  <c r="AY57" i="21" s="1"/>
  <c r="AZ57" i="21" a="1"/>
  <c r="AZ57" i="21" s="1"/>
  <c r="BA57" i="21" a="1"/>
  <c r="BA57" i="21" s="1"/>
  <c r="BB57" i="21" a="1"/>
  <c r="BB57" i="21" s="1"/>
  <c r="BC57" i="21" a="1"/>
  <c r="BC57" i="21" s="1"/>
  <c r="BD57" i="21" a="1"/>
  <c r="BD57" i="21" s="1"/>
  <c r="BE57" i="21" a="1"/>
  <c r="BE57" i="21" s="1"/>
  <c r="BF57" i="21" a="1"/>
  <c r="BF57" i="21" s="1"/>
  <c r="BG57" i="21" a="1"/>
  <c r="BG57" i="21" s="1"/>
  <c r="BH57" i="21" a="1"/>
  <c r="BH57" i="21" s="1"/>
  <c r="BI57" i="21" a="1"/>
  <c r="BI57" i="21" s="1"/>
  <c r="BJ57" i="21" a="1"/>
  <c r="BJ57" i="21" s="1"/>
  <c r="BK57" i="21" a="1"/>
  <c r="BK57" i="21" s="1"/>
  <c r="BL57" i="21" a="1"/>
  <c r="BL57" i="21" s="1"/>
  <c r="BM57" i="21" a="1"/>
  <c r="BM57" i="21" s="1"/>
  <c r="BN57" i="21" a="1"/>
  <c r="BN57" i="21" s="1"/>
  <c r="BO57" i="21" a="1"/>
  <c r="BO57" i="21" s="1"/>
  <c r="BP57" i="21" a="1"/>
  <c r="BP57" i="21" s="1"/>
  <c r="BQ57" i="21" a="1"/>
  <c r="BQ57" i="21" s="1"/>
  <c r="BR57" i="21" a="1"/>
  <c r="BR57" i="21" s="1"/>
  <c r="BS57" i="21" a="1"/>
  <c r="BS57" i="21" s="1"/>
  <c r="BT57" i="21" a="1"/>
  <c r="BT57" i="21" s="1"/>
  <c r="BU57" i="21" a="1"/>
  <c r="BU57" i="21" s="1"/>
  <c r="BV57" i="21" a="1"/>
  <c r="BV57" i="21" s="1"/>
  <c r="BW57" i="21" a="1"/>
  <c r="BW57" i="21" s="1"/>
  <c r="BX57" i="21" a="1"/>
  <c r="BX57" i="21" s="1"/>
  <c r="BY57" i="21" a="1"/>
  <c r="BY57" i="21" s="1"/>
  <c r="BZ57" i="21" a="1"/>
  <c r="BZ57" i="21" s="1"/>
  <c r="CA57" i="21" a="1"/>
  <c r="CA57" i="21" s="1"/>
  <c r="CB57" i="21" a="1"/>
  <c r="CB57" i="21" s="1"/>
  <c r="CC57" i="21" a="1"/>
  <c r="CC57" i="21" s="1"/>
  <c r="CD57" i="21" a="1"/>
  <c r="CD57" i="21" s="1"/>
  <c r="CE57" i="21" a="1"/>
  <c r="CE57" i="21" s="1"/>
  <c r="CF57" i="21" a="1"/>
  <c r="CF57" i="21" s="1"/>
  <c r="CG57" i="21" a="1"/>
  <c r="CG57" i="21" s="1"/>
  <c r="CH57" i="21" a="1"/>
  <c r="CH57" i="21" s="1"/>
  <c r="CI57" i="21" a="1"/>
  <c r="CI57" i="21" s="1"/>
  <c r="CJ57" i="21" a="1"/>
  <c r="CJ57" i="21" s="1"/>
  <c r="CK57" i="21" a="1"/>
  <c r="CK57" i="21" s="1"/>
  <c r="CL57" i="21" a="1"/>
  <c r="CL57" i="21" s="1"/>
  <c r="CM57" i="21" a="1"/>
  <c r="CM57" i="21" s="1"/>
  <c r="CN57" i="21" a="1"/>
  <c r="CN57" i="21" s="1"/>
  <c r="CO57" i="21" a="1"/>
  <c r="CO57" i="21" s="1"/>
  <c r="CP57" i="21" a="1"/>
  <c r="CP57" i="21" s="1"/>
  <c r="CQ57" i="21" a="1"/>
  <c r="CQ57" i="21" s="1"/>
  <c r="CR57" i="21" a="1"/>
  <c r="CR57" i="21" s="1"/>
  <c r="CS57" i="21" a="1"/>
  <c r="CS57" i="21" s="1"/>
  <c r="CT57" i="21" a="1"/>
  <c r="CT57" i="21" s="1"/>
  <c r="CU57" i="21" a="1"/>
  <c r="CU57" i="21" s="1"/>
  <c r="CV57" i="21" a="1"/>
  <c r="CV57" i="21" s="1"/>
  <c r="CW57" i="21" a="1"/>
  <c r="CW57" i="21" s="1"/>
  <c r="S58" i="21" a="1"/>
  <c r="S58" i="21" s="1"/>
  <c r="T58" i="21" a="1"/>
  <c r="T58" i="21" s="1"/>
  <c r="U58" i="21" a="1"/>
  <c r="U58" i="21" s="1"/>
  <c r="V58" i="21" a="1"/>
  <c r="V58" i="21" s="1"/>
  <c r="W58" i="21" a="1"/>
  <c r="W58" i="21" s="1"/>
  <c r="X58" i="21" a="1"/>
  <c r="X58" i="21" s="1"/>
  <c r="Y58" i="21" a="1"/>
  <c r="Y58" i="21" s="1"/>
  <c r="Z58" i="21" a="1"/>
  <c r="Z58" i="21" s="1"/>
  <c r="AA58" i="21" a="1"/>
  <c r="AA58" i="21" s="1"/>
  <c r="AB58" i="21" a="1"/>
  <c r="AB58" i="21" s="1"/>
  <c r="AC58" i="21" a="1"/>
  <c r="AC58" i="21" s="1"/>
  <c r="AD58" i="21" a="1"/>
  <c r="AD58" i="21" s="1"/>
  <c r="AE58" i="21" a="1"/>
  <c r="AE58" i="21" s="1"/>
  <c r="AF58" i="21" a="1"/>
  <c r="AF58" i="21" s="1"/>
  <c r="AG58" i="21" a="1"/>
  <c r="AG58" i="21" s="1"/>
  <c r="AH58" i="21" a="1"/>
  <c r="AH58" i="21" s="1"/>
  <c r="AI58" i="21" a="1"/>
  <c r="AI58" i="21" s="1"/>
  <c r="AJ58" i="21" a="1"/>
  <c r="AJ58" i="21" s="1"/>
  <c r="AK58" i="21" a="1"/>
  <c r="AK58" i="21" s="1"/>
  <c r="AL58" i="21" a="1"/>
  <c r="AL58" i="21" s="1"/>
  <c r="AM58" i="21" a="1"/>
  <c r="AM58" i="21" s="1"/>
  <c r="AN58" i="21" a="1"/>
  <c r="AN58" i="21" s="1"/>
  <c r="AO58" i="21" a="1"/>
  <c r="AO58" i="21" s="1"/>
  <c r="AP58" i="21" a="1"/>
  <c r="AP58" i="21" s="1"/>
  <c r="AQ58" i="21" a="1"/>
  <c r="AQ58" i="21" s="1"/>
  <c r="AR58" i="21" a="1"/>
  <c r="AR58" i="21" s="1"/>
  <c r="AS58" i="21" a="1"/>
  <c r="AS58" i="21" s="1"/>
  <c r="AT58" i="21" a="1"/>
  <c r="AT58" i="21" s="1"/>
  <c r="AU58" i="21" a="1"/>
  <c r="AU58" i="21" s="1"/>
  <c r="AV58" i="21" a="1"/>
  <c r="AV58" i="21" s="1"/>
  <c r="AW58" i="21" a="1"/>
  <c r="AW58" i="21" s="1"/>
  <c r="AX58" i="21" a="1"/>
  <c r="AX58" i="21" s="1"/>
  <c r="AY58" i="21" a="1"/>
  <c r="AY58" i="21" s="1"/>
  <c r="AZ58" i="21" a="1"/>
  <c r="AZ58" i="21" s="1"/>
  <c r="BA58" i="21" a="1"/>
  <c r="BA58" i="21" s="1"/>
  <c r="BB58" i="21" a="1"/>
  <c r="BB58" i="21" s="1"/>
  <c r="BC58" i="21" a="1"/>
  <c r="BC58" i="21" s="1"/>
  <c r="BD58" i="21" a="1"/>
  <c r="BD58" i="21" s="1"/>
  <c r="BE58" i="21" a="1"/>
  <c r="BE58" i="21" s="1"/>
  <c r="BF58" i="21" a="1"/>
  <c r="BF58" i="21" s="1"/>
  <c r="BG58" i="21" a="1"/>
  <c r="BG58" i="21" s="1"/>
  <c r="BH58" i="21" a="1"/>
  <c r="BH58" i="21" s="1"/>
  <c r="BI58" i="21" a="1"/>
  <c r="BI58" i="21" s="1"/>
  <c r="BJ58" i="21" a="1"/>
  <c r="BJ58" i="21" s="1"/>
  <c r="BK58" i="21" a="1"/>
  <c r="BK58" i="21" s="1"/>
  <c r="BL58" i="21" a="1"/>
  <c r="BL58" i="21" s="1"/>
  <c r="BM58" i="21" a="1"/>
  <c r="BM58" i="21" s="1"/>
  <c r="BN58" i="21" a="1"/>
  <c r="BN58" i="21" s="1"/>
  <c r="BO58" i="21" a="1"/>
  <c r="BO58" i="21" s="1"/>
  <c r="BP58" i="21" a="1"/>
  <c r="BP58" i="21" s="1"/>
  <c r="BQ58" i="21" a="1"/>
  <c r="BQ58" i="21" s="1"/>
  <c r="BR58" i="21" a="1"/>
  <c r="BR58" i="21" s="1"/>
  <c r="BS58" i="21" a="1"/>
  <c r="BS58" i="21" s="1"/>
  <c r="BT58" i="21" a="1"/>
  <c r="BT58" i="21" s="1"/>
  <c r="BU58" i="21" a="1"/>
  <c r="BU58" i="21" s="1"/>
  <c r="BV58" i="21" a="1"/>
  <c r="BV58" i="21" s="1"/>
  <c r="BW58" i="21" a="1"/>
  <c r="BW58" i="21" s="1"/>
  <c r="BX58" i="21" a="1"/>
  <c r="BX58" i="21" s="1"/>
  <c r="BY58" i="21" a="1"/>
  <c r="BY58" i="21" s="1"/>
  <c r="BZ58" i="21" a="1"/>
  <c r="BZ58" i="21" s="1"/>
  <c r="CA58" i="21" a="1"/>
  <c r="CA58" i="21" s="1"/>
  <c r="CB58" i="21" a="1"/>
  <c r="CB58" i="21" s="1"/>
  <c r="CC58" i="21" a="1"/>
  <c r="CC58" i="21" s="1"/>
  <c r="CD58" i="21" a="1"/>
  <c r="CD58" i="21" s="1"/>
  <c r="CE58" i="21" a="1"/>
  <c r="CE58" i="21" s="1"/>
  <c r="CF58" i="21" a="1"/>
  <c r="CF58" i="21" s="1"/>
  <c r="CG58" i="21" a="1"/>
  <c r="CG58" i="21" s="1"/>
  <c r="CH58" i="21" a="1"/>
  <c r="CH58" i="21" s="1"/>
  <c r="CI58" i="21" a="1"/>
  <c r="CI58" i="21" s="1"/>
  <c r="CJ58" i="21" a="1"/>
  <c r="CJ58" i="21" s="1"/>
  <c r="CK58" i="21" a="1"/>
  <c r="CK58" i="21" s="1"/>
  <c r="CL58" i="21" a="1"/>
  <c r="CL58" i="21" s="1"/>
  <c r="CM58" i="21" a="1"/>
  <c r="CM58" i="21" s="1"/>
  <c r="CN58" i="21" a="1"/>
  <c r="CN58" i="21" s="1"/>
  <c r="CO58" i="21" a="1"/>
  <c r="CO58" i="21" s="1"/>
  <c r="CP58" i="21" a="1"/>
  <c r="CP58" i="21" s="1"/>
  <c r="CQ58" i="21" a="1"/>
  <c r="CQ58" i="21" s="1"/>
  <c r="CR58" i="21" a="1"/>
  <c r="CR58" i="21" s="1"/>
  <c r="CS58" i="21" a="1"/>
  <c r="CS58" i="21" s="1"/>
  <c r="CT58" i="21" a="1"/>
  <c r="CT58" i="21" s="1"/>
  <c r="CU58" i="21" a="1"/>
  <c r="CU58" i="21" s="1"/>
  <c r="CV58" i="21" a="1"/>
  <c r="CV58" i="21" s="1"/>
  <c r="CW58" i="21" a="1"/>
  <c r="CW58" i="21" s="1"/>
  <c r="S59" i="21" a="1"/>
  <c r="S59" i="21" s="1"/>
  <c r="T59" i="21" a="1"/>
  <c r="T59" i="21" s="1"/>
  <c r="U59" i="21" a="1"/>
  <c r="U59" i="21" s="1"/>
  <c r="V59" i="21" a="1"/>
  <c r="V59" i="21" s="1"/>
  <c r="W59" i="21" a="1"/>
  <c r="W59" i="21" s="1"/>
  <c r="X59" i="21" a="1"/>
  <c r="X59" i="21" s="1"/>
  <c r="Y59" i="21" a="1"/>
  <c r="Y59" i="21" s="1"/>
  <c r="Z59" i="21" a="1"/>
  <c r="Z59" i="21" s="1"/>
  <c r="AA59" i="21" a="1"/>
  <c r="AA59" i="21" s="1"/>
  <c r="AB59" i="21" a="1"/>
  <c r="AB59" i="21" s="1"/>
  <c r="AC59" i="21" a="1"/>
  <c r="AC59" i="21" s="1"/>
  <c r="AD59" i="21" a="1"/>
  <c r="AD59" i="21" s="1"/>
  <c r="AE59" i="21" a="1"/>
  <c r="AE59" i="21" s="1"/>
  <c r="AF59" i="21" a="1"/>
  <c r="AF59" i="21" s="1"/>
  <c r="AG59" i="21" a="1"/>
  <c r="AG59" i="21" s="1"/>
  <c r="AH59" i="21" a="1"/>
  <c r="AH59" i="21" s="1"/>
  <c r="AI59" i="21" a="1"/>
  <c r="AI59" i="21" s="1"/>
  <c r="AJ59" i="21" a="1"/>
  <c r="AJ59" i="21" s="1"/>
  <c r="AK59" i="21" a="1"/>
  <c r="AK59" i="21" s="1"/>
  <c r="AL59" i="21" a="1"/>
  <c r="AL59" i="21" s="1"/>
  <c r="AM59" i="21" a="1"/>
  <c r="AM59" i="21" s="1"/>
  <c r="AN59" i="21" a="1"/>
  <c r="AN59" i="21" s="1"/>
  <c r="AO59" i="21" a="1"/>
  <c r="AO59" i="21" s="1"/>
  <c r="AP59" i="21" a="1"/>
  <c r="AP59" i="21" s="1"/>
  <c r="AQ59" i="21" a="1"/>
  <c r="AQ59" i="21" s="1"/>
  <c r="AR59" i="21" a="1"/>
  <c r="AR59" i="21" s="1"/>
  <c r="AS59" i="21" a="1"/>
  <c r="AS59" i="21" s="1"/>
  <c r="AT59" i="21" a="1"/>
  <c r="AT59" i="21" s="1"/>
  <c r="AU59" i="21" a="1"/>
  <c r="AU59" i="21" s="1"/>
  <c r="AV59" i="21" a="1"/>
  <c r="AV59" i="21" s="1"/>
  <c r="AW59" i="21" a="1"/>
  <c r="AW59" i="21" s="1"/>
  <c r="AX59" i="21" a="1"/>
  <c r="AX59" i="21" s="1"/>
  <c r="AY59" i="21" a="1"/>
  <c r="AY59" i="21" s="1"/>
  <c r="AZ59" i="21" a="1"/>
  <c r="AZ59" i="21" s="1"/>
  <c r="BA59" i="21" a="1"/>
  <c r="BA59" i="21" s="1"/>
  <c r="BB59" i="21" a="1"/>
  <c r="BB59" i="21" s="1"/>
  <c r="BC59" i="21" a="1"/>
  <c r="BC59" i="21" s="1"/>
  <c r="BD59" i="21" a="1"/>
  <c r="BD59" i="21" s="1"/>
  <c r="BE59" i="21" a="1"/>
  <c r="BE59" i="21" s="1"/>
  <c r="BF59" i="21" a="1"/>
  <c r="BF59" i="21" s="1"/>
  <c r="BG59" i="21" a="1"/>
  <c r="BG59" i="21" s="1"/>
  <c r="BH59" i="21" a="1"/>
  <c r="BH59" i="21" s="1"/>
  <c r="BI59" i="21" a="1"/>
  <c r="BI59" i="21" s="1"/>
  <c r="BJ59" i="21" a="1"/>
  <c r="BJ59" i="21" s="1"/>
  <c r="BK59" i="21" a="1"/>
  <c r="BK59" i="21" s="1"/>
  <c r="BL59" i="21" a="1"/>
  <c r="BL59" i="21" s="1"/>
  <c r="BM59" i="21" a="1"/>
  <c r="BM59" i="21" s="1"/>
  <c r="BN59" i="21" a="1"/>
  <c r="BN59" i="21" s="1"/>
  <c r="BO59" i="21" a="1"/>
  <c r="BO59" i="21" s="1"/>
  <c r="BP59" i="21" a="1"/>
  <c r="BP59" i="21" s="1"/>
  <c r="BQ59" i="21" a="1"/>
  <c r="BQ59" i="21" s="1"/>
  <c r="BR59" i="21" a="1"/>
  <c r="BR59" i="21" s="1"/>
  <c r="BS59" i="21" a="1"/>
  <c r="BS59" i="21" s="1"/>
  <c r="BT59" i="21" a="1"/>
  <c r="BT59" i="21" s="1"/>
  <c r="BU59" i="21" a="1"/>
  <c r="BU59" i="21" s="1"/>
  <c r="BV59" i="21" a="1"/>
  <c r="BV59" i="21" s="1"/>
  <c r="BW59" i="21" a="1"/>
  <c r="BW59" i="21" s="1"/>
  <c r="BX59" i="21" a="1"/>
  <c r="BX59" i="21" s="1"/>
  <c r="BY59" i="21" a="1"/>
  <c r="BY59" i="21" s="1"/>
  <c r="BZ59" i="21" a="1"/>
  <c r="BZ59" i="21" s="1"/>
  <c r="CA59" i="21" a="1"/>
  <c r="CA59" i="21" s="1"/>
  <c r="CB59" i="21" a="1"/>
  <c r="CB59" i="21" s="1"/>
  <c r="CC59" i="21" a="1"/>
  <c r="CC59" i="21" s="1"/>
  <c r="CD59" i="21" a="1"/>
  <c r="CD59" i="21" s="1"/>
  <c r="CE59" i="21" a="1"/>
  <c r="CE59" i="21" s="1"/>
  <c r="CF59" i="21" a="1"/>
  <c r="CF59" i="21" s="1"/>
  <c r="CG59" i="21" a="1"/>
  <c r="CG59" i="21" s="1"/>
  <c r="CH59" i="21" a="1"/>
  <c r="CH59" i="21" s="1"/>
  <c r="CI59" i="21" a="1"/>
  <c r="CI59" i="21" s="1"/>
  <c r="CJ59" i="21" a="1"/>
  <c r="CJ59" i="21" s="1"/>
  <c r="CK59" i="21" a="1"/>
  <c r="CK59" i="21" s="1"/>
  <c r="CL59" i="21" a="1"/>
  <c r="CL59" i="21" s="1"/>
  <c r="CM59" i="21" a="1"/>
  <c r="CM59" i="21" s="1"/>
  <c r="CN59" i="21" a="1"/>
  <c r="CN59" i="21" s="1"/>
  <c r="CO59" i="21" a="1"/>
  <c r="CO59" i="21" s="1"/>
  <c r="CP59" i="21" a="1"/>
  <c r="CP59" i="21" s="1"/>
  <c r="CQ59" i="21" a="1"/>
  <c r="CQ59" i="21" s="1"/>
  <c r="CR59" i="21" a="1"/>
  <c r="CR59" i="21" s="1"/>
  <c r="CS59" i="21" a="1"/>
  <c r="CS59" i="21" s="1"/>
  <c r="CT59" i="21" a="1"/>
  <c r="CT59" i="21" s="1"/>
  <c r="CU59" i="21" a="1"/>
  <c r="CU59" i="21" s="1"/>
  <c r="CV59" i="21" a="1"/>
  <c r="CV59" i="21" s="1"/>
  <c r="CW59" i="21" a="1"/>
  <c r="CW59" i="21" s="1"/>
  <c r="S60" i="21" a="1"/>
  <c r="S60" i="21" s="1"/>
  <c r="T60" i="21" a="1"/>
  <c r="T60" i="21" s="1"/>
  <c r="U60" i="21" a="1"/>
  <c r="U60" i="21" s="1"/>
  <c r="V60" i="21" a="1"/>
  <c r="V60" i="21" s="1"/>
  <c r="W60" i="21" a="1"/>
  <c r="W60" i="21" s="1"/>
  <c r="X60" i="21" a="1"/>
  <c r="X60" i="21" s="1"/>
  <c r="Y60" i="21" a="1"/>
  <c r="Y60" i="21" s="1"/>
  <c r="Z60" i="21" a="1"/>
  <c r="Z60" i="21" s="1"/>
  <c r="AA60" i="21" a="1"/>
  <c r="AA60" i="21" s="1"/>
  <c r="AB60" i="21" a="1"/>
  <c r="AB60" i="21" s="1"/>
  <c r="AC60" i="21" a="1"/>
  <c r="AC60" i="21" s="1"/>
  <c r="AD60" i="21" a="1"/>
  <c r="AD60" i="21" s="1"/>
  <c r="AE60" i="21" a="1"/>
  <c r="AE60" i="21" s="1"/>
  <c r="AF60" i="21" a="1"/>
  <c r="AF60" i="21" s="1"/>
  <c r="AG60" i="21" a="1"/>
  <c r="AG60" i="21" s="1"/>
  <c r="AH60" i="21" a="1"/>
  <c r="AH60" i="21" s="1"/>
  <c r="AI60" i="21" a="1"/>
  <c r="AI60" i="21" s="1"/>
  <c r="AJ60" i="21" a="1"/>
  <c r="AJ60" i="21" s="1"/>
  <c r="AK60" i="21" a="1"/>
  <c r="AK60" i="21" s="1"/>
  <c r="AL60" i="21" a="1"/>
  <c r="AL60" i="21" s="1"/>
  <c r="AM60" i="21" a="1"/>
  <c r="AM60" i="21" s="1"/>
  <c r="AN60" i="21" a="1"/>
  <c r="AN60" i="21" s="1"/>
  <c r="AO60" i="21" a="1"/>
  <c r="AO60" i="21" s="1"/>
  <c r="AP60" i="21" a="1"/>
  <c r="AP60" i="21" s="1"/>
  <c r="AQ60" i="21" a="1"/>
  <c r="AQ60" i="21" s="1"/>
  <c r="AR60" i="21" a="1"/>
  <c r="AR60" i="21" s="1"/>
  <c r="AS60" i="21" a="1"/>
  <c r="AS60" i="21" s="1"/>
  <c r="AT60" i="21" a="1"/>
  <c r="AT60" i="21" s="1"/>
  <c r="AU60" i="21" a="1"/>
  <c r="AU60" i="21" s="1"/>
  <c r="AV60" i="21" a="1"/>
  <c r="AV60" i="21" s="1"/>
  <c r="AW60" i="21" a="1"/>
  <c r="AW60" i="21" s="1"/>
  <c r="AX60" i="21" a="1"/>
  <c r="AX60" i="21" s="1"/>
  <c r="AY60" i="21" a="1"/>
  <c r="AY60" i="21" s="1"/>
  <c r="AZ60" i="21" a="1"/>
  <c r="AZ60" i="21" s="1"/>
  <c r="BA60" i="21" a="1"/>
  <c r="BA60" i="21" s="1"/>
  <c r="BB60" i="21" a="1"/>
  <c r="BB60" i="21" s="1"/>
  <c r="BC60" i="21" a="1"/>
  <c r="BC60" i="21" s="1"/>
  <c r="BD60" i="21" a="1"/>
  <c r="BD60" i="21" s="1"/>
  <c r="BE60" i="21" a="1"/>
  <c r="BE60" i="21" s="1"/>
  <c r="BF60" i="21" a="1"/>
  <c r="BF60" i="21" s="1"/>
  <c r="BG60" i="21" a="1"/>
  <c r="BG60" i="21" s="1"/>
  <c r="BH60" i="21" a="1"/>
  <c r="BH60" i="21" s="1"/>
  <c r="BI60" i="21" a="1"/>
  <c r="BI60" i="21" s="1"/>
  <c r="BJ60" i="21" a="1"/>
  <c r="BJ60" i="21" s="1"/>
  <c r="BK60" i="21" a="1"/>
  <c r="BK60" i="21" s="1"/>
  <c r="BL60" i="21" a="1"/>
  <c r="BL60" i="21" s="1"/>
  <c r="BM60" i="21" a="1"/>
  <c r="BM60" i="21" s="1"/>
  <c r="BN60" i="21" a="1"/>
  <c r="BN60" i="21" s="1"/>
  <c r="BO60" i="21" a="1"/>
  <c r="BO60" i="21" s="1"/>
  <c r="BP60" i="21" a="1"/>
  <c r="BP60" i="21" s="1"/>
  <c r="BQ60" i="21" a="1"/>
  <c r="BQ60" i="21" s="1"/>
  <c r="BR60" i="21" a="1"/>
  <c r="BR60" i="21" s="1"/>
  <c r="BS60" i="21" a="1"/>
  <c r="BS60" i="21" s="1"/>
  <c r="BT60" i="21" a="1"/>
  <c r="BT60" i="21" s="1"/>
  <c r="BU60" i="21" a="1"/>
  <c r="BU60" i="21" s="1"/>
  <c r="BV60" i="21" a="1"/>
  <c r="BV60" i="21" s="1"/>
  <c r="BW60" i="21" a="1"/>
  <c r="BW60" i="21" s="1"/>
  <c r="BX60" i="21" a="1"/>
  <c r="BX60" i="21" s="1"/>
  <c r="BY60" i="21" a="1"/>
  <c r="BY60" i="21" s="1"/>
  <c r="BZ60" i="21" a="1"/>
  <c r="BZ60" i="21" s="1"/>
  <c r="CA60" i="21" a="1"/>
  <c r="CA60" i="21" s="1"/>
  <c r="CB60" i="21" a="1"/>
  <c r="CB60" i="21" s="1"/>
  <c r="CC60" i="21" a="1"/>
  <c r="CC60" i="21" s="1"/>
  <c r="CD60" i="21" a="1"/>
  <c r="CD60" i="21" s="1"/>
  <c r="CE60" i="21" a="1"/>
  <c r="CE60" i="21" s="1"/>
  <c r="CF60" i="21" a="1"/>
  <c r="CF60" i="21" s="1"/>
  <c r="CG60" i="21" a="1"/>
  <c r="CG60" i="21" s="1"/>
  <c r="CH60" i="21" a="1"/>
  <c r="CH60" i="21" s="1"/>
  <c r="CI60" i="21" a="1"/>
  <c r="CI60" i="21" s="1"/>
  <c r="CJ60" i="21" a="1"/>
  <c r="CJ60" i="21" s="1"/>
  <c r="CK60" i="21" a="1"/>
  <c r="CK60" i="21" s="1"/>
  <c r="CL60" i="21" a="1"/>
  <c r="CL60" i="21" s="1"/>
  <c r="CM60" i="21" a="1"/>
  <c r="CM60" i="21" s="1"/>
  <c r="CN60" i="21" a="1"/>
  <c r="CN60" i="21" s="1"/>
  <c r="CO60" i="21" a="1"/>
  <c r="CO60" i="21" s="1"/>
  <c r="CP60" i="21" a="1"/>
  <c r="CP60" i="21" s="1"/>
  <c r="CQ60" i="21" a="1"/>
  <c r="CQ60" i="21" s="1"/>
  <c r="CR60" i="21" a="1"/>
  <c r="CR60" i="21" s="1"/>
  <c r="CS60" i="21" a="1"/>
  <c r="CS60" i="21" s="1"/>
  <c r="CT60" i="21" a="1"/>
  <c r="CT60" i="21" s="1"/>
  <c r="CU60" i="21" a="1"/>
  <c r="CU60" i="21" s="1"/>
  <c r="CV60" i="21" a="1"/>
  <c r="CV60" i="21" s="1"/>
  <c r="CW60" i="21" a="1"/>
  <c r="CW60" i="21" s="1"/>
  <c r="S61" i="21" a="1"/>
  <c r="S61" i="21" s="1"/>
  <c r="T61" i="21" a="1"/>
  <c r="T61" i="21" s="1"/>
  <c r="U61" i="21" a="1"/>
  <c r="U61" i="21" s="1"/>
  <c r="V61" i="21" a="1"/>
  <c r="V61" i="21" s="1"/>
  <c r="W61" i="21" a="1"/>
  <c r="W61" i="21" s="1"/>
  <c r="X61" i="21" a="1"/>
  <c r="X61" i="21" s="1"/>
  <c r="Y61" i="21" a="1"/>
  <c r="Y61" i="21" s="1"/>
  <c r="Z61" i="21" a="1"/>
  <c r="Z61" i="21" s="1"/>
  <c r="AA61" i="21" a="1"/>
  <c r="AA61" i="21" s="1"/>
  <c r="AB61" i="21" a="1"/>
  <c r="AB61" i="21" s="1"/>
  <c r="AC61" i="21" a="1"/>
  <c r="AC61" i="21" s="1"/>
  <c r="AD61" i="21" a="1"/>
  <c r="AD61" i="21" s="1"/>
  <c r="AE61" i="21" a="1"/>
  <c r="AE61" i="21" s="1"/>
  <c r="AF61" i="21" a="1"/>
  <c r="AF61" i="21" s="1"/>
  <c r="AG61" i="21" a="1"/>
  <c r="AG61" i="21" s="1"/>
  <c r="AH61" i="21" a="1"/>
  <c r="AH61" i="21" s="1"/>
  <c r="AI61" i="21" a="1"/>
  <c r="AI61" i="21" s="1"/>
  <c r="AJ61" i="21" a="1"/>
  <c r="AJ61" i="21" s="1"/>
  <c r="AK61" i="21" a="1"/>
  <c r="AK61" i="21" s="1"/>
  <c r="AL61" i="21" a="1"/>
  <c r="AL61" i="21" s="1"/>
  <c r="AM61" i="21" a="1"/>
  <c r="AM61" i="21" s="1"/>
  <c r="AN61" i="21" a="1"/>
  <c r="AN61" i="21" s="1"/>
  <c r="AO61" i="21" a="1"/>
  <c r="AO61" i="21" s="1"/>
  <c r="AP61" i="21" a="1"/>
  <c r="AP61" i="21" s="1"/>
  <c r="AQ61" i="21" a="1"/>
  <c r="AQ61" i="21" s="1"/>
  <c r="AR61" i="21" a="1"/>
  <c r="AR61" i="21" s="1"/>
  <c r="AS61" i="21" a="1"/>
  <c r="AS61" i="21" s="1"/>
  <c r="AT61" i="21" a="1"/>
  <c r="AT61" i="21" s="1"/>
  <c r="AU61" i="21" a="1"/>
  <c r="AU61" i="21" s="1"/>
  <c r="AV61" i="21" a="1"/>
  <c r="AV61" i="21" s="1"/>
  <c r="AW61" i="21" a="1"/>
  <c r="AW61" i="21" s="1"/>
  <c r="AX61" i="21" a="1"/>
  <c r="AX61" i="21" s="1"/>
  <c r="AY61" i="21" a="1"/>
  <c r="AY61" i="21" s="1"/>
  <c r="AZ61" i="21" a="1"/>
  <c r="AZ61" i="21" s="1"/>
  <c r="BA61" i="21" a="1"/>
  <c r="BA61" i="21" s="1"/>
  <c r="BB61" i="21" a="1"/>
  <c r="BB61" i="21" s="1"/>
  <c r="BC61" i="21" a="1"/>
  <c r="BC61" i="21" s="1"/>
  <c r="BD61" i="21" a="1"/>
  <c r="BD61" i="21" s="1"/>
  <c r="BE61" i="21" a="1"/>
  <c r="BE61" i="21" s="1"/>
  <c r="BF61" i="21" a="1"/>
  <c r="BF61" i="21" s="1"/>
  <c r="BG61" i="21" a="1"/>
  <c r="BG61" i="21" s="1"/>
  <c r="BH61" i="21" a="1"/>
  <c r="BH61" i="21" s="1"/>
  <c r="BI61" i="21" a="1"/>
  <c r="BI61" i="21" s="1"/>
  <c r="BJ61" i="21" a="1"/>
  <c r="BJ61" i="21" s="1"/>
  <c r="BK61" i="21" a="1"/>
  <c r="BK61" i="21" s="1"/>
  <c r="BL61" i="21" a="1"/>
  <c r="BL61" i="21" s="1"/>
  <c r="BM61" i="21" a="1"/>
  <c r="BM61" i="21" s="1"/>
  <c r="BN61" i="21" a="1"/>
  <c r="BN61" i="21" s="1"/>
  <c r="BO61" i="21" a="1"/>
  <c r="BO61" i="21" s="1"/>
  <c r="BP61" i="21" a="1"/>
  <c r="BP61" i="21" s="1"/>
  <c r="BQ61" i="21" a="1"/>
  <c r="BQ61" i="21" s="1"/>
  <c r="BR61" i="21" a="1"/>
  <c r="BR61" i="21" s="1"/>
  <c r="BS61" i="21" a="1"/>
  <c r="BS61" i="21" s="1"/>
  <c r="BT61" i="21" a="1"/>
  <c r="BT61" i="21" s="1"/>
  <c r="BU61" i="21" a="1"/>
  <c r="BU61" i="21" s="1"/>
  <c r="BV61" i="21" a="1"/>
  <c r="BV61" i="21" s="1"/>
  <c r="BW61" i="21" a="1"/>
  <c r="BW61" i="21" s="1"/>
  <c r="BX61" i="21" a="1"/>
  <c r="BX61" i="21" s="1"/>
  <c r="BY61" i="21" a="1"/>
  <c r="BY61" i="21" s="1"/>
  <c r="BZ61" i="21" a="1"/>
  <c r="BZ61" i="21" s="1"/>
  <c r="CA61" i="21" a="1"/>
  <c r="CA61" i="21" s="1"/>
  <c r="CB61" i="21" a="1"/>
  <c r="CB61" i="21" s="1"/>
  <c r="CC61" i="21" a="1"/>
  <c r="CC61" i="21" s="1"/>
  <c r="CD61" i="21" a="1"/>
  <c r="CD61" i="21" s="1"/>
  <c r="CE61" i="21" a="1"/>
  <c r="CE61" i="21" s="1"/>
  <c r="CF61" i="21" a="1"/>
  <c r="CF61" i="21" s="1"/>
  <c r="CG61" i="21" a="1"/>
  <c r="CG61" i="21" s="1"/>
  <c r="CH61" i="21" a="1"/>
  <c r="CH61" i="21" s="1"/>
  <c r="CI61" i="21" a="1"/>
  <c r="CI61" i="21" s="1"/>
  <c r="CJ61" i="21" a="1"/>
  <c r="CJ61" i="21" s="1"/>
  <c r="CK61" i="21" a="1"/>
  <c r="CK61" i="21" s="1"/>
  <c r="CL61" i="21" a="1"/>
  <c r="CL61" i="21" s="1"/>
  <c r="CM61" i="21" a="1"/>
  <c r="CM61" i="21" s="1"/>
  <c r="CN61" i="21" a="1"/>
  <c r="CN61" i="21" s="1"/>
  <c r="CO61" i="21" a="1"/>
  <c r="CO61" i="21" s="1"/>
  <c r="CP61" i="21" a="1"/>
  <c r="CP61" i="21" s="1"/>
  <c r="CQ61" i="21" a="1"/>
  <c r="CQ61" i="21" s="1"/>
  <c r="CR61" i="21" a="1"/>
  <c r="CR61" i="21" s="1"/>
  <c r="CS61" i="21" a="1"/>
  <c r="CS61" i="21" s="1"/>
  <c r="CT61" i="21" a="1"/>
  <c r="CT61" i="21" s="1"/>
  <c r="CU61" i="21" a="1"/>
  <c r="CU61" i="21" s="1"/>
  <c r="CV61" i="21" a="1"/>
  <c r="CV61" i="21" s="1"/>
  <c r="CW61" i="21" a="1"/>
  <c r="CW61" i="21" s="1"/>
  <c r="S62" i="21" a="1"/>
  <c r="S62" i="21" s="1"/>
  <c r="T62" i="21" a="1"/>
  <c r="T62" i="21" s="1"/>
  <c r="U62" i="21" a="1"/>
  <c r="U62" i="21" s="1"/>
  <c r="V62" i="21" a="1"/>
  <c r="V62" i="21" s="1"/>
  <c r="W62" i="21" a="1"/>
  <c r="W62" i="21" s="1"/>
  <c r="X62" i="21" a="1"/>
  <c r="X62" i="21" s="1"/>
  <c r="Y62" i="21" a="1"/>
  <c r="Y62" i="21" s="1"/>
  <c r="Z62" i="21" a="1"/>
  <c r="Z62" i="21" s="1"/>
  <c r="AA62" i="21" a="1"/>
  <c r="AA62" i="21" s="1"/>
  <c r="AB62" i="21" a="1"/>
  <c r="AB62" i="21" s="1"/>
  <c r="AC62" i="21" a="1"/>
  <c r="AC62" i="21" s="1"/>
  <c r="AD62" i="21" a="1"/>
  <c r="AD62" i="21" s="1"/>
  <c r="AE62" i="21" a="1"/>
  <c r="AE62" i="21" s="1"/>
  <c r="AF62" i="21" a="1"/>
  <c r="AF62" i="21" s="1"/>
  <c r="AG62" i="21" a="1"/>
  <c r="AG62" i="21" s="1"/>
  <c r="AH62" i="21" a="1"/>
  <c r="AH62" i="21" s="1"/>
  <c r="AI62" i="21" a="1"/>
  <c r="AI62" i="21" s="1"/>
  <c r="AJ62" i="21" a="1"/>
  <c r="AJ62" i="21" s="1"/>
  <c r="AK62" i="21" a="1"/>
  <c r="AK62" i="21" s="1"/>
  <c r="AL62" i="21" a="1"/>
  <c r="AL62" i="21" s="1"/>
  <c r="AM62" i="21" a="1"/>
  <c r="AM62" i="21" s="1"/>
  <c r="AN62" i="21" a="1"/>
  <c r="AN62" i="21" s="1"/>
  <c r="AO62" i="21" a="1"/>
  <c r="AO62" i="21" s="1"/>
  <c r="AP62" i="21" a="1"/>
  <c r="AP62" i="21" s="1"/>
  <c r="AQ62" i="21" a="1"/>
  <c r="AQ62" i="21" s="1"/>
  <c r="AR62" i="21" a="1"/>
  <c r="AR62" i="21" s="1"/>
  <c r="AS62" i="21" a="1"/>
  <c r="AS62" i="21" s="1"/>
  <c r="AT62" i="21" a="1"/>
  <c r="AT62" i="21" s="1"/>
  <c r="AU62" i="21" a="1"/>
  <c r="AU62" i="21" s="1"/>
  <c r="AV62" i="21" a="1"/>
  <c r="AV62" i="21" s="1"/>
  <c r="AW62" i="21" a="1"/>
  <c r="AW62" i="21" s="1"/>
  <c r="AX62" i="21" a="1"/>
  <c r="AX62" i="21" s="1"/>
  <c r="AY62" i="21" a="1"/>
  <c r="AY62" i="21" s="1"/>
  <c r="AZ62" i="21" a="1"/>
  <c r="AZ62" i="21" s="1"/>
  <c r="BA62" i="21" a="1"/>
  <c r="BA62" i="21" s="1"/>
  <c r="BB62" i="21" a="1"/>
  <c r="BB62" i="21" s="1"/>
  <c r="BC62" i="21" a="1"/>
  <c r="BC62" i="21" s="1"/>
  <c r="BD62" i="21" a="1"/>
  <c r="BD62" i="21" s="1"/>
  <c r="BE62" i="21" a="1"/>
  <c r="BE62" i="21" s="1"/>
  <c r="BF62" i="21" a="1"/>
  <c r="BF62" i="21" s="1"/>
  <c r="BG62" i="21" a="1"/>
  <c r="BG62" i="21" s="1"/>
  <c r="BH62" i="21" a="1"/>
  <c r="BH62" i="21" s="1"/>
  <c r="BI62" i="21" a="1"/>
  <c r="BI62" i="21" s="1"/>
  <c r="BJ62" i="21" a="1"/>
  <c r="BJ62" i="21" s="1"/>
  <c r="BK62" i="21" a="1"/>
  <c r="BK62" i="21" s="1"/>
  <c r="BL62" i="21" a="1"/>
  <c r="BL62" i="21" s="1"/>
  <c r="BM62" i="21" a="1"/>
  <c r="BM62" i="21" s="1"/>
  <c r="BN62" i="21" a="1"/>
  <c r="BN62" i="21" s="1"/>
  <c r="BO62" i="21" a="1"/>
  <c r="BO62" i="21" s="1"/>
  <c r="BP62" i="21" a="1"/>
  <c r="BP62" i="21" s="1"/>
  <c r="BQ62" i="21" a="1"/>
  <c r="BQ62" i="21" s="1"/>
  <c r="BR62" i="21" a="1"/>
  <c r="BR62" i="21" s="1"/>
  <c r="BS62" i="21" a="1"/>
  <c r="BS62" i="21" s="1"/>
  <c r="BT62" i="21" a="1"/>
  <c r="BT62" i="21" s="1"/>
  <c r="BU62" i="21" a="1"/>
  <c r="BU62" i="21" s="1"/>
  <c r="BV62" i="21" a="1"/>
  <c r="BV62" i="21" s="1"/>
  <c r="BW62" i="21" a="1"/>
  <c r="BW62" i="21" s="1"/>
  <c r="BX62" i="21" a="1"/>
  <c r="BX62" i="21" s="1"/>
  <c r="BY62" i="21" a="1"/>
  <c r="BY62" i="21" s="1"/>
  <c r="BZ62" i="21" a="1"/>
  <c r="BZ62" i="21" s="1"/>
  <c r="CA62" i="21" a="1"/>
  <c r="CA62" i="21" s="1"/>
  <c r="CB62" i="21" a="1"/>
  <c r="CB62" i="21" s="1"/>
  <c r="CC62" i="21" a="1"/>
  <c r="CC62" i="21" s="1"/>
  <c r="CD62" i="21" a="1"/>
  <c r="CD62" i="21" s="1"/>
  <c r="CE62" i="21" a="1"/>
  <c r="CE62" i="21" s="1"/>
  <c r="CF62" i="21" a="1"/>
  <c r="CF62" i="21" s="1"/>
  <c r="CG62" i="21" a="1"/>
  <c r="CG62" i="21" s="1"/>
  <c r="CH62" i="21" a="1"/>
  <c r="CH62" i="21" s="1"/>
  <c r="CI62" i="21" a="1"/>
  <c r="CI62" i="21" s="1"/>
  <c r="CJ62" i="21" a="1"/>
  <c r="CJ62" i="21" s="1"/>
  <c r="CK62" i="21" a="1"/>
  <c r="CK62" i="21" s="1"/>
  <c r="CL62" i="21" a="1"/>
  <c r="CL62" i="21" s="1"/>
  <c r="CM62" i="21" a="1"/>
  <c r="CM62" i="21" s="1"/>
  <c r="CN62" i="21" a="1"/>
  <c r="CN62" i="21" s="1"/>
  <c r="CO62" i="21" a="1"/>
  <c r="CO62" i="21" s="1"/>
  <c r="CP62" i="21" a="1"/>
  <c r="CP62" i="21" s="1"/>
  <c r="CQ62" i="21" a="1"/>
  <c r="CQ62" i="21" s="1"/>
  <c r="CR62" i="21" a="1"/>
  <c r="CR62" i="21" s="1"/>
  <c r="CS62" i="21" a="1"/>
  <c r="CS62" i="21" s="1"/>
  <c r="CT62" i="21" a="1"/>
  <c r="CT62" i="21" s="1"/>
  <c r="CU62" i="21" a="1"/>
  <c r="CU62" i="21" s="1"/>
  <c r="CV62" i="21" a="1"/>
  <c r="CV62" i="21" s="1"/>
  <c r="CW62" i="21" a="1"/>
  <c r="CW62" i="21" s="1"/>
  <c r="S63" i="21" a="1"/>
  <c r="S63" i="21" s="1"/>
  <c r="T63" i="21" a="1"/>
  <c r="T63" i="21" s="1"/>
  <c r="U63" i="21" a="1"/>
  <c r="U63" i="21" s="1"/>
  <c r="V63" i="21" a="1"/>
  <c r="V63" i="21" s="1"/>
  <c r="W63" i="21" a="1"/>
  <c r="W63" i="21" s="1"/>
  <c r="X63" i="21" a="1"/>
  <c r="X63" i="21" s="1"/>
  <c r="Y63" i="21" a="1"/>
  <c r="Y63" i="21" s="1"/>
  <c r="Z63" i="21" a="1"/>
  <c r="Z63" i="21" s="1"/>
  <c r="AA63" i="21" a="1"/>
  <c r="AA63" i="21" s="1"/>
  <c r="AB63" i="21" a="1"/>
  <c r="AB63" i="21" s="1"/>
  <c r="AC63" i="21" a="1"/>
  <c r="AC63" i="21" s="1"/>
  <c r="AD63" i="21" a="1"/>
  <c r="AD63" i="21" s="1"/>
  <c r="AE63" i="21" a="1"/>
  <c r="AE63" i="21" s="1"/>
  <c r="AF63" i="21" a="1"/>
  <c r="AF63" i="21" s="1"/>
  <c r="AG63" i="21" a="1"/>
  <c r="AG63" i="21" s="1"/>
  <c r="AH63" i="21" a="1"/>
  <c r="AH63" i="21" s="1"/>
  <c r="AI63" i="21" a="1"/>
  <c r="AI63" i="21" s="1"/>
  <c r="AJ63" i="21" a="1"/>
  <c r="AJ63" i="21" s="1"/>
  <c r="AK63" i="21" a="1"/>
  <c r="AK63" i="21" s="1"/>
  <c r="AL63" i="21" a="1"/>
  <c r="AL63" i="21" s="1"/>
  <c r="AM63" i="21" a="1"/>
  <c r="AM63" i="21" s="1"/>
  <c r="AN63" i="21" a="1"/>
  <c r="AN63" i="21" s="1"/>
  <c r="AO63" i="21" a="1"/>
  <c r="AO63" i="21" s="1"/>
  <c r="AP63" i="21" a="1"/>
  <c r="AP63" i="21" s="1"/>
  <c r="AQ63" i="21" a="1"/>
  <c r="AQ63" i="21" s="1"/>
  <c r="AR63" i="21" a="1"/>
  <c r="AR63" i="21" s="1"/>
  <c r="AS63" i="21" a="1"/>
  <c r="AS63" i="21" s="1"/>
  <c r="AT63" i="21" a="1"/>
  <c r="AT63" i="21" s="1"/>
  <c r="AU63" i="21" a="1"/>
  <c r="AU63" i="21" s="1"/>
  <c r="AV63" i="21" a="1"/>
  <c r="AV63" i="21" s="1"/>
  <c r="AW63" i="21" a="1"/>
  <c r="AW63" i="21" s="1"/>
  <c r="AX63" i="21" a="1"/>
  <c r="AX63" i="21" s="1"/>
  <c r="AY63" i="21" a="1"/>
  <c r="AY63" i="21" s="1"/>
  <c r="AZ63" i="21" a="1"/>
  <c r="AZ63" i="21" s="1"/>
  <c r="BA63" i="21" a="1"/>
  <c r="BA63" i="21" s="1"/>
  <c r="BB63" i="21" a="1"/>
  <c r="BB63" i="21" s="1"/>
  <c r="BC63" i="21" a="1"/>
  <c r="BC63" i="21" s="1"/>
  <c r="BD63" i="21" a="1"/>
  <c r="BD63" i="21" s="1"/>
  <c r="BE63" i="21" a="1"/>
  <c r="BE63" i="21" s="1"/>
  <c r="BF63" i="21" a="1"/>
  <c r="BF63" i="21" s="1"/>
  <c r="BG63" i="21" a="1"/>
  <c r="BG63" i="21" s="1"/>
  <c r="BH63" i="21" a="1"/>
  <c r="BH63" i="21" s="1"/>
  <c r="BI63" i="21" a="1"/>
  <c r="BI63" i="21" s="1"/>
  <c r="BJ63" i="21" a="1"/>
  <c r="BJ63" i="21" s="1"/>
  <c r="BK63" i="21" a="1"/>
  <c r="BK63" i="21" s="1"/>
  <c r="BL63" i="21" a="1"/>
  <c r="BL63" i="21" s="1"/>
  <c r="BM63" i="21" a="1"/>
  <c r="BM63" i="21" s="1"/>
  <c r="BN63" i="21" a="1"/>
  <c r="BN63" i="21" s="1"/>
  <c r="BO63" i="21" a="1"/>
  <c r="BO63" i="21" s="1"/>
  <c r="BP63" i="21" a="1"/>
  <c r="BP63" i="21" s="1"/>
  <c r="BQ63" i="21" a="1"/>
  <c r="BQ63" i="21" s="1"/>
  <c r="BR63" i="21" a="1"/>
  <c r="BR63" i="21" s="1"/>
  <c r="BS63" i="21" a="1"/>
  <c r="BS63" i="21" s="1"/>
  <c r="BT63" i="21" a="1"/>
  <c r="BT63" i="21" s="1"/>
  <c r="BU63" i="21" a="1"/>
  <c r="BU63" i="21" s="1"/>
  <c r="BV63" i="21" a="1"/>
  <c r="BV63" i="21" s="1"/>
  <c r="BW63" i="21" a="1"/>
  <c r="BW63" i="21" s="1"/>
  <c r="BX63" i="21" a="1"/>
  <c r="BX63" i="21" s="1"/>
  <c r="BY63" i="21" a="1"/>
  <c r="BY63" i="21" s="1"/>
  <c r="BZ63" i="21" a="1"/>
  <c r="BZ63" i="21" s="1"/>
  <c r="CA63" i="21" a="1"/>
  <c r="CA63" i="21" s="1"/>
  <c r="CB63" i="21" a="1"/>
  <c r="CB63" i="21" s="1"/>
  <c r="CC63" i="21" a="1"/>
  <c r="CC63" i="21" s="1"/>
  <c r="CD63" i="21" a="1"/>
  <c r="CD63" i="21" s="1"/>
  <c r="CE63" i="21" a="1"/>
  <c r="CE63" i="21" s="1"/>
  <c r="CF63" i="21" a="1"/>
  <c r="CF63" i="21" s="1"/>
  <c r="CG63" i="21" a="1"/>
  <c r="CG63" i="21" s="1"/>
  <c r="CH63" i="21" a="1"/>
  <c r="CH63" i="21" s="1"/>
  <c r="CI63" i="21" a="1"/>
  <c r="CI63" i="21" s="1"/>
  <c r="CJ63" i="21" a="1"/>
  <c r="CJ63" i="21" s="1"/>
  <c r="CK63" i="21" a="1"/>
  <c r="CK63" i="21" s="1"/>
  <c r="CL63" i="21" a="1"/>
  <c r="CL63" i="21" s="1"/>
  <c r="CM63" i="21" a="1"/>
  <c r="CM63" i="21" s="1"/>
  <c r="CN63" i="21" a="1"/>
  <c r="CN63" i="21" s="1"/>
  <c r="CO63" i="21" a="1"/>
  <c r="CO63" i="21" s="1"/>
  <c r="CP63" i="21" a="1"/>
  <c r="CP63" i="21" s="1"/>
  <c r="CQ63" i="21" a="1"/>
  <c r="CQ63" i="21" s="1"/>
  <c r="CR63" i="21" a="1"/>
  <c r="CR63" i="21" s="1"/>
  <c r="CS63" i="21" a="1"/>
  <c r="CS63" i="21" s="1"/>
  <c r="CT63" i="21" a="1"/>
  <c r="CT63" i="21" s="1"/>
  <c r="CU63" i="21" a="1"/>
  <c r="CU63" i="21" s="1"/>
  <c r="CV63" i="21" a="1"/>
  <c r="CV63" i="21" s="1"/>
  <c r="CW63" i="21" a="1"/>
  <c r="CW63" i="21" s="1"/>
  <c r="S64" i="21" a="1"/>
  <c r="S64" i="21" s="1"/>
  <c r="T64" i="21" a="1"/>
  <c r="T64" i="21" s="1"/>
  <c r="U64" i="21" a="1"/>
  <c r="U64" i="21" s="1"/>
  <c r="V64" i="21" a="1"/>
  <c r="V64" i="21" s="1"/>
  <c r="W64" i="21" a="1"/>
  <c r="W64" i="21" s="1"/>
  <c r="X64" i="21" a="1"/>
  <c r="X64" i="21" s="1"/>
  <c r="Y64" i="21" a="1"/>
  <c r="Y64" i="21" s="1"/>
  <c r="Z64" i="21" a="1"/>
  <c r="Z64" i="21" s="1"/>
  <c r="AA64" i="21" a="1"/>
  <c r="AA64" i="21" s="1"/>
  <c r="AB64" i="21" a="1"/>
  <c r="AB64" i="21" s="1"/>
  <c r="AC64" i="21" a="1"/>
  <c r="AC64" i="21" s="1"/>
  <c r="AD64" i="21" a="1"/>
  <c r="AD64" i="21" s="1"/>
  <c r="AE64" i="21" a="1"/>
  <c r="AE64" i="21" s="1"/>
  <c r="AF64" i="21" a="1"/>
  <c r="AF64" i="21" s="1"/>
  <c r="AG64" i="21" a="1"/>
  <c r="AG64" i="21" s="1"/>
  <c r="AH64" i="21" a="1"/>
  <c r="AH64" i="21" s="1"/>
  <c r="AI64" i="21" a="1"/>
  <c r="AI64" i="21" s="1"/>
  <c r="AJ64" i="21" a="1"/>
  <c r="AJ64" i="21" s="1"/>
  <c r="AK64" i="21" a="1"/>
  <c r="AK64" i="21" s="1"/>
  <c r="AL64" i="21" a="1"/>
  <c r="AL64" i="21" s="1"/>
  <c r="AM64" i="21" a="1"/>
  <c r="AM64" i="21" s="1"/>
  <c r="AN64" i="21" a="1"/>
  <c r="AN64" i="21" s="1"/>
  <c r="AO64" i="21" a="1"/>
  <c r="AO64" i="21" s="1"/>
  <c r="AP64" i="21" a="1"/>
  <c r="AP64" i="21" s="1"/>
  <c r="AQ64" i="21" a="1"/>
  <c r="AQ64" i="21" s="1"/>
  <c r="AR64" i="21" a="1"/>
  <c r="AR64" i="21" s="1"/>
  <c r="AS64" i="21" a="1"/>
  <c r="AS64" i="21" s="1"/>
  <c r="AT64" i="21" a="1"/>
  <c r="AT64" i="21" s="1"/>
  <c r="AU64" i="21" a="1"/>
  <c r="AU64" i="21" s="1"/>
  <c r="AV64" i="21" a="1"/>
  <c r="AV64" i="21" s="1"/>
  <c r="AW64" i="21" a="1"/>
  <c r="AW64" i="21" s="1"/>
  <c r="AX64" i="21" a="1"/>
  <c r="AX64" i="21" s="1"/>
  <c r="AY64" i="21" a="1"/>
  <c r="AY64" i="21" s="1"/>
  <c r="AZ64" i="21" a="1"/>
  <c r="AZ64" i="21" s="1"/>
  <c r="BA64" i="21" a="1"/>
  <c r="BA64" i="21" s="1"/>
  <c r="BB64" i="21" a="1"/>
  <c r="BB64" i="21" s="1"/>
  <c r="BC64" i="21" a="1"/>
  <c r="BC64" i="21" s="1"/>
  <c r="BD64" i="21" a="1"/>
  <c r="BD64" i="21" s="1"/>
  <c r="BE64" i="21" a="1"/>
  <c r="BE64" i="21" s="1"/>
  <c r="BF64" i="21" a="1"/>
  <c r="BF64" i="21" s="1"/>
  <c r="BG64" i="21" a="1"/>
  <c r="BG64" i="21" s="1"/>
  <c r="BH64" i="21" a="1"/>
  <c r="BH64" i="21" s="1"/>
  <c r="BI64" i="21" a="1"/>
  <c r="BI64" i="21" s="1"/>
  <c r="BJ64" i="21" a="1"/>
  <c r="BJ64" i="21" s="1"/>
  <c r="BK64" i="21" a="1"/>
  <c r="BK64" i="21" s="1"/>
  <c r="BL64" i="21" a="1"/>
  <c r="BL64" i="21" s="1"/>
  <c r="BM64" i="21" a="1"/>
  <c r="BM64" i="21" s="1"/>
  <c r="BN64" i="21" a="1"/>
  <c r="BN64" i="21" s="1"/>
  <c r="BO64" i="21" a="1"/>
  <c r="BO64" i="21" s="1"/>
  <c r="BP64" i="21" a="1"/>
  <c r="BP64" i="21" s="1"/>
  <c r="BQ64" i="21" a="1"/>
  <c r="BQ64" i="21" s="1"/>
  <c r="BR64" i="21" a="1"/>
  <c r="BR64" i="21" s="1"/>
  <c r="BS64" i="21" a="1"/>
  <c r="BS64" i="21" s="1"/>
  <c r="BT64" i="21" a="1"/>
  <c r="BT64" i="21" s="1"/>
  <c r="BU64" i="21" a="1"/>
  <c r="BU64" i="21" s="1"/>
  <c r="BV64" i="21" a="1"/>
  <c r="BV64" i="21" s="1"/>
  <c r="BW64" i="21" a="1"/>
  <c r="BW64" i="21" s="1"/>
  <c r="BX64" i="21" a="1"/>
  <c r="BX64" i="21" s="1"/>
  <c r="BY64" i="21" a="1"/>
  <c r="BY64" i="21" s="1"/>
  <c r="BZ64" i="21" a="1"/>
  <c r="BZ64" i="21" s="1"/>
  <c r="CA64" i="21" a="1"/>
  <c r="CA64" i="21" s="1"/>
  <c r="CB64" i="21" a="1"/>
  <c r="CB64" i="21" s="1"/>
  <c r="CC64" i="21" a="1"/>
  <c r="CC64" i="21" s="1"/>
  <c r="CD64" i="21" a="1"/>
  <c r="CD64" i="21" s="1"/>
  <c r="CE64" i="21" a="1"/>
  <c r="CE64" i="21" s="1"/>
  <c r="CF64" i="21" a="1"/>
  <c r="CF64" i="21" s="1"/>
  <c r="CG64" i="21" a="1"/>
  <c r="CG64" i="21" s="1"/>
  <c r="CH64" i="21" a="1"/>
  <c r="CH64" i="21" s="1"/>
  <c r="CI64" i="21" a="1"/>
  <c r="CI64" i="21" s="1"/>
  <c r="CJ64" i="21" a="1"/>
  <c r="CJ64" i="21" s="1"/>
  <c r="CK64" i="21" a="1"/>
  <c r="CK64" i="21" s="1"/>
  <c r="CL64" i="21" a="1"/>
  <c r="CL64" i="21" s="1"/>
  <c r="CM64" i="21" a="1"/>
  <c r="CM64" i="21" s="1"/>
  <c r="CN64" i="21" a="1"/>
  <c r="CN64" i="21" s="1"/>
  <c r="CO64" i="21" a="1"/>
  <c r="CO64" i="21" s="1"/>
  <c r="CP64" i="21" a="1"/>
  <c r="CP64" i="21" s="1"/>
  <c r="CQ64" i="21" a="1"/>
  <c r="CQ64" i="21" s="1"/>
  <c r="CR64" i="21" a="1"/>
  <c r="CR64" i="21" s="1"/>
  <c r="CS64" i="21" a="1"/>
  <c r="CS64" i="21" s="1"/>
  <c r="CT64" i="21" a="1"/>
  <c r="CT64" i="21" s="1"/>
  <c r="CU64" i="21" a="1"/>
  <c r="CU64" i="21" s="1"/>
  <c r="CV64" i="21" a="1"/>
  <c r="CV64" i="21" s="1"/>
  <c r="CW64" i="21" a="1"/>
  <c r="CW64" i="21" s="1"/>
  <c r="AU2" i="21" a="1"/>
  <c r="AU2" i="21" s="1"/>
  <c r="AV2" i="21" a="1"/>
  <c r="AV2" i="21" s="1"/>
  <c r="AW2" i="21" a="1"/>
  <c r="AW2" i="21" s="1"/>
  <c r="AX2" i="21" a="1"/>
  <c r="AX2" i="21" s="1"/>
  <c r="AY2" i="21" a="1"/>
  <c r="AY2" i="21" s="1"/>
  <c r="AZ2" i="21" a="1"/>
  <c r="AZ2" i="21" s="1"/>
  <c r="BA2" i="21" a="1"/>
  <c r="BA2" i="21" s="1"/>
  <c r="BB2" i="21" a="1"/>
  <c r="BB2" i="21" s="1"/>
  <c r="BC2" i="21" a="1"/>
  <c r="BC2" i="21" s="1"/>
  <c r="BD2" i="21" a="1"/>
  <c r="BD2" i="21" s="1"/>
  <c r="BE2" i="21" a="1"/>
  <c r="BE2" i="21" s="1"/>
  <c r="BF2" i="21" a="1"/>
  <c r="BF2" i="21" s="1"/>
  <c r="BG2" i="21" a="1"/>
  <c r="BG2" i="21" s="1"/>
  <c r="BH2" i="21" a="1"/>
  <c r="BH2" i="21" s="1"/>
  <c r="BI2" i="21" a="1"/>
  <c r="BI2" i="21" s="1"/>
  <c r="BJ2" i="21" a="1"/>
  <c r="BJ2" i="21" s="1"/>
  <c r="BK2" i="21" a="1"/>
  <c r="BK2" i="21" s="1"/>
  <c r="BL2" i="21" a="1"/>
  <c r="BL2" i="21" s="1"/>
  <c r="BM2" i="21" a="1"/>
  <c r="BM2" i="21" s="1"/>
  <c r="BN2" i="21" a="1"/>
  <c r="BN2" i="21" s="1"/>
  <c r="BO2" i="21" a="1"/>
  <c r="BO2" i="21" s="1"/>
  <c r="BP2" i="21" a="1"/>
  <c r="BP2" i="21" s="1"/>
  <c r="BQ2" i="21" a="1"/>
  <c r="BQ2" i="21" s="1"/>
  <c r="BR2" i="21" a="1"/>
  <c r="BR2" i="21" s="1"/>
  <c r="BS2" i="21" a="1"/>
  <c r="BS2" i="21" s="1"/>
  <c r="BT2" i="21" a="1"/>
  <c r="BT2" i="21" s="1"/>
  <c r="BU2" i="21" a="1"/>
  <c r="BU2" i="21" s="1"/>
  <c r="BV2" i="21" a="1"/>
  <c r="BV2" i="21" s="1"/>
  <c r="BW2" i="21" a="1"/>
  <c r="BW2" i="21" s="1"/>
  <c r="BX2" i="21" a="1"/>
  <c r="BX2" i="21" s="1"/>
  <c r="BY2" i="21" a="1"/>
  <c r="BY2" i="21" s="1"/>
  <c r="BZ2" i="21" a="1"/>
  <c r="BZ2" i="21" s="1"/>
  <c r="CA2" i="21" a="1"/>
  <c r="CA2" i="21" s="1"/>
  <c r="CB2" i="21" a="1"/>
  <c r="CB2" i="21" s="1"/>
  <c r="CC2" i="21" a="1"/>
  <c r="CC2" i="21" s="1"/>
  <c r="CD2" i="21" a="1"/>
  <c r="CD2" i="21" s="1"/>
  <c r="CE2" i="21" a="1"/>
  <c r="CE2" i="21" s="1"/>
  <c r="CF2" i="21" a="1"/>
  <c r="CF2" i="21" s="1"/>
  <c r="CG2" i="21" a="1"/>
  <c r="CG2" i="21" s="1"/>
  <c r="CH2" i="21" a="1"/>
  <c r="CH2" i="21" s="1"/>
  <c r="CI2" i="21" a="1"/>
  <c r="CI2" i="21" s="1"/>
  <c r="CJ2" i="21" a="1"/>
  <c r="CJ2" i="21" s="1"/>
  <c r="CK2" i="21" a="1"/>
  <c r="CK2" i="21" s="1"/>
  <c r="CL2" i="21" a="1"/>
  <c r="CL2" i="21" s="1"/>
  <c r="CM2" i="21" a="1"/>
  <c r="CM2" i="21" s="1"/>
  <c r="CN2" i="21" a="1"/>
  <c r="CN2" i="21" s="1"/>
  <c r="CO2" i="21" a="1"/>
  <c r="CO2" i="21" s="1"/>
  <c r="CP2" i="21" a="1"/>
  <c r="CP2" i="21" s="1"/>
  <c r="CQ2" i="21" a="1"/>
  <c r="CQ2" i="21" s="1"/>
  <c r="CR2" i="21" a="1"/>
  <c r="CR2" i="21" s="1"/>
  <c r="CS2" i="21" a="1"/>
  <c r="CS2" i="21" s="1"/>
  <c r="CT2" i="21" a="1"/>
  <c r="CT2" i="21" s="1"/>
  <c r="CU2" i="21" a="1"/>
  <c r="CU2" i="21" s="1"/>
  <c r="CV2" i="21" a="1"/>
  <c r="CV2" i="21" s="1"/>
  <c r="CW2" i="21" a="1"/>
  <c r="CW2" i="21" s="1"/>
  <c r="AU3" i="21" a="1"/>
  <c r="AU3" i="21" s="1"/>
  <c r="AV3" i="21" a="1"/>
  <c r="AV3" i="21" s="1"/>
  <c r="AW3" i="21" a="1"/>
  <c r="AW3" i="21" s="1"/>
  <c r="AX3" i="21" a="1"/>
  <c r="AX3" i="21" s="1"/>
  <c r="AY3" i="21" a="1"/>
  <c r="AY3" i="21" s="1"/>
  <c r="AZ3" i="21" a="1"/>
  <c r="AZ3" i="21" s="1"/>
  <c r="BA3" i="21" a="1"/>
  <c r="BA3" i="21" s="1"/>
  <c r="BB3" i="21" a="1"/>
  <c r="BB3" i="21" s="1"/>
  <c r="BC3" i="21" a="1"/>
  <c r="BC3" i="21" s="1"/>
  <c r="BD3" i="21" a="1"/>
  <c r="BD3" i="21" s="1"/>
  <c r="BE3" i="21" a="1"/>
  <c r="BE3" i="21" s="1"/>
  <c r="BF3" i="21" a="1"/>
  <c r="BF3" i="21" s="1"/>
  <c r="BG3" i="21" a="1"/>
  <c r="BG3" i="21" s="1"/>
  <c r="BH3" i="21" a="1"/>
  <c r="BH3" i="21" s="1"/>
  <c r="BI3" i="21" a="1"/>
  <c r="BI3" i="21" s="1"/>
  <c r="BJ3" i="21" a="1"/>
  <c r="BJ3" i="21" s="1"/>
  <c r="BK3" i="21" a="1"/>
  <c r="BK3" i="21" s="1"/>
  <c r="BL3" i="21" a="1"/>
  <c r="BL3" i="21" s="1"/>
  <c r="BM3" i="21" a="1"/>
  <c r="BM3" i="21" s="1"/>
  <c r="BN3" i="21" a="1"/>
  <c r="BN3" i="21" s="1"/>
  <c r="BO3" i="21" a="1"/>
  <c r="BO3" i="21" s="1"/>
  <c r="BP3" i="21" a="1"/>
  <c r="BP3" i="21" s="1"/>
  <c r="BQ3" i="21" a="1"/>
  <c r="BQ3" i="21" s="1"/>
  <c r="BR3" i="21" a="1"/>
  <c r="BR3" i="21" s="1"/>
  <c r="BS3" i="21" a="1"/>
  <c r="BS3" i="21" s="1"/>
  <c r="BT3" i="21" a="1"/>
  <c r="BT3" i="21" s="1"/>
  <c r="BU3" i="21" a="1"/>
  <c r="BU3" i="21" s="1"/>
  <c r="BV3" i="21" a="1"/>
  <c r="BV3" i="21" s="1"/>
  <c r="BW3" i="21" a="1"/>
  <c r="BW3" i="21" s="1"/>
  <c r="BX3" i="21" a="1"/>
  <c r="BX3" i="21" s="1"/>
  <c r="BY3" i="21" a="1"/>
  <c r="BY3" i="21" s="1"/>
  <c r="BZ3" i="21" a="1"/>
  <c r="BZ3" i="21" s="1"/>
  <c r="CA3" i="21" a="1"/>
  <c r="CA3" i="21" s="1"/>
  <c r="CB3" i="21" a="1"/>
  <c r="CB3" i="21" s="1"/>
  <c r="CC3" i="21" a="1"/>
  <c r="CC3" i="21" s="1"/>
  <c r="CD3" i="21" a="1"/>
  <c r="CD3" i="21" s="1"/>
  <c r="CE3" i="21" a="1"/>
  <c r="CE3" i="21" s="1"/>
  <c r="CF3" i="21" a="1"/>
  <c r="CF3" i="21" s="1"/>
  <c r="CG3" i="21" a="1"/>
  <c r="CG3" i="21" s="1"/>
  <c r="CH3" i="21" a="1"/>
  <c r="CH3" i="21" s="1"/>
  <c r="CI3" i="21" a="1"/>
  <c r="CI3" i="21" s="1"/>
  <c r="CJ3" i="21" a="1"/>
  <c r="CJ3" i="21" s="1"/>
  <c r="CK3" i="21" a="1"/>
  <c r="CK3" i="21" s="1"/>
  <c r="CL3" i="21" a="1"/>
  <c r="CL3" i="21" s="1"/>
  <c r="CM3" i="21" a="1"/>
  <c r="CM3" i="21" s="1"/>
  <c r="CN3" i="21" a="1"/>
  <c r="CN3" i="21" s="1"/>
  <c r="CO3" i="21" a="1"/>
  <c r="CO3" i="21" s="1"/>
  <c r="CP3" i="21" a="1"/>
  <c r="CP3" i="21" s="1"/>
  <c r="CQ3" i="21" a="1"/>
  <c r="CQ3" i="21" s="1"/>
  <c r="CR3" i="21" a="1"/>
  <c r="CR3" i="21" s="1"/>
  <c r="CS3" i="21" a="1"/>
  <c r="CS3" i="21" s="1"/>
  <c r="CT3" i="21" a="1"/>
  <c r="CT3" i="21" s="1"/>
  <c r="CU3" i="21" a="1"/>
  <c r="CU3" i="21" s="1"/>
  <c r="CV3" i="21" a="1"/>
  <c r="CV3" i="21" s="1"/>
  <c r="CW3" i="21" a="1"/>
  <c r="CW3" i="21" s="1"/>
  <c r="AU5" i="21"/>
  <c r="AV5" i="21"/>
  <c r="AW5" i="21"/>
  <c r="AX5" i="21"/>
  <c r="AY5" i="21"/>
  <c r="AZ5" i="21"/>
  <c r="BA5" i="21"/>
  <c r="BB5" i="21"/>
  <c r="BC5" i="21"/>
  <c r="BD5" i="21"/>
  <c r="BE5" i="21"/>
  <c r="BF5" i="21"/>
  <c r="BG5" i="21"/>
  <c r="BH5" i="21"/>
  <c r="BI5" i="21"/>
  <c r="BJ5" i="21"/>
  <c r="BK5" i="21"/>
  <c r="BL5" i="21"/>
  <c r="BM5" i="21"/>
  <c r="BN5" i="21"/>
  <c r="BO5" i="21"/>
  <c r="BP5" i="21"/>
  <c r="BQ5" i="21"/>
  <c r="BR5" i="21"/>
  <c r="BS5" i="21"/>
  <c r="BT5" i="21"/>
  <c r="BU5" i="21"/>
  <c r="BV5" i="21"/>
  <c r="BW5" i="21"/>
  <c r="BX5" i="21"/>
  <c r="BY5" i="21"/>
  <c r="BZ5" i="21"/>
  <c r="CA5" i="21"/>
  <c r="CB5" i="21"/>
  <c r="CC5" i="21"/>
  <c r="CD5" i="21"/>
  <c r="CE5" i="21"/>
  <c r="CF5" i="21"/>
  <c r="CG5" i="21"/>
  <c r="CH5" i="21"/>
  <c r="CI5" i="21"/>
  <c r="CJ5" i="21"/>
  <c r="CK5" i="21"/>
  <c r="CL5" i="21"/>
  <c r="CM5" i="21"/>
  <c r="CN5" i="21"/>
  <c r="CO5" i="21"/>
  <c r="CP5" i="21"/>
  <c r="CQ5" i="21"/>
  <c r="CR5" i="21"/>
  <c r="CS5" i="21"/>
  <c r="CT5" i="21"/>
  <c r="CU5" i="21"/>
  <c r="CV5" i="21"/>
  <c r="CW5" i="21"/>
  <c r="AU10" i="21" a="1"/>
  <c r="AU10" i="21" s="1"/>
  <c r="AV10" i="21" a="1"/>
  <c r="AV10" i="21" s="1"/>
  <c r="AW10" i="21" a="1"/>
  <c r="AW10" i="21" s="1"/>
  <c r="AX10" i="21" a="1"/>
  <c r="AX10" i="21" s="1"/>
  <c r="AY10" i="21" a="1"/>
  <c r="AY10" i="21" s="1"/>
  <c r="AZ10" i="21" a="1"/>
  <c r="AZ10" i="21" s="1"/>
  <c r="BA10" i="21" a="1"/>
  <c r="BA10" i="21" s="1"/>
  <c r="BB10" i="21" a="1"/>
  <c r="BB10" i="21" s="1"/>
  <c r="BC10" i="21" a="1"/>
  <c r="BC10" i="21" s="1"/>
  <c r="BD10" i="21" a="1"/>
  <c r="BD10" i="21" s="1"/>
  <c r="BE10" i="21" a="1"/>
  <c r="BE10" i="21" s="1"/>
  <c r="BF10" i="21" a="1"/>
  <c r="BF10" i="21" s="1"/>
  <c r="BG10" i="21" a="1"/>
  <c r="BG10" i="21" s="1"/>
  <c r="BH10" i="21" a="1"/>
  <c r="BH10" i="21" s="1"/>
  <c r="BI10" i="21" a="1"/>
  <c r="BI10" i="21" s="1"/>
  <c r="BJ10" i="21" a="1"/>
  <c r="BJ10" i="21" s="1"/>
  <c r="BK10" i="21" a="1"/>
  <c r="BK10" i="21" s="1"/>
  <c r="BL10" i="21" a="1"/>
  <c r="BL10" i="21" s="1"/>
  <c r="BM10" i="21" a="1"/>
  <c r="BM10" i="21" s="1"/>
  <c r="BN10" i="21" a="1"/>
  <c r="BN10" i="21" s="1"/>
  <c r="BO10" i="21" a="1"/>
  <c r="BO10" i="21" s="1"/>
  <c r="BP10" i="21" a="1"/>
  <c r="BP10" i="21" s="1"/>
  <c r="BQ10" i="21" a="1"/>
  <c r="BQ10" i="21" s="1"/>
  <c r="BR10" i="21" a="1"/>
  <c r="BR10" i="21" s="1"/>
  <c r="BS10" i="21" a="1"/>
  <c r="BS10" i="21" s="1"/>
  <c r="BT10" i="21" a="1"/>
  <c r="BT10" i="21" s="1"/>
  <c r="BU10" i="21" a="1"/>
  <c r="BU10" i="21" s="1"/>
  <c r="BV10" i="21" a="1"/>
  <c r="BV10" i="21" s="1"/>
  <c r="BW10" i="21" a="1"/>
  <c r="BW10" i="21" s="1"/>
  <c r="BX10" i="21" a="1"/>
  <c r="BX10" i="21" s="1"/>
  <c r="BY10" i="21" a="1"/>
  <c r="BY10" i="21" s="1"/>
  <c r="BZ10" i="21" a="1"/>
  <c r="BZ10" i="21" s="1"/>
  <c r="CA10" i="21" a="1"/>
  <c r="CA10" i="21" s="1"/>
  <c r="CB10" i="21" a="1"/>
  <c r="CB10" i="21" s="1"/>
  <c r="CC10" i="21" a="1"/>
  <c r="CC10" i="21" s="1"/>
  <c r="CD10" i="21" a="1"/>
  <c r="CD10" i="21" s="1"/>
  <c r="CE10" i="21" a="1"/>
  <c r="CE10" i="21" s="1"/>
  <c r="CF10" i="21" a="1"/>
  <c r="CF10" i="21" s="1"/>
  <c r="CG10" i="21" a="1"/>
  <c r="CG10" i="21" s="1"/>
  <c r="CH10" i="21" a="1"/>
  <c r="CH10" i="21" s="1"/>
  <c r="CI10" i="21" a="1"/>
  <c r="CI10" i="21" s="1"/>
  <c r="CJ10" i="21" a="1"/>
  <c r="CJ10" i="21" s="1"/>
  <c r="CK10" i="21" a="1"/>
  <c r="CK10" i="21" s="1"/>
  <c r="CL10" i="21" a="1"/>
  <c r="CL10" i="21" s="1"/>
  <c r="CM10" i="21" a="1"/>
  <c r="CM10" i="21" s="1"/>
  <c r="CN10" i="21" a="1"/>
  <c r="CN10" i="21" s="1"/>
  <c r="CO10" i="21" a="1"/>
  <c r="CO10" i="21" s="1"/>
  <c r="CP10" i="21" a="1"/>
  <c r="CP10" i="21" s="1"/>
  <c r="CQ10" i="21" a="1"/>
  <c r="CQ10" i="21" s="1"/>
  <c r="CR10" i="21" a="1"/>
  <c r="CR10" i="21" s="1"/>
  <c r="CS10" i="21" a="1"/>
  <c r="CS10" i="21" s="1"/>
  <c r="CT10" i="21" a="1"/>
  <c r="CT10" i="21" s="1"/>
  <c r="CU10" i="21" a="1"/>
  <c r="CU10" i="21" s="1"/>
  <c r="CV10" i="21" a="1"/>
  <c r="CV10" i="21" s="1"/>
  <c r="CW10" i="21" a="1"/>
  <c r="CW10" i="21" s="1"/>
  <c r="BP1" i="21" a="1"/>
  <c r="BP1" i="21" s="1"/>
  <c r="BQ1" i="21" a="1"/>
  <c r="BQ1" i="21" s="1"/>
  <c r="BR1" i="21" a="1"/>
  <c r="BR1" i="21" s="1"/>
  <c r="BS1" i="21" a="1"/>
  <c r="BS1" i="21" s="1"/>
  <c r="BT1" i="21" a="1"/>
  <c r="BT1" i="21" s="1"/>
  <c r="BU1" i="21" a="1"/>
  <c r="BU1" i="21" s="1"/>
  <c r="BV1" i="21" a="1"/>
  <c r="BV1" i="21" s="1"/>
  <c r="BW1" i="21" a="1"/>
  <c r="BW1" i="21" s="1"/>
  <c r="BX1" i="21" a="1"/>
  <c r="BX1" i="21" s="1"/>
  <c r="BY1" i="21" a="1"/>
  <c r="BY1" i="21" s="1"/>
  <c r="BZ1" i="21" a="1"/>
  <c r="BZ1" i="21" s="1"/>
  <c r="CA1" i="21" a="1"/>
  <c r="CA1" i="21" s="1"/>
  <c r="CB1" i="21" a="1"/>
  <c r="CB1" i="21" s="1"/>
  <c r="CC1" i="21" a="1"/>
  <c r="CC1" i="21" s="1"/>
  <c r="CD1" i="21" a="1"/>
  <c r="CD1" i="21" s="1"/>
  <c r="CE1" i="21" a="1"/>
  <c r="CE1" i="21" s="1"/>
  <c r="CF1" i="21" a="1"/>
  <c r="CF1" i="21" s="1"/>
  <c r="CG1" i="21" a="1"/>
  <c r="CG1" i="21" s="1"/>
  <c r="CH1" i="21" a="1"/>
  <c r="CH1" i="21" s="1"/>
  <c r="CI1" i="21" a="1"/>
  <c r="CI1" i="21" s="1"/>
  <c r="CJ1" i="21" a="1"/>
  <c r="CJ1" i="21" s="1"/>
  <c r="CK1" i="21" a="1"/>
  <c r="CK1" i="21" s="1"/>
  <c r="CL1" i="21" a="1"/>
  <c r="CL1" i="21" s="1"/>
  <c r="CM1" i="21" a="1"/>
  <c r="CM1" i="21" s="1"/>
  <c r="CN1" i="21" a="1"/>
  <c r="CN1" i="21" s="1"/>
  <c r="CO1" i="21" a="1"/>
  <c r="CO1" i="21" s="1"/>
  <c r="CP1" i="21" a="1"/>
  <c r="CP1" i="21" s="1"/>
  <c r="CQ1" i="21" a="1"/>
  <c r="CQ1" i="21" s="1"/>
  <c r="CR1" i="21" a="1"/>
  <c r="CR1" i="21" s="1"/>
  <c r="CS1" i="21" a="1"/>
  <c r="CS1" i="21" s="1"/>
  <c r="CT1" i="21" a="1"/>
  <c r="CT1" i="21" s="1"/>
  <c r="CU1" i="21" a="1"/>
  <c r="CU1" i="21" s="1"/>
  <c r="CV1" i="21" a="1"/>
  <c r="CV1" i="21" s="1"/>
  <c r="CW1" i="21" a="1"/>
  <c r="CW1" i="21" s="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N1" i="21" a="1"/>
  <c r="N1" i="21" s="1"/>
  <c r="O1" i="21" a="1"/>
  <c r="O1" i="21" s="1"/>
  <c r="P1" i="21" a="1"/>
  <c r="P1" i="21" s="1"/>
  <c r="Q1" i="21" a="1"/>
  <c r="Q1" i="21" s="1"/>
  <c r="R1" i="21" a="1"/>
  <c r="R1" i="21" s="1"/>
  <c r="S1" i="21" a="1"/>
  <c r="S1" i="21" s="1"/>
  <c r="T1" i="21" a="1"/>
  <c r="T1" i="21" s="1"/>
  <c r="U1" i="21" a="1"/>
  <c r="U1" i="21" s="1"/>
  <c r="V1" i="21" a="1"/>
  <c r="V1" i="21" s="1"/>
  <c r="W1" i="21" a="1"/>
  <c r="W1" i="21" s="1"/>
  <c r="X1" i="21" a="1"/>
  <c r="X1" i="21" s="1"/>
  <c r="Y1" i="21" a="1"/>
  <c r="Y1" i="21" s="1"/>
  <c r="Z1" i="21" a="1"/>
  <c r="Z1" i="21" s="1"/>
  <c r="AA1" i="21" a="1"/>
  <c r="AA1" i="21" s="1"/>
  <c r="AB1" i="21" a="1"/>
  <c r="AB1" i="21" s="1"/>
  <c r="AC1" i="21" a="1"/>
  <c r="AC1" i="21" s="1"/>
  <c r="AD1" i="21" a="1"/>
  <c r="AD1" i="21" s="1"/>
  <c r="AE1" i="21" a="1"/>
  <c r="AE1" i="21" s="1"/>
  <c r="AF1" i="21" a="1"/>
  <c r="AF1" i="21" s="1"/>
  <c r="AG1" i="21" a="1"/>
  <c r="AG1" i="21" s="1"/>
  <c r="AH1" i="21" a="1"/>
  <c r="AH1" i="21" s="1"/>
  <c r="AI1" i="21" a="1"/>
  <c r="AI1" i="21" s="1"/>
  <c r="AJ1" i="21" a="1"/>
  <c r="AJ1" i="21" s="1"/>
  <c r="AK1" i="21" a="1"/>
  <c r="AK1" i="21" s="1"/>
  <c r="AL1" i="21" a="1"/>
  <c r="AL1" i="21" s="1"/>
  <c r="AM1" i="21" a="1"/>
  <c r="AM1" i="21" s="1"/>
  <c r="AN1" i="21" a="1"/>
  <c r="AN1" i="21" s="1"/>
  <c r="AO1" i="21" a="1"/>
  <c r="AO1" i="21" s="1"/>
  <c r="AP1" i="21" a="1"/>
  <c r="AP1" i="21" s="1"/>
  <c r="AQ1" i="21" a="1"/>
  <c r="AQ1" i="21" s="1"/>
  <c r="AR1" i="21" a="1"/>
  <c r="AR1" i="21" s="1"/>
  <c r="AS1" i="21" a="1"/>
  <c r="AS1" i="21" s="1"/>
  <c r="AT1" i="21" a="1"/>
  <c r="AT1" i="21" s="1"/>
  <c r="AU1" i="21" a="1"/>
  <c r="AU1" i="21" s="1"/>
  <c r="AV1" i="21" a="1"/>
  <c r="AV1" i="21" s="1"/>
  <c r="AW1" i="21" a="1"/>
  <c r="AW1" i="21" s="1"/>
  <c r="AX1" i="21" a="1"/>
  <c r="AX1" i="21" s="1"/>
  <c r="AY1" i="21" a="1"/>
  <c r="AY1" i="21" s="1"/>
  <c r="AZ1" i="21" a="1"/>
  <c r="AZ1" i="21" s="1"/>
  <c r="BA1" i="21" a="1"/>
  <c r="BA1" i="21" s="1"/>
  <c r="BB1" i="21" a="1"/>
  <c r="BB1" i="21" s="1"/>
  <c r="BC1" i="21" a="1"/>
  <c r="BC1" i="21" s="1"/>
  <c r="BD1" i="21" a="1"/>
  <c r="BD1" i="21" s="1"/>
  <c r="BE1" i="21" a="1"/>
  <c r="BE1" i="21" s="1"/>
  <c r="BF1" i="21" a="1"/>
  <c r="BF1" i="21" s="1"/>
  <c r="BG1" i="21" a="1"/>
  <c r="BG1" i="21" s="1"/>
  <c r="BH1" i="21" a="1"/>
  <c r="BH1" i="21" s="1"/>
  <c r="BI1" i="21" a="1"/>
  <c r="BI1" i="21" s="1"/>
  <c r="BJ1" i="21" a="1"/>
  <c r="BJ1" i="21" s="1"/>
  <c r="BK1" i="21" a="1"/>
  <c r="BK1" i="21" s="1"/>
  <c r="BL1" i="21" a="1"/>
  <c r="BL1" i="21" s="1"/>
  <c r="BM1" i="21" a="1"/>
  <c r="BM1" i="21" s="1"/>
  <c r="BN1" i="21" a="1"/>
  <c r="BN1" i="21" s="1"/>
  <c r="BO1" i="21" a="1"/>
  <c r="BO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N2" i="21" a="1"/>
  <c r="N2" i="21" s="1"/>
  <c r="O2" i="21" a="1"/>
  <c r="O2" i="21" s="1"/>
  <c r="P2" i="21" a="1"/>
  <c r="P2" i="21" s="1"/>
  <c r="Q2" i="21" a="1"/>
  <c r="Q2" i="21" s="1"/>
  <c r="R2" i="21" a="1"/>
  <c r="R2" i="21" s="1"/>
  <c r="S2" i="21" a="1"/>
  <c r="S2" i="21" s="1"/>
  <c r="T2" i="21" a="1"/>
  <c r="T2" i="21" s="1"/>
  <c r="U2" i="21" a="1"/>
  <c r="U2" i="21" s="1"/>
  <c r="V2" i="21" a="1"/>
  <c r="V2" i="21" s="1"/>
  <c r="W2" i="21" a="1"/>
  <c r="W2" i="21" s="1"/>
  <c r="X2" i="21" a="1"/>
  <c r="X2" i="21" s="1"/>
  <c r="Y2" i="21" a="1"/>
  <c r="Y2" i="21" s="1"/>
  <c r="Z2" i="21" a="1"/>
  <c r="Z2" i="21" s="1"/>
  <c r="AA2" i="21" a="1"/>
  <c r="AA2" i="21" s="1"/>
  <c r="AB2" i="21" a="1"/>
  <c r="AB2" i="21" s="1"/>
  <c r="AC2" i="21" a="1"/>
  <c r="AC2" i="21" s="1"/>
  <c r="AD2" i="21" a="1"/>
  <c r="AD2" i="21" s="1"/>
  <c r="AE2" i="21" a="1"/>
  <c r="AE2" i="21" s="1"/>
  <c r="AF2" i="21" a="1"/>
  <c r="AF2" i="21" s="1"/>
  <c r="AG2" i="21" a="1"/>
  <c r="AG2" i="21" s="1"/>
  <c r="AH2" i="21" a="1"/>
  <c r="AH2" i="21" s="1"/>
  <c r="AI2" i="21" a="1"/>
  <c r="AI2" i="21" s="1"/>
  <c r="AJ2" i="21" a="1"/>
  <c r="AJ2" i="21" s="1"/>
  <c r="AK2" i="21" a="1"/>
  <c r="AK2" i="21" s="1"/>
  <c r="AL2" i="21" a="1"/>
  <c r="AL2" i="21" s="1"/>
  <c r="AM2" i="21" a="1"/>
  <c r="AM2" i="21" s="1"/>
  <c r="AN2" i="21" a="1"/>
  <c r="AN2" i="21" s="1"/>
  <c r="AO2" i="21" a="1"/>
  <c r="AO2" i="21" s="1"/>
  <c r="AP2" i="21" a="1"/>
  <c r="AP2" i="21" s="1"/>
  <c r="AQ2" i="21" a="1"/>
  <c r="AQ2" i="21" s="1"/>
  <c r="AR2" i="21" a="1"/>
  <c r="AR2" i="21" s="1"/>
  <c r="AS2" i="21" a="1"/>
  <c r="AS2" i="21" s="1"/>
  <c r="AT2" i="21" a="1"/>
  <c r="AT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N3" i="21" a="1"/>
  <c r="N3" i="21" s="1"/>
  <c r="O3" i="21" a="1"/>
  <c r="O3" i="21" s="1"/>
  <c r="P3" i="21" a="1"/>
  <c r="P3" i="21" s="1"/>
  <c r="Q3" i="21" a="1"/>
  <c r="Q3" i="21" s="1"/>
  <c r="R3" i="21" a="1"/>
  <c r="R3" i="21" s="1"/>
  <c r="S3" i="21" a="1"/>
  <c r="S3" i="21" s="1"/>
  <c r="T3" i="21" a="1"/>
  <c r="T3" i="21" s="1"/>
  <c r="U3" i="21" a="1"/>
  <c r="U3" i="21" s="1"/>
  <c r="V3" i="21" a="1"/>
  <c r="V3" i="21" s="1"/>
  <c r="W3" i="21" a="1"/>
  <c r="W3" i="21" s="1"/>
  <c r="X3" i="21" a="1"/>
  <c r="X3" i="21" s="1"/>
  <c r="Y3" i="21" a="1"/>
  <c r="Y3" i="21" s="1"/>
  <c r="Z3" i="21" a="1"/>
  <c r="Z3" i="21" s="1"/>
  <c r="AA3" i="21" a="1"/>
  <c r="AA3" i="21" s="1"/>
  <c r="AB3" i="21" a="1"/>
  <c r="AB3" i="21" s="1"/>
  <c r="AC3" i="21" a="1"/>
  <c r="AC3" i="21" s="1"/>
  <c r="AD3" i="21" a="1"/>
  <c r="AD3" i="21" s="1"/>
  <c r="AE3" i="21" a="1"/>
  <c r="AE3" i="21" s="1"/>
  <c r="AF3" i="21" a="1"/>
  <c r="AF3" i="21" s="1"/>
  <c r="AG3" i="21" a="1"/>
  <c r="AG3" i="21" s="1"/>
  <c r="AH3" i="21" a="1"/>
  <c r="AH3" i="21" s="1"/>
  <c r="AI3" i="21" a="1"/>
  <c r="AI3" i="21" s="1"/>
  <c r="AJ3" i="21" a="1"/>
  <c r="AJ3" i="21" s="1"/>
  <c r="AK3" i="21" a="1"/>
  <c r="AK3" i="21" s="1"/>
  <c r="AL3" i="21" a="1"/>
  <c r="AL3" i="21" s="1"/>
  <c r="AM3" i="21" a="1"/>
  <c r="AM3" i="21" s="1"/>
  <c r="AN3" i="21" a="1"/>
  <c r="AN3" i="21" s="1"/>
  <c r="AO3" i="21" a="1"/>
  <c r="AO3" i="21" s="1"/>
  <c r="AP3" i="21" a="1"/>
  <c r="AP3" i="21" s="1"/>
  <c r="AQ3" i="21" a="1"/>
  <c r="AQ3" i="21" s="1"/>
  <c r="AR3" i="21" a="1"/>
  <c r="AR3" i="21" s="1"/>
  <c r="AS3" i="21" a="1"/>
  <c r="AS3" i="21" s="1"/>
  <c r="AT3" i="21" a="1"/>
  <c r="AT3" i="21" s="1"/>
  <c r="C5" i="21"/>
  <c r="D5" i="21"/>
  <c r="E5" i="21"/>
  <c r="F5" i="21"/>
  <c r="G5" i="21"/>
  <c r="H5" i="21"/>
  <c r="I5" i="21"/>
  <c r="J5" i="21"/>
  <c r="K5" i="21"/>
  <c r="L5" i="21"/>
  <c r="M5" i="21"/>
  <c r="N5" i="21"/>
  <c r="O5" i="21"/>
  <c r="P5" i="21"/>
  <c r="Q5" i="21"/>
  <c r="R5" i="21"/>
  <c r="S5" i="21"/>
  <c r="T5" i="21"/>
  <c r="U5" i="21"/>
  <c r="V5" i="21"/>
  <c r="W5" i="21"/>
  <c r="X5" i="21"/>
  <c r="Y5" i="21"/>
  <c r="Z5" i="21"/>
  <c r="AA5" i="21"/>
  <c r="AB5" i="21"/>
  <c r="AC5" i="21"/>
  <c r="AD5" i="21"/>
  <c r="AE5" i="21"/>
  <c r="AF5" i="21"/>
  <c r="AG5" i="21"/>
  <c r="AH5" i="21"/>
  <c r="AI5" i="21"/>
  <c r="AJ5" i="21"/>
  <c r="AK5" i="21"/>
  <c r="AL5" i="21"/>
  <c r="AM5" i="21"/>
  <c r="AN5" i="21"/>
  <c r="AO5" i="21"/>
  <c r="AP5" i="21"/>
  <c r="AQ5" i="21"/>
  <c r="AR5" i="21"/>
  <c r="AS5" i="21"/>
  <c r="AT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N10" i="21" a="1"/>
  <c r="N10" i="21" s="1"/>
  <c r="O10" i="21" a="1"/>
  <c r="O10" i="21" s="1"/>
  <c r="P10" i="21" a="1"/>
  <c r="P10" i="21" s="1"/>
  <c r="Q10" i="21" a="1"/>
  <c r="Q10" i="21" s="1"/>
  <c r="R10" i="21" a="1"/>
  <c r="R10" i="21" s="1"/>
  <c r="S10" i="21" a="1"/>
  <c r="S10" i="21" s="1"/>
  <c r="T10" i="21" a="1"/>
  <c r="T10" i="21" s="1"/>
  <c r="U10" i="21" a="1"/>
  <c r="U10" i="21" s="1"/>
  <c r="V10" i="21" a="1"/>
  <c r="V10" i="21" s="1"/>
  <c r="W10" i="21" a="1"/>
  <c r="W10" i="21" s="1"/>
  <c r="X10" i="21" a="1"/>
  <c r="X10" i="21" s="1"/>
  <c r="Y10" i="21" a="1"/>
  <c r="Y10" i="21" s="1"/>
  <c r="Z10" i="21" a="1"/>
  <c r="Z10" i="21" s="1"/>
  <c r="AA10" i="21" a="1"/>
  <c r="AA10" i="21" s="1"/>
  <c r="AB10" i="21" a="1"/>
  <c r="AB10" i="21" s="1"/>
  <c r="AC10" i="21" a="1"/>
  <c r="AC10" i="21" s="1"/>
  <c r="AD10" i="21" a="1"/>
  <c r="AD10" i="21" s="1"/>
  <c r="AE10" i="21" a="1"/>
  <c r="AE10" i="21" s="1"/>
  <c r="AF10" i="21" a="1"/>
  <c r="AF10" i="21" s="1"/>
  <c r="AG10" i="21" a="1"/>
  <c r="AG10" i="21" s="1"/>
  <c r="AH10" i="21" a="1"/>
  <c r="AH10" i="21" s="1"/>
  <c r="AI10" i="21" a="1"/>
  <c r="AI10" i="21" s="1"/>
  <c r="AJ10" i="21" a="1"/>
  <c r="AJ10" i="21" s="1"/>
  <c r="AK10" i="21" a="1"/>
  <c r="AK10" i="21" s="1"/>
  <c r="AL10" i="21" a="1"/>
  <c r="AL10" i="21" s="1"/>
  <c r="AM10" i="21" a="1"/>
  <c r="AM10" i="21" s="1"/>
  <c r="AN10" i="21" a="1"/>
  <c r="AN10" i="21" s="1"/>
  <c r="AO10" i="21" a="1"/>
  <c r="AO10" i="21" s="1"/>
  <c r="AP10" i="21" a="1"/>
  <c r="AP10" i="21" s="1"/>
  <c r="AQ10" i="21" a="1"/>
  <c r="AQ10" i="21" s="1"/>
  <c r="AR10" i="21" a="1"/>
  <c r="AR10" i="21" s="1"/>
  <c r="AS10" i="21" a="1"/>
  <c r="AS10" i="21" s="1"/>
  <c r="AT10" i="21" a="1"/>
  <c r="AT10" i="21" s="1"/>
  <c r="E4" i="21" l="1"/>
  <c r="AF4" i="21"/>
  <c r="P4" i="21"/>
  <c r="T142" i="21"/>
  <c r="AH140" i="21"/>
  <c r="AH142" i="21" s="1"/>
  <c r="N140" i="21"/>
  <c r="N142" i="21" s="1"/>
  <c r="CW142" i="21"/>
  <c r="CS142" i="21"/>
  <c r="BD142" i="21"/>
  <c r="CV142" i="21"/>
  <c r="AJ142" i="21"/>
  <c r="CJ142" i="21"/>
  <c r="BO140" i="21"/>
  <c r="BO142" i="21" s="1"/>
  <c r="AY140" i="21"/>
  <c r="AI140" i="21"/>
  <c r="AI142" i="21" s="1"/>
  <c r="S140" i="21"/>
  <c r="O140" i="21"/>
  <c r="O142" i="21" s="1"/>
  <c r="BH140" i="21"/>
  <c r="BH142" i="21" s="1"/>
  <c r="BR140" i="21"/>
  <c r="BR142" i="21" s="1"/>
  <c r="BN140" i="21"/>
  <c r="BN142" i="21" s="1"/>
  <c r="BJ140" i="21"/>
  <c r="BJ142" i="21" s="1"/>
  <c r="BF140" i="21"/>
  <c r="BF142" i="21" s="1"/>
  <c r="S142" i="21"/>
  <c r="CT142" i="21"/>
  <c r="CP142" i="21"/>
  <c r="CL142" i="21"/>
  <c r="CH142" i="21"/>
  <c r="CD142" i="21"/>
  <c r="BV142" i="21"/>
  <c r="BB140" i="21"/>
  <c r="BB142" i="21" s="1"/>
  <c r="AX140" i="21"/>
  <c r="AX142" i="21" s="1"/>
  <c r="AT140" i="21"/>
  <c r="AT142" i="21" s="1"/>
  <c r="AP140" i="21"/>
  <c r="AP142" i="21" s="1"/>
  <c r="V140" i="21"/>
  <c r="V142" i="21" s="1"/>
  <c r="R140" i="21"/>
  <c r="R142" i="21" s="1"/>
  <c r="AR140" i="21"/>
  <c r="AR142" i="21" s="1"/>
  <c r="CU142" i="21"/>
  <c r="CE142" i="21"/>
  <c r="AY142" i="21"/>
  <c r="BZ142" i="21"/>
  <c r="X140" i="21"/>
  <c r="X142" i="21" s="1"/>
  <c r="CR142" i="21"/>
  <c r="BT142" i="21"/>
  <c r="CQ140" i="21"/>
  <c r="CQ142" i="21" s="1"/>
  <c r="AZ142" i="21"/>
  <c r="AL140" i="21"/>
  <c r="AL142" i="21" s="1"/>
  <c r="Z140" i="21"/>
  <c r="Z142" i="21" s="1"/>
  <c r="AB142" i="21"/>
  <c r="AD140" i="21"/>
  <c r="AD142" i="21" s="1"/>
  <c r="CF142" i="21"/>
  <c r="BX142" i="21"/>
  <c r="BP140" i="21"/>
  <c r="BP142" i="21" s="1"/>
  <c r="AN140" i="21"/>
  <c r="AN142" i="21" s="1"/>
  <c r="CN140" i="21"/>
  <c r="CN142" i="21" s="1"/>
  <c r="CO140" i="21"/>
  <c r="CO142" i="21" s="1"/>
  <c r="CK140" i="21"/>
  <c r="CK142" i="21" s="1"/>
  <c r="CG140" i="21"/>
  <c r="CG142" i="21" s="1"/>
  <c r="CC140" i="21"/>
  <c r="CC142" i="21" s="1"/>
  <c r="BY140" i="21"/>
  <c r="BY142" i="21" s="1"/>
  <c r="BU140" i="21"/>
  <c r="BU142" i="21" s="1"/>
  <c r="BQ140" i="21"/>
  <c r="BQ142" i="21" s="1"/>
  <c r="BM140" i="21"/>
  <c r="BM142" i="21" s="1"/>
  <c r="BI140" i="21"/>
  <c r="BI142" i="21" s="1"/>
  <c r="BE140" i="21"/>
  <c r="BE142" i="21" s="1"/>
  <c r="BA140" i="21"/>
  <c r="BA142" i="21" s="1"/>
  <c r="AW140" i="21"/>
  <c r="AW142" i="21" s="1"/>
  <c r="AS140" i="21"/>
  <c r="AS142" i="21" s="1"/>
  <c r="AO140" i="21"/>
  <c r="AO142" i="21" s="1"/>
  <c r="AK140" i="21"/>
  <c r="AK142" i="21" s="1"/>
  <c r="AG140" i="21"/>
  <c r="AG142" i="21" s="1"/>
  <c r="AC140" i="21"/>
  <c r="AC142" i="21" s="1"/>
  <c r="Y140" i="21"/>
  <c r="Y142" i="21" s="1"/>
  <c r="U140" i="21"/>
  <c r="U142" i="21" s="1"/>
  <c r="Q140" i="21"/>
  <c r="Q142" i="21" s="1"/>
  <c r="CM140" i="21"/>
  <c r="CM142" i="21" s="1"/>
  <c r="CI140" i="21"/>
  <c r="CI142" i="21" s="1"/>
  <c r="CB140" i="21"/>
  <c r="CB142" i="21" s="1"/>
  <c r="BL140" i="21"/>
  <c r="BL142" i="21" s="1"/>
  <c r="AV140" i="21"/>
  <c r="AV142" i="21" s="1"/>
  <c r="AF140" i="21"/>
  <c r="AF142" i="21" s="1"/>
  <c r="P140" i="21"/>
  <c r="P142" i="21" s="1"/>
  <c r="CA140" i="21"/>
  <c r="CA142" i="21" s="1"/>
  <c r="BW140" i="21"/>
  <c r="BW142" i="21" s="1"/>
  <c r="BS140" i="21"/>
  <c r="BS142" i="21" s="1"/>
  <c r="BK140" i="21"/>
  <c r="BK142" i="21" s="1"/>
  <c r="BG140" i="21"/>
  <c r="BG142" i="21" s="1"/>
  <c r="BC140" i="21"/>
  <c r="BC142" i="21" s="1"/>
  <c r="AU140" i="21"/>
  <c r="AU142" i="21" s="1"/>
  <c r="AQ140" i="21"/>
  <c r="AQ142" i="21" s="1"/>
  <c r="AM140" i="21"/>
  <c r="AM142" i="21" s="1"/>
  <c r="AE140" i="21"/>
  <c r="AE142" i="21" s="1"/>
  <c r="AA140" i="21"/>
  <c r="AA142" i="21" s="1"/>
  <c r="W140" i="21"/>
  <c r="W142" i="21" s="1"/>
  <c r="X4" i="21"/>
  <c r="X6" i="21" s="1"/>
  <c r="BS4" i="21"/>
  <c r="BS6" i="21" s="1"/>
  <c r="BO4" i="21"/>
  <c r="BO6" i="21" s="1"/>
  <c r="BK4" i="21"/>
  <c r="BK6" i="21" s="1"/>
  <c r="BC4" i="21"/>
  <c r="BC6" i="21" s="1"/>
  <c r="BA4" i="21"/>
  <c r="BA6" i="21" s="1"/>
  <c r="AT4" i="21"/>
  <c r="AT6" i="21" s="1"/>
  <c r="Z4" i="21"/>
  <c r="Z6" i="21" s="1"/>
  <c r="R4" i="21"/>
  <c r="R6" i="21" s="1"/>
  <c r="CU4" i="21"/>
  <c r="CU6" i="21" s="1"/>
  <c r="CI4" i="21"/>
  <c r="CI6" i="21" s="1"/>
  <c r="CE4" i="21"/>
  <c r="CE6" i="21" s="1"/>
  <c r="BW4" i="21"/>
  <c r="BW6" i="21" s="1"/>
  <c r="AS4" i="21"/>
  <c r="AS6" i="21" s="1"/>
  <c r="M4" i="21"/>
  <c r="M6" i="21" s="1"/>
  <c r="CG4" i="21"/>
  <c r="CG6" i="21" s="1"/>
  <c r="BY4" i="21"/>
  <c r="BY6" i="21" s="1"/>
  <c r="AP4" i="21"/>
  <c r="AP6" i="21" s="1"/>
  <c r="BF4" i="21"/>
  <c r="BF6" i="21" s="1"/>
  <c r="CQ4" i="21"/>
  <c r="CQ6" i="21" s="1"/>
  <c r="BI4" i="21"/>
  <c r="AH4" i="21"/>
  <c r="AH6" i="21" s="1"/>
  <c r="AN4" i="21"/>
  <c r="AN6" i="21" s="1"/>
  <c r="AG4" i="21"/>
  <c r="AG6" i="21" s="1"/>
  <c r="AC4" i="21"/>
  <c r="AC6" i="21" s="1"/>
  <c r="U4" i="21"/>
  <c r="U6" i="21" s="1"/>
  <c r="J4" i="21"/>
  <c r="J6" i="21" s="1"/>
  <c r="D4" i="21"/>
  <c r="D6" i="21" s="1"/>
  <c r="BI6" i="21"/>
  <c r="AK4" i="21"/>
  <c r="AK6" i="21" s="1"/>
  <c r="Q4" i="21"/>
  <c r="Q6" i="21" s="1"/>
  <c r="I4" i="21"/>
  <c r="I6" i="21" s="1"/>
  <c r="CW4" i="21"/>
  <c r="CW6" i="21" s="1"/>
  <c r="BV4" i="21"/>
  <c r="BV6" i="21" s="1"/>
  <c r="AU4" i="21"/>
  <c r="AU6" i="21" s="1"/>
  <c r="BG4" i="21"/>
  <c r="BG6" i="21" s="1"/>
  <c r="CM4" i="21"/>
  <c r="CM6" i="21" s="1"/>
  <c r="H4" i="21"/>
  <c r="H6" i="21" s="1"/>
  <c r="CA4" i="21"/>
  <c r="CA6" i="21" s="1"/>
  <c r="BQ4" i="21"/>
  <c r="BQ6" i="21" s="1"/>
  <c r="CL4" i="21"/>
  <c r="CL6" i="21" s="1"/>
  <c r="CH4" i="21"/>
  <c r="CH6" i="21" s="1"/>
  <c r="CO4" i="21"/>
  <c r="CO6" i="21" s="1"/>
  <c r="AB4" i="21"/>
  <c r="AB6" i="21" s="1"/>
  <c r="AR4" i="21"/>
  <c r="AR6" i="21" s="1"/>
  <c r="BZ4" i="21"/>
  <c r="BZ6" i="21" s="1"/>
  <c r="BJ4" i="21"/>
  <c r="BJ6" i="21" s="1"/>
  <c r="T4" i="21"/>
  <c r="T6" i="21" s="1"/>
  <c r="CP4" i="21"/>
  <c r="CP6" i="21" s="1"/>
  <c r="BR4" i="21"/>
  <c r="BR6" i="21" s="1"/>
  <c r="BB4" i="21"/>
  <c r="BB6" i="21" s="1"/>
  <c r="E6" i="21"/>
  <c r="AJ4" i="21"/>
  <c r="AJ6" i="21" s="1"/>
  <c r="L4" i="21"/>
  <c r="L6" i="21" s="1"/>
  <c r="CV4" i="21"/>
  <c r="CV6" i="21" s="1"/>
  <c r="CS4" i="21"/>
  <c r="CS6" i="21" s="1"/>
  <c r="CN4" i="21"/>
  <c r="CN6" i="21" s="1"/>
  <c r="CK4" i="21"/>
  <c r="CK6" i="21" s="1"/>
  <c r="CF4" i="21"/>
  <c r="CF6" i="21" s="1"/>
  <c r="CC4" i="21"/>
  <c r="CC6" i="21" s="1"/>
  <c r="BX4" i="21"/>
  <c r="BX6" i="21" s="1"/>
  <c r="BU4" i="21"/>
  <c r="BU6" i="21" s="1"/>
  <c r="BP4" i="21"/>
  <c r="BP6" i="21" s="1"/>
  <c r="BM4" i="21"/>
  <c r="BM6" i="21" s="1"/>
  <c r="BH4" i="21"/>
  <c r="BH6" i="21" s="1"/>
  <c r="BE4" i="21"/>
  <c r="BE6" i="21" s="1"/>
  <c r="AZ4" i="21"/>
  <c r="AZ6" i="21" s="1"/>
  <c r="AW4" i="21"/>
  <c r="AW6" i="21" s="1"/>
  <c r="CT4" i="21"/>
  <c r="CT6" i="21" s="1"/>
  <c r="CD4" i="21"/>
  <c r="CD6" i="21" s="1"/>
  <c r="BN4" i="21"/>
  <c r="BN6" i="21" s="1"/>
  <c r="AX4" i="21"/>
  <c r="AX6" i="21" s="1"/>
  <c r="AY4" i="21"/>
  <c r="AY6" i="21" s="1"/>
  <c r="CR4" i="21"/>
  <c r="CR6" i="21" s="1"/>
  <c r="CJ4" i="21"/>
  <c r="CJ6" i="21" s="1"/>
  <c r="CB4" i="21"/>
  <c r="CB6" i="21" s="1"/>
  <c r="BT4" i="21"/>
  <c r="BT6" i="21" s="1"/>
  <c r="BL4" i="21"/>
  <c r="BL6" i="21" s="1"/>
  <c r="BD4" i="21"/>
  <c r="BD6" i="21" s="1"/>
  <c r="AV4" i="21"/>
  <c r="AV6" i="21" s="1"/>
  <c r="V4" i="21"/>
  <c r="V6" i="21" s="1"/>
  <c r="S4" i="21"/>
  <c r="S6" i="21" s="1"/>
  <c r="P6" i="21"/>
  <c r="AE4" i="21"/>
  <c r="AE6" i="21" s="1"/>
  <c r="G4" i="21"/>
  <c r="G6" i="21" s="1"/>
  <c r="N4" i="21"/>
  <c r="N6" i="21" s="1"/>
  <c r="O4" i="21"/>
  <c r="O6" i="21" s="1"/>
  <c r="AO4" i="21"/>
  <c r="AO6" i="21" s="1"/>
  <c r="AD4" i="21"/>
  <c r="AD6" i="21" s="1"/>
  <c r="AA4" i="21"/>
  <c r="AA6" i="21" s="1"/>
  <c r="AQ4" i="21"/>
  <c r="AQ6" i="21" s="1"/>
  <c r="K4" i="21"/>
  <c r="K6" i="21" s="1"/>
  <c r="Y4" i="21"/>
  <c r="Y6" i="21" s="1"/>
  <c r="AL4" i="21"/>
  <c r="AL6" i="21" s="1"/>
  <c r="AI4" i="21"/>
  <c r="AI6" i="21" s="1"/>
  <c r="AF6" i="21"/>
  <c r="F4" i="21"/>
  <c r="F6" i="21" s="1"/>
  <c r="C4" i="21"/>
  <c r="C6" i="21" s="1"/>
  <c r="AM4" i="21"/>
  <c r="AM6" i="21" s="1"/>
  <c r="W4" i="21"/>
  <c r="W6" i="21" s="1"/>
  <c r="A425" i="2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F150" i="21" a="1"/>
  <c r="F150" i="21" s="1"/>
  <c r="G150" i="21" a="1"/>
  <c r="G150" i="21" s="1"/>
  <c r="H150" i="21" a="1"/>
  <c r="H150" i="21" s="1"/>
  <c r="I150" i="21" a="1"/>
  <c r="I150" i="21" s="1"/>
  <c r="J150" i="21" a="1"/>
  <c r="J150" i="21" s="1"/>
  <c r="K150" i="21" a="1"/>
  <c r="K150" i="21" s="1"/>
  <c r="L150" i="21" a="1"/>
  <c r="L150" i="21" s="1"/>
  <c r="M150" i="21" a="1"/>
  <c r="M150" i="21" s="1"/>
  <c r="F151" i="21" a="1"/>
  <c r="F151" i="21" s="1"/>
  <c r="G151" i="21" a="1"/>
  <c r="G151" i="21" s="1"/>
  <c r="H151" i="21" a="1"/>
  <c r="H151" i="21" s="1"/>
  <c r="I151" i="21" a="1"/>
  <c r="I151" i="21" s="1"/>
  <c r="J151" i="21" a="1"/>
  <c r="J151" i="21" s="1"/>
  <c r="K151" i="21" a="1"/>
  <c r="K151" i="21" s="1"/>
  <c r="L151" i="21" a="1"/>
  <c r="L151" i="21" s="1"/>
  <c r="M151" i="21" a="1"/>
  <c r="M151" i="21" s="1"/>
  <c r="F152" i="21" a="1"/>
  <c r="F152" i="21" s="1"/>
  <c r="G152" i="21" a="1"/>
  <c r="G152" i="21" s="1"/>
  <c r="H152" i="21" a="1"/>
  <c r="H152" i="21" s="1"/>
  <c r="I152" i="21" a="1"/>
  <c r="I152" i="21" s="1"/>
  <c r="J152" i="21" a="1"/>
  <c r="J152" i="21" s="1"/>
  <c r="K152" i="21" a="1"/>
  <c r="K152" i="21" s="1"/>
  <c r="L152" i="21" a="1"/>
  <c r="L152" i="21" s="1"/>
  <c r="M152" i="21" a="1"/>
  <c r="M152" i="21" s="1"/>
  <c r="F153" i="21" a="1"/>
  <c r="F153" i="21" s="1"/>
  <c r="G153" i="21" a="1"/>
  <c r="G153" i="21" s="1"/>
  <c r="H153" i="21" a="1"/>
  <c r="H153" i="21" s="1"/>
  <c r="I153" i="21" a="1"/>
  <c r="I153" i="21" s="1"/>
  <c r="J153" i="21" a="1"/>
  <c r="J153" i="21" s="1"/>
  <c r="K153" i="21" a="1"/>
  <c r="K153" i="21" s="1"/>
  <c r="L153" i="21" a="1"/>
  <c r="L153" i="21" s="1"/>
  <c r="M153" i="21" a="1"/>
  <c r="M153" i="21" s="1"/>
  <c r="F154" i="21" a="1"/>
  <c r="F154" i="21" s="1"/>
  <c r="G154" i="21" a="1"/>
  <c r="G154" i="21" s="1"/>
  <c r="H154" i="21" a="1"/>
  <c r="H154" i="21" s="1"/>
  <c r="I154" i="21" a="1"/>
  <c r="I154" i="21" s="1"/>
  <c r="J154" i="21" a="1"/>
  <c r="J154" i="21" s="1"/>
  <c r="K154" i="21" a="1"/>
  <c r="K154" i="21" s="1"/>
  <c r="L154" i="21" a="1"/>
  <c r="L154" i="21" s="1"/>
  <c r="M154" i="21" a="1"/>
  <c r="M154" i="21" s="1"/>
  <c r="F155" i="21" a="1"/>
  <c r="F155" i="21" s="1"/>
  <c r="G155" i="21" a="1"/>
  <c r="G155" i="21" s="1"/>
  <c r="H155" i="21" a="1"/>
  <c r="H155" i="21" s="1"/>
  <c r="I155" i="21" a="1"/>
  <c r="I155" i="21" s="1"/>
  <c r="J155" i="21" a="1"/>
  <c r="J155" i="21" s="1"/>
  <c r="K155" i="21" a="1"/>
  <c r="K155" i="21" s="1"/>
  <c r="L155" i="21" a="1"/>
  <c r="L155" i="21" s="1"/>
  <c r="M155" i="21" a="1"/>
  <c r="M155" i="21" s="1"/>
  <c r="F156" i="21" a="1"/>
  <c r="F156" i="21" s="1"/>
  <c r="G156" i="21" a="1"/>
  <c r="G156" i="21" s="1"/>
  <c r="H156" i="21" a="1"/>
  <c r="H156" i="21" s="1"/>
  <c r="I156" i="21" a="1"/>
  <c r="I156" i="21" s="1"/>
  <c r="J156" i="21" a="1"/>
  <c r="J156" i="21" s="1"/>
  <c r="K156" i="21" a="1"/>
  <c r="K156" i="21" s="1"/>
  <c r="L156" i="21" a="1"/>
  <c r="L156" i="21" s="1"/>
  <c r="M156" i="21" a="1"/>
  <c r="M156" i="21" s="1"/>
  <c r="F157" i="21" a="1"/>
  <c r="F157" i="21" s="1"/>
  <c r="G157" i="21" a="1"/>
  <c r="G157" i="21" s="1"/>
  <c r="H157" i="21" a="1"/>
  <c r="H157" i="21" s="1"/>
  <c r="I157" i="21" a="1"/>
  <c r="I157" i="21" s="1"/>
  <c r="J157" i="21" a="1"/>
  <c r="J157" i="21" s="1"/>
  <c r="K157" i="21" a="1"/>
  <c r="K157" i="21" s="1"/>
  <c r="L157" i="21" a="1"/>
  <c r="L157" i="21" s="1"/>
  <c r="M157" i="21" a="1"/>
  <c r="M157" i="21" s="1"/>
  <c r="F158" i="21" a="1"/>
  <c r="F158" i="21" s="1"/>
  <c r="G158" i="21" a="1"/>
  <c r="G158" i="21" s="1"/>
  <c r="H158" i="21" a="1"/>
  <c r="H158" i="21" s="1"/>
  <c r="I158" i="21" a="1"/>
  <c r="I158" i="21" s="1"/>
  <c r="J158" i="21" a="1"/>
  <c r="J158" i="21" s="1"/>
  <c r="K158" i="21" a="1"/>
  <c r="K158" i="21" s="1"/>
  <c r="L158" i="21" a="1"/>
  <c r="L158" i="21" s="1"/>
  <c r="M158" i="21" a="1"/>
  <c r="M158" i="21" s="1"/>
  <c r="F159" i="21" a="1"/>
  <c r="F159" i="21" s="1"/>
  <c r="G159" i="21" a="1"/>
  <c r="G159" i="21" s="1"/>
  <c r="H159" i="21" a="1"/>
  <c r="H159" i="21" s="1"/>
  <c r="I159" i="21" a="1"/>
  <c r="I159" i="21" s="1"/>
  <c r="J159" i="21" a="1"/>
  <c r="J159" i="21" s="1"/>
  <c r="K159" i="21" a="1"/>
  <c r="K159" i="21" s="1"/>
  <c r="L159" i="21" a="1"/>
  <c r="L159" i="21" s="1"/>
  <c r="M159" i="21" a="1"/>
  <c r="M159" i="21" s="1"/>
  <c r="F160" i="21" a="1"/>
  <c r="F160" i="21" s="1"/>
  <c r="G160" i="21" a="1"/>
  <c r="G160" i="21" s="1"/>
  <c r="H160" i="21" a="1"/>
  <c r="H160" i="21" s="1"/>
  <c r="I160" i="21" a="1"/>
  <c r="I160" i="21" s="1"/>
  <c r="J160" i="21" a="1"/>
  <c r="J160" i="21" s="1"/>
  <c r="K160" i="21" a="1"/>
  <c r="K160" i="21" s="1"/>
  <c r="L160" i="21" a="1"/>
  <c r="L160" i="21" s="1"/>
  <c r="M160" i="21" a="1"/>
  <c r="M160" i="21" s="1"/>
  <c r="F161" i="21" a="1"/>
  <c r="F161" i="21" s="1"/>
  <c r="G161" i="21" a="1"/>
  <c r="G161" i="21" s="1"/>
  <c r="H161" i="21" a="1"/>
  <c r="H161" i="21" s="1"/>
  <c r="I161" i="21" a="1"/>
  <c r="I161" i="21" s="1"/>
  <c r="J161" i="21" a="1"/>
  <c r="J161" i="21" s="1"/>
  <c r="K161" i="21" a="1"/>
  <c r="K161" i="21" s="1"/>
  <c r="L161" i="21" a="1"/>
  <c r="L161" i="21" s="1"/>
  <c r="M161" i="21" a="1"/>
  <c r="M161" i="21" s="1"/>
  <c r="F162" i="21" a="1"/>
  <c r="F162" i="21" s="1"/>
  <c r="G162" i="21" a="1"/>
  <c r="G162" i="21" s="1"/>
  <c r="H162" i="21" a="1"/>
  <c r="H162" i="21" s="1"/>
  <c r="I162" i="21" a="1"/>
  <c r="I162" i="21" s="1"/>
  <c r="J162" i="21" a="1"/>
  <c r="J162" i="21" s="1"/>
  <c r="K162" i="21" a="1"/>
  <c r="K162" i="21" s="1"/>
  <c r="L162" i="21" a="1"/>
  <c r="L162" i="21" s="1"/>
  <c r="M162" i="21" a="1"/>
  <c r="M162" i="21" s="1"/>
  <c r="F163" i="21" a="1"/>
  <c r="F163" i="21" s="1"/>
  <c r="G163" i="21" a="1"/>
  <c r="G163" i="21" s="1"/>
  <c r="H163" i="21" a="1"/>
  <c r="H163" i="21" s="1"/>
  <c r="I163" i="21" a="1"/>
  <c r="I163" i="21" s="1"/>
  <c r="J163" i="21" a="1"/>
  <c r="J163" i="21" s="1"/>
  <c r="K163" i="21" a="1"/>
  <c r="K163" i="21" s="1"/>
  <c r="L163" i="21" a="1"/>
  <c r="L163" i="21" s="1"/>
  <c r="M163" i="21" a="1"/>
  <c r="M163" i="21" s="1"/>
  <c r="F164" i="21" a="1"/>
  <c r="F164" i="21" s="1"/>
  <c r="G164" i="21" a="1"/>
  <c r="G164" i="21" s="1"/>
  <c r="H164" i="21" a="1"/>
  <c r="H164" i="21" s="1"/>
  <c r="I164" i="21" a="1"/>
  <c r="I164" i="21" s="1"/>
  <c r="J164" i="21" a="1"/>
  <c r="J164" i="21" s="1"/>
  <c r="K164" i="21" a="1"/>
  <c r="K164" i="21" s="1"/>
  <c r="L164" i="21" a="1"/>
  <c r="L164" i="21" s="1"/>
  <c r="M164" i="21" a="1"/>
  <c r="M164" i="21" s="1"/>
  <c r="F165" i="21" a="1"/>
  <c r="F165" i="21" s="1"/>
  <c r="G165" i="21" a="1"/>
  <c r="G165" i="21" s="1"/>
  <c r="H165" i="21" a="1"/>
  <c r="H165" i="21" s="1"/>
  <c r="I165" i="21" a="1"/>
  <c r="I165" i="21" s="1"/>
  <c r="J165" i="21" a="1"/>
  <c r="J165" i="21" s="1"/>
  <c r="K165" i="21" a="1"/>
  <c r="K165" i="21" s="1"/>
  <c r="L165" i="21" a="1"/>
  <c r="L165" i="21" s="1"/>
  <c r="M165" i="21" a="1"/>
  <c r="M165" i="21" s="1"/>
  <c r="F166" i="21" a="1"/>
  <c r="F166" i="21" s="1"/>
  <c r="G166" i="21" a="1"/>
  <c r="G166" i="21" s="1"/>
  <c r="H166" i="21" a="1"/>
  <c r="H166" i="21" s="1"/>
  <c r="I166" i="21" a="1"/>
  <c r="I166" i="21" s="1"/>
  <c r="J166" i="21" a="1"/>
  <c r="J166" i="21" s="1"/>
  <c r="K166" i="21" a="1"/>
  <c r="K166" i="21" s="1"/>
  <c r="L166" i="21" a="1"/>
  <c r="L166" i="21" s="1"/>
  <c r="M166" i="21" a="1"/>
  <c r="M166" i="21" s="1"/>
  <c r="F167" i="21" a="1"/>
  <c r="F167" i="21" s="1"/>
  <c r="G167" i="21" a="1"/>
  <c r="G167" i="21" s="1"/>
  <c r="H167" i="21" a="1"/>
  <c r="H167" i="21" s="1"/>
  <c r="I167" i="21" a="1"/>
  <c r="I167" i="21" s="1"/>
  <c r="J167" i="21" a="1"/>
  <c r="J167" i="21" s="1"/>
  <c r="K167" i="21" a="1"/>
  <c r="K167" i="21" s="1"/>
  <c r="L167" i="21" a="1"/>
  <c r="L167" i="21" s="1"/>
  <c r="M167" i="21" a="1"/>
  <c r="M167" i="21" s="1"/>
  <c r="F168" i="21" a="1"/>
  <c r="F168" i="21" s="1"/>
  <c r="G168" i="21" a="1"/>
  <c r="G168" i="21" s="1"/>
  <c r="H168" i="21" a="1"/>
  <c r="H168" i="21" s="1"/>
  <c r="I168" i="21" a="1"/>
  <c r="I168" i="21" s="1"/>
  <c r="J168" i="21" a="1"/>
  <c r="J168" i="21" s="1"/>
  <c r="K168" i="21" a="1"/>
  <c r="K168" i="21" s="1"/>
  <c r="L168" i="21" a="1"/>
  <c r="L168" i="21" s="1"/>
  <c r="M168" i="21" a="1"/>
  <c r="M168" i="21" s="1"/>
  <c r="F169" i="21" a="1"/>
  <c r="F169" i="21" s="1"/>
  <c r="G169" i="21" a="1"/>
  <c r="G169" i="21" s="1"/>
  <c r="H169" i="21" a="1"/>
  <c r="H169" i="21" s="1"/>
  <c r="I169" i="21" a="1"/>
  <c r="I169" i="21" s="1"/>
  <c r="J169" i="21" a="1"/>
  <c r="J169" i="21" s="1"/>
  <c r="K169" i="21" a="1"/>
  <c r="K169" i="21" s="1"/>
  <c r="L169" i="21" a="1"/>
  <c r="L169" i="21" s="1"/>
  <c r="M169" i="21" a="1"/>
  <c r="M169" i="21" s="1"/>
  <c r="F170" i="21" a="1"/>
  <c r="F170" i="21" s="1"/>
  <c r="G170" i="21" a="1"/>
  <c r="G170" i="21" s="1"/>
  <c r="H170" i="21" a="1"/>
  <c r="H170" i="21" s="1"/>
  <c r="I170" i="21" a="1"/>
  <c r="I170" i="21" s="1"/>
  <c r="J170" i="21" a="1"/>
  <c r="J170" i="21" s="1"/>
  <c r="K170" i="21" a="1"/>
  <c r="K170" i="21" s="1"/>
  <c r="L170" i="21" a="1"/>
  <c r="L170" i="21" s="1"/>
  <c r="M170" i="21" a="1"/>
  <c r="M170" i="21" s="1"/>
  <c r="F171" i="21" a="1"/>
  <c r="F171" i="21" s="1"/>
  <c r="G171" i="21" a="1"/>
  <c r="G171" i="21" s="1"/>
  <c r="H171" i="21" a="1"/>
  <c r="H171" i="21" s="1"/>
  <c r="I171" i="21" a="1"/>
  <c r="I171" i="21" s="1"/>
  <c r="J171" i="21" a="1"/>
  <c r="J171" i="21" s="1"/>
  <c r="K171" i="21" a="1"/>
  <c r="K171" i="21" s="1"/>
  <c r="L171" i="21" a="1"/>
  <c r="L171" i="21" s="1"/>
  <c r="M171" i="21" a="1"/>
  <c r="M171" i="21" s="1"/>
  <c r="F172" i="21" a="1"/>
  <c r="F172" i="21" s="1"/>
  <c r="G172" i="21" a="1"/>
  <c r="G172" i="21" s="1"/>
  <c r="H172" i="21" a="1"/>
  <c r="H172" i="21" s="1"/>
  <c r="I172" i="21" a="1"/>
  <c r="I172" i="21" s="1"/>
  <c r="J172" i="21" a="1"/>
  <c r="J172" i="21" s="1"/>
  <c r="K172" i="21" a="1"/>
  <c r="K172" i="21" s="1"/>
  <c r="L172" i="21" a="1"/>
  <c r="L172" i="21" s="1"/>
  <c r="M172" i="21" a="1"/>
  <c r="M172" i="21" s="1"/>
  <c r="F173" i="21" a="1"/>
  <c r="F173" i="21" s="1"/>
  <c r="G173" i="21" a="1"/>
  <c r="G173" i="21" s="1"/>
  <c r="H173" i="21" a="1"/>
  <c r="H173" i="21" s="1"/>
  <c r="I173" i="21" a="1"/>
  <c r="I173" i="21" s="1"/>
  <c r="J173" i="21" a="1"/>
  <c r="J173" i="21" s="1"/>
  <c r="K173" i="21" a="1"/>
  <c r="K173" i="21" s="1"/>
  <c r="L173" i="21" a="1"/>
  <c r="L173" i="21" s="1"/>
  <c r="M173" i="21" a="1"/>
  <c r="M173" i="21" s="1"/>
  <c r="F174" i="21" a="1"/>
  <c r="F174" i="21" s="1"/>
  <c r="G174" i="21" a="1"/>
  <c r="G174" i="21" s="1"/>
  <c r="H174" i="21" a="1"/>
  <c r="H174" i="21" s="1"/>
  <c r="I174" i="21" a="1"/>
  <c r="I174" i="21" s="1"/>
  <c r="J174" i="21" a="1"/>
  <c r="J174" i="21" s="1"/>
  <c r="K174" i="21" a="1"/>
  <c r="K174" i="21" s="1"/>
  <c r="L174" i="21" a="1"/>
  <c r="L174" i="21" s="1"/>
  <c r="M174" i="21" a="1"/>
  <c r="M174" i="21" s="1"/>
  <c r="F175" i="21" a="1"/>
  <c r="F175" i="21" s="1"/>
  <c r="G175" i="21" a="1"/>
  <c r="G175" i="21" s="1"/>
  <c r="H175" i="21" a="1"/>
  <c r="H175" i="21" s="1"/>
  <c r="I175" i="21" a="1"/>
  <c r="I175" i="21" s="1"/>
  <c r="J175" i="21" a="1"/>
  <c r="J175" i="21" s="1"/>
  <c r="K175" i="21" a="1"/>
  <c r="K175" i="21" s="1"/>
  <c r="L175" i="21" a="1"/>
  <c r="L175" i="21" s="1"/>
  <c r="M175" i="21" a="1"/>
  <c r="M175" i="21" s="1"/>
  <c r="F176" i="21" a="1"/>
  <c r="F176" i="21" s="1"/>
  <c r="G176" i="21" a="1"/>
  <c r="G176" i="21" s="1"/>
  <c r="H176" i="21" a="1"/>
  <c r="H176" i="21" s="1"/>
  <c r="I176" i="21" a="1"/>
  <c r="I176" i="21" s="1"/>
  <c r="J176" i="21" a="1"/>
  <c r="J176" i="21" s="1"/>
  <c r="K176" i="21" a="1"/>
  <c r="K176" i="21" s="1"/>
  <c r="L176" i="21" a="1"/>
  <c r="L176" i="21" s="1"/>
  <c r="M176" i="21" a="1"/>
  <c r="M176" i="21" s="1"/>
  <c r="F177" i="21" a="1"/>
  <c r="F177" i="21" s="1"/>
  <c r="G177" i="21" a="1"/>
  <c r="G177" i="21" s="1"/>
  <c r="H177" i="21" a="1"/>
  <c r="H177" i="21" s="1"/>
  <c r="I177" i="21" a="1"/>
  <c r="I177" i="21" s="1"/>
  <c r="J177" i="21" a="1"/>
  <c r="J177" i="21" s="1"/>
  <c r="K177" i="21" a="1"/>
  <c r="K177" i="21" s="1"/>
  <c r="L177" i="21" a="1"/>
  <c r="L177" i="21" s="1"/>
  <c r="M177" i="21" a="1"/>
  <c r="M177" i="21" s="1"/>
  <c r="F178" i="21" a="1"/>
  <c r="F178" i="21" s="1"/>
  <c r="G178" i="21" a="1"/>
  <c r="G178" i="21" s="1"/>
  <c r="H178" i="21" a="1"/>
  <c r="H178" i="21" s="1"/>
  <c r="I178" i="21" a="1"/>
  <c r="I178" i="21" s="1"/>
  <c r="J178" i="21" a="1"/>
  <c r="J178" i="21" s="1"/>
  <c r="K178" i="21" a="1"/>
  <c r="K178" i="21" s="1"/>
  <c r="L178" i="21" a="1"/>
  <c r="L178" i="21" s="1"/>
  <c r="M178" i="21" a="1"/>
  <c r="M178" i="21" s="1"/>
  <c r="F179" i="21" a="1"/>
  <c r="F179" i="21" s="1"/>
  <c r="G179" i="21" a="1"/>
  <c r="G179" i="21" s="1"/>
  <c r="H179" i="21" a="1"/>
  <c r="H179" i="21" s="1"/>
  <c r="I179" i="21" a="1"/>
  <c r="I179" i="21" s="1"/>
  <c r="J179" i="21" a="1"/>
  <c r="J179" i="21" s="1"/>
  <c r="K179" i="21" a="1"/>
  <c r="K179" i="21" s="1"/>
  <c r="L179" i="21" a="1"/>
  <c r="L179" i="21" s="1"/>
  <c r="M179" i="21" a="1"/>
  <c r="M179" i="21" s="1"/>
  <c r="F180" i="21" a="1"/>
  <c r="F180" i="21" s="1"/>
  <c r="G180" i="21" a="1"/>
  <c r="G180" i="21" s="1"/>
  <c r="H180" i="21" a="1"/>
  <c r="H180" i="21" s="1"/>
  <c r="I180" i="21" a="1"/>
  <c r="I180" i="21" s="1"/>
  <c r="J180" i="21" a="1"/>
  <c r="J180" i="21" s="1"/>
  <c r="K180" i="21" a="1"/>
  <c r="K180" i="21" s="1"/>
  <c r="L180" i="21" a="1"/>
  <c r="L180" i="21" s="1"/>
  <c r="M180" i="21" a="1"/>
  <c r="M180" i="21" s="1"/>
  <c r="F181" i="21" a="1"/>
  <c r="F181" i="21" s="1"/>
  <c r="G181" i="21" a="1"/>
  <c r="G181" i="21" s="1"/>
  <c r="H181" i="21" a="1"/>
  <c r="H181" i="21" s="1"/>
  <c r="I181" i="21" a="1"/>
  <c r="I181" i="21" s="1"/>
  <c r="J181" i="21" a="1"/>
  <c r="J181" i="21" s="1"/>
  <c r="K181" i="21" a="1"/>
  <c r="K181" i="21" s="1"/>
  <c r="L181" i="21" a="1"/>
  <c r="L181" i="21" s="1"/>
  <c r="M181" i="21" a="1"/>
  <c r="M181" i="21" s="1"/>
  <c r="F182" i="21" a="1"/>
  <c r="F182" i="21" s="1"/>
  <c r="G182" i="21" a="1"/>
  <c r="G182" i="21" s="1"/>
  <c r="H182" i="21" a="1"/>
  <c r="H182" i="21" s="1"/>
  <c r="I182" i="21" a="1"/>
  <c r="I182" i="21" s="1"/>
  <c r="J182" i="21" a="1"/>
  <c r="J182" i="21" s="1"/>
  <c r="K182" i="21" a="1"/>
  <c r="K182" i="21" s="1"/>
  <c r="L182" i="21" a="1"/>
  <c r="L182" i="21" s="1"/>
  <c r="M182" i="21" a="1"/>
  <c r="M182" i="21" s="1"/>
  <c r="F183" i="21" a="1"/>
  <c r="F183" i="21" s="1"/>
  <c r="G183" i="21" a="1"/>
  <c r="G183" i="21" s="1"/>
  <c r="H183" i="21" a="1"/>
  <c r="H183" i="21" s="1"/>
  <c r="I183" i="21" a="1"/>
  <c r="I183" i="21" s="1"/>
  <c r="J183" i="21" a="1"/>
  <c r="J183" i="21" s="1"/>
  <c r="K183" i="21" a="1"/>
  <c r="K183" i="21" s="1"/>
  <c r="L183" i="21" a="1"/>
  <c r="L183" i="21" s="1"/>
  <c r="M183" i="21" a="1"/>
  <c r="M183" i="21" s="1"/>
  <c r="F184" i="21" a="1"/>
  <c r="F184" i="21" s="1"/>
  <c r="G184" i="21" a="1"/>
  <c r="G184" i="21" s="1"/>
  <c r="H184" i="21" a="1"/>
  <c r="H184" i="21" s="1"/>
  <c r="I184" i="21" a="1"/>
  <c r="I184" i="21" s="1"/>
  <c r="J184" i="21" a="1"/>
  <c r="J184" i="21" s="1"/>
  <c r="K184" i="21" a="1"/>
  <c r="K184" i="21" s="1"/>
  <c r="L184" i="21" a="1"/>
  <c r="L184" i="21" s="1"/>
  <c r="M184" i="21" a="1"/>
  <c r="M184" i="21" s="1"/>
  <c r="F185" i="21" a="1"/>
  <c r="F185" i="21" s="1"/>
  <c r="G185" i="21" a="1"/>
  <c r="G185" i="21" s="1"/>
  <c r="H185" i="21" a="1"/>
  <c r="H185" i="21" s="1"/>
  <c r="I185" i="21" a="1"/>
  <c r="I185" i="21" s="1"/>
  <c r="J185" i="21" a="1"/>
  <c r="J185" i="21" s="1"/>
  <c r="K185" i="21" a="1"/>
  <c r="K185" i="21" s="1"/>
  <c r="L185" i="21" a="1"/>
  <c r="L185" i="21" s="1"/>
  <c r="M185" i="21" a="1"/>
  <c r="M185" i="21" s="1"/>
  <c r="F186" i="21" a="1"/>
  <c r="F186" i="21" s="1"/>
  <c r="G186" i="21" a="1"/>
  <c r="G186" i="21" s="1"/>
  <c r="H186" i="21" a="1"/>
  <c r="H186" i="21" s="1"/>
  <c r="I186" i="21" a="1"/>
  <c r="I186" i="21" s="1"/>
  <c r="J186" i="21" a="1"/>
  <c r="J186" i="21" s="1"/>
  <c r="K186" i="21" a="1"/>
  <c r="K186" i="21" s="1"/>
  <c r="L186" i="21" a="1"/>
  <c r="L186" i="21" s="1"/>
  <c r="M186" i="21" a="1"/>
  <c r="M186" i="21" s="1"/>
  <c r="F187" i="21" a="1"/>
  <c r="F187" i="21" s="1"/>
  <c r="G187" i="21" a="1"/>
  <c r="G187" i="21" s="1"/>
  <c r="H187" i="21" a="1"/>
  <c r="H187" i="21" s="1"/>
  <c r="I187" i="21" a="1"/>
  <c r="I187" i="21" s="1"/>
  <c r="J187" i="21" a="1"/>
  <c r="J187" i="21" s="1"/>
  <c r="K187" i="21" a="1"/>
  <c r="K187" i="21" s="1"/>
  <c r="L187" i="21" a="1"/>
  <c r="L187" i="21" s="1"/>
  <c r="M187" i="21" a="1"/>
  <c r="M187" i="21" s="1"/>
  <c r="F188" i="21" a="1"/>
  <c r="F188" i="21" s="1"/>
  <c r="G188" i="21" a="1"/>
  <c r="G188" i="21" s="1"/>
  <c r="H188" i="21" a="1"/>
  <c r="H188" i="21" s="1"/>
  <c r="I188" i="21" a="1"/>
  <c r="I188" i="21" s="1"/>
  <c r="J188" i="21" a="1"/>
  <c r="J188" i="21" s="1"/>
  <c r="K188" i="21" a="1"/>
  <c r="K188" i="21" s="1"/>
  <c r="L188" i="21" a="1"/>
  <c r="L188" i="21" s="1"/>
  <c r="M188" i="21" a="1"/>
  <c r="M188" i="21" s="1"/>
  <c r="F189" i="21" a="1"/>
  <c r="F189" i="21" s="1"/>
  <c r="G189" i="21" a="1"/>
  <c r="G189" i="21" s="1"/>
  <c r="H189" i="21" a="1"/>
  <c r="H189" i="21" s="1"/>
  <c r="I189" i="21" a="1"/>
  <c r="I189" i="21" s="1"/>
  <c r="J189" i="21" a="1"/>
  <c r="J189" i="21" s="1"/>
  <c r="K189" i="21" a="1"/>
  <c r="K189" i="21" s="1"/>
  <c r="L189" i="21" a="1"/>
  <c r="L189" i="21" s="1"/>
  <c r="M189" i="21" a="1"/>
  <c r="M189" i="21" s="1"/>
  <c r="F190" i="21" a="1"/>
  <c r="F190" i="21" s="1"/>
  <c r="G190" i="21" a="1"/>
  <c r="G190" i="21" s="1"/>
  <c r="H190" i="21" a="1"/>
  <c r="H190" i="21" s="1"/>
  <c r="I190" i="21" a="1"/>
  <c r="I190" i="21" s="1"/>
  <c r="J190" i="21" a="1"/>
  <c r="J190" i="21" s="1"/>
  <c r="K190" i="21" a="1"/>
  <c r="K190" i="21" s="1"/>
  <c r="L190" i="21" a="1"/>
  <c r="L190" i="21" s="1"/>
  <c r="M190" i="21" a="1"/>
  <c r="M190" i="21" s="1"/>
  <c r="F191" i="21" a="1"/>
  <c r="F191" i="21" s="1"/>
  <c r="G191" i="21" a="1"/>
  <c r="G191" i="21" s="1"/>
  <c r="H191" i="21" a="1"/>
  <c r="H191" i="21" s="1"/>
  <c r="I191" i="21" a="1"/>
  <c r="I191" i="21" s="1"/>
  <c r="J191" i="21" a="1"/>
  <c r="J191" i="21" s="1"/>
  <c r="K191" i="21" a="1"/>
  <c r="K191" i="21" s="1"/>
  <c r="L191" i="21" a="1"/>
  <c r="L191" i="21" s="1"/>
  <c r="M191" i="21" a="1"/>
  <c r="M191" i="21" s="1"/>
  <c r="F192" i="21" a="1"/>
  <c r="F192" i="21" s="1"/>
  <c r="G192" i="21" a="1"/>
  <c r="G192" i="21" s="1"/>
  <c r="H192" i="21" a="1"/>
  <c r="H192" i="21" s="1"/>
  <c r="I192" i="21" a="1"/>
  <c r="I192" i="21" s="1"/>
  <c r="J192" i="21" a="1"/>
  <c r="J192" i="21" s="1"/>
  <c r="K192" i="21" a="1"/>
  <c r="K192" i="21" s="1"/>
  <c r="L192" i="21" a="1"/>
  <c r="L192" i="21" s="1"/>
  <c r="M192" i="21" a="1"/>
  <c r="M192" i="21" s="1"/>
  <c r="F193" i="21" a="1"/>
  <c r="F193" i="21" s="1"/>
  <c r="G193" i="21" a="1"/>
  <c r="G193" i="21" s="1"/>
  <c r="H193" i="21" a="1"/>
  <c r="H193" i="21" s="1"/>
  <c r="I193" i="21" a="1"/>
  <c r="I193" i="21" s="1"/>
  <c r="J193" i="21" a="1"/>
  <c r="J193" i="21" s="1"/>
  <c r="K193" i="21" a="1"/>
  <c r="K193" i="21" s="1"/>
  <c r="L193" i="21" a="1"/>
  <c r="L193" i="21" s="1"/>
  <c r="M193" i="21" a="1"/>
  <c r="M193" i="21" s="1"/>
  <c r="F194" i="21" a="1"/>
  <c r="F194" i="21" s="1"/>
  <c r="G194" i="21" a="1"/>
  <c r="G194" i="21" s="1"/>
  <c r="H194" i="21" a="1"/>
  <c r="H194" i="21" s="1"/>
  <c r="I194" i="21" a="1"/>
  <c r="I194" i="21" s="1"/>
  <c r="J194" i="21" a="1"/>
  <c r="J194" i="21" s="1"/>
  <c r="K194" i="21" a="1"/>
  <c r="K194" i="21" s="1"/>
  <c r="L194" i="21" a="1"/>
  <c r="L194" i="21" s="1"/>
  <c r="M194" i="21" a="1"/>
  <c r="M194" i="21" s="1"/>
  <c r="F195" i="21" a="1"/>
  <c r="F195" i="21" s="1"/>
  <c r="G195" i="21" a="1"/>
  <c r="G195" i="21" s="1"/>
  <c r="H195" i="21" a="1"/>
  <c r="H195" i="21" s="1"/>
  <c r="I195" i="21" a="1"/>
  <c r="I195" i="21" s="1"/>
  <c r="J195" i="21" a="1"/>
  <c r="J195" i="21" s="1"/>
  <c r="K195" i="21" a="1"/>
  <c r="K195" i="21" s="1"/>
  <c r="L195" i="21" a="1"/>
  <c r="L195" i="21" s="1"/>
  <c r="M195" i="21" a="1"/>
  <c r="M195" i="21" s="1"/>
  <c r="F196" i="21" a="1"/>
  <c r="F196" i="21" s="1"/>
  <c r="G196" i="21" a="1"/>
  <c r="G196" i="21" s="1"/>
  <c r="H196" i="21" a="1"/>
  <c r="H196" i="21" s="1"/>
  <c r="I196" i="21" a="1"/>
  <c r="I196" i="21" s="1"/>
  <c r="J196" i="21" a="1"/>
  <c r="J196" i="21" s="1"/>
  <c r="K196" i="21" a="1"/>
  <c r="K196" i="21" s="1"/>
  <c r="L196" i="21" a="1"/>
  <c r="L196" i="21" s="1"/>
  <c r="M196" i="21" a="1"/>
  <c r="M196" i="21" s="1"/>
  <c r="F197" i="21" a="1"/>
  <c r="F197" i="21" s="1"/>
  <c r="G197" i="21" a="1"/>
  <c r="G197" i="21" s="1"/>
  <c r="H197" i="21" a="1"/>
  <c r="H197" i="21" s="1"/>
  <c r="I197" i="21" a="1"/>
  <c r="I197" i="21" s="1"/>
  <c r="J197" i="21" a="1"/>
  <c r="J197" i="21" s="1"/>
  <c r="K197" i="21" a="1"/>
  <c r="K197" i="21" s="1"/>
  <c r="L197" i="21" a="1"/>
  <c r="L197" i="21" s="1"/>
  <c r="M197" i="21" a="1"/>
  <c r="M197" i="21" s="1"/>
  <c r="F198" i="21" a="1"/>
  <c r="F198" i="21" s="1"/>
  <c r="G198" i="21" a="1"/>
  <c r="G198" i="21" s="1"/>
  <c r="H198" i="21" a="1"/>
  <c r="H198" i="21" s="1"/>
  <c r="I198" i="21" a="1"/>
  <c r="I198" i="21" s="1"/>
  <c r="J198" i="21" a="1"/>
  <c r="J198" i="21" s="1"/>
  <c r="K198" i="21" a="1"/>
  <c r="K198" i="21" s="1"/>
  <c r="L198" i="21" a="1"/>
  <c r="L198" i="21" s="1"/>
  <c r="M198" i="21" a="1"/>
  <c r="M198" i="21" s="1"/>
  <c r="F199" i="21" a="1"/>
  <c r="F199" i="21" s="1"/>
  <c r="G199" i="21" a="1"/>
  <c r="G199" i="21" s="1"/>
  <c r="H199" i="21" a="1"/>
  <c r="H199" i="21" s="1"/>
  <c r="I199" i="21" a="1"/>
  <c r="I199" i="21" s="1"/>
  <c r="J199" i="21" a="1"/>
  <c r="J199" i="21" s="1"/>
  <c r="K199" i="21" a="1"/>
  <c r="K199" i="21" s="1"/>
  <c r="L199" i="21" a="1"/>
  <c r="L199" i="21" s="1"/>
  <c r="M199" i="21" a="1"/>
  <c r="M199" i="21" s="1"/>
  <c r="F200" i="21" a="1"/>
  <c r="F200" i="21" s="1"/>
  <c r="G200" i="21" a="1"/>
  <c r="G200" i="21" s="1"/>
  <c r="H200" i="21" a="1"/>
  <c r="H200" i="21" s="1"/>
  <c r="I200" i="21" a="1"/>
  <c r="I200" i="21" s="1"/>
  <c r="J200" i="21" a="1"/>
  <c r="J200" i="21" s="1"/>
  <c r="K200" i="21" a="1"/>
  <c r="K200" i="21" s="1"/>
  <c r="L200" i="21" a="1"/>
  <c r="L200" i="21" s="1"/>
  <c r="M200" i="21" a="1"/>
  <c r="M200" i="21" s="1"/>
  <c r="F149" i="21" a="1"/>
  <c r="F149" i="21" s="1"/>
  <c r="G149" i="21" a="1"/>
  <c r="G149" i="21" s="1"/>
  <c r="H149" i="21" a="1"/>
  <c r="H149" i="21" s="1"/>
  <c r="I149" i="21" a="1"/>
  <c r="I149" i="21" s="1"/>
  <c r="J149" i="21" a="1"/>
  <c r="J149" i="21" s="1"/>
  <c r="K149" i="21" a="1"/>
  <c r="K149" i="21" s="1"/>
  <c r="L149" i="21" a="1"/>
  <c r="L149" i="21" s="1"/>
  <c r="M149" i="21" a="1"/>
  <c r="M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B140" i="21" l="1"/>
  <c r="M140" i="21"/>
  <c r="M142" i="21" s="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237" i="21" a="1"/>
  <c r="B237" i="21" s="1"/>
  <c r="B101" i="21" a="1"/>
  <c r="B101" i="21" s="1"/>
  <c r="B116" i="21" s="1"/>
  <c r="H35" i="11" a="1"/>
  <c r="H35" i="11" s="1"/>
  <c r="ZK6" i="22" s="1"/>
  <c r="ZL3" i="23" s="1"/>
  <c r="B219" i="21" a="1"/>
  <c r="B219" i="21" s="1"/>
  <c r="B119" i="21" a="1"/>
  <c r="B119" i="21" s="1"/>
  <c r="H138" i="11" a="1"/>
  <c r="H138" i="11" s="1"/>
  <c r="E62" i="12"/>
  <c r="D62" i="12"/>
  <c r="C62" i="12"/>
  <c r="B62" i="12"/>
  <c r="B238" i="21" l="1"/>
  <c r="B239" i="21"/>
  <c r="B243" i="21"/>
  <c r="B247" i="21"/>
  <c r="B251" i="21"/>
  <c r="B246" i="21"/>
  <c r="B240" i="21"/>
  <c r="B244" i="21"/>
  <c r="B248" i="21"/>
  <c r="B252" i="21"/>
  <c r="B250" i="21"/>
  <c r="B241" i="21"/>
  <c r="B245" i="21"/>
  <c r="B249" i="21"/>
  <c r="B242" i="21"/>
  <c r="B220" i="21"/>
  <c r="B221" i="21"/>
  <c r="B225" i="21"/>
  <c r="B229" i="21"/>
  <c r="B233" i="21"/>
  <c r="B228" i="21"/>
  <c r="B222" i="21"/>
  <c r="B226" i="21"/>
  <c r="B230" i="21"/>
  <c r="B234" i="21"/>
  <c r="B223" i="21"/>
  <c r="B227" i="21"/>
  <c r="B231" i="21"/>
  <c r="B224" i="21"/>
  <c r="B232" i="21"/>
  <c r="B102" i="21"/>
  <c r="B103" i="21"/>
  <c r="B104" i="21"/>
  <c r="B105" i="21"/>
  <c r="B106" i="21"/>
  <c r="B107" i="21"/>
  <c r="B108" i="21"/>
  <c r="B109" i="21"/>
  <c r="B113" i="21"/>
  <c r="B115" i="21"/>
  <c r="B114" i="21"/>
  <c r="B110" i="21"/>
  <c r="B112" i="21"/>
  <c r="B111" i="21"/>
  <c r="D7" i="8"/>
  <c r="B266" i="21" l="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R143" i="21" s="1" a="1"/>
  <c r="R143" i="21" s="1"/>
  <c r="R144" i="21" s="1"/>
  <c r="R145" i="21" s="1"/>
  <c r="B156" i="11"/>
  <c r="B157" i="11"/>
  <c r="B158" i="11"/>
  <c r="B159" i="11"/>
  <c r="B160" i="11"/>
  <c r="B161" i="11"/>
  <c r="B162" i="11"/>
  <c r="B163" i="11"/>
  <c r="E163" i="11" s="1"/>
  <c r="Z143" i="21" s="1" a="1"/>
  <c r="Z143" i="21" s="1"/>
  <c r="Z144" i="21" s="1"/>
  <c r="Z145" i="21" s="1"/>
  <c r="B164" i="11"/>
  <c r="B165" i="11"/>
  <c r="B166" i="11"/>
  <c r="B167" i="11"/>
  <c r="B168" i="11"/>
  <c r="B169" i="11"/>
  <c r="B170" i="11"/>
  <c r="B171" i="11"/>
  <c r="B172" i="11"/>
  <c r="B173" i="11"/>
  <c r="B174" i="11"/>
  <c r="B175" i="11"/>
  <c r="B176" i="11"/>
  <c r="B177" i="11"/>
  <c r="B178" i="11"/>
  <c r="B179" i="11"/>
  <c r="B180" i="11"/>
  <c r="B181" i="11"/>
  <c r="B182" i="11"/>
  <c r="E182" i="11" s="1"/>
  <c r="AS143" i="21" s="1" a="1"/>
  <c r="AS143" i="21" s="1"/>
  <c r="AS144" i="21" s="1"/>
  <c r="AS145" i="2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CO143" i="21" s="1" a="1"/>
  <c r="CO143" i="21" s="1"/>
  <c r="CO144" i="21" s="1"/>
  <c r="CO145" i="21" s="1"/>
  <c r="B231" i="11"/>
  <c r="E231" i="11" s="1"/>
  <c r="CP143" i="21" s="1" a="1"/>
  <c r="CP143" i="21" s="1"/>
  <c r="CP144" i="21" s="1"/>
  <c r="CP145" i="21" s="1"/>
  <c r="B232" i="11"/>
  <c r="B233" i="11"/>
  <c r="B234" i="11"/>
  <c r="B235" i="11"/>
  <c r="B236" i="11"/>
  <c r="B237" i="11"/>
  <c r="B238" i="11"/>
  <c r="B139" i="11"/>
  <c r="E139" i="11" s="1"/>
  <c r="B143" i="21" s="1" a="1"/>
  <c r="B143" i="21" s="1"/>
  <c r="B144" i="21" s="1"/>
  <c r="B145" i="21" l="1"/>
  <c r="F139" i="11" a="1"/>
  <c r="F139" i="11" s="1"/>
  <c r="E238" i="11"/>
  <c r="CW143" i="21" s="1" a="1"/>
  <c r="CW143" i="21" s="1"/>
  <c r="CW144" i="21" s="1"/>
  <c r="CW145" i="21" s="1"/>
  <c r="E234" i="11"/>
  <c r="CS143" i="21" s="1" a="1"/>
  <c r="CS143" i="21" s="1"/>
  <c r="CS144" i="21" s="1"/>
  <c r="CS145" i="21" s="1"/>
  <c r="E226" i="11"/>
  <c r="CK143" i="21" s="1" a="1"/>
  <c r="CK143" i="21" s="1"/>
  <c r="CK144" i="21" s="1"/>
  <c r="CK145" i="21" s="1"/>
  <c r="E214" i="11"/>
  <c r="BY143" i="21" s="1" a="1"/>
  <c r="BY143" i="21" s="1"/>
  <c r="BY144" i="21" s="1"/>
  <c r="BY145" i="21" s="1"/>
  <c r="E206" i="11"/>
  <c r="BQ143" i="21" s="1" a="1"/>
  <c r="BQ143" i="21" s="1"/>
  <c r="BQ144" i="21" s="1"/>
  <c r="BQ145" i="21" s="1"/>
  <c r="E198" i="11"/>
  <c r="BI143" i="21" s="1" a="1"/>
  <c r="BI143" i="21" s="1"/>
  <c r="BI144" i="21" s="1"/>
  <c r="BI145" i="21" s="1"/>
  <c r="E194" i="11"/>
  <c r="BE143" i="21" s="1" a="1"/>
  <c r="BE143" i="21" s="1"/>
  <c r="BE144" i="21" s="1"/>
  <c r="BE145" i="21" s="1"/>
  <c r="E174" i="11"/>
  <c r="AK143" i="21" s="1" a="1"/>
  <c r="AK143" i="21" s="1"/>
  <c r="AK144" i="21" s="1"/>
  <c r="AK145" i="21" s="1"/>
  <c r="E166" i="11"/>
  <c r="AC143" i="21" s="1" a="1"/>
  <c r="AC143" i="21" s="1"/>
  <c r="AC144" i="21" s="1"/>
  <c r="AC145" i="21" s="1"/>
  <c r="E158" i="11"/>
  <c r="U143" i="21" s="1" a="1"/>
  <c r="U143" i="21" s="1"/>
  <c r="U144" i="21" s="1"/>
  <c r="U145" i="21" s="1"/>
  <c r="E150" i="11"/>
  <c r="M143" i="21" s="1" a="1"/>
  <c r="M143" i="21" s="1"/>
  <c r="E197" i="11"/>
  <c r="BH143" i="21" s="1" a="1"/>
  <c r="BH143" i="21" s="1"/>
  <c r="BH144" i="21" s="1"/>
  <c r="BH145" i="21" s="1"/>
  <c r="E193" i="11"/>
  <c r="BD143" i="21" s="1" a="1"/>
  <c r="BD143" i="21" s="1"/>
  <c r="BD144" i="21" s="1"/>
  <c r="BD145" i="21" s="1"/>
  <c r="E189" i="11"/>
  <c r="AZ143" i="21" s="1" a="1"/>
  <c r="AZ143" i="21" s="1"/>
  <c r="AZ144" i="21" s="1"/>
  <c r="AZ145" i="21" s="1"/>
  <c r="E185" i="11"/>
  <c r="AV143" i="21" s="1" a="1"/>
  <c r="AV143" i="21" s="1"/>
  <c r="AV144" i="21" s="1"/>
  <c r="AV145" i="21" s="1"/>
  <c r="E181" i="11"/>
  <c r="AR143" i="21" s="1" a="1"/>
  <c r="AR143" i="21" s="1"/>
  <c r="AR144" i="21" s="1"/>
  <c r="AR145" i="21" s="1"/>
  <c r="E177" i="11"/>
  <c r="AN143" i="21" s="1" a="1"/>
  <c r="AN143" i="21" s="1"/>
  <c r="AN144" i="21" s="1"/>
  <c r="AN145" i="21" s="1"/>
  <c r="E173" i="11"/>
  <c r="AJ143" i="21" s="1" a="1"/>
  <c r="AJ143" i="21" s="1"/>
  <c r="AJ144" i="21" s="1"/>
  <c r="AJ145" i="21" s="1"/>
  <c r="E169" i="11"/>
  <c r="AF143" i="21" s="1" a="1"/>
  <c r="AF143" i="21" s="1"/>
  <c r="AF144" i="21" s="1"/>
  <c r="AF145" i="21" s="1"/>
  <c r="E165" i="11"/>
  <c r="AB143" i="21" s="1" a="1"/>
  <c r="AB143" i="21" s="1"/>
  <c r="AB144" i="21" s="1"/>
  <c r="AB145" i="21" s="1"/>
  <c r="E161" i="11"/>
  <c r="X143" i="21" s="1" a="1"/>
  <c r="X143" i="21" s="1"/>
  <c r="X144" i="21" s="1"/>
  <c r="X145" i="21" s="1"/>
  <c r="E157" i="11"/>
  <c r="T143" i="21" s="1" a="1"/>
  <c r="T143" i="21" s="1"/>
  <c r="T144" i="21" s="1"/>
  <c r="T145" i="21" s="1"/>
  <c r="E153" i="11"/>
  <c r="P143" i="21" s="1" a="1"/>
  <c r="P143" i="21" s="1"/>
  <c r="P144" i="21" s="1"/>
  <c r="P145" i="21" s="1"/>
  <c r="E149" i="11"/>
  <c r="L143" i="21" s="1" a="1"/>
  <c r="L143" i="21" s="1"/>
  <c r="E145" i="11"/>
  <c r="H143" i="21" s="1" a="1"/>
  <c r="H143" i="21" s="1"/>
  <c r="E141" i="11"/>
  <c r="D143" i="21" s="1" a="1"/>
  <c r="D143" i="21" s="1"/>
  <c r="E235" i="11"/>
  <c r="CT143" i="21" s="1" a="1"/>
  <c r="CT143" i="21" s="1"/>
  <c r="CT144" i="21" s="1"/>
  <c r="CT145" i="21" s="1"/>
  <c r="E227" i="11"/>
  <c r="CL143" i="21" s="1" a="1"/>
  <c r="CL143" i="21" s="1"/>
  <c r="CL144" i="21" s="1"/>
  <c r="CL145" i="21" s="1"/>
  <c r="E223" i="11"/>
  <c r="CH143" i="21" s="1" a="1"/>
  <c r="CH143" i="21" s="1"/>
  <c r="CH144" i="21" s="1"/>
  <c r="CH145" i="21" s="1"/>
  <c r="E219" i="11"/>
  <c r="CD143" i="21" s="1" a="1"/>
  <c r="CD143" i="21" s="1"/>
  <c r="CD144" i="21" s="1"/>
  <c r="CD145" i="21" s="1"/>
  <c r="E215" i="11"/>
  <c r="BZ143" i="21" s="1" a="1"/>
  <c r="BZ143" i="21" s="1"/>
  <c r="BZ144" i="21" s="1"/>
  <c r="BZ145" i="21" s="1"/>
  <c r="E211" i="11"/>
  <c r="BV143" i="21" s="1" a="1"/>
  <c r="BV143" i="21" s="1"/>
  <c r="BV144" i="21" s="1"/>
  <c r="BV145" i="21" s="1"/>
  <c r="E207" i="11"/>
  <c r="BR143" i="21" s="1" a="1"/>
  <c r="BR143" i="21" s="1"/>
  <c r="BR144" i="21" s="1"/>
  <c r="BR145" i="21" s="1"/>
  <c r="E203" i="11"/>
  <c r="BN143" i="21" s="1" a="1"/>
  <c r="BN143" i="21" s="1"/>
  <c r="BN144" i="21" s="1"/>
  <c r="BN145" i="21" s="1"/>
  <c r="E199" i="11"/>
  <c r="BJ143" i="21" s="1" a="1"/>
  <c r="BJ143" i="21" s="1"/>
  <c r="BJ144" i="21" s="1"/>
  <c r="BJ145" i="21" s="1"/>
  <c r="E195" i="11"/>
  <c r="BF143" i="21" s="1" a="1"/>
  <c r="BF143" i="21" s="1"/>
  <c r="BF144" i="21" s="1"/>
  <c r="BF145" i="21" s="1"/>
  <c r="E191" i="11"/>
  <c r="BB143" i="21" s="1" a="1"/>
  <c r="BB143" i="21" s="1"/>
  <c r="BB144" i="21" s="1"/>
  <c r="BB145" i="21" s="1"/>
  <c r="E187" i="11"/>
  <c r="AX143" i="21" s="1" a="1"/>
  <c r="AX143" i="21" s="1"/>
  <c r="AX144" i="21" s="1"/>
  <c r="AX145" i="21" s="1"/>
  <c r="E183" i="11"/>
  <c r="AT143" i="21" s="1" a="1"/>
  <c r="AT143" i="21" s="1"/>
  <c r="AT144" i="21" s="1"/>
  <c r="AT145" i="21" s="1"/>
  <c r="E179" i="11"/>
  <c r="AP143" i="21" s="1" a="1"/>
  <c r="AP143" i="21" s="1"/>
  <c r="AP144" i="21" s="1"/>
  <c r="AP145" i="21" s="1"/>
  <c r="E175" i="11"/>
  <c r="AL143" i="21" s="1" a="1"/>
  <c r="AL143" i="21" s="1"/>
  <c r="AL144" i="21" s="1"/>
  <c r="AL145" i="21" s="1"/>
  <c r="E171" i="11"/>
  <c r="AH143" i="21" s="1" a="1"/>
  <c r="AH143" i="21" s="1"/>
  <c r="AH144" i="21" s="1"/>
  <c r="AH145" i="21" s="1"/>
  <c r="E167" i="11"/>
  <c r="AD143" i="21" s="1" a="1"/>
  <c r="AD143" i="21" s="1"/>
  <c r="AD144" i="21" s="1"/>
  <c r="AD145" i="21" s="1"/>
  <c r="E159" i="11"/>
  <c r="V143" i="21" s="1" a="1"/>
  <c r="V143" i="21" s="1"/>
  <c r="V144" i="21" s="1"/>
  <c r="V145" i="21" s="1"/>
  <c r="E151" i="11"/>
  <c r="N143" i="21" s="1" a="1"/>
  <c r="N143" i="21" s="1"/>
  <c r="N144" i="21" s="1"/>
  <c r="N145" i="21" s="1"/>
  <c r="E147" i="11"/>
  <c r="J143" i="21" s="1" a="1"/>
  <c r="J143" i="21" s="1"/>
  <c r="E222" i="11"/>
  <c r="CG143" i="21" s="1" a="1"/>
  <c r="CG143" i="21" s="1"/>
  <c r="CG144" i="21" s="1"/>
  <c r="CG145" i="21" s="1"/>
  <c r="E218" i="11"/>
  <c r="CC143" i="21" s="1" a="1"/>
  <c r="CC143" i="21" s="1"/>
  <c r="CC144" i="21" s="1"/>
  <c r="CC145" i="21" s="1"/>
  <c r="E210" i="11"/>
  <c r="BU143" i="21" s="1" a="1"/>
  <c r="BU143" i="21" s="1"/>
  <c r="BU144" i="21" s="1"/>
  <c r="BU145" i="21" s="1"/>
  <c r="E202" i="11"/>
  <c r="BM143" i="21" s="1" a="1"/>
  <c r="BM143" i="21" s="1"/>
  <c r="BM144" i="21" s="1"/>
  <c r="BM145" i="21" s="1"/>
  <c r="E190" i="11"/>
  <c r="BA143" i="21" s="1" a="1"/>
  <c r="BA143" i="21" s="1"/>
  <c r="BA144" i="21" s="1"/>
  <c r="BA145" i="21" s="1"/>
  <c r="E186" i="11"/>
  <c r="AW143" i="21" s="1" a="1"/>
  <c r="AW143" i="21" s="1"/>
  <c r="AW144" i="21" s="1"/>
  <c r="AW145" i="21" s="1"/>
  <c r="E178" i="11"/>
  <c r="AO143" i="21" s="1" a="1"/>
  <c r="AO143" i="21" s="1"/>
  <c r="AO144" i="21" s="1"/>
  <c r="AO145" i="21" s="1"/>
  <c r="E170" i="11"/>
  <c r="AG143" i="21" s="1" a="1"/>
  <c r="AG143" i="21" s="1"/>
  <c r="AG144" i="21" s="1"/>
  <c r="AG145" i="21" s="1"/>
  <c r="E162" i="11"/>
  <c r="Y143" i="21" s="1" a="1"/>
  <c r="Y143" i="21" s="1"/>
  <c r="Y144" i="21" s="1"/>
  <c r="Y145" i="21" s="1"/>
  <c r="E154" i="11"/>
  <c r="Q143" i="21" s="1" a="1"/>
  <c r="Q143" i="21" s="1"/>
  <c r="Q144" i="21" s="1"/>
  <c r="Q145" i="21" s="1"/>
  <c r="E146" i="11"/>
  <c r="I143" i="21" s="1" a="1"/>
  <c r="I143" i="21" s="1"/>
  <c r="E142" i="11"/>
  <c r="E143" i="21" s="1" a="1"/>
  <c r="E143" i="21" s="1"/>
  <c r="E237" i="11"/>
  <c r="CV143" i="21" s="1" a="1"/>
  <c r="CV143" i="21" s="1"/>
  <c r="CV144" i="21" s="1"/>
  <c r="CV145" i="21" s="1"/>
  <c r="E233" i="11"/>
  <c r="CR143" i="21" s="1" a="1"/>
  <c r="CR143" i="21" s="1"/>
  <c r="CR144" i="21" s="1"/>
  <c r="CR145" i="21" s="1"/>
  <c r="E229" i="11"/>
  <c r="CN143" i="21" s="1" a="1"/>
  <c r="CN143" i="21" s="1"/>
  <c r="CN144" i="21" s="1"/>
  <c r="CN145" i="21" s="1"/>
  <c r="E225" i="11"/>
  <c r="CJ143" i="21" s="1" a="1"/>
  <c r="CJ143" i="21" s="1"/>
  <c r="CJ144" i="21" s="1"/>
  <c r="CJ145" i="21" s="1"/>
  <c r="E221" i="11"/>
  <c r="CF143" i="21" s="1" a="1"/>
  <c r="CF143" i="21" s="1"/>
  <c r="CF144" i="21" s="1"/>
  <c r="CF145" i="21" s="1"/>
  <c r="E217" i="11"/>
  <c r="CB143" i="21" s="1" a="1"/>
  <c r="CB143" i="21" s="1"/>
  <c r="CB144" i="21" s="1"/>
  <c r="CB145" i="21" s="1"/>
  <c r="E213" i="11"/>
  <c r="BX143" i="21" s="1" a="1"/>
  <c r="BX143" i="21" s="1"/>
  <c r="BX144" i="21" s="1"/>
  <c r="BX145" i="21" s="1"/>
  <c r="E209" i="11"/>
  <c r="BT143" i="21" s="1" a="1"/>
  <c r="BT143" i="21" s="1"/>
  <c r="BT144" i="21" s="1"/>
  <c r="BT145" i="21" s="1"/>
  <c r="E205" i="11"/>
  <c r="BP143" i="21" s="1" a="1"/>
  <c r="BP143" i="21" s="1"/>
  <c r="BP144" i="21" s="1"/>
  <c r="BP145" i="21" s="1"/>
  <c r="E201" i="11"/>
  <c r="BL143" i="21" s="1" a="1"/>
  <c r="BL143" i="21" s="1"/>
  <c r="BL144" i="21" s="1"/>
  <c r="BL145" i="21" s="1"/>
  <c r="E236" i="11"/>
  <c r="CU143" i="21" s="1" a="1"/>
  <c r="CU143" i="21" s="1"/>
  <c r="CU144" i="21" s="1"/>
  <c r="CU145" i="21" s="1"/>
  <c r="E232" i="11"/>
  <c r="CQ143" i="21" s="1" a="1"/>
  <c r="CQ143" i="21" s="1"/>
  <c r="CQ144" i="21" s="1"/>
  <c r="CQ145" i="21" s="1"/>
  <c r="E228" i="11"/>
  <c r="CM143" i="21" s="1" a="1"/>
  <c r="CM143" i="21" s="1"/>
  <c r="CM144" i="21" s="1"/>
  <c r="CM145" i="21" s="1"/>
  <c r="E224" i="11"/>
  <c r="CI143" i="21" s="1" a="1"/>
  <c r="CI143" i="21" s="1"/>
  <c r="CI144" i="21" s="1"/>
  <c r="CI145" i="21" s="1"/>
  <c r="E220" i="11"/>
  <c r="CE143" i="21" s="1" a="1"/>
  <c r="CE143" i="21" s="1"/>
  <c r="CE144" i="21" s="1"/>
  <c r="CE145" i="21" s="1"/>
  <c r="E216" i="11"/>
  <c r="CA143" i="21" s="1" a="1"/>
  <c r="CA143" i="21" s="1"/>
  <c r="CA144" i="21" s="1"/>
  <c r="CA145" i="21" s="1"/>
  <c r="E212" i="11"/>
  <c r="BW143" i="21" s="1" a="1"/>
  <c r="BW143" i="21" s="1"/>
  <c r="BW144" i="21" s="1"/>
  <c r="BW145" i="21" s="1"/>
  <c r="E208" i="11"/>
  <c r="BS143" i="21" s="1" a="1"/>
  <c r="BS143" i="21" s="1"/>
  <c r="BS144" i="21" s="1"/>
  <c r="BS145" i="21" s="1"/>
  <c r="E204" i="11"/>
  <c r="BO143" i="21" s="1" a="1"/>
  <c r="BO143" i="21" s="1"/>
  <c r="BO144" i="21" s="1"/>
  <c r="BO145" i="21" s="1"/>
  <c r="E200" i="11"/>
  <c r="BK143" i="21" s="1" a="1"/>
  <c r="BK143" i="21" s="1"/>
  <c r="BK144" i="21" s="1"/>
  <c r="BK145" i="21" s="1"/>
  <c r="E196" i="11"/>
  <c r="BG143" i="21" s="1" a="1"/>
  <c r="BG143" i="21" s="1"/>
  <c r="BG144" i="21" s="1"/>
  <c r="BG145" i="21" s="1"/>
  <c r="E192" i="11"/>
  <c r="BC143" i="21" s="1" a="1"/>
  <c r="BC143" i="21" s="1"/>
  <c r="BC144" i="21" s="1"/>
  <c r="BC145" i="21" s="1"/>
  <c r="E188" i="11"/>
  <c r="AY143" i="21" s="1" a="1"/>
  <c r="AY143" i="21" s="1"/>
  <c r="AY144" i="21" s="1"/>
  <c r="AY145" i="21" s="1"/>
  <c r="E184" i="11"/>
  <c r="AU143" i="21" s="1" a="1"/>
  <c r="AU143" i="21" s="1"/>
  <c r="AU144" i="21" s="1"/>
  <c r="AU145" i="21" s="1"/>
  <c r="E180" i="11"/>
  <c r="AQ143" i="21" s="1" a="1"/>
  <c r="AQ143" i="21" s="1"/>
  <c r="AQ144" i="21" s="1"/>
  <c r="AQ145" i="21" s="1"/>
  <c r="E176" i="11"/>
  <c r="AM143" i="21" s="1" a="1"/>
  <c r="AM143" i="21" s="1"/>
  <c r="AM144" i="21" s="1"/>
  <c r="AM145" i="21" s="1"/>
  <c r="E172" i="11"/>
  <c r="AI143" i="21" s="1" a="1"/>
  <c r="AI143" i="21" s="1"/>
  <c r="AI144" i="21" s="1"/>
  <c r="AI145" i="21" s="1"/>
  <c r="E168" i="11"/>
  <c r="AE143" i="21" s="1" a="1"/>
  <c r="AE143" i="21" s="1"/>
  <c r="AE144" i="21" s="1"/>
  <c r="AE145" i="21" s="1"/>
  <c r="E164" i="11"/>
  <c r="AA143" i="21" s="1" a="1"/>
  <c r="AA143" i="21" s="1"/>
  <c r="AA144" i="21" s="1"/>
  <c r="AA145" i="21" s="1"/>
  <c r="E160" i="11"/>
  <c r="W143" i="21" s="1" a="1"/>
  <c r="W143" i="21" s="1"/>
  <c r="W144" i="21" s="1"/>
  <c r="W145" i="21" s="1"/>
  <c r="E156" i="11"/>
  <c r="S143" i="21" s="1" a="1"/>
  <c r="S143" i="21" s="1"/>
  <c r="S144" i="21" s="1"/>
  <c r="S145" i="21" s="1"/>
  <c r="E152" i="11"/>
  <c r="O143" i="21" s="1" a="1"/>
  <c r="O143" i="21" s="1"/>
  <c r="O144" i="21" s="1"/>
  <c r="O145" i="21" s="1"/>
  <c r="E148" i="11"/>
  <c r="K143" i="21" s="1" a="1"/>
  <c r="K143" i="21" s="1"/>
  <c r="CW1" i="7"/>
  <c r="CV1" i="7"/>
  <c r="CU1" i="7"/>
  <c r="CT1" i="7"/>
  <c r="CS1" i="7"/>
  <c r="CR1" i="7"/>
  <c r="CW1" i="13"/>
  <c r="CX1" i="13"/>
  <c r="CY1" i="13"/>
  <c r="CZ1" i="13"/>
  <c r="DA1" i="13"/>
  <c r="CV1" i="13"/>
  <c r="B69" i="8" a="1"/>
  <c r="B69" i="8" s="1"/>
  <c r="T2" i="3"/>
  <c r="U3" i="5" s="1" a="1"/>
  <c r="U3" i="5" s="1"/>
  <c r="C37" i="11"/>
  <c r="D37" i="11" s="1"/>
  <c r="C38" i="11"/>
  <c r="D38" i="11" s="1"/>
  <c r="C39" i="11"/>
  <c r="D39" i="11" s="1"/>
  <c r="C40" i="11"/>
  <c r="D40" i="11" s="1"/>
  <c r="C41" i="11"/>
  <c r="D41" i="11" s="1"/>
  <c r="C42" i="11"/>
  <c r="D42" i="11" s="1"/>
  <c r="C43" i="11"/>
  <c r="D43" i="11" s="1"/>
  <c r="C44" i="11"/>
  <c r="D44" i="11" s="1"/>
  <c r="C45" i="11"/>
  <c r="D45" i="11" s="1"/>
  <c r="C46" i="11"/>
  <c r="D46" i="11" s="1"/>
  <c r="C47" i="11"/>
  <c r="D47" i="11" s="1"/>
  <c r="C48" i="11"/>
  <c r="D48" i="11" s="1"/>
  <c r="C49" i="11"/>
  <c r="D49" i="11" s="1"/>
  <c r="C50" i="11"/>
  <c r="D50" i="11" s="1"/>
  <c r="C51" i="11"/>
  <c r="D51" i="11" s="1"/>
  <c r="C52" i="11"/>
  <c r="D52" i="11" s="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E37" i="11"/>
  <c r="C7" i="21" s="1" a="1"/>
  <c r="C7" i="21" s="1"/>
  <c r="C8" i="21" s="1"/>
  <c r="E38" i="11"/>
  <c r="D7" i="21" s="1" a="1"/>
  <c r="D7" i="21" s="1"/>
  <c r="D8" i="21" s="1"/>
  <c r="E41" i="11"/>
  <c r="G7" i="21" s="1" a="1"/>
  <c r="G7" i="21" s="1"/>
  <c r="G8" i="21" s="1"/>
  <c r="E49" i="11"/>
  <c r="O7" i="21" s="1" a="1"/>
  <c r="O7" i="21" s="1"/>
  <c r="O8" i="21" s="1"/>
  <c r="E71" i="11"/>
  <c r="AK7" i="21" s="1" a="1"/>
  <c r="AK7" i="21" s="1"/>
  <c r="AK8" i="21" s="1"/>
  <c r="E78" i="11"/>
  <c r="AR7" i="21" s="1" a="1"/>
  <c r="AR7" i="21" s="1"/>
  <c r="AR8" i="21" s="1"/>
  <c r="E82" i="11"/>
  <c r="AV7" i="21" s="1" a="1"/>
  <c r="AV7" i="21" s="1"/>
  <c r="AV8" i="21" s="1"/>
  <c r="E92" i="11"/>
  <c r="BF7" i="21" s="1" a="1"/>
  <c r="BF7" i="21" s="1"/>
  <c r="BF8" i="21" s="1"/>
  <c r="E105" i="11"/>
  <c r="BS7" i="21" s="1" a="1"/>
  <c r="BS7" i="21" s="1"/>
  <c r="BS8" i="21" s="1"/>
  <c r="E110" i="11"/>
  <c r="BX7" i="21" s="1" a="1"/>
  <c r="BX7" i="21" s="1"/>
  <c r="BX8" i="21" s="1"/>
  <c r="E117" i="11"/>
  <c r="CE7" i="21" s="1" a="1"/>
  <c r="CE7" i="21" s="1"/>
  <c r="CE8" i="21" s="1"/>
  <c r="E128" i="11"/>
  <c r="CP7" i="21" s="1" a="1"/>
  <c r="CP7" i="21" s="1"/>
  <c r="CP8" i="21" s="1"/>
  <c r="E135" i="11"/>
  <c r="CW7" i="21" s="1" a="1"/>
  <c r="CW7" i="21" s="1"/>
  <c r="CW8" i="21" s="1"/>
  <c r="E36" i="11"/>
  <c r="CE9" i="21" l="1"/>
  <c r="F117" i="11" a="1"/>
  <c r="F117" i="11" s="1"/>
  <c r="AV9" i="21"/>
  <c r="F82" i="11" a="1"/>
  <c r="F82" i="11" s="1"/>
  <c r="BS9" i="21"/>
  <c r="F105" i="11" a="1"/>
  <c r="F105" i="11" s="1"/>
  <c r="O9" i="21"/>
  <c r="O16" i="21" s="1" a="1"/>
  <c r="O16" i="21" s="1"/>
  <c r="F49" i="11" a="1"/>
  <c r="F49" i="11" s="1"/>
  <c r="G9" i="21"/>
  <c r="F41" i="11" a="1"/>
  <c r="F41" i="11" s="1"/>
  <c r="CP9" i="21"/>
  <c r="F128" i="11" a="1"/>
  <c r="F128" i="11" s="1"/>
  <c r="AK9" i="21"/>
  <c r="F71" i="11" a="1"/>
  <c r="F71" i="11" s="1"/>
  <c r="CW9" i="21"/>
  <c r="F135" i="11" a="1"/>
  <c r="F135" i="11" s="1"/>
  <c r="D9" i="21"/>
  <c r="F38" i="11" a="1"/>
  <c r="F38" i="11" s="1"/>
  <c r="AR9" i="21"/>
  <c r="F78" i="11" a="1"/>
  <c r="F78" i="11" s="1"/>
  <c r="C9" i="21"/>
  <c r="F37" i="11" a="1"/>
  <c r="F37" i="11" s="1"/>
  <c r="BX9" i="21"/>
  <c r="F110" i="11" a="1"/>
  <c r="F110" i="11" s="1"/>
  <c r="BF9" i="21"/>
  <c r="F92" i="11" a="1"/>
  <c r="F92" i="11" s="1"/>
  <c r="G13" i="21" a="1"/>
  <c r="G13" i="21" s="1"/>
  <c r="G21" i="21" a="1"/>
  <c r="G21" i="21" s="1"/>
  <c r="G29" i="21" a="1"/>
  <c r="G29" i="21" s="1"/>
  <c r="G37" i="21" a="1"/>
  <c r="G37" i="21" s="1"/>
  <c r="G45" i="21" a="1"/>
  <c r="G45" i="21" s="1"/>
  <c r="G53" i="21" a="1"/>
  <c r="G53" i="21" s="1"/>
  <c r="G61" i="21" a="1"/>
  <c r="G61" i="21" s="1"/>
  <c r="G20" i="21" a="1"/>
  <c r="G20" i="21" s="1"/>
  <c r="G28" i="21" a="1"/>
  <c r="G28" i="21" s="1"/>
  <c r="G36" i="21" a="1"/>
  <c r="G36" i="21" s="1"/>
  <c r="G44" i="21" a="1"/>
  <c r="G44" i="21" s="1"/>
  <c r="G52" i="21" a="1"/>
  <c r="G52" i="21" s="1"/>
  <c r="G60" i="21" a="1"/>
  <c r="G60" i="21" s="1"/>
  <c r="G48" i="21" a="1"/>
  <c r="G48" i="21" s="1"/>
  <c r="G15" i="21" a="1"/>
  <c r="G15" i="21" s="1"/>
  <c r="G47" i="21" a="1"/>
  <c r="G47" i="21" s="1"/>
  <c r="G19" i="21" a="1"/>
  <c r="G19" i="21" s="1"/>
  <c r="G27" i="21" a="1"/>
  <c r="G27" i="21" s="1"/>
  <c r="G35" i="21" a="1"/>
  <c r="G35" i="21" s="1"/>
  <c r="G43" i="21" a="1"/>
  <c r="G43" i="21" s="1"/>
  <c r="G51" i="21" a="1"/>
  <c r="G51" i="21" s="1"/>
  <c r="G59" i="21" a="1"/>
  <c r="G59" i="21" s="1"/>
  <c r="G55" i="21" a="1"/>
  <c r="G55" i="21" s="1"/>
  <c r="G18" i="21" a="1"/>
  <c r="G18" i="21" s="1"/>
  <c r="G26" i="21" a="1"/>
  <c r="G26" i="21" s="1"/>
  <c r="G34" i="21" a="1"/>
  <c r="G34" i="21" s="1"/>
  <c r="G42" i="21" a="1"/>
  <c r="G42" i="21" s="1"/>
  <c r="G50" i="21" a="1"/>
  <c r="G50" i="21" s="1"/>
  <c r="G58" i="21" a="1"/>
  <c r="G58" i="21" s="1"/>
  <c r="G17" i="21" a="1"/>
  <c r="G17" i="21" s="1"/>
  <c r="G25" i="21" a="1"/>
  <c r="G25" i="21" s="1"/>
  <c r="G33" i="21" a="1"/>
  <c r="G33" i="21" s="1"/>
  <c r="G41" i="21" a="1"/>
  <c r="G41" i="21" s="1"/>
  <c r="G49" i="21" a="1"/>
  <c r="G49" i="21" s="1"/>
  <c r="G57" i="21" a="1"/>
  <c r="G57" i="21" s="1"/>
  <c r="G56" i="21" a="1"/>
  <c r="G56" i="21" s="1"/>
  <c r="G23" i="21" a="1"/>
  <c r="G23" i="21" s="1"/>
  <c r="G39" i="21" a="1"/>
  <c r="G39" i="21" s="1"/>
  <c r="G63" i="21" a="1"/>
  <c r="G63" i="21" s="1"/>
  <c r="G16" i="21" a="1"/>
  <c r="G16" i="21" s="1"/>
  <c r="G24" i="21" a="1"/>
  <c r="G24" i="21" s="1"/>
  <c r="G14" i="21" a="1"/>
  <c r="G14" i="21" s="1"/>
  <c r="G22" i="21" a="1"/>
  <c r="G22" i="21" s="1"/>
  <c r="G30" i="21" a="1"/>
  <c r="G30" i="21" s="1"/>
  <c r="G38" i="21" a="1"/>
  <c r="G38" i="21" s="1"/>
  <c r="G46" i="21" a="1"/>
  <c r="G46" i="21" s="1"/>
  <c r="G54" i="21" a="1"/>
  <c r="G54" i="21" s="1"/>
  <c r="G62" i="21" a="1"/>
  <c r="G62" i="21" s="1"/>
  <c r="G32" i="21" a="1"/>
  <c r="G32" i="21" s="1"/>
  <c r="G40" i="21" a="1"/>
  <c r="G40" i="21" s="1"/>
  <c r="G64" i="21" a="1"/>
  <c r="G64" i="21" s="1"/>
  <c r="G31" i="21" a="1"/>
  <c r="G31" i="21" s="1"/>
  <c r="B153" i="21" a="1"/>
  <c r="B153" i="21" s="1"/>
  <c r="B157" i="21" a="1"/>
  <c r="B157" i="21" s="1"/>
  <c r="B161" i="21" a="1"/>
  <c r="B161" i="21" s="1"/>
  <c r="B165" i="21" a="1"/>
  <c r="B165" i="21" s="1"/>
  <c r="B169" i="21" a="1"/>
  <c r="B169" i="21" s="1"/>
  <c r="B173" i="21" a="1"/>
  <c r="B173" i="21" s="1"/>
  <c r="B177" i="21" a="1"/>
  <c r="B177" i="21" s="1"/>
  <c r="B181" i="21" a="1"/>
  <c r="B181" i="21" s="1"/>
  <c r="B185" i="21" a="1"/>
  <c r="B185" i="21" s="1"/>
  <c r="B189" i="21" a="1"/>
  <c r="B189" i="21" s="1"/>
  <c r="B197" i="21" a="1"/>
  <c r="B197" i="21" s="1"/>
  <c r="B149" i="21" a="1"/>
  <c r="B149" i="21" s="1"/>
  <c r="B150" i="21" a="1"/>
  <c r="B150" i="21" s="1"/>
  <c r="B154" i="21" a="1"/>
  <c r="B154" i="21" s="1"/>
  <c r="B158" i="21" a="1"/>
  <c r="B158" i="21" s="1"/>
  <c r="B162" i="21" a="1"/>
  <c r="B162" i="21" s="1"/>
  <c r="B166" i="21" a="1"/>
  <c r="B166" i="21" s="1"/>
  <c r="B170" i="21" a="1"/>
  <c r="B170" i="21" s="1"/>
  <c r="B174" i="21" a="1"/>
  <c r="B174" i="21" s="1"/>
  <c r="B178" i="21" a="1"/>
  <c r="B178" i="21" s="1"/>
  <c r="B182" i="21" a="1"/>
  <c r="B182" i="21" s="1"/>
  <c r="B186" i="21" a="1"/>
  <c r="B186" i="21" s="1"/>
  <c r="B190" i="21" a="1"/>
  <c r="B190" i="21" s="1"/>
  <c r="B194" i="21" a="1"/>
  <c r="B194" i="21" s="1"/>
  <c r="B198" i="21" a="1"/>
  <c r="B198" i="21" s="1"/>
  <c r="B195" i="21" a="1"/>
  <c r="B195" i="21" s="1"/>
  <c r="B151" i="21" a="1"/>
  <c r="B151" i="21" s="1"/>
  <c r="B155" i="21" a="1"/>
  <c r="B155" i="21" s="1"/>
  <c r="B159" i="21" a="1"/>
  <c r="B159" i="21" s="1"/>
  <c r="B163" i="21" a="1"/>
  <c r="B163" i="21" s="1"/>
  <c r="B167" i="21" a="1"/>
  <c r="B167" i="21" s="1"/>
  <c r="B171" i="21" a="1"/>
  <c r="B171" i="21" s="1"/>
  <c r="B175" i="21" a="1"/>
  <c r="B175" i="21" s="1"/>
  <c r="B179" i="21" a="1"/>
  <c r="B179" i="21" s="1"/>
  <c r="B183" i="21" a="1"/>
  <c r="B183" i="21" s="1"/>
  <c r="B187" i="21" a="1"/>
  <c r="B187" i="21" s="1"/>
  <c r="B191" i="21" a="1"/>
  <c r="B191" i="21" s="1"/>
  <c r="B199" i="21" a="1"/>
  <c r="B199" i="21" s="1"/>
  <c r="B152" i="21" a="1"/>
  <c r="B152" i="21" s="1"/>
  <c r="B156" i="21" a="1"/>
  <c r="B156" i="21" s="1"/>
  <c r="B160" i="21" a="1"/>
  <c r="B160" i="21" s="1"/>
  <c r="B164" i="21" a="1"/>
  <c r="B164" i="21" s="1"/>
  <c r="B168" i="21" a="1"/>
  <c r="B168" i="21" s="1"/>
  <c r="B172" i="21" a="1"/>
  <c r="B172" i="21" s="1"/>
  <c r="B176" i="21" a="1"/>
  <c r="B176" i="21" s="1"/>
  <c r="B180" i="21" a="1"/>
  <c r="B180" i="21" s="1"/>
  <c r="B184" i="21" a="1"/>
  <c r="B184" i="21" s="1"/>
  <c r="B188" i="21" a="1"/>
  <c r="B188" i="21" s="1"/>
  <c r="B192" i="21" a="1"/>
  <c r="B192" i="21" s="1"/>
  <c r="B196" i="21" a="1"/>
  <c r="B196" i="21" s="1"/>
  <c r="B200" i="21" a="1"/>
  <c r="B200" i="21" s="1"/>
  <c r="B193" i="21" a="1"/>
  <c r="B193" i="21" s="1"/>
  <c r="G144" i="21"/>
  <c r="F144" i="11" s="1" a="1"/>
  <c r="F144" i="11" s="1"/>
  <c r="D144" i="21"/>
  <c r="D145" i="21" s="1"/>
  <c r="C144" i="21"/>
  <c r="F140" i="11" s="1" a="1"/>
  <c r="F140" i="11" s="1"/>
  <c r="E131" i="11"/>
  <c r="CS7" i="21" s="1" a="1"/>
  <c r="CS7" i="21" s="1"/>
  <c r="CS8" i="21" s="1"/>
  <c r="E115" i="11"/>
  <c r="CC7" i="21" s="1" a="1"/>
  <c r="CC7" i="21" s="1"/>
  <c r="CC8" i="21" s="1"/>
  <c r="E99" i="11"/>
  <c r="BM7" i="21" s="1" a="1"/>
  <c r="BM7" i="21" s="1"/>
  <c r="BM8" i="21" s="1"/>
  <c r="E83" i="11"/>
  <c r="AW7" i="21" s="1" a="1"/>
  <c r="AW7" i="21" s="1"/>
  <c r="AW8" i="21" s="1"/>
  <c r="E75" i="11"/>
  <c r="AO7" i="21" s="1" a="1"/>
  <c r="AO7" i="21" s="1"/>
  <c r="AO8" i="21" s="1"/>
  <c r="E63" i="11"/>
  <c r="AC7" i="21" s="1" a="1"/>
  <c r="AC7" i="21" s="1"/>
  <c r="AC8" i="21" s="1"/>
  <c r="E55" i="11"/>
  <c r="U7" i="21" s="1" a="1"/>
  <c r="U7" i="21" s="1"/>
  <c r="U8" i="21" s="1"/>
  <c r="E51" i="11"/>
  <c r="Q7" i="21" s="1" a="1"/>
  <c r="Q7" i="21" s="1"/>
  <c r="Q8" i="21" s="1"/>
  <c r="E47" i="11"/>
  <c r="M7" i="21" s="1" a="1"/>
  <c r="M7" i="21" s="1"/>
  <c r="M8" i="21" s="1"/>
  <c r="E39" i="11"/>
  <c r="E7" i="21" s="1" a="1"/>
  <c r="E7" i="21" s="1"/>
  <c r="E8" i="21" s="1"/>
  <c r="E123" i="11"/>
  <c r="CK7" i="21" s="1" a="1"/>
  <c r="CK7" i="21" s="1"/>
  <c r="CK8" i="21" s="1"/>
  <c r="E111" i="11"/>
  <c r="BY7" i="21" s="1" a="1"/>
  <c r="BY7" i="21" s="1"/>
  <c r="BY8" i="21" s="1"/>
  <c r="E103" i="11"/>
  <c r="BQ7" i="21" s="1" a="1"/>
  <c r="BQ7" i="21" s="1"/>
  <c r="BQ8" i="21" s="1"/>
  <c r="E91" i="11"/>
  <c r="BE7" i="21" s="1" a="1"/>
  <c r="BE7" i="21" s="1"/>
  <c r="BE8" i="21" s="1"/>
  <c r="E79" i="11"/>
  <c r="AS7" i="21" s="1" a="1"/>
  <c r="AS7" i="21" s="1"/>
  <c r="AS8" i="21" s="1"/>
  <c r="E67" i="11"/>
  <c r="AG7" i="21" s="1" a="1"/>
  <c r="AG7" i="21" s="1"/>
  <c r="AG8" i="21" s="1"/>
  <c r="E134" i="11"/>
  <c r="CV7" i="21" s="1" a="1"/>
  <c r="CV7" i="21" s="1"/>
  <c r="CV8" i="21" s="1"/>
  <c r="E126" i="11"/>
  <c r="CN7" i="21" s="1" a="1"/>
  <c r="CN7" i="21" s="1"/>
  <c r="CN8" i="21" s="1"/>
  <c r="E122" i="11"/>
  <c r="CJ7" i="21" s="1" a="1"/>
  <c r="CJ7" i="21" s="1"/>
  <c r="CJ8" i="21" s="1"/>
  <c r="E118" i="11"/>
  <c r="CF7" i="21" s="1" a="1"/>
  <c r="CF7" i="21" s="1"/>
  <c r="CF8" i="21" s="1"/>
  <c r="E114" i="11"/>
  <c r="CB7" i="21" s="1" a="1"/>
  <c r="CB7" i="21" s="1"/>
  <c r="CB8" i="21" s="1"/>
  <c r="E106" i="11"/>
  <c r="BT7" i="21" s="1" a="1"/>
  <c r="BT7" i="21" s="1"/>
  <c r="BT8" i="21" s="1"/>
  <c r="E102" i="11"/>
  <c r="BP7" i="21" s="1" a="1"/>
  <c r="BP7" i="21" s="1"/>
  <c r="BP8" i="21" s="1"/>
  <c r="E98" i="11"/>
  <c r="BL7" i="21" s="1" a="1"/>
  <c r="BL7" i="21" s="1"/>
  <c r="BL8" i="21" s="1"/>
  <c r="E94" i="11"/>
  <c r="BH7" i="21" s="1" a="1"/>
  <c r="BH7" i="21" s="1"/>
  <c r="BH8" i="21" s="1"/>
  <c r="E90" i="11"/>
  <c r="BD7" i="21" s="1" a="1"/>
  <c r="BD7" i="21" s="1"/>
  <c r="BD8" i="21" s="1"/>
  <c r="E86" i="11"/>
  <c r="AZ7" i="21" s="1" a="1"/>
  <c r="AZ7" i="21" s="1"/>
  <c r="AZ8" i="21" s="1"/>
  <c r="E74" i="11"/>
  <c r="AN7" i="21" s="1" a="1"/>
  <c r="AN7" i="21" s="1"/>
  <c r="AN8" i="21" s="1"/>
  <c r="E70" i="11"/>
  <c r="AJ7" i="21" s="1" a="1"/>
  <c r="AJ7" i="21" s="1"/>
  <c r="AJ8" i="21" s="1"/>
  <c r="E66" i="11"/>
  <c r="AF7" i="21" s="1" a="1"/>
  <c r="AF7" i="21" s="1"/>
  <c r="AF8" i="21" s="1"/>
  <c r="E62" i="11"/>
  <c r="AB7" i="21" s="1" a="1"/>
  <c r="AB7" i="21" s="1"/>
  <c r="AB8" i="21" s="1"/>
  <c r="E58" i="11"/>
  <c r="X7" i="21" s="1" a="1"/>
  <c r="X7" i="21" s="1"/>
  <c r="X8" i="21" s="1"/>
  <c r="E54" i="11"/>
  <c r="T7" i="21" s="1" a="1"/>
  <c r="T7" i="21" s="1"/>
  <c r="T8" i="21" s="1"/>
  <c r="E50" i="11"/>
  <c r="P7" i="21" s="1" a="1"/>
  <c r="P7" i="21" s="1"/>
  <c r="P8" i="21" s="1"/>
  <c r="E46" i="11"/>
  <c r="L7" i="21" s="1" a="1"/>
  <c r="L7" i="21" s="1"/>
  <c r="L8" i="21" s="1"/>
  <c r="E42" i="11"/>
  <c r="H7" i="21" s="1" a="1"/>
  <c r="H7" i="21" s="1"/>
  <c r="H8" i="21" s="1"/>
  <c r="E127" i="11"/>
  <c r="CO7" i="21" s="1" a="1"/>
  <c r="CO7" i="21" s="1"/>
  <c r="CO8" i="21" s="1"/>
  <c r="E119" i="11"/>
  <c r="CG7" i="21" s="1" a="1"/>
  <c r="CG7" i="21" s="1"/>
  <c r="CG8" i="21" s="1"/>
  <c r="E107" i="11"/>
  <c r="BU7" i="21" s="1" a="1"/>
  <c r="BU7" i="21" s="1"/>
  <c r="BU8" i="21" s="1"/>
  <c r="E95" i="11"/>
  <c r="BI7" i="21" s="1" a="1"/>
  <c r="BI7" i="21" s="1"/>
  <c r="BI8" i="21" s="1"/>
  <c r="E87" i="11"/>
  <c r="BA7" i="21" s="1" a="1"/>
  <c r="BA7" i="21" s="1"/>
  <c r="BA8" i="21" s="1"/>
  <c r="E59" i="11"/>
  <c r="Y7" i="21" s="1" a="1"/>
  <c r="Y7" i="21" s="1"/>
  <c r="Y8" i="21" s="1"/>
  <c r="E43" i="11"/>
  <c r="I7" i="21" s="1" a="1"/>
  <c r="I7" i="21" s="1"/>
  <c r="I8" i="21" s="1"/>
  <c r="E130" i="11"/>
  <c r="CR7" i="21" s="1" a="1"/>
  <c r="CR7" i="21" s="1"/>
  <c r="CR8" i="21" s="1"/>
  <c r="E133" i="11"/>
  <c r="CU7" i="21" s="1" a="1"/>
  <c r="CU7" i="21" s="1"/>
  <c r="CU8" i="21" s="1"/>
  <c r="E129" i="11"/>
  <c r="CQ7" i="21" s="1" a="1"/>
  <c r="CQ7" i="21" s="1"/>
  <c r="CQ8" i="21" s="1"/>
  <c r="E125" i="11"/>
  <c r="CM7" i="21" s="1" a="1"/>
  <c r="CM7" i="21" s="1"/>
  <c r="CM8" i="21" s="1"/>
  <c r="E121" i="11"/>
  <c r="CI7" i="21" s="1" a="1"/>
  <c r="CI7" i="21" s="1"/>
  <c r="CI8" i="21" s="1"/>
  <c r="E113" i="11"/>
  <c r="CA7" i="21" s="1" a="1"/>
  <c r="CA7" i="21" s="1"/>
  <c r="CA8" i="21" s="1"/>
  <c r="E109" i="11"/>
  <c r="BW7" i="21" s="1" a="1"/>
  <c r="BW7" i="21" s="1"/>
  <c r="BW8" i="21" s="1"/>
  <c r="E101" i="11"/>
  <c r="BO7" i="21" s="1" a="1"/>
  <c r="BO7" i="21" s="1"/>
  <c r="BO8" i="21" s="1"/>
  <c r="E97" i="11"/>
  <c r="BK7" i="21" s="1" a="1"/>
  <c r="BK7" i="21" s="1"/>
  <c r="BK8" i="21" s="1"/>
  <c r="E93" i="11"/>
  <c r="BG7" i="21" s="1" a="1"/>
  <c r="BG7" i="21" s="1"/>
  <c r="BG8" i="21" s="1"/>
  <c r="E89" i="11"/>
  <c r="BC7" i="21" s="1" a="1"/>
  <c r="BC7" i="21" s="1"/>
  <c r="BC8" i="21" s="1"/>
  <c r="E85" i="11"/>
  <c r="AY7" i="21" s="1" a="1"/>
  <c r="AY7" i="21" s="1"/>
  <c r="AY8" i="21" s="1"/>
  <c r="E81" i="11"/>
  <c r="AU7" i="21" s="1" a="1"/>
  <c r="AU7" i="21" s="1"/>
  <c r="AU8" i="21" s="1"/>
  <c r="E77" i="11"/>
  <c r="AQ7" i="21" s="1" a="1"/>
  <c r="AQ7" i="21" s="1"/>
  <c r="AQ8" i="21" s="1"/>
  <c r="E73" i="11"/>
  <c r="AM7" i="21" s="1" a="1"/>
  <c r="AM7" i="21" s="1"/>
  <c r="AM8" i="21" s="1"/>
  <c r="E69" i="11"/>
  <c r="AI7" i="21" s="1" a="1"/>
  <c r="AI7" i="21" s="1"/>
  <c r="AI8" i="21" s="1"/>
  <c r="E65" i="11"/>
  <c r="AE7" i="21" s="1" a="1"/>
  <c r="AE7" i="21" s="1"/>
  <c r="AE8" i="21" s="1"/>
  <c r="E61" i="11"/>
  <c r="AA7" i="21" s="1" a="1"/>
  <c r="AA7" i="21" s="1"/>
  <c r="AA8" i="21" s="1"/>
  <c r="E57" i="11"/>
  <c r="W7" i="21" s="1" a="1"/>
  <c r="W7" i="21" s="1"/>
  <c r="W8" i="21" s="1"/>
  <c r="E53" i="11"/>
  <c r="S7" i="21" s="1" a="1"/>
  <c r="S7" i="21" s="1"/>
  <c r="S8" i="21" s="1"/>
  <c r="E45" i="11"/>
  <c r="K7" i="21" s="1" a="1"/>
  <c r="K7" i="21" s="1"/>
  <c r="K8" i="21" s="1"/>
  <c r="E132" i="11"/>
  <c r="CT7" i="21" s="1" a="1"/>
  <c r="CT7" i="21" s="1"/>
  <c r="CT8" i="21" s="1"/>
  <c r="E124" i="11"/>
  <c r="CL7" i="21" s="1" a="1"/>
  <c r="CL7" i="21" s="1"/>
  <c r="CL8" i="21" s="1"/>
  <c r="E120" i="11"/>
  <c r="CH7" i="21" s="1" a="1"/>
  <c r="CH7" i="21" s="1"/>
  <c r="CH8" i="21" s="1"/>
  <c r="E116" i="11"/>
  <c r="CD7" i="21" s="1" a="1"/>
  <c r="CD7" i="21" s="1"/>
  <c r="CD8" i="21" s="1"/>
  <c r="E112" i="11"/>
  <c r="BZ7" i="21" s="1" a="1"/>
  <c r="BZ7" i="21" s="1"/>
  <c r="BZ8" i="21" s="1"/>
  <c r="E108" i="11"/>
  <c r="BV7" i="21" s="1" a="1"/>
  <c r="BV7" i="21" s="1"/>
  <c r="BV8" i="21" s="1"/>
  <c r="E104" i="11"/>
  <c r="BR7" i="21" s="1" a="1"/>
  <c r="BR7" i="21" s="1"/>
  <c r="BR8" i="21" s="1"/>
  <c r="E100" i="11"/>
  <c r="BN7" i="21" s="1" a="1"/>
  <c r="BN7" i="21" s="1"/>
  <c r="BN8" i="21" s="1"/>
  <c r="E96" i="11"/>
  <c r="BJ7" i="21" s="1" a="1"/>
  <c r="BJ7" i="21" s="1"/>
  <c r="BJ8" i="21" s="1"/>
  <c r="E88" i="11"/>
  <c r="BB7" i="21" s="1" a="1"/>
  <c r="BB7" i="21" s="1"/>
  <c r="BB8" i="21" s="1"/>
  <c r="E84" i="11"/>
  <c r="AX7" i="21" s="1" a="1"/>
  <c r="AX7" i="21" s="1"/>
  <c r="AX8" i="21" s="1"/>
  <c r="E80" i="11"/>
  <c r="AT7" i="21" s="1" a="1"/>
  <c r="AT7" i="21" s="1"/>
  <c r="AT8" i="21" s="1"/>
  <c r="E76" i="11"/>
  <c r="AP7" i="21" s="1" a="1"/>
  <c r="AP7" i="21" s="1"/>
  <c r="AP8" i="21" s="1"/>
  <c r="E72" i="11"/>
  <c r="AL7" i="21" s="1" a="1"/>
  <c r="AL7" i="21" s="1"/>
  <c r="AL8" i="21" s="1"/>
  <c r="E68" i="11"/>
  <c r="AH7" i="21" s="1" a="1"/>
  <c r="AH7" i="21" s="1"/>
  <c r="AH8" i="21" s="1"/>
  <c r="E64" i="11"/>
  <c r="AD7" i="21" s="1" a="1"/>
  <c r="AD7" i="21" s="1"/>
  <c r="AD8" i="21" s="1"/>
  <c r="E60" i="11"/>
  <c r="Z7" i="21" s="1" a="1"/>
  <c r="Z7" i="21" s="1"/>
  <c r="Z8" i="21" s="1"/>
  <c r="E56" i="11"/>
  <c r="V7" i="21" s="1" a="1"/>
  <c r="V7" i="21" s="1"/>
  <c r="V8" i="21" s="1"/>
  <c r="E52" i="11"/>
  <c r="R7" i="21" s="1" a="1"/>
  <c r="R7" i="21" s="1"/>
  <c r="R8" i="21" s="1"/>
  <c r="E48" i="11"/>
  <c r="N7" i="21" s="1" a="1"/>
  <c r="N7" i="21" s="1"/>
  <c r="N8" i="21" s="1"/>
  <c r="E44" i="11"/>
  <c r="J7" i="21" s="1" a="1"/>
  <c r="J7" i="21" s="1"/>
  <c r="J8" i="21" s="1"/>
  <c r="E40" i="11"/>
  <c r="F7" i="21" s="1" a="1"/>
  <c r="F7" i="21" s="1"/>
  <c r="F8" i="21" s="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O19" i="21" l="1" a="1"/>
  <c r="O19" i="21" s="1"/>
  <c r="O34" i="21" a="1"/>
  <c r="O34" i="21" s="1"/>
  <c r="O20" i="21" a="1"/>
  <c r="O20" i="21" s="1"/>
  <c r="O62" i="21" a="1"/>
  <c r="O62" i="21" s="1"/>
  <c r="O39" i="21" a="1"/>
  <c r="O39" i="21" s="1"/>
  <c r="O24" i="21" a="1"/>
  <c r="O24" i="21" s="1"/>
  <c r="O42" i="21" a="1"/>
  <c r="O42" i="21" s="1"/>
  <c r="O27" i="21" a="1"/>
  <c r="O27" i="21" s="1"/>
  <c r="O28" i="21" a="1"/>
  <c r="O28" i="21" s="1"/>
  <c r="O13" i="21" a="1"/>
  <c r="O13" i="21" s="1"/>
  <c r="O47" i="21" a="1"/>
  <c r="O47" i="21" s="1"/>
  <c r="O32" i="21" a="1"/>
  <c r="O32" i="21" s="1"/>
  <c r="O26" i="21" a="1"/>
  <c r="O26" i="21" s="1"/>
  <c r="O61" i="21" a="1"/>
  <c r="O61" i="21" s="1"/>
  <c r="O31" i="21" a="1"/>
  <c r="O31" i="21" s="1"/>
  <c r="O57" i="21" a="1"/>
  <c r="O57" i="21" s="1"/>
  <c r="O18" i="21" a="1"/>
  <c r="O18" i="21" s="1"/>
  <c r="O55" i="21" a="1"/>
  <c r="O55" i="21" s="1"/>
  <c r="O53" i="21" a="1"/>
  <c r="O53" i="21" s="1"/>
  <c r="O46" i="21" a="1"/>
  <c r="O46" i="21" s="1"/>
  <c r="O15" i="21" a="1"/>
  <c r="O15" i="21" s="1"/>
  <c r="O49" i="21" a="1"/>
  <c r="O49" i="21" s="1"/>
  <c r="O63" i="21" a="1"/>
  <c r="O63" i="21" s="1"/>
  <c r="O54" i="21" a="1"/>
  <c r="O54" i="21" s="1"/>
  <c r="O59" i="21" a="1"/>
  <c r="O59" i="21" s="1"/>
  <c r="O60" i="21" a="1"/>
  <c r="O60" i="21" s="1"/>
  <c r="O45" i="21" a="1"/>
  <c r="O45" i="21" s="1"/>
  <c r="O38" i="21" a="1"/>
  <c r="O38" i="21" s="1"/>
  <c r="O64" i="21" a="1"/>
  <c r="O64" i="21" s="1"/>
  <c r="O41" i="21" a="1"/>
  <c r="O41" i="21" s="1"/>
  <c r="O51" i="21" a="1"/>
  <c r="O51" i="21" s="1"/>
  <c r="O52" i="21" a="1"/>
  <c r="O52" i="21" s="1"/>
  <c r="O37" i="21" a="1"/>
  <c r="O37" i="21" s="1"/>
  <c r="O30" i="21" a="1"/>
  <c r="O30" i="21" s="1"/>
  <c r="O56" i="21" a="1"/>
  <c r="O56" i="21" s="1"/>
  <c r="O25" i="21" a="1"/>
  <c r="O25" i="21" s="1"/>
  <c r="O58" i="21" a="1"/>
  <c r="O58" i="21" s="1"/>
  <c r="O43" i="21" a="1"/>
  <c r="O43" i="21" s="1"/>
  <c r="O44" i="21" a="1"/>
  <c r="O44" i="21" s="1"/>
  <c r="O29" i="21" a="1"/>
  <c r="O29" i="21" s="1"/>
  <c r="O22" i="21" a="1"/>
  <c r="O22" i="21" s="1"/>
  <c r="O48" i="21" a="1"/>
  <c r="O48" i="21" s="1"/>
  <c r="O50" i="21" a="1"/>
  <c r="O50" i="21" s="1"/>
  <c r="O35" i="21" a="1"/>
  <c r="O35" i="21" s="1"/>
  <c r="O36" i="21" a="1"/>
  <c r="O36" i="21" s="1"/>
  <c r="O21" i="21" a="1"/>
  <c r="O21" i="21" s="1"/>
  <c r="O14" i="21" a="1"/>
  <c r="O14" i="21" s="1"/>
  <c r="O40" i="21" a="1"/>
  <c r="O40" i="21" s="1"/>
  <c r="S9" i="21"/>
  <c r="F53" i="11" a="1"/>
  <c r="F53" i="11" s="1"/>
  <c r="CM9" i="21"/>
  <c r="F125" i="11" a="1"/>
  <c r="F125" i="11" s="1"/>
  <c r="BU9" i="21"/>
  <c r="F107" i="11" a="1"/>
  <c r="F107" i="11" s="1"/>
  <c r="AB9" i="21"/>
  <c r="F62" i="11" a="1"/>
  <c r="F62" i="11" s="1"/>
  <c r="BP9" i="21"/>
  <c r="F102" i="11" a="1"/>
  <c r="F102" i="11" s="1"/>
  <c r="AS9" i="21"/>
  <c r="F79" i="11" a="1"/>
  <c r="F79" i="11" s="1"/>
  <c r="U9" i="21"/>
  <c r="F55" i="11" a="1"/>
  <c r="F55" i="11" s="1"/>
  <c r="AL9" i="21"/>
  <c r="F72" i="11" a="1"/>
  <c r="F72" i="11" s="1"/>
  <c r="BC9" i="21"/>
  <c r="F89" i="11" a="1"/>
  <c r="F89" i="11" s="1"/>
  <c r="CQ9" i="21"/>
  <c r="F129" i="11" a="1"/>
  <c r="F129" i="11" s="1"/>
  <c r="CG9" i="21"/>
  <c r="F119" i="11" a="1"/>
  <c r="F119" i="11" s="1"/>
  <c r="AF9" i="21"/>
  <c r="F66" i="11" a="1"/>
  <c r="F66" i="11" s="1"/>
  <c r="BT9" i="21"/>
  <c r="F106" i="11" a="1"/>
  <c r="F106" i="11" s="1"/>
  <c r="BE9" i="21"/>
  <c r="F91" i="11" a="1"/>
  <c r="F91" i="11" s="1"/>
  <c r="AC9" i="21"/>
  <c r="F63" i="11" a="1"/>
  <c r="F63" i="11" s="1"/>
  <c r="BR9" i="21"/>
  <c r="F104" i="11" a="1"/>
  <c r="F104" i="11" s="1"/>
  <c r="F9" i="21"/>
  <c r="F17" i="21" s="1" a="1"/>
  <c r="F17" i="21" s="1"/>
  <c r="F40" i="11" a="1"/>
  <c r="F40" i="11" s="1"/>
  <c r="BV9" i="21"/>
  <c r="F108" i="11" a="1"/>
  <c r="F108" i="11" s="1"/>
  <c r="J9" i="21"/>
  <c r="J17" i="21" s="1" a="1"/>
  <c r="J17" i="21" s="1"/>
  <c r="F44" i="11" a="1"/>
  <c r="F44" i="11" s="1"/>
  <c r="AP9" i="21"/>
  <c r="F76" i="11" a="1"/>
  <c r="F76" i="11" s="1"/>
  <c r="BZ9" i="21"/>
  <c r="F112" i="11" a="1"/>
  <c r="F112" i="11" s="1"/>
  <c r="AA9" i="21"/>
  <c r="F61" i="11" a="1"/>
  <c r="F61" i="11" s="1"/>
  <c r="BG9" i="21"/>
  <c r="F93" i="11" a="1"/>
  <c r="F93" i="11" s="1"/>
  <c r="CU9" i="21"/>
  <c r="F133" i="11" a="1"/>
  <c r="F133" i="11" s="1"/>
  <c r="CO9" i="21"/>
  <c r="F127" i="11" a="1"/>
  <c r="F127" i="11" s="1"/>
  <c r="AJ9" i="21"/>
  <c r="F70" i="11" a="1"/>
  <c r="F70" i="11" s="1"/>
  <c r="CB9" i="21"/>
  <c r="F114" i="11" a="1"/>
  <c r="F114" i="11" s="1"/>
  <c r="BQ9" i="21"/>
  <c r="F103" i="11" a="1"/>
  <c r="F103" i="11" s="1"/>
  <c r="AO9" i="21"/>
  <c r="F75" i="11" a="1"/>
  <c r="F75" i="11" s="1"/>
  <c r="AH9" i="21"/>
  <c r="F68" i="11" a="1"/>
  <c r="F68" i="11" s="1"/>
  <c r="AY9" i="21"/>
  <c r="F85" i="11" a="1"/>
  <c r="F85" i="11" s="1"/>
  <c r="W9" i="21"/>
  <c r="F57" i="11" a="1"/>
  <c r="F57" i="11" s="1"/>
  <c r="N9" i="21"/>
  <c r="N47" i="21" s="1" a="1"/>
  <c r="N47" i="21" s="1"/>
  <c r="F48" i="11" a="1"/>
  <c r="F48" i="11" s="1"/>
  <c r="AT9" i="21"/>
  <c r="F80" i="11" a="1"/>
  <c r="F80" i="11" s="1"/>
  <c r="CD9" i="21"/>
  <c r="F116" i="11" a="1"/>
  <c r="F116" i="11" s="1"/>
  <c r="AE9" i="21"/>
  <c r="F65" i="11" a="1"/>
  <c r="F65" i="11" s="1"/>
  <c r="BK9" i="21"/>
  <c r="F97" i="11" a="1"/>
  <c r="F97" i="11" s="1"/>
  <c r="CR9" i="21"/>
  <c r="F130" i="11" a="1"/>
  <c r="F130" i="11" s="1"/>
  <c r="H9" i="21"/>
  <c r="H21" i="21" s="1" a="1"/>
  <c r="H21" i="21" s="1"/>
  <c r="F42" i="11" a="1"/>
  <c r="F42" i="11" s="1"/>
  <c r="AN9" i="21"/>
  <c r="F74" i="11" a="1"/>
  <c r="F74" i="11" s="1"/>
  <c r="CF9" i="21"/>
  <c r="F118" i="11" a="1"/>
  <c r="F118" i="11" s="1"/>
  <c r="BY9" i="21"/>
  <c r="F111" i="11" a="1"/>
  <c r="F111" i="11" s="1"/>
  <c r="AW9" i="21"/>
  <c r="F83" i="11" a="1"/>
  <c r="F83" i="11" s="1"/>
  <c r="O33" i="21" a="1"/>
  <c r="O33" i="21" s="1"/>
  <c r="I9" i="21"/>
  <c r="I21" i="21" s="1" a="1"/>
  <c r="I21" i="21" s="1"/>
  <c r="F43" i="11" a="1"/>
  <c r="F43" i="11" s="1"/>
  <c r="L9" i="21"/>
  <c r="L26" i="21" s="1" a="1"/>
  <c r="L26" i="21" s="1"/>
  <c r="F46" i="11" a="1"/>
  <c r="F46" i="11" s="1"/>
  <c r="AZ9" i="21"/>
  <c r="F86" i="11" a="1"/>
  <c r="F86" i="11" s="1"/>
  <c r="CJ9" i="21"/>
  <c r="F122" i="11" a="1"/>
  <c r="F122" i="11" s="1"/>
  <c r="CK9" i="21"/>
  <c r="F123" i="11" a="1"/>
  <c r="F123" i="11" s="1"/>
  <c r="BM9" i="21"/>
  <c r="F99" i="11" a="1"/>
  <c r="F99" i="11" s="1"/>
  <c r="CH9" i="21"/>
  <c r="F120" i="11" a="1"/>
  <c r="F120" i="11" s="1"/>
  <c r="BB9" i="21"/>
  <c r="F88" i="11" a="1"/>
  <c r="F88" i="11" s="1"/>
  <c r="BW9" i="21"/>
  <c r="F109" i="11" a="1"/>
  <c r="F109" i="11" s="1"/>
  <c r="Y9" i="21"/>
  <c r="F59" i="11" a="1"/>
  <c r="F59" i="11" s="1"/>
  <c r="P9" i="21"/>
  <c r="P39" i="21" s="1" a="1"/>
  <c r="P39" i="21" s="1"/>
  <c r="F50" i="11" a="1"/>
  <c r="F50" i="11" s="1"/>
  <c r="BD9" i="21"/>
  <c r="F90" i="11" a="1"/>
  <c r="F90" i="11" s="1"/>
  <c r="CN9" i="21"/>
  <c r="F126" i="11" a="1"/>
  <c r="F126" i="11" s="1"/>
  <c r="E9" i="21"/>
  <c r="E55" i="21" s="1" a="1"/>
  <c r="E55" i="21" s="1"/>
  <c r="F39" i="11" a="1"/>
  <c r="F39" i="11" s="1"/>
  <c r="CC9" i="21"/>
  <c r="F115" i="11" a="1"/>
  <c r="F115" i="11" s="1"/>
  <c r="O17" i="21" a="1"/>
  <c r="O17" i="21" s="1"/>
  <c r="AX9" i="21"/>
  <c r="F84" i="11" a="1"/>
  <c r="F84" i="11" s="1"/>
  <c r="BO9" i="21"/>
  <c r="F101" i="11" a="1"/>
  <c r="F101" i="11" s="1"/>
  <c r="CL9" i="21"/>
  <c r="F124" i="11" a="1"/>
  <c r="F124" i="11" s="1"/>
  <c r="Z9" i="21"/>
  <c r="F60" i="11" a="1"/>
  <c r="F60" i="11" s="1"/>
  <c r="BJ9" i="21"/>
  <c r="F96" i="11" a="1"/>
  <c r="F96" i="11" s="1"/>
  <c r="CT9" i="21"/>
  <c r="F132" i="11" a="1"/>
  <c r="F132" i="11" s="1"/>
  <c r="AQ9" i="21"/>
  <c r="F77" i="11" a="1"/>
  <c r="F77" i="11" s="1"/>
  <c r="CA9" i="21"/>
  <c r="F113" i="11" a="1"/>
  <c r="F113" i="11" s="1"/>
  <c r="BA9" i="21"/>
  <c r="F87" i="11" a="1"/>
  <c r="F87" i="11" s="1"/>
  <c r="T9" i="21"/>
  <c r="F54" i="11" a="1"/>
  <c r="F54" i="11" s="1"/>
  <c r="BH9" i="21"/>
  <c r="F94" i="11" a="1"/>
  <c r="F94" i="11" s="1"/>
  <c r="CV9" i="21"/>
  <c r="F134" i="11" a="1"/>
  <c r="F134" i="11" s="1"/>
  <c r="M9" i="21"/>
  <c r="M36" i="21" s="1" a="1"/>
  <c r="M36" i="21" s="1"/>
  <c r="F47" i="11" a="1"/>
  <c r="F47" i="11" s="1"/>
  <c r="CS9" i="21"/>
  <c r="F131" i="11" a="1"/>
  <c r="F131" i="11" s="1"/>
  <c r="R9" i="21"/>
  <c r="R26" i="21" s="1" a="1"/>
  <c r="R26" i="21" s="1"/>
  <c r="F52" i="11" a="1"/>
  <c r="F52" i="11" s="1"/>
  <c r="AI9" i="21"/>
  <c r="F69" i="11" a="1"/>
  <c r="F69" i="11" s="1"/>
  <c r="V9" i="21"/>
  <c r="F56" i="11" a="1"/>
  <c r="F56" i="11" s="1"/>
  <c r="AM9" i="21"/>
  <c r="F73" i="11" a="1"/>
  <c r="F73" i="11" s="1"/>
  <c r="AD9" i="21"/>
  <c r="F64" i="11" a="1"/>
  <c r="F64" i="11" s="1"/>
  <c r="BN9" i="21"/>
  <c r="F100" i="11" a="1"/>
  <c r="F100" i="11" s="1"/>
  <c r="K9" i="21"/>
  <c r="K28" i="21" s="1" a="1"/>
  <c r="K28" i="21" s="1"/>
  <c r="F45" i="11" a="1"/>
  <c r="F45" i="11" s="1"/>
  <c r="AU9" i="21"/>
  <c r="F81" i="11" a="1"/>
  <c r="F81" i="11" s="1"/>
  <c r="CI9" i="21"/>
  <c r="F121" i="11" a="1"/>
  <c r="F121" i="11" s="1"/>
  <c r="BI9" i="21"/>
  <c r="F95" i="11" a="1"/>
  <c r="F95" i="11" s="1"/>
  <c r="X9" i="21"/>
  <c r="F58" i="11" a="1"/>
  <c r="F58" i="11" s="1"/>
  <c r="BL9" i="21"/>
  <c r="F98" i="11" a="1"/>
  <c r="F98" i="11" s="1"/>
  <c r="AG9" i="21"/>
  <c r="F67" i="11" a="1"/>
  <c r="F67" i="11" s="1"/>
  <c r="Q9" i="21"/>
  <c r="Q33" i="21" s="1" a="1"/>
  <c r="Q33" i="21" s="1"/>
  <c r="F51" i="11" a="1"/>
  <c r="F51" i="11" s="1"/>
  <c r="O23" i="21" a="1"/>
  <c r="O23" i="21" s="1"/>
  <c r="R20" i="21" a="1"/>
  <c r="R20" i="21" s="1"/>
  <c r="N59" i="21" a="1"/>
  <c r="N59" i="21" s="1"/>
  <c r="N16" i="21" a="1"/>
  <c r="N16" i="21" s="1"/>
  <c r="N60" i="21" a="1"/>
  <c r="N60" i="21" s="1"/>
  <c r="J26" i="21" a="1"/>
  <c r="J26" i="21" s="1"/>
  <c r="H18" i="21" a="1"/>
  <c r="H18" i="21" s="1"/>
  <c r="F13" i="21" a="1"/>
  <c r="F13" i="21" s="1"/>
  <c r="F16" i="21" a="1"/>
  <c r="F16" i="21" s="1"/>
  <c r="F21" i="21" a="1"/>
  <c r="F21" i="21" s="1"/>
  <c r="F24" i="21" a="1"/>
  <c r="F24" i="21" s="1"/>
  <c r="F29" i="21" a="1"/>
  <c r="F29" i="21" s="1"/>
  <c r="F32" i="21" a="1"/>
  <c r="F32" i="21" s="1"/>
  <c r="F37" i="21" a="1"/>
  <c r="F37" i="21" s="1"/>
  <c r="F40" i="21" a="1"/>
  <c r="F40" i="21" s="1"/>
  <c r="F45" i="21" a="1"/>
  <c r="F45" i="21" s="1"/>
  <c r="F48" i="21" a="1"/>
  <c r="F48" i="21" s="1"/>
  <c r="F53" i="21" a="1"/>
  <c r="F53" i="21" s="1"/>
  <c r="F56" i="21" a="1"/>
  <c r="F56" i="21" s="1"/>
  <c r="F61" i="21" a="1"/>
  <c r="F61" i="21" s="1"/>
  <c r="F64" i="21" a="1"/>
  <c r="F64" i="21" s="1"/>
  <c r="G145" i="21"/>
  <c r="F141" i="11" a="1"/>
  <c r="F141" i="11" s="1"/>
  <c r="D150" i="21" a="1"/>
  <c r="D150" i="21" s="1"/>
  <c r="D152" i="21" a="1"/>
  <c r="D152" i="21" s="1"/>
  <c r="D154" i="21" a="1"/>
  <c r="D154" i="21" s="1"/>
  <c r="D156" i="21" a="1"/>
  <c r="D156" i="21" s="1"/>
  <c r="D158" i="21" a="1"/>
  <c r="D158" i="21" s="1"/>
  <c r="D160" i="21" a="1"/>
  <c r="D160" i="21" s="1"/>
  <c r="D162" i="21" a="1"/>
  <c r="D162" i="21" s="1"/>
  <c r="D164" i="21" a="1"/>
  <c r="D164" i="21" s="1"/>
  <c r="D166" i="21" a="1"/>
  <c r="D166" i="21" s="1"/>
  <c r="D168" i="21" a="1"/>
  <c r="D168" i="21" s="1"/>
  <c r="D170" i="21" a="1"/>
  <c r="D170" i="21" s="1"/>
  <c r="D172" i="21" a="1"/>
  <c r="D172" i="21" s="1"/>
  <c r="D174" i="21" a="1"/>
  <c r="D174" i="21" s="1"/>
  <c r="D176" i="21" a="1"/>
  <c r="D176" i="21" s="1"/>
  <c r="D178" i="21" a="1"/>
  <c r="D178" i="21" s="1"/>
  <c r="D180" i="21" a="1"/>
  <c r="D180" i="21" s="1"/>
  <c r="D182" i="21" a="1"/>
  <c r="D182" i="21" s="1"/>
  <c r="D184" i="21" a="1"/>
  <c r="D184" i="21" s="1"/>
  <c r="D186" i="21" a="1"/>
  <c r="D186" i="21" s="1"/>
  <c r="D188" i="21" a="1"/>
  <c r="D188" i="21" s="1"/>
  <c r="D190" i="21" a="1"/>
  <c r="D190" i="21" s="1"/>
  <c r="D192" i="21" a="1"/>
  <c r="D192" i="21" s="1"/>
  <c r="D194" i="21" a="1"/>
  <c r="D194" i="21" s="1"/>
  <c r="D196" i="21" a="1"/>
  <c r="D196" i="21" s="1"/>
  <c r="D198" i="21" a="1"/>
  <c r="D198" i="21" s="1"/>
  <c r="D200" i="21" a="1"/>
  <c r="D200" i="21" s="1"/>
  <c r="D151" i="21" a="1"/>
  <c r="D151" i="21" s="1"/>
  <c r="D153" i="21" a="1"/>
  <c r="D153" i="21" s="1"/>
  <c r="D155" i="21" a="1"/>
  <c r="D155" i="21" s="1"/>
  <c r="D157" i="21" a="1"/>
  <c r="D157" i="21" s="1"/>
  <c r="D159" i="21" a="1"/>
  <c r="D159" i="21" s="1"/>
  <c r="D161" i="21" a="1"/>
  <c r="D161" i="21" s="1"/>
  <c r="D163" i="21" a="1"/>
  <c r="D163" i="21" s="1"/>
  <c r="D165" i="21" a="1"/>
  <c r="D165" i="21" s="1"/>
  <c r="D167" i="21" a="1"/>
  <c r="D167" i="21" s="1"/>
  <c r="D169" i="21" a="1"/>
  <c r="D169" i="21" s="1"/>
  <c r="D171" i="21" a="1"/>
  <c r="D171" i="21" s="1"/>
  <c r="D173" i="21" a="1"/>
  <c r="D173" i="21" s="1"/>
  <c r="D175" i="21" a="1"/>
  <c r="D175" i="21" s="1"/>
  <c r="D177" i="21" a="1"/>
  <c r="D177" i="21" s="1"/>
  <c r="D179" i="21" a="1"/>
  <c r="D179" i="21" s="1"/>
  <c r="D181" i="21" a="1"/>
  <c r="D181" i="21" s="1"/>
  <c r="D183" i="21" a="1"/>
  <c r="D183" i="21" s="1"/>
  <c r="D185" i="21" a="1"/>
  <c r="D185" i="21" s="1"/>
  <c r="D187" i="21" a="1"/>
  <c r="D187" i="21" s="1"/>
  <c r="D189" i="21" a="1"/>
  <c r="D189" i="21" s="1"/>
  <c r="D191" i="21" a="1"/>
  <c r="D191" i="21" s="1"/>
  <c r="D193" i="21" a="1"/>
  <c r="D193" i="21" s="1"/>
  <c r="D195" i="21" a="1"/>
  <c r="D195" i="21" s="1"/>
  <c r="D197" i="21" a="1"/>
  <c r="D197" i="21" s="1"/>
  <c r="D199" i="21" a="1"/>
  <c r="D199" i="21" s="1"/>
  <c r="D149" i="21" a="1"/>
  <c r="D149" i="21" s="1"/>
  <c r="C145" i="21"/>
  <c r="F77" i="15"/>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49" i="21" a="1"/>
  <c r="C49" i="21" s="1"/>
  <c r="I144" i="21"/>
  <c r="F146" i="11" s="1" a="1"/>
  <c r="F146" i="11" s="1"/>
  <c r="L144" i="21"/>
  <c r="L145" i="21" s="1"/>
  <c r="F144" i="21"/>
  <c r="F145" i="21" s="1"/>
  <c r="E144" i="21"/>
  <c r="E145" i="21" s="1"/>
  <c r="M144" i="21"/>
  <c r="M145" i="21" s="1"/>
  <c r="J144" i="21"/>
  <c r="J145" i="21" s="1"/>
  <c r="K144" i="21"/>
  <c r="K145" i="21" s="1"/>
  <c r="H144" i="21"/>
  <c r="F145" i="11" s="1" a="1"/>
  <c r="F145"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J42" i="21" l="1" a="1"/>
  <c r="J42" i="21" s="1"/>
  <c r="J13" i="21" a="1"/>
  <c r="J13" i="21" s="1"/>
  <c r="E14" i="21" a="1"/>
  <c r="E14" i="21" s="1"/>
  <c r="E15" i="21" a="1"/>
  <c r="E15" i="21" s="1"/>
  <c r="R41" i="21" a="1"/>
  <c r="R41" i="21" s="1"/>
  <c r="R17" i="21" a="1"/>
  <c r="R17" i="21" s="1"/>
  <c r="E34" i="21" a="1"/>
  <c r="E34" i="21" s="1"/>
  <c r="N43" i="21" a="1"/>
  <c r="N43" i="21" s="1"/>
  <c r="N57" i="21" a="1"/>
  <c r="N57" i="21" s="1"/>
  <c r="N40" i="21" a="1"/>
  <c r="N40" i="21" s="1"/>
  <c r="N46" i="21" a="1"/>
  <c r="N46" i="21" s="1"/>
  <c r="N35" i="21" a="1"/>
  <c r="N35" i="21" s="1"/>
  <c r="N49" i="21" a="1"/>
  <c r="N49" i="21" s="1"/>
  <c r="N32" i="21" a="1"/>
  <c r="N32" i="21" s="1"/>
  <c r="R47" i="21" a="1"/>
  <c r="R47" i="21" s="1"/>
  <c r="N27" i="21" a="1"/>
  <c r="N27" i="21" s="1"/>
  <c r="N24" i="21" a="1"/>
  <c r="N24" i="21" s="1"/>
  <c r="R19" i="21" a="1"/>
  <c r="R19" i="21" s="1"/>
  <c r="P49" i="21" a="1"/>
  <c r="P49" i="21" s="1"/>
  <c r="N19" i="21" a="1"/>
  <c r="N19" i="21" s="1"/>
  <c r="R57" i="21" a="1"/>
  <c r="R57" i="21" s="1"/>
  <c r="R54" i="21" a="1"/>
  <c r="R54" i="21" s="1"/>
  <c r="R38" i="21" a="1"/>
  <c r="R38" i="21" s="1"/>
  <c r="E60" i="21" a="1"/>
  <c r="E60" i="21" s="1"/>
  <c r="E43" i="21" a="1"/>
  <c r="E43" i="21" s="1"/>
  <c r="E32" i="21" a="1"/>
  <c r="E32" i="21" s="1"/>
  <c r="E22" i="21" a="1"/>
  <c r="E22" i="21" s="1"/>
  <c r="E38" i="21" a="1"/>
  <c r="E38" i="21" s="1"/>
  <c r="E35" i="21" a="1"/>
  <c r="E35" i="21" s="1"/>
  <c r="E30" i="21" a="1"/>
  <c r="E30" i="21" s="1"/>
  <c r="E42" i="21" a="1"/>
  <c r="E42" i="21" s="1"/>
  <c r="E20" i="21" a="1"/>
  <c r="E20" i="21" s="1"/>
  <c r="E57" i="21" a="1"/>
  <c r="E57" i="21" s="1"/>
  <c r="E41" i="21" a="1"/>
  <c r="E41" i="21" s="1"/>
  <c r="E54" i="21" a="1"/>
  <c r="E54" i="21" s="1"/>
  <c r="E50" i="21" a="1"/>
  <c r="E50" i="21" s="1"/>
  <c r="E37" i="21" a="1"/>
  <c r="E37" i="21" s="1"/>
  <c r="E36" i="21" a="1"/>
  <c r="E36" i="21" s="1"/>
  <c r="E29" i="21" a="1"/>
  <c r="E29" i="21" s="1"/>
  <c r="E31" i="21" a="1"/>
  <c r="E31" i="21" s="1"/>
  <c r="R62" i="21" a="1"/>
  <c r="R62" i="21" s="1"/>
  <c r="R51" i="21" a="1"/>
  <c r="R51" i="21" s="1"/>
  <c r="R56" i="21" a="1"/>
  <c r="R56" i="21" s="1"/>
  <c r="R35" i="21" a="1"/>
  <c r="R35" i="21" s="1"/>
  <c r="R36" i="21" a="1"/>
  <c r="R36" i="21" s="1"/>
  <c r="R25" i="21" a="1"/>
  <c r="R25" i="21" s="1"/>
  <c r="R24" i="21" a="1"/>
  <c r="R24" i="21" s="1"/>
  <c r="E44" i="21" a="1"/>
  <c r="E44" i="21" s="1"/>
  <c r="E62" i="21" a="1"/>
  <c r="E62" i="21" s="1"/>
  <c r="E24" i="21" a="1"/>
  <c r="E24" i="21" s="1"/>
  <c r="E40" i="21" a="1"/>
  <c r="E40" i="21" s="1"/>
  <c r="Q30" i="21" a="1"/>
  <c r="Q30" i="21" s="1"/>
  <c r="E19" i="21" a="1"/>
  <c r="E19" i="21" s="1"/>
  <c r="E25" i="21" a="1"/>
  <c r="E25" i="21" s="1"/>
  <c r="E59" i="21" a="1"/>
  <c r="E59" i="21" s="1"/>
  <c r="P64" i="21" a="1"/>
  <c r="P64" i="21" s="1"/>
  <c r="E28" i="21" a="1"/>
  <c r="E28" i="21" s="1"/>
  <c r="E58" i="21" a="1"/>
  <c r="E58" i="21" s="1"/>
  <c r="E17" i="21" a="1"/>
  <c r="E17" i="21" s="1"/>
  <c r="E46" i="21" a="1"/>
  <c r="E46" i="21" s="1"/>
  <c r="P38" i="21" a="1"/>
  <c r="P38" i="21" s="1"/>
  <c r="R33" i="21" a="1"/>
  <c r="R33" i="21" s="1"/>
  <c r="R46" i="21" a="1"/>
  <c r="R46" i="21" s="1"/>
  <c r="E53" i="21" a="1"/>
  <c r="E53" i="21" s="1"/>
  <c r="E13" i="21" a="1"/>
  <c r="E13" i="21" s="1"/>
  <c r="E45" i="21" a="1"/>
  <c r="E45" i="21" s="1"/>
  <c r="E64" i="21" a="1"/>
  <c r="E64" i="21" s="1"/>
  <c r="E47" i="21" a="1"/>
  <c r="E47" i="21" s="1"/>
  <c r="R49" i="21" a="1"/>
  <c r="R49" i="21" s="1"/>
  <c r="R15" i="21" a="1"/>
  <c r="R15" i="21" s="1"/>
  <c r="R22" i="21" a="1"/>
  <c r="R22" i="21" s="1"/>
  <c r="L18" i="21" a="1"/>
  <c r="L18" i="21" s="1"/>
  <c r="E63" i="21" a="1"/>
  <c r="E63" i="21" s="1"/>
  <c r="E49" i="21" a="1"/>
  <c r="E49" i="21" s="1"/>
  <c r="E48" i="21" a="1"/>
  <c r="E48" i="21" s="1"/>
  <c r="E51" i="21" a="1"/>
  <c r="E51" i="21" s="1"/>
  <c r="P17" i="21" a="1"/>
  <c r="P17" i="21" s="1"/>
  <c r="R30" i="21" a="1"/>
  <c r="R30" i="21" s="1"/>
  <c r="P59" i="21" a="1"/>
  <c r="P59" i="21" s="1"/>
  <c r="E52" i="21" a="1"/>
  <c r="E52" i="21" s="1"/>
  <c r="E27" i="21" a="1"/>
  <c r="E27" i="21" s="1"/>
  <c r="E61" i="21" a="1"/>
  <c r="E61" i="21" s="1"/>
  <c r="E26" i="21" a="1"/>
  <c r="E26" i="21" s="1"/>
  <c r="E16" i="21" a="1"/>
  <c r="E16" i="21" s="1"/>
  <c r="E39" i="21" a="1"/>
  <c r="E39" i="21" s="1"/>
  <c r="R63" i="21" a="1"/>
  <c r="R63" i="21" s="1"/>
  <c r="R31" i="21" a="1"/>
  <c r="R31" i="21" s="1"/>
  <c r="R52" i="21" a="1"/>
  <c r="R52" i="21" s="1"/>
  <c r="R14" i="21" a="1"/>
  <c r="R14" i="21" s="1"/>
  <c r="P27" i="21" a="1"/>
  <c r="P27" i="21" s="1"/>
  <c r="E18" i="21" a="1"/>
  <c r="E18" i="21" s="1"/>
  <c r="E33" i="21" a="1"/>
  <c r="E33" i="21" s="1"/>
  <c r="E56" i="21" a="1"/>
  <c r="E56" i="21" s="1"/>
  <c r="E21" i="21" a="1"/>
  <c r="E21" i="21" s="1"/>
  <c r="E23" i="21" a="1"/>
  <c r="E23" i="21" s="1"/>
  <c r="Q36" i="21" a="1"/>
  <c r="Q36" i="21" s="1"/>
  <c r="P32" i="21" a="1"/>
  <c r="P32" i="21" s="1"/>
  <c r="R40" i="21" a="1"/>
  <c r="R40" i="21" s="1"/>
  <c r="L48" i="21" a="1"/>
  <c r="L48" i="21" s="1"/>
  <c r="P21" i="21" a="1"/>
  <c r="P21" i="21" s="1"/>
  <c r="L39" i="21" a="1"/>
  <c r="L39" i="21" s="1"/>
  <c r="R61" i="21" a="1"/>
  <c r="R61" i="21" s="1"/>
  <c r="R45" i="21" a="1"/>
  <c r="R45" i="21" s="1"/>
  <c r="R29" i="21" a="1"/>
  <c r="R29" i="21" s="1"/>
  <c r="R13" i="21" a="1"/>
  <c r="R13" i="21" s="1"/>
  <c r="R50" i="21" a="1"/>
  <c r="R50" i="21" s="1"/>
  <c r="R34" i="21" a="1"/>
  <c r="R34" i="21" s="1"/>
  <c r="R18" i="21" a="1"/>
  <c r="R18" i="21" s="1"/>
  <c r="R59" i="21" a="1"/>
  <c r="R59" i="21" s="1"/>
  <c r="R43" i="21" a="1"/>
  <c r="R43" i="21" s="1"/>
  <c r="R27" i="21" a="1"/>
  <c r="R27" i="21" s="1"/>
  <c r="R64" i="21" a="1"/>
  <c r="R64" i="21" s="1"/>
  <c r="R48" i="21" a="1"/>
  <c r="R48" i="21" s="1"/>
  <c r="R32" i="21" a="1"/>
  <c r="R32" i="21" s="1"/>
  <c r="R16" i="21" a="1"/>
  <c r="R16" i="21" s="1"/>
  <c r="H39" i="21" a="1"/>
  <c r="H39" i="21" s="1"/>
  <c r="R55" i="21" a="1"/>
  <c r="R55" i="21" s="1"/>
  <c r="R39" i="21" a="1"/>
  <c r="R39" i="21" s="1"/>
  <c r="R23" i="21" a="1"/>
  <c r="R23" i="21" s="1"/>
  <c r="R60" i="21" a="1"/>
  <c r="R60" i="21" s="1"/>
  <c r="R44" i="21" a="1"/>
  <c r="R44" i="21" s="1"/>
  <c r="R28" i="21" a="1"/>
  <c r="R28" i="21" s="1"/>
  <c r="H13" i="21" a="1"/>
  <c r="H13" i="21" s="1"/>
  <c r="R53" i="21" a="1"/>
  <c r="R53" i="21" s="1"/>
  <c r="R37" i="21" a="1"/>
  <c r="R37" i="21" s="1"/>
  <c r="R21" i="21" a="1"/>
  <c r="R21" i="21" s="1"/>
  <c r="R58" i="21" a="1"/>
  <c r="R58" i="21" s="1"/>
  <c r="R42" i="21" a="1"/>
  <c r="R42" i="21" s="1"/>
  <c r="L64" i="21" a="1"/>
  <c r="L64" i="21" s="1"/>
  <c r="L32" i="21" a="1"/>
  <c r="L32" i="21" s="1"/>
  <c r="L46" i="21" a="1"/>
  <c r="L46" i="21" s="1"/>
  <c r="L55" i="21" a="1"/>
  <c r="L55" i="21" s="1"/>
  <c r="L15" i="21" a="1"/>
  <c r="L15" i="21" s="1"/>
  <c r="L45" i="21" a="1"/>
  <c r="L45" i="21" s="1"/>
  <c r="K61" i="21" a="1"/>
  <c r="K61" i="21" s="1"/>
  <c r="L13" i="21" a="1"/>
  <c r="L13" i="21" s="1"/>
  <c r="L40" i="21" a="1"/>
  <c r="L40" i="21" s="1"/>
  <c r="L22" i="21" a="1"/>
  <c r="L22" i="21" s="1"/>
  <c r="L16" i="21" a="1"/>
  <c r="L16" i="21" s="1"/>
  <c r="L53" i="21" a="1"/>
  <c r="L53" i="21" s="1"/>
  <c r="L47" i="21" a="1"/>
  <c r="L47" i="21" s="1"/>
  <c r="L21" i="21" a="1"/>
  <c r="L21" i="21" s="1"/>
  <c r="L56" i="21" a="1"/>
  <c r="L56" i="21" s="1"/>
  <c r="L31" i="21" a="1"/>
  <c r="L31" i="21" s="1"/>
  <c r="L49" i="21" a="1"/>
  <c r="L49" i="21" s="1"/>
  <c r="I23" i="21" a="1"/>
  <c r="I23" i="21" s="1"/>
  <c r="P53" i="21" a="1"/>
  <c r="P53" i="21" s="1"/>
  <c r="P31" i="21" a="1"/>
  <c r="P31" i="21" s="1"/>
  <c r="Q17" i="21" a="1"/>
  <c r="Q17" i="21" s="1"/>
  <c r="H50" i="21" a="1"/>
  <c r="H50" i="21" s="1"/>
  <c r="J58" i="21" a="1"/>
  <c r="J58" i="21" s="1"/>
  <c r="Q23" i="21" a="1"/>
  <c r="Q23" i="21" s="1"/>
  <c r="H60" i="21" a="1"/>
  <c r="H60" i="21" s="1"/>
  <c r="J61" i="21" a="1"/>
  <c r="J61" i="21" s="1"/>
  <c r="P42" i="21" a="1"/>
  <c r="P42" i="21" s="1"/>
  <c r="Q61" i="21" a="1"/>
  <c r="Q61" i="21" s="1"/>
  <c r="L24" i="21" a="1"/>
  <c r="L24" i="21" s="1"/>
  <c r="L25" i="21" a="1"/>
  <c r="L25" i="21" s="1"/>
  <c r="L30" i="21" a="1"/>
  <c r="L30" i="21" s="1"/>
  <c r="H28" i="21" a="1"/>
  <c r="H28" i="21" s="1"/>
  <c r="J45" i="21" a="1"/>
  <c r="J45" i="21" s="1"/>
  <c r="Q64" i="21" a="1"/>
  <c r="Q64" i="21" s="1"/>
  <c r="H45" i="21" a="1"/>
  <c r="H45" i="21" s="1"/>
  <c r="J29" i="21" a="1"/>
  <c r="J29" i="21" s="1"/>
  <c r="P36" i="21" a="1"/>
  <c r="P36" i="21" s="1"/>
  <c r="P61" i="21" a="1"/>
  <c r="P61" i="21" s="1"/>
  <c r="Q51" i="21" a="1"/>
  <c r="Q51" i="21" s="1"/>
  <c r="L41" i="21" a="1"/>
  <c r="L41" i="21" s="1"/>
  <c r="L63" i="21" a="1"/>
  <c r="L63" i="21" s="1"/>
  <c r="L33" i="21" a="1"/>
  <c r="L33" i="21" s="1"/>
  <c r="L28" i="21" a="1"/>
  <c r="L28" i="21" s="1"/>
  <c r="M20" i="21" a="1"/>
  <c r="M20" i="21" s="1"/>
  <c r="K42" i="21" a="1"/>
  <c r="K42" i="21" s="1"/>
  <c r="M41" i="21" a="1"/>
  <c r="M41" i="21" s="1"/>
  <c r="K29" i="21" a="1"/>
  <c r="K29" i="21" s="1"/>
  <c r="M43" i="21" a="1"/>
  <c r="M43" i="21" s="1"/>
  <c r="K52" i="21" a="1"/>
  <c r="K52" i="21" s="1"/>
  <c r="M32" i="21" a="1"/>
  <c r="M32" i="21" s="1"/>
  <c r="K20" i="21" a="1"/>
  <c r="K20" i="21" s="1"/>
  <c r="M21" i="21" a="1"/>
  <c r="M21" i="21" s="1"/>
  <c r="L54" i="21" a="1"/>
  <c r="L54" i="21" s="1"/>
  <c r="M26" i="21" a="1"/>
  <c r="M26" i="21" s="1"/>
  <c r="K55" i="21" a="1"/>
  <c r="K55" i="21" s="1"/>
  <c r="M31" i="21" a="1"/>
  <c r="M31" i="21" s="1"/>
  <c r="K23" i="21" a="1"/>
  <c r="K23" i="21" s="1"/>
  <c r="L42" i="21" a="1"/>
  <c r="L42" i="21" s="1"/>
  <c r="I61" i="21" a="1"/>
  <c r="I61" i="21" s="1"/>
  <c r="I16" i="21" a="1"/>
  <c r="I16" i="21" s="1"/>
  <c r="I62" i="21" a="1"/>
  <c r="I62" i="21" s="1"/>
  <c r="L20" i="21" a="1"/>
  <c r="L20" i="21" s="1"/>
  <c r="I49" i="21" a="1"/>
  <c r="I49" i="21" s="1"/>
  <c r="I36" i="21" a="1"/>
  <c r="I36" i="21" s="1"/>
  <c r="M49" i="21" a="1"/>
  <c r="M49" i="21" s="1"/>
  <c r="M51" i="21" a="1"/>
  <c r="M51" i="21" s="1"/>
  <c r="M40" i="21" a="1"/>
  <c r="M40" i="21" s="1"/>
  <c r="M29" i="21" a="1"/>
  <c r="M29" i="21" s="1"/>
  <c r="M34" i="21" a="1"/>
  <c r="M34" i="21" s="1"/>
  <c r="M39" i="21" a="1"/>
  <c r="M39" i="21" s="1"/>
  <c r="M28" i="21" a="1"/>
  <c r="M28" i="21" s="1"/>
  <c r="K59" i="21" a="1"/>
  <c r="K59" i="21" s="1"/>
  <c r="K27" i="21" a="1"/>
  <c r="K27" i="21" s="1"/>
  <c r="K46" i="21" a="1"/>
  <c r="K46" i="21" s="1"/>
  <c r="K14" i="21" a="1"/>
  <c r="K14" i="21" s="1"/>
  <c r="K33" i="21" a="1"/>
  <c r="K33" i="21" s="1"/>
  <c r="K56" i="21" a="1"/>
  <c r="K56" i="21" s="1"/>
  <c r="K24" i="21" a="1"/>
  <c r="K24" i="21" s="1"/>
  <c r="M33" i="21" a="1"/>
  <c r="M33" i="21" s="1"/>
  <c r="M35" i="21" a="1"/>
  <c r="M35" i="21" s="1"/>
  <c r="M24" i="21" a="1"/>
  <c r="M24" i="21" s="1"/>
  <c r="M13" i="21" a="1"/>
  <c r="M13" i="21" s="1"/>
  <c r="M18" i="21" a="1"/>
  <c r="M18" i="21" s="1"/>
  <c r="M23" i="21" a="1"/>
  <c r="M23" i="21" s="1"/>
  <c r="K51" i="21" a="1"/>
  <c r="K51" i="21" s="1"/>
  <c r="K19" i="21" a="1"/>
  <c r="K19" i="21" s="1"/>
  <c r="K38" i="21" a="1"/>
  <c r="K38" i="21" s="1"/>
  <c r="K57" i="21" a="1"/>
  <c r="K57" i="21" s="1"/>
  <c r="K25" i="21" a="1"/>
  <c r="K25" i="21" s="1"/>
  <c r="K48" i="21" a="1"/>
  <c r="K48" i="21" s="1"/>
  <c r="K16" i="21" a="1"/>
  <c r="K16" i="21" s="1"/>
  <c r="M25" i="21" a="1"/>
  <c r="M25" i="21" s="1"/>
  <c r="M27" i="21" a="1"/>
  <c r="M27" i="21" s="1"/>
  <c r="M16" i="21" a="1"/>
  <c r="M16" i="21" s="1"/>
  <c r="M62" i="21" a="1"/>
  <c r="M62" i="21" s="1"/>
  <c r="M54" i="21" a="1"/>
  <c r="M54" i="21" s="1"/>
  <c r="M15" i="21" a="1"/>
  <c r="M15" i="21" s="1"/>
  <c r="K47" i="21" a="1"/>
  <c r="K47" i="21" s="1"/>
  <c r="K15" i="21" a="1"/>
  <c r="K15" i="21" s="1"/>
  <c r="K34" i="21" a="1"/>
  <c r="K34" i="21" s="1"/>
  <c r="K53" i="21" a="1"/>
  <c r="K53" i="21" s="1"/>
  <c r="K21" i="21" a="1"/>
  <c r="K21" i="21" s="1"/>
  <c r="K44" i="21" a="1"/>
  <c r="K44" i="21" s="1"/>
  <c r="M17" i="21" a="1"/>
  <c r="M17" i="21" s="1"/>
  <c r="M19" i="21" a="1"/>
  <c r="M19" i="21" s="1"/>
  <c r="M61" i="21" a="1"/>
  <c r="M61" i="21" s="1"/>
  <c r="M38" i="21" a="1"/>
  <c r="M38" i="21" s="1"/>
  <c r="M30" i="21" a="1"/>
  <c r="M30" i="21" s="1"/>
  <c r="M60" i="21" a="1"/>
  <c r="M60" i="21" s="1"/>
  <c r="K43" i="21" a="1"/>
  <c r="K43" i="21" s="1"/>
  <c r="K62" i="21" a="1"/>
  <c r="K62" i="21" s="1"/>
  <c r="K30" i="21" a="1"/>
  <c r="K30" i="21" s="1"/>
  <c r="K49" i="21" a="1"/>
  <c r="K49" i="21" s="1"/>
  <c r="K17" i="21" a="1"/>
  <c r="K17" i="21" s="1"/>
  <c r="K40" i="21" a="1"/>
  <c r="K40" i="21" s="1"/>
  <c r="M46" i="21" a="1"/>
  <c r="M46" i="21" s="1"/>
  <c r="M64" i="21" a="1"/>
  <c r="M64" i="21" s="1"/>
  <c r="M53" i="21" a="1"/>
  <c r="M53" i="21" s="1"/>
  <c r="M58" i="21" a="1"/>
  <c r="M58" i="21" s="1"/>
  <c r="M63" i="21" a="1"/>
  <c r="M63" i="21" s="1"/>
  <c r="M52" i="21" a="1"/>
  <c r="M52" i="21" s="1"/>
  <c r="K39" i="21" a="1"/>
  <c r="K39" i="21" s="1"/>
  <c r="K58" i="21" a="1"/>
  <c r="K58" i="21" s="1"/>
  <c r="K26" i="21" a="1"/>
  <c r="K26" i="21" s="1"/>
  <c r="K45" i="21" a="1"/>
  <c r="K45" i="21" s="1"/>
  <c r="K13" i="21" a="1"/>
  <c r="K13" i="21" s="1"/>
  <c r="K36" i="21" a="1"/>
  <c r="K36" i="21" s="1"/>
  <c r="L51" i="21" a="1"/>
  <c r="L51" i="21" s="1"/>
  <c r="M14" i="21" a="1"/>
  <c r="M14" i="21" s="1"/>
  <c r="M22" i="21" a="1"/>
  <c r="M22" i="21" s="1"/>
  <c r="M56" i="21" a="1"/>
  <c r="M56" i="21" s="1"/>
  <c r="M45" i="21" a="1"/>
  <c r="M45" i="21" s="1"/>
  <c r="M50" i="21" a="1"/>
  <c r="M50" i="21" s="1"/>
  <c r="M55" i="21" a="1"/>
  <c r="M55" i="21" s="1"/>
  <c r="M44" i="21" a="1"/>
  <c r="M44" i="21" s="1"/>
  <c r="K35" i="21" a="1"/>
  <c r="K35" i="21" s="1"/>
  <c r="K54" i="21" a="1"/>
  <c r="K54" i="21" s="1"/>
  <c r="K22" i="21" a="1"/>
  <c r="K22" i="21" s="1"/>
  <c r="K41" i="21" a="1"/>
  <c r="K41" i="21" s="1"/>
  <c r="K64" i="21" a="1"/>
  <c r="K64" i="21" s="1"/>
  <c r="K32" i="21" a="1"/>
  <c r="K32" i="21" s="1"/>
  <c r="M57" i="21" a="1"/>
  <c r="M57" i="21" s="1"/>
  <c r="M59" i="21" a="1"/>
  <c r="M59" i="21" s="1"/>
  <c r="M48" i="21" a="1"/>
  <c r="M48" i="21" s="1"/>
  <c r="M37" i="21" a="1"/>
  <c r="M37" i="21" s="1"/>
  <c r="M42" i="21" a="1"/>
  <c r="M42" i="21" s="1"/>
  <c r="M47" i="21" a="1"/>
  <c r="M47" i="21" s="1"/>
  <c r="K63" i="21" a="1"/>
  <c r="K63" i="21" s="1"/>
  <c r="K31" i="21" a="1"/>
  <c r="K31" i="21" s="1"/>
  <c r="K50" i="21" a="1"/>
  <c r="K50" i="21" s="1"/>
  <c r="K18" i="21" a="1"/>
  <c r="K18" i="21" s="1"/>
  <c r="K37" i="21" a="1"/>
  <c r="K37" i="21" s="1"/>
  <c r="K60" i="21" a="1"/>
  <c r="K60" i="21" s="1"/>
  <c r="I32" i="21" a="1"/>
  <c r="I32" i="21" s="1"/>
  <c r="I27" i="21" a="1"/>
  <c r="I27" i="21" s="1"/>
  <c r="I14" i="21" a="1"/>
  <c r="I14" i="21" s="1"/>
  <c r="I52" i="21" a="1"/>
  <c r="I52" i="21" s="1"/>
  <c r="I39" i="21" a="1"/>
  <c r="I39" i="21" s="1"/>
  <c r="I26" i="21" a="1"/>
  <c r="I26" i="21" s="1"/>
  <c r="I13" i="21" a="1"/>
  <c r="I13" i="21" s="1"/>
  <c r="I24" i="21" a="1"/>
  <c r="I24" i="21" s="1"/>
  <c r="I19" i="21" a="1"/>
  <c r="I19" i="21" s="1"/>
  <c r="I57" i="21" a="1"/>
  <c r="I57" i="21" s="1"/>
  <c r="I44" i="21" a="1"/>
  <c r="I44" i="21" s="1"/>
  <c r="I31" i="21" a="1"/>
  <c r="I31" i="21" s="1"/>
  <c r="I18" i="21" a="1"/>
  <c r="I18" i="21" s="1"/>
  <c r="I64" i="21" a="1"/>
  <c r="I64" i="21" s="1"/>
  <c r="I54" i="21" a="1"/>
  <c r="I54" i="21" s="1"/>
  <c r="I41" i="21" a="1"/>
  <c r="I41" i="21" s="1"/>
  <c r="I28" i="21" a="1"/>
  <c r="I28" i="21" s="1"/>
  <c r="I15" i="21" a="1"/>
  <c r="I15" i="21" s="1"/>
  <c r="I53" i="21" a="1"/>
  <c r="I53" i="21" s="1"/>
  <c r="I59" i="21" a="1"/>
  <c r="I59" i="21" s="1"/>
  <c r="I46" i="21" a="1"/>
  <c r="I46" i="21" s="1"/>
  <c r="I33" i="21" a="1"/>
  <c r="I33" i="21" s="1"/>
  <c r="I20" i="21" a="1"/>
  <c r="I20" i="21" s="1"/>
  <c r="I58" i="21" a="1"/>
  <c r="I58" i="21" s="1"/>
  <c r="I45" i="21" a="1"/>
  <c r="I45" i="21" s="1"/>
  <c r="I56" i="21" a="1"/>
  <c r="I56" i="21" s="1"/>
  <c r="I51" i="21" a="1"/>
  <c r="I51" i="21" s="1"/>
  <c r="I38" i="21" a="1"/>
  <c r="I38" i="21" s="1"/>
  <c r="I25" i="21" a="1"/>
  <c r="I25" i="21" s="1"/>
  <c r="I63" i="21" a="1"/>
  <c r="I63" i="21" s="1"/>
  <c r="I50" i="21" a="1"/>
  <c r="I50" i="21" s="1"/>
  <c r="I37" i="21" a="1"/>
  <c r="I37" i="21" s="1"/>
  <c r="I48" i="21" a="1"/>
  <c r="I48" i="21" s="1"/>
  <c r="I43" i="21" a="1"/>
  <c r="I43" i="21" s="1"/>
  <c r="I30" i="21" a="1"/>
  <c r="I30" i="21" s="1"/>
  <c r="I17" i="21" a="1"/>
  <c r="I17" i="21" s="1"/>
  <c r="I55" i="21" a="1"/>
  <c r="I55" i="21" s="1"/>
  <c r="I42" i="21" a="1"/>
  <c r="I42" i="21" s="1"/>
  <c r="I29" i="21" a="1"/>
  <c r="I29" i="21" s="1"/>
  <c r="I40" i="21" a="1"/>
  <c r="I40" i="21" s="1"/>
  <c r="I35" i="21" a="1"/>
  <c r="I35" i="21" s="1"/>
  <c r="I22" i="21" a="1"/>
  <c r="I22" i="21" s="1"/>
  <c r="I60" i="21" a="1"/>
  <c r="I60" i="21" s="1"/>
  <c r="I47" i="21" a="1"/>
  <c r="I47" i="21" s="1"/>
  <c r="I34" i="21" a="1"/>
  <c r="I34" i="21" s="1"/>
  <c r="F63" i="21" a="1"/>
  <c r="F63" i="21" s="1"/>
  <c r="F55" i="21" a="1"/>
  <c r="F55" i="21" s="1"/>
  <c r="F47" i="21" a="1"/>
  <c r="F47" i="21" s="1"/>
  <c r="F39" i="21" a="1"/>
  <c r="F39" i="21" s="1"/>
  <c r="F31" i="21" a="1"/>
  <c r="F31" i="21" s="1"/>
  <c r="F23" i="21" a="1"/>
  <c r="F23" i="21" s="1"/>
  <c r="F15" i="21" a="1"/>
  <c r="F15" i="21" s="1"/>
  <c r="N42" i="21" a="1"/>
  <c r="N42" i="21" s="1"/>
  <c r="N34" i="21" a="1"/>
  <c r="N34" i="21" s="1"/>
  <c r="N26" i="21" a="1"/>
  <c r="N26" i="21" s="1"/>
  <c r="N18" i="21" a="1"/>
  <c r="N18" i="21" s="1"/>
  <c r="N51" i="21" a="1"/>
  <c r="N51" i="21" s="1"/>
  <c r="N55" i="21" a="1"/>
  <c r="N55" i="21" s="1"/>
  <c r="F62" i="21" a="1"/>
  <c r="F62" i="21" s="1"/>
  <c r="F54" i="21" a="1"/>
  <c r="F54" i="21" s="1"/>
  <c r="F46" i="21" a="1"/>
  <c r="F46" i="21" s="1"/>
  <c r="F38" i="21" a="1"/>
  <c r="F38" i="21" s="1"/>
  <c r="F30" i="21" a="1"/>
  <c r="F30" i="21" s="1"/>
  <c r="F22" i="21" a="1"/>
  <c r="F22" i="21" s="1"/>
  <c r="F14" i="21" a="1"/>
  <c r="F14" i="21" s="1"/>
  <c r="N63" i="21" a="1"/>
  <c r="N63" i="21" s="1"/>
  <c r="N41" i="21" a="1"/>
  <c r="N41" i="21" s="1"/>
  <c r="N33" i="21" a="1"/>
  <c r="N33" i="21" s="1"/>
  <c r="N25" i="21" a="1"/>
  <c r="N25" i="21" s="1"/>
  <c r="N17" i="21" a="1"/>
  <c r="N17" i="21" s="1"/>
  <c r="N58" i="21" a="1"/>
  <c r="N58" i="21" s="1"/>
  <c r="N50" i="21" a="1"/>
  <c r="N50" i="21" s="1"/>
  <c r="F60" i="21" a="1"/>
  <c r="F60" i="21" s="1"/>
  <c r="F52" i="21" a="1"/>
  <c r="F52" i="21" s="1"/>
  <c r="F44" i="21" a="1"/>
  <c r="F44" i="21" s="1"/>
  <c r="F36" i="21" a="1"/>
  <c r="F36" i="21" s="1"/>
  <c r="F28" i="21" a="1"/>
  <c r="F28" i="21" s="1"/>
  <c r="F20" i="21" a="1"/>
  <c r="F20" i="21" s="1"/>
  <c r="N56" i="21" a="1"/>
  <c r="N56" i="21" s="1"/>
  <c r="N39" i="21" a="1"/>
  <c r="N39" i="21" s="1"/>
  <c r="N31" i="21" a="1"/>
  <c r="N31" i="21" s="1"/>
  <c r="N23" i="21" a="1"/>
  <c r="N23" i="21" s="1"/>
  <c r="N15" i="21" a="1"/>
  <c r="N15" i="21" s="1"/>
  <c r="N54" i="21" a="1"/>
  <c r="N54" i="21" s="1"/>
  <c r="N62" i="21" a="1"/>
  <c r="N62" i="21" s="1"/>
  <c r="F59" i="21" a="1"/>
  <c r="F59" i="21" s="1"/>
  <c r="F51" i="21" a="1"/>
  <c r="F51" i="21" s="1"/>
  <c r="F43" i="21" a="1"/>
  <c r="F43" i="21" s="1"/>
  <c r="F35" i="21" a="1"/>
  <c r="F35" i="21" s="1"/>
  <c r="F27" i="21" a="1"/>
  <c r="F27" i="21" s="1"/>
  <c r="F19" i="21" a="1"/>
  <c r="F19" i="21" s="1"/>
  <c r="N48" i="21" a="1"/>
  <c r="N48" i="21" s="1"/>
  <c r="N38" i="21" a="1"/>
  <c r="N38" i="21" s="1"/>
  <c r="N30" i="21" a="1"/>
  <c r="N30" i="21" s="1"/>
  <c r="N22" i="21" a="1"/>
  <c r="N22" i="21" s="1"/>
  <c r="N14" i="21" a="1"/>
  <c r="N14" i="21" s="1"/>
  <c r="N53" i="21" a="1"/>
  <c r="N53" i="21" s="1"/>
  <c r="N61" i="21" a="1"/>
  <c r="N61" i="21" s="1"/>
  <c r="F58" i="21" a="1"/>
  <c r="F58" i="21" s="1"/>
  <c r="F50" i="21" a="1"/>
  <c r="F50" i="21" s="1"/>
  <c r="F42" i="21" a="1"/>
  <c r="F42" i="21" s="1"/>
  <c r="F34" i="21" a="1"/>
  <c r="F34" i="21" s="1"/>
  <c r="F26" i="21" a="1"/>
  <c r="F26" i="21" s="1"/>
  <c r="F18" i="21" a="1"/>
  <c r="F18" i="21" s="1"/>
  <c r="N45" i="21" a="1"/>
  <c r="N45" i="21" s="1"/>
  <c r="N37" i="21" a="1"/>
  <c r="N37" i="21" s="1"/>
  <c r="N29" i="21" a="1"/>
  <c r="N29" i="21" s="1"/>
  <c r="N21" i="21" a="1"/>
  <c r="N21" i="21" s="1"/>
  <c r="N13" i="21" a="1"/>
  <c r="N13" i="21" s="1"/>
  <c r="N52" i="21" a="1"/>
  <c r="N52" i="21" s="1"/>
  <c r="L29" i="21" a="1"/>
  <c r="L29" i="21" s="1"/>
  <c r="L27" i="21" a="1"/>
  <c r="L27" i="21" s="1"/>
  <c r="F57" i="21" a="1"/>
  <c r="F57" i="21" s="1"/>
  <c r="F49" i="21" a="1"/>
  <c r="F49" i="21" s="1"/>
  <c r="F41" i="21" a="1"/>
  <c r="F41" i="21" s="1"/>
  <c r="F33" i="21" a="1"/>
  <c r="F33" i="21" s="1"/>
  <c r="F25" i="21" a="1"/>
  <c r="F25" i="21" s="1"/>
  <c r="N44" i="21" a="1"/>
  <c r="N44" i="21" s="1"/>
  <c r="N36" i="21" a="1"/>
  <c r="N36" i="21" s="1"/>
  <c r="N28" i="21" a="1"/>
  <c r="N28" i="21" s="1"/>
  <c r="N20" i="21" a="1"/>
  <c r="N20" i="21" s="1"/>
  <c r="N64" i="21" a="1"/>
  <c r="N64" i="21" s="1"/>
  <c r="J24" i="21" a="1"/>
  <c r="J24" i="21" s="1"/>
  <c r="Q53" i="21" a="1"/>
  <c r="Q53" i="21" s="1"/>
  <c r="H54" i="21" a="1"/>
  <c r="H54" i="21" s="1"/>
  <c r="H22" i="21" a="1"/>
  <c r="H22" i="21" s="1"/>
  <c r="H43" i="21" a="1"/>
  <c r="H43" i="21" s="1"/>
  <c r="H64" i="21" a="1"/>
  <c r="H64" i="21" s="1"/>
  <c r="H32" i="21" a="1"/>
  <c r="H32" i="21" s="1"/>
  <c r="H49" i="21" a="1"/>
  <c r="H49" i="21" s="1"/>
  <c r="H17" i="21" a="1"/>
  <c r="H17" i="21" s="1"/>
  <c r="J60" i="21" a="1"/>
  <c r="J60" i="21" s="1"/>
  <c r="J44" i="21" a="1"/>
  <c r="J44" i="21" s="1"/>
  <c r="J28" i="21" a="1"/>
  <c r="J28" i="21" s="1"/>
  <c r="J63" i="21" a="1"/>
  <c r="J63" i="21" s="1"/>
  <c r="J47" i="21" a="1"/>
  <c r="J47" i="21" s="1"/>
  <c r="J31" i="21" a="1"/>
  <c r="J31" i="21" s="1"/>
  <c r="J15" i="21" a="1"/>
  <c r="J15" i="21" s="1"/>
  <c r="P40" i="21" a="1"/>
  <c r="P40" i="21" s="1"/>
  <c r="P57" i="21" a="1"/>
  <c r="P57" i="21" s="1"/>
  <c r="P25" i="21" a="1"/>
  <c r="P25" i="21" s="1"/>
  <c r="P46" i="21" a="1"/>
  <c r="P46" i="21" s="1"/>
  <c r="P14" i="21" a="1"/>
  <c r="P14" i="21" s="1"/>
  <c r="P35" i="21" a="1"/>
  <c r="P35" i="21" s="1"/>
  <c r="Q44" i="21" a="1"/>
  <c r="Q44" i="21" s="1"/>
  <c r="Q31" i="21" a="1"/>
  <c r="Q31" i="21" s="1"/>
  <c r="Q18" i="21" a="1"/>
  <c r="Q18" i="21" s="1"/>
  <c r="Q62" i="21" a="1"/>
  <c r="Q62" i="21" s="1"/>
  <c r="Q59" i="21" a="1"/>
  <c r="Q59" i="21" s="1"/>
  <c r="Q38" i="21" a="1"/>
  <c r="Q38" i="21" s="1"/>
  <c r="Q25" i="21" a="1"/>
  <c r="Q25" i="21" s="1"/>
  <c r="H35" i="21" a="1"/>
  <c r="H35" i="21" s="1"/>
  <c r="H41" i="21" a="1"/>
  <c r="H41" i="21" s="1"/>
  <c r="J59" i="21" a="1"/>
  <c r="J59" i="21" s="1"/>
  <c r="Q28" i="21" a="1"/>
  <c r="Q28" i="21" s="1"/>
  <c r="Q43" i="21" a="1"/>
  <c r="Q43" i="21" s="1"/>
  <c r="H42" i="21" a="1"/>
  <c r="H42" i="21" s="1"/>
  <c r="H63" i="21" a="1"/>
  <c r="H63" i="21" s="1"/>
  <c r="H31" i="21" a="1"/>
  <c r="H31" i="21" s="1"/>
  <c r="H52" i="21" a="1"/>
  <c r="H52" i="21" s="1"/>
  <c r="H20" i="21" a="1"/>
  <c r="H20" i="21" s="1"/>
  <c r="H37" i="21" a="1"/>
  <c r="H37" i="21" s="1"/>
  <c r="J54" i="21" a="1"/>
  <c r="J54" i="21" s="1"/>
  <c r="J38" i="21" a="1"/>
  <c r="J38" i="21" s="1"/>
  <c r="J22" i="21" a="1"/>
  <c r="J22" i="21" s="1"/>
  <c r="J57" i="21" a="1"/>
  <c r="J57" i="21" s="1"/>
  <c r="J41" i="21" a="1"/>
  <c r="J41" i="21" s="1"/>
  <c r="J25" i="21" a="1"/>
  <c r="J25" i="21" s="1"/>
  <c r="P60" i="21" a="1"/>
  <c r="P60" i="21" s="1"/>
  <c r="P28" i="21" a="1"/>
  <c r="P28" i="21" s="1"/>
  <c r="P45" i="21" a="1"/>
  <c r="P45" i="21" s="1"/>
  <c r="P13" i="21" a="1"/>
  <c r="P13" i="21" s="1"/>
  <c r="P34" i="21" a="1"/>
  <c r="P34" i="21" s="1"/>
  <c r="P55" i="21" a="1"/>
  <c r="P55" i="21" s="1"/>
  <c r="P23" i="21" a="1"/>
  <c r="P23" i="21" s="1"/>
  <c r="Q20" i="21" a="1"/>
  <c r="Q20" i="21" s="1"/>
  <c r="Q58" i="21" a="1"/>
  <c r="Q58" i="21" s="1"/>
  <c r="Q45" i="21" a="1"/>
  <c r="Q45" i="21" s="1"/>
  <c r="Q48" i="21" a="1"/>
  <c r="Q48" i="21" s="1"/>
  <c r="Q35" i="21" a="1"/>
  <c r="Q35" i="21" s="1"/>
  <c r="Q14" i="21" a="1"/>
  <c r="Q14" i="21" s="1"/>
  <c r="L57" i="21" a="1"/>
  <c r="L57" i="21" s="1"/>
  <c r="L38" i="21" a="1"/>
  <c r="L38" i="21" s="1"/>
  <c r="H14" i="21" a="1"/>
  <c r="H14" i="21" s="1"/>
  <c r="H24" i="21" a="1"/>
  <c r="H24" i="21" s="1"/>
  <c r="J40" i="21" a="1"/>
  <c r="J40" i="21" s="1"/>
  <c r="Q15" i="21" a="1"/>
  <c r="Q15" i="21" s="1"/>
  <c r="H38" i="21" a="1"/>
  <c r="H38" i="21" s="1"/>
  <c r="H59" i="21" a="1"/>
  <c r="H59" i="21" s="1"/>
  <c r="H27" i="21" a="1"/>
  <c r="H27" i="21" s="1"/>
  <c r="H48" i="21" a="1"/>
  <c r="H48" i="21" s="1"/>
  <c r="H16" i="21" a="1"/>
  <c r="H16" i="21" s="1"/>
  <c r="H33" i="21" a="1"/>
  <c r="H33" i="21" s="1"/>
  <c r="J52" i="21" a="1"/>
  <c r="J52" i="21" s="1"/>
  <c r="J36" i="21" a="1"/>
  <c r="J36" i="21" s="1"/>
  <c r="J20" i="21" a="1"/>
  <c r="J20" i="21" s="1"/>
  <c r="J55" i="21" a="1"/>
  <c r="J55" i="21" s="1"/>
  <c r="J39" i="21" a="1"/>
  <c r="J39" i="21" s="1"/>
  <c r="J23" i="21" a="1"/>
  <c r="J23" i="21" s="1"/>
  <c r="P56" i="21" a="1"/>
  <c r="P56" i="21" s="1"/>
  <c r="P24" i="21" a="1"/>
  <c r="P24" i="21" s="1"/>
  <c r="P41" i="21" a="1"/>
  <c r="P41" i="21" s="1"/>
  <c r="P62" i="21" a="1"/>
  <c r="P62" i="21" s="1"/>
  <c r="P30" i="21" a="1"/>
  <c r="P30" i="21" s="1"/>
  <c r="P51" i="21" a="1"/>
  <c r="P51" i="21" s="1"/>
  <c r="P19" i="21" a="1"/>
  <c r="P19" i="21" s="1"/>
  <c r="Q63" i="21" a="1"/>
  <c r="Q63" i="21" s="1"/>
  <c r="Q50" i="21" a="1"/>
  <c r="Q50" i="21" s="1"/>
  <c r="Q37" i="21" a="1"/>
  <c r="Q37" i="21" s="1"/>
  <c r="Q40" i="21" a="1"/>
  <c r="Q40" i="21" s="1"/>
  <c r="Q27" i="21" a="1"/>
  <c r="Q27" i="21" s="1"/>
  <c r="Q57" i="21" a="1"/>
  <c r="Q57" i="21" s="1"/>
  <c r="H56" i="21" a="1"/>
  <c r="H56" i="21" s="1"/>
  <c r="J56" i="21" a="1"/>
  <c r="J56" i="21" s="1"/>
  <c r="J27" i="21" a="1"/>
  <c r="J27" i="21" s="1"/>
  <c r="Q56" i="21" a="1"/>
  <c r="Q56" i="21" s="1"/>
  <c r="H34" i="21" a="1"/>
  <c r="H34" i="21" s="1"/>
  <c r="H55" i="21" a="1"/>
  <c r="H55" i="21" s="1"/>
  <c r="H23" i="21" a="1"/>
  <c r="H23" i="21" s="1"/>
  <c r="H44" i="21" a="1"/>
  <c r="H44" i="21" s="1"/>
  <c r="H61" i="21" a="1"/>
  <c r="H61" i="21" s="1"/>
  <c r="H29" i="21" a="1"/>
  <c r="H29" i="21" s="1"/>
  <c r="J50" i="21" a="1"/>
  <c r="J50" i="21" s="1"/>
  <c r="J34" i="21" a="1"/>
  <c r="J34" i="21" s="1"/>
  <c r="J18" i="21" a="1"/>
  <c r="J18" i="21" s="1"/>
  <c r="J53" i="21" a="1"/>
  <c r="J53" i="21" s="1"/>
  <c r="J37" i="21" a="1"/>
  <c r="J37" i="21" s="1"/>
  <c r="J21" i="21" a="1"/>
  <c r="J21" i="21" s="1"/>
  <c r="P52" i="21" a="1"/>
  <c r="P52" i="21" s="1"/>
  <c r="P20" i="21" a="1"/>
  <c r="P20" i="21" s="1"/>
  <c r="P37" i="21" a="1"/>
  <c r="P37" i="21" s="1"/>
  <c r="P58" i="21" a="1"/>
  <c r="P58" i="21" s="1"/>
  <c r="P26" i="21" a="1"/>
  <c r="P26" i="21" s="1"/>
  <c r="P47" i="21" a="1"/>
  <c r="P47" i="21" s="1"/>
  <c r="P15" i="21" a="1"/>
  <c r="P15" i="21" s="1"/>
  <c r="Q55" i="21" a="1"/>
  <c r="Q55" i="21" s="1"/>
  <c r="Q42" i="21" a="1"/>
  <c r="Q42" i="21" s="1"/>
  <c r="Q29" i="21" a="1"/>
  <c r="Q29" i="21" s="1"/>
  <c r="Q32" i="21" a="1"/>
  <c r="Q32" i="21" s="1"/>
  <c r="Q19" i="21" a="1"/>
  <c r="Q19" i="21" s="1"/>
  <c r="Q49" i="21" a="1"/>
  <c r="Q49" i="21" s="1"/>
  <c r="H46" i="21" a="1"/>
  <c r="H46" i="21" s="1"/>
  <c r="J43" i="21" a="1"/>
  <c r="J43" i="21" s="1"/>
  <c r="Q22" i="21" a="1"/>
  <c r="Q22" i="21" s="1"/>
  <c r="H62" i="21" a="1"/>
  <c r="H62" i="21" s="1"/>
  <c r="H30" i="21" a="1"/>
  <c r="H30" i="21" s="1"/>
  <c r="H51" i="21" a="1"/>
  <c r="H51" i="21" s="1"/>
  <c r="H19" i="21" a="1"/>
  <c r="H19" i="21" s="1"/>
  <c r="H40" i="21" a="1"/>
  <c r="H40" i="21" s="1"/>
  <c r="H57" i="21" a="1"/>
  <c r="H57" i="21" s="1"/>
  <c r="H25" i="21" a="1"/>
  <c r="H25" i="21" s="1"/>
  <c r="J64" i="21" a="1"/>
  <c r="J64" i="21" s="1"/>
  <c r="J48" i="21" a="1"/>
  <c r="J48" i="21" s="1"/>
  <c r="J32" i="21" a="1"/>
  <c r="J32" i="21" s="1"/>
  <c r="J16" i="21" a="1"/>
  <c r="J16" i="21" s="1"/>
  <c r="J51" i="21" a="1"/>
  <c r="J51" i="21" s="1"/>
  <c r="J35" i="21" a="1"/>
  <c r="J35" i="21" s="1"/>
  <c r="J19" i="21" a="1"/>
  <c r="J19" i="21" s="1"/>
  <c r="P48" i="21" a="1"/>
  <c r="P48" i="21" s="1"/>
  <c r="P16" i="21" a="1"/>
  <c r="P16" i="21" s="1"/>
  <c r="P33" i="21" a="1"/>
  <c r="P33" i="21" s="1"/>
  <c r="P54" i="21" a="1"/>
  <c r="P54" i="21" s="1"/>
  <c r="P22" i="21" a="1"/>
  <c r="P22" i="21" s="1"/>
  <c r="P43" i="21" a="1"/>
  <c r="P43" i="21" s="1"/>
  <c r="Q60" i="21" a="1"/>
  <c r="Q60" i="21" s="1"/>
  <c r="Q47" i="21" a="1"/>
  <c r="Q47" i="21" s="1"/>
  <c r="Q34" i="21" a="1"/>
  <c r="Q34" i="21" s="1"/>
  <c r="Q21" i="21" a="1"/>
  <c r="Q21" i="21" s="1"/>
  <c r="Q24" i="21" a="1"/>
  <c r="Q24" i="21" s="1"/>
  <c r="Q54" i="21" a="1"/>
  <c r="Q54" i="21" s="1"/>
  <c r="Q41" i="21" a="1"/>
  <c r="Q41" i="21" s="1"/>
  <c r="H58" i="21" a="1"/>
  <c r="H58" i="21" s="1"/>
  <c r="H26" i="21" a="1"/>
  <c r="H26" i="21" s="1"/>
  <c r="H47" i="21" a="1"/>
  <c r="H47" i="21" s="1"/>
  <c r="H15" i="21" a="1"/>
  <c r="H15" i="21" s="1"/>
  <c r="H36" i="21" a="1"/>
  <c r="H36" i="21" s="1"/>
  <c r="H53" i="21" a="1"/>
  <c r="H53" i="21" s="1"/>
  <c r="J62" i="21" a="1"/>
  <c r="J62" i="21" s="1"/>
  <c r="J46" i="21" a="1"/>
  <c r="J46" i="21" s="1"/>
  <c r="J30" i="21" a="1"/>
  <c r="J30" i="21" s="1"/>
  <c r="J14" i="21" a="1"/>
  <c r="J14" i="21" s="1"/>
  <c r="J49" i="21" a="1"/>
  <c r="J49" i="21" s="1"/>
  <c r="J33" i="21" a="1"/>
  <c r="J33" i="21" s="1"/>
  <c r="P44" i="21" a="1"/>
  <c r="P44" i="21" s="1"/>
  <c r="P63" i="21" a="1"/>
  <c r="P63" i="21" s="1"/>
  <c r="P29" i="21" a="1"/>
  <c r="P29" i="21" s="1"/>
  <c r="P50" i="21" a="1"/>
  <c r="P50" i="21" s="1"/>
  <c r="P18" i="21" a="1"/>
  <c r="P18" i="21" s="1"/>
  <c r="Q52" i="21" a="1"/>
  <c r="Q52" i="21" s="1"/>
  <c r="Q39" i="21" a="1"/>
  <c r="Q39" i="21" s="1"/>
  <c r="Q26" i="21" a="1"/>
  <c r="Q26" i="21" s="1"/>
  <c r="Q13" i="21" a="1"/>
  <c r="Q13" i="21" s="1"/>
  <c r="Q16" i="21" a="1"/>
  <c r="Q16" i="21" s="1"/>
  <c r="Q46" i="21" a="1"/>
  <c r="Q46" i="21" s="1"/>
  <c r="L23" i="21" a="1"/>
  <c r="L23" i="21" s="1"/>
  <c r="L37" i="21" a="1"/>
  <c r="L37" i="21" s="1"/>
  <c r="L14" i="21" a="1"/>
  <c r="L14" i="21" s="1"/>
  <c r="L19" i="21" a="1"/>
  <c r="L19" i="21" s="1"/>
  <c r="L60" i="21" a="1"/>
  <c r="L60" i="21" s="1"/>
  <c r="L52" i="21" a="1"/>
  <c r="L52" i="21" s="1"/>
  <c r="L61" i="21" a="1"/>
  <c r="L61" i="21" s="1"/>
  <c r="L62" i="21" a="1"/>
  <c r="L62" i="21" s="1"/>
  <c r="L59" i="21" a="1"/>
  <c r="L59" i="21" s="1"/>
  <c r="L50" i="21" a="1"/>
  <c r="L50" i="21" s="1"/>
  <c r="L36" i="21" a="1"/>
  <c r="L36" i="21" s="1"/>
  <c r="L35" i="21" a="1"/>
  <c r="L35" i="21" s="1"/>
  <c r="L34" i="21" a="1"/>
  <c r="L34" i="21" s="1"/>
  <c r="L43" i="21" a="1"/>
  <c r="L43" i="21" s="1"/>
  <c r="L58" i="21" a="1"/>
  <c r="L58" i="21" s="1"/>
  <c r="L44" i="21" a="1"/>
  <c r="L44" i="21" s="1"/>
  <c r="L17" i="21" a="1"/>
  <c r="L17" i="21" s="1"/>
  <c r="E151" i="21" a="1"/>
  <c r="E151" i="21" s="1"/>
  <c r="E155" i="21" a="1"/>
  <c r="E155" i="21" s="1"/>
  <c r="E159" i="21" a="1"/>
  <c r="E159" i="21" s="1"/>
  <c r="E163" i="21" a="1"/>
  <c r="E163" i="21" s="1"/>
  <c r="E167" i="21" a="1"/>
  <c r="E167" i="21" s="1"/>
  <c r="E171" i="21" a="1"/>
  <c r="E171" i="21" s="1"/>
  <c r="E175" i="21" a="1"/>
  <c r="E175" i="21" s="1"/>
  <c r="E179" i="21" a="1"/>
  <c r="E179" i="21" s="1"/>
  <c r="E183" i="21" a="1"/>
  <c r="E183" i="21" s="1"/>
  <c r="E187" i="21" a="1"/>
  <c r="E187" i="21" s="1"/>
  <c r="E152" i="21" a="1"/>
  <c r="E152" i="21" s="1"/>
  <c r="E156" i="21" a="1"/>
  <c r="E156" i="21" s="1"/>
  <c r="E160" i="21" a="1"/>
  <c r="E160" i="21" s="1"/>
  <c r="E164" i="21" a="1"/>
  <c r="E164" i="21" s="1"/>
  <c r="E168" i="21" a="1"/>
  <c r="E168" i="21" s="1"/>
  <c r="E172" i="21" a="1"/>
  <c r="E172" i="21" s="1"/>
  <c r="E176" i="21" a="1"/>
  <c r="E176" i="21" s="1"/>
  <c r="E180" i="21" a="1"/>
  <c r="E180" i="21" s="1"/>
  <c r="E184" i="21" a="1"/>
  <c r="E184" i="21" s="1"/>
  <c r="E188" i="21" a="1"/>
  <c r="E188" i="21" s="1"/>
  <c r="E192" i="21" a="1"/>
  <c r="E192" i="21" s="1"/>
  <c r="E196" i="21" a="1"/>
  <c r="E196" i="21" s="1"/>
  <c r="E200" i="21" a="1"/>
  <c r="E200" i="21" s="1"/>
  <c r="E195" i="21" a="1"/>
  <c r="E195" i="21" s="1"/>
  <c r="E199" i="21" a="1"/>
  <c r="E199" i="21" s="1"/>
  <c r="E153" i="21" a="1"/>
  <c r="E153" i="21" s="1"/>
  <c r="E157" i="21" a="1"/>
  <c r="E157" i="21" s="1"/>
  <c r="E161" i="21" a="1"/>
  <c r="E161" i="21" s="1"/>
  <c r="E165" i="21" a="1"/>
  <c r="E165" i="21" s="1"/>
  <c r="E169" i="21" a="1"/>
  <c r="E169" i="21" s="1"/>
  <c r="E173" i="21" a="1"/>
  <c r="E173" i="21" s="1"/>
  <c r="E177" i="21" a="1"/>
  <c r="E177" i="21" s="1"/>
  <c r="E181" i="21" a="1"/>
  <c r="E181" i="21" s="1"/>
  <c r="E185" i="21" a="1"/>
  <c r="E185" i="21" s="1"/>
  <c r="E189" i="21" a="1"/>
  <c r="E189" i="21" s="1"/>
  <c r="E193" i="21" a="1"/>
  <c r="E193" i="21" s="1"/>
  <c r="E197" i="21" a="1"/>
  <c r="E197" i="21" s="1"/>
  <c r="E149" i="21" a="1"/>
  <c r="E149" i="21" s="1"/>
  <c r="E191" i="21" a="1"/>
  <c r="E191" i="21" s="1"/>
  <c r="E150" i="21" a="1"/>
  <c r="E150" i="21" s="1"/>
  <c r="E154" i="21" a="1"/>
  <c r="E154" i="21" s="1"/>
  <c r="E158" i="21" a="1"/>
  <c r="E158" i="21" s="1"/>
  <c r="E162" i="21" a="1"/>
  <c r="E162" i="21" s="1"/>
  <c r="E166" i="21" a="1"/>
  <c r="E166" i="21" s="1"/>
  <c r="E170" i="21" a="1"/>
  <c r="E170" i="21" s="1"/>
  <c r="E174" i="21" a="1"/>
  <c r="E174" i="21" s="1"/>
  <c r="E178" i="21" a="1"/>
  <c r="E178" i="21" s="1"/>
  <c r="E182" i="21" a="1"/>
  <c r="E182" i="21" s="1"/>
  <c r="E186" i="21" a="1"/>
  <c r="E186" i="21" s="1"/>
  <c r="E190" i="21" a="1"/>
  <c r="E190" i="21" s="1"/>
  <c r="E194" i="21" a="1"/>
  <c r="E194" i="21" s="1"/>
  <c r="E198" i="21" a="1"/>
  <c r="E198" i="21" s="1"/>
  <c r="F149" i="11" a="1"/>
  <c r="F149" i="11" s="1"/>
  <c r="F143" i="11" a="1"/>
  <c r="F143" i="11" s="1"/>
  <c r="H145" i="21"/>
  <c r="F148" i="11" a="1"/>
  <c r="F148" i="11" s="1"/>
  <c r="F147" i="11" a="1"/>
  <c r="F147" i="11" s="1"/>
  <c r="C150" i="21" a="1"/>
  <c r="C150" i="21" s="1"/>
  <c r="C154" i="21" a="1"/>
  <c r="C154" i="21" s="1"/>
  <c r="C158" i="21" a="1"/>
  <c r="C158" i="21" s="1"/>
  <c r="C162" i="21" a="1"/>
  <c r="C162" i="21" s="1"/>
  <c r="C166" i="21" a="1"/>
  <c r="C166" i="21" s="1"/>
  <c r="C170" i="21" a="1"/>
  <c r="C170" i="21" s="1"/>
  <c r="C174" i="21" a="1"/>
  <c r="C174" i="21" s="1"/>
  <c r="C178" i="21" a="1"/>
  <c r="C178" i="21" s="1"/>
  <c r="C182" i="21" a="1"/>
  <c r="C182" i="21" s="1"/>
  <c r="C186" i="21" a="1"/>
  <c r="C186" i="21" s="1"/>
  <c r="C190" i="21" a="1"/>
  <c r="C190" i="21" s="1"/>
  <c r="C194" i="21" a="1"/>
  <c r="C194" i="21" s="1"/>
  <c r="C198" i="21" a="1"/>
  <c r="C198" i="21" s="1"/>
  <c r="C159" i="21" a="1"/>
  <c r="C159" i="21" s="1"/>
  <c r="C179" i="21" a="1"/>
  <c r="C179" i="21" s="1"/>
  <c r="C187" i="21" a="1"/>
  <c r="C187" i="21" s="1"/>
  <c r="C195" i="21" a="1"/>
  <c r="C195" i="21" s="1"/>
  <c r="C153" i="21" a="1"/>
  <c r="C153" i="21" s="1"/>
  <c r="C157" i="21" a="1"/>
  <c r="C157" i="21" s="1"/>
  <c r="C161" i="21" a="1"/>
  <c r="C161" i="21" s="1"/>
  <c r="C165" i="21" a="1"/>
  <c r="C165" i="21" s="1"/>
  <c r="C169" i="21" a="1"/>
  <c r="C169" i="21" s="1"/>
  <c r="C173" i="21" a="1"/>
  <c r="C173" i="21" s="1"/>
  <c r="C177" i="21" a="1"/>
  <c r="C177" i="21" s="1"/>
  <c r="C181" i="21" a="1"/>
  <c r="C181" i="21" s="1"/>
  <c r="C185" i="21" a="1"/>
  <c r="C185" i="21" s="1"/>
  <c r="C189" i="21" a="1"/>
  <c r="C189" i="21" s="1"/>
  <c r="C193" i="21" a="1"/>
  <c r="C193" i="21" s="1"/>
  <c r="C197" i="21" a="1"/>
  <c r="C197" i="21" s="1"/>
  <c r="C149" i="21" a="1"/>
  <c r="C149" i="21" s="1"/>
  <c r="C155" i="21" a="1"/>
  <c r="C155" i="21" s="1"/>
  <c r="C167" i="21" a="1"/>
  <c r="C167" i="21" s="1"/>
  <c r="C175" i="21" a="1"/>
  <c r="C175" i="21" s="1"/>
  <c r="C183" i="21" a="1"/>
  <c r="C183" i="21" s="1"/>
  <c r="C191" i="21" a="1"/>
  <c r="C191" i="21" s="1"/>
  <c r="C152" i="21" a="1"/>
  <c r="C152" i="21" s="1"/>
  <c r="C156" i="21" a="1"/>
  <c r="C156" i="21" s="1"/>
  <c r="C160" i="21" a="1"/>
  <c r="C160" i="21" s="1"/>
  <c r="C164" i="21" a="1"/>
  <c r="C164" i="21" s="1"/>
  <c r="C168" i="21" a="1"/>
  <c r="C168" i="21" s="1"/>
  <c r="C172" i="21" a="1"/>
  <c r="C172" i="21" s="1"/>
  <c r="C176" i="21" a="1"/>
  <c r="C176" i="21" s="1"/>
  <c r="C180" i="21" a="1"/>
  <c r="C180" i="21" s="1"/>
  <c r="C184" i="21" a="1"/>
  <c r="C184" i="21" s="1"/>
  <c r="C188" i="21" a="1"/>
  <c r="C188" i="21" s="1"/>
  <c r="C192" i="21" a="1"/>
  <c r="C192" i="21" s="1"/>
  <c r="C196" i="21" a="1"/>
  <c r="C196" i="21" s="1"/>
  <c r="C200" i="21" a="1"/>
  <c r="C200" i="21" s="1"/>
  <c r="C151" i="21" a="1"/>
  <c r="C151" i="21" s="1"/>
  <c r="C163" i="21" a="1"/>
  <c r="C163" i="21" s="1"/>
  <c r="C171" i="21" a="1"/>
  <c r="C171" i="21" s="1"/>
  <c r="C199" i="21" a="1"/>
  <c r="C199" i="21" s="1"/>
  <c r="F150" i="11" a="1"/>
  <c r="F150" i="11" s="1"/>
  <c r="F142" i="11" a="1"/>
  <c r="F142" i="11" s="1"/>
  <c r="I145" i="21"/>
  <c r="C60" i="2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E69" i="7"/>
  <c r="AB9" i="9" a="1"/>
  <c r="AB9" i="9" s="1"/>
  <c r="E65" i="7"/>
  <c r="AJ9" i="9" a="1"/>
  <c r="AJ9" i="9" s="1"/>
  <c r="E73" i="7"/>
  <c r="AI9" i="9" a="1"/>
  <c r="AI9" i="9" s="1"/>
  <c r="E72" i="7"/>
  <c r="AE9" i="9" a="1"/>
  <c r="AE9" i="9" s="1"/>
  <c r="E68" i="7"/>
  <c r="AA9" i="9" a="1"/>
  <c r="AA9" i="9" s="1"/>
  <c r="E64" i="7"/>
  <c r="AN9" i="9" a="1"/>
  <c r="AN9" i="9" s="1"/>
  <c r="E77" i="7"/>
  <c r="AM9" i="9" a="1"/>
  <c r="AM9" i="9" s="1"/>
  <c r="E76" i="7"/>
  <c r="AL9" i="9" a="1"/>
  <c r="AL9" i="9" s="1"/>
  <c r="E75" i="7"/>
  <c r="AH9" i="9" a="1"/>
  <c r="AH9" i="9" s="1"/>
  <c r="E71" i="7"/>
  <c r="AD9" i="9" a="1"/>
  <c r="AD9" i="9" s="1"/>
  <c r="E67" i="7"/>
  <c r="Z9" i="9" a="1"/>
  <c r="Z9" i="9" s="1"/>
  <c r="AK9" i="9" a="1"/>
  <c r="AK9" i="9" s="1"/>
  <c r="E74" i="7"/>
  <c r="AG9" i="9" a="1"/>
  <c r="AG9" i="9" s="1"/>
  <c r="E70" i="7"/>
  <c r="AC9" i="9" a="1"/>
  <c r="AC9" i="9" s="1"/>
  <c r="E66" i="7"/>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K5" i="14" l="1"/>
  <c r="J5" i="14"/>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O5" i="14" l="1"/>
  <c r="B72" i="8" s="1"/>
  <c r="Q5" i="14"/>
  <c r="W5" i="14" s="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B20" i="5" s="1"/>
  <c r="U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B22" i="5" s="1"/>
  <c r="F21" i="5"/>
  <c r="H21" i="5"/>
  <c r="P21" i="5"/>
  <c r="Q21" i="5"/>
  <c r="I21" i="5"/>
  <c r="S21" i="5"/>
  <c r="N21" i="5"/>
  <c r="K21" i="5"/>
  <c r="M21" i="5"/>
  <c r="J21" i="5"/>
  <c r="R21" i="5"/>
  <c r="L21" i="5"/>
  <c r="T21" i="5"/>
  <c r="O21" i="5"/>
  <c r="G21" i="5"/>
  <c r="AL1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B68" i="5" s="1"/>
  <c r="F67" i="5"/>
  <c r="H67" i="5"/>
  <c r="P67" i="5"/>
  <c r="Q67" i="5"/>
  <c r="I67" i="5"/>
  <c r="N67" i="5"/>
  <c r="K67" i="5"/>
  <c r="S67" i="5"/>
  <c r="M67" i="5"/>
  <c r="J67" i="5"/>
  <c r="R67" i="5"/>
  <c r="L67" i="5"/>
  <c r="T67" i="5"/>
  <c r="G67" i="5"/>
  <c r="O67" i="5"/>
  <c r="A74" i="2"/>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AK226" i="5" s="1"/>
  <c r="W242" i="5" a="1"/>
  <c r="W242"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AK147" i="5" s="1"/>
  <c r="Y126" i="5" a="1"/>
  <c r="Y126" i="5" s="1"/>
  <c r="W126" i="5" a="1"/>
  <c r="W126" i="5" s="1"/>
  <c r="Y85" i="5" a="1"/>
  <c r="Y85" i="5" s="1"/>
  <c r="W85" i="5" a="1"/>
  <c r="W85" i="5" s="1"/>
  <c r="W249" i="5" a="1"/>
  <c r="W249" i="5" s="1"/>
  <c r="Y249" i="5" a="1"/>
  <c r="Y249" i="5" s="1"/>
  <c r="Y192" i="5" a="1"/>
  <c r="Y192" i="5" s="1"/>
  <c r="W192" i="5" a="1"/>
  <c r="W192" i="5" s="1"/>
  <c r="W141" i="5" a="1"/>
  <c r="W141" i="5" s="1"/>
  <c r="AK141" i="5" s="1"/>
  <c r="Y141" i="5" a="1"/>
  <c r="Y141" i="5" s="1"/>
  <c r="W225" i="5" a="1"/>
  <c r="W225" i="5" s="1"/>
  <c r="Y225" i="5" a="1"/>
  <c r="Y225" i="5" s="1"/>
  <c r="W262" i="5" a="1"/>
  <c r="W262" i="5" s="1"/>
  <c r="Y262" i="5" a="1"/>
  <c r="Y262" i="5" s="1"/>
  <c r="W217" i="5" a="1"/>
  <c r="W217" i="5" s="1"/>
  <c r="AK217" i="5" s="1"/>
  <c r="Y217" i="5" a="1"/>
  <c r="Y217" i="5" s="1"/>
  <c r="W183" i="5" a="1"/>
  <c r="W183" i="5" s="1"/>
  <c r="Y183" i="5" a="1"/>
  <c r="Y183" i="5" s="1"/>
  <c r="Y151" i="5" a="1"/>
  <c r="Y151" i="5" s="1"/>
  <c r="W151" i="5" a="1"/>
  <c r="W151" i="5" s="1"/>
  <c r="W246" i="5" a="1"/>
  <c r="W246" i="5" s="1"/>
  <c r="Y246" i="5" a="1"/>
  <c r="Y246" i="5" s="1"/>
  <c r="W237" i="5" a="1"/>
  <c r="W237" i="5" s="1"/>
  <c r="Y237" i="5" a="1"/>
  <c r="Y237" i="5" s="1"/>
  <c r="W98" i="5" a="1"/>
  <c r="W98" i="5" s="1"/>
  <c r="AK97" i="5" s="1"/>
  <c r="Y98" i="5" a="1"/>
  <c r="Y98" i="5" s="1"/>
  <c r="Y92" i="5" a="1"/>
  <c r="Y92" i="5" s="1"/>
  <c r="W92" i="5" a="1"/>
  <c r="W92" i="5" s="1"/>
  <c r="W223" i="5" a="1"/>
  <c r="W223" i="5" s="1"/>
  <c r="Y223" i="5" a="1"/>
  <c r="Y223" i="5" s="1"/>
  <c r="W233" i="5" a="1"/>
  <c r="W233" i="5" s="1"/>
  <c r="Y233" i="5" a="1"/>
  <c r="Y233" i="5" s="1"/>
  <c r="W79" i="5" a="1"/>
  <c r="W79" i="5" s="1"/>
  <c r="Y79" i="5" a="1"/>
  <c r="Y79" i="5" s="1"/>
  <c r="W186" i="5" a="1"/>
  <c r="W186" i="5" s="1"/>
  <c r="Y186" i="5" a="1"/>
  <c r="Y186" i="5" s="1"/>
  <c r="W87" i="5" a="1"/>
  <c r="W87" i="5" s="1"/>
  <c r="Y87" i="5" a="1"/>
  <c r="Y87" i="5" s="1"/>
  <c r="W119" i="5" a="1"/>
  <c r="W119" i="5" s="1"/>
  <c r="AK118" i="5" s="1"/>
  <c r="Y119" i="5" a="1"/>
  <c r="Y119" i="5" s="1"/>
  <c r="W173" i="5" a="1"/>
  <c r="W173" i="5" s="1"/>
  <c r="Y173" i="5" a="1"/>
  <c r="Y173" i="5" s="1"/>
  <c r="Y109" i="5" a="1"/>
  <c r="Y109" i="5" s="1"/>
  <c r="W109" i="5" a="1"/>
  <c r="W109" i="5" s="1"/>
  <c r="W78" i="5" a="1"/>
  <c r="W78" i="5" s="1"/>
  <c r="Y78" i="5" a="1"/>
  <c r="Y78" i="5" s="1"/>
  <c r="W134" i="5" a="1"/>
  <c r="W134" i="5" s="1"/>
  <c r="AK133" i="5" s="1"/>
  <c r="Y134" i="5" a="1"/>
  <c r="Y134" i="5" s="1"/>
  <c r="Y144" i="5" a="1"/>
  <c r="Y144" i="5" s="1"/>
  <c r="W144" i="5" a="1"/>
  <c r="W144" i="5" s="1"/>
  <c r="AK144" i="5" s="1"/>
  <c r="W155" i="5" a="1"/>
  <c r="W155" i="5" s="1"/>
  <c r="Y155" i="5" a="1"/>
  <c r="Y155" i="5" s="1"/>
  <c r="W76" i="5" a="1"/>
  <c r="W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Y149" i="5" a="1"/>
  <c r="Y149" i="5" s="1"/>
  <c r="W222" i="5" a="1"/>
  <c r="W222" i="5" s="1"/>
  <c r="Y222" i="5" a="1"/>
  <c r="Y222" i="5" s="1"/>
  <c r="Y240" i="5" a="1"/>
  <c r="Y240" i="5" s="1"/>
  <c r="W240" i="5" a="1"/>
  <c r="W240" i="5" s="1"/>
  <c r="Y176" i="5" a="1"/>
  <c r="Y176" i="5" s="1"/>
  <c r="W176" i="5" a="1"/>
  <c r="W176" i="5" s="1"/>
  <c r="AK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X61" i="5"/>
  <c r="X31" i="5"/>
  <c r="X172" i="5"/>
  <c r="X160" i="5"/>
  <c r="X40" i="5"/>
  <c r="X115" i="5"/>
  <c r="X112" i="5"/>
  <c r="X36" i="5"/>
  <c r="X244" i="5"/>
  <c r="X136" i="5"/>
  <c r="X25" i="5"/>
  <c r="X142" i="5"/>
  <c r="X240" i="5"/>
  <c r="X130" i="5"/>
  <c r="X30" i="5"/>
  <c r="X206" i="5"/>
  <c r="X258" i="5"/>
  <c r="X21" i="5"/>
  <c r="X134" i="5"/>
  <c r="X218" i="5"/>
  <c r="X81" i="5"/>
  <c r="X122" i="5"/>
  <c r="AM122" i="5" s="1"/>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X57" i="5"/>
  <c r="X169" i="5"/>
  <c r="X189" i="5"/>
  <c r="X113" i="5"/>
  <c r="X236" i="5"/>
  <c r="X138" i="5"/>
  <c r="AM138" i="5" s="1"/>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X242" i="5"/>
  <c r="X246" i="5"/>
  <c r="X139" i="5"/>
  <c r="X16" i="5"/>
  <c r="X79" i="5"/>
  <c r="X221" i="5"/>
  <c r="X106" i="5"/>
  <c r="X29" i="5"/>
  <c r="X104" i="5"/>
  <c r="X77" i="5"/>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X254" i="5"/>
  <c r="X173" i="5"/>
  <c r="X185" i="5"/>
  <c r="X47" i="5"/>
  <c r="X167" i="5"/>
  <c r="X153" i="5"/>
  <c r="X188" i="5"/>
  <c r="AM188" i="5" s="1"/>
  <c r="X119" i="5"/>
  <c r="X117" i="5"/>
  <c r="X200" i="5"/>
  <c r="X141" i="5"/>
  <c r="X24" i="5"/>
  <c r="X178" i="5"/>
  <c r="X256" i="5"/>
  <c r="X182" i="5"/>
  <c r="X241" i="5"/>
  <c r="X262" i="5"/>
  <c r="X35" i="5"/>
  <c r="X226" i="5"/>
  <c r="X66" i="5"/>
  <c r="X166" i="5"/>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Y165" i="5" a="1"/>
  <c r="Y165" i="5" s="1"/>
  <c r="W137" i="5" a="1"/>
  <c r="W137" i="5" s="1"/>
  <c r="AK137" i="5" s="1"/>
  <c r="Y137" i="5" a="1"/>
  <c r="Y137" i="5" s="1"/>
  <c r="W231" i="5" a="1"/>
  <c r="W231" i="5" s="1"/>
  <c r="Y231" i="5" a="1"/>
  <c r="Y231" i="5" s="1"/>
  <c r="W214" i="5" a="1"/>
  <c r="W214" i="5" s="1"/>
  <c r="Y214" i="5" a="1"/>
  <c r="Y214" i="5" s="1"/>
  <c r="W162" i="5" a="1"/>
  <c r="W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Y238" i="5" a="1"/>
  <c r="Y238" i="5" s="1"/>
  <c r="W139" i="5" a="1"/>
  <c r="W139" i="5" s="1"/>
  <c r="Y139" i="5" a="1"/>
  <c r="Y139" i="5" s="1"/>
  <c r="Y204" i="5" a="1"/>
  <c r="Y204" i="5" s="1"/>
  <c r="W204" i="5" a="1"/>
  <c r="W204" i="5" s="1"/>
  <c r="W179" i="5" a="1"/>
  <c r="W179" i="5" s="1"/>
  <c r="AK178" i="5" s="1"/>
  <c r="Y179" i="5" a="1"/>
  <c r="Y179" i="5" s="1"/>
  <c r="Y131" i="5" a="1"/>
  <c r="Y131" i="5" s="1"/>
  <c r="W131" i="5" a="1"/>
  <c r="W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B14" i="7"/>
  <c r="B15" i="12" s="1"/>
  <c r="B11" i="7"/>
  <c r="B12" i="12" s="1"/>
  <c r="B15" i="7"/>
  <c r="B16" i="12" s="1"/>
  <c r="B8" i="7"/>
  <c r="B9" i="12" s="1"/>
  <c r="B7" i="7"/>
  <c r="F13" i="15" s="1"/>
  <c r="B9" i="7"/>
  <c r="B10" i="12" s="1"/>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L68" i="5"/>
  <c r="AK142" i="5"/>
  <c r="AK82" i="5"/>
  <c r="AK225" i="5"/>
  <c r="AK117" i="5"/>
  <c r="AK177" i="5"/>
  <c r="AK95" i="5"/>
  <c r="AK163" i="5" l="1"/>
  <c r="AM229" i="5"/>
  <c r="AM82" i="5"/>
  <c r="AK165" i="5"/>
  <c r="AM77" i="5"/>
  <c r="AK155" i="5"/>
  <c r="AM166" i="5"/>
  <c r="AK149" i="5"/>
  <c r="AK244" i="5"/>
  <c r="AK124" i="5"/>
  <c r="AK182" i="5"/>
  <c r="AK132" i="5"/>
  <c r="AK188" i="5"/>
  <c r="AK83" i="5"/>
  <c r="AK239" i="5"/>
  <c r="AK76" i="5"/>
  <c r="AK77" i="5"/>
  <c r="AK91" i="5"/>
  <c r="AM127" i="5"/>
  <c r="AM227" i="5"/>
  <c r="AK241" i="5"/>
  <c r="AK127" i="5"/>
  <c r="AK205" i="5"/>
  <c r="AK227" i="5"/>
  <c r="AK150" i="5"/>
  <c r="AK148" i="5"/>
  <c r="AK189" i="5"/>
  <c r="AK175" i="5"/>
  <c r="AM150" i="5"/>
  <c r="AK80" i="5"/>
  <c r="AK86" i="5"/>
  <c r="AK223" i="5"/>
  <c r="AK245" i="5"/>
  <c r="AK261" i="5"/>
  <c r="AK112" i="5"/>
  <c r="AK96" i="5"/>
  <c r="AK134" i="5"/>
  <c r="AK162" i="5"/>
  <c r="AM182" i="5"/>
  <c r="AK85" i="5"/>
  <c r="AK131" i="5"/>
  <c r="AK237" i="5"/>
  <c r="AM118" i="5"/>
  <c r="AK209" i="5"/>
  <c r="AK192" i="5"/>
  <c r="AK104" i="5"/>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K232" i="5"/>
  <c r="AM253" i="5"/>
  <c r="AK153" i="5"/>
  <c r="AK152" i="5"/>
  <c r="AK198" i="5"/>
  <c r="AK181" i="5"/>
  <c r="AK179" i="5"/>
  <c r="AM243" i="5"/>
  <c r="AK125" i="5"/>
  <c r="AK115" i="5"/>
  <c r="AK122" i="5"/>
  <c r="AK206" i="5"/>
  <c r="AK199" i="5"/>
  <c r="AK254" i="5"/>
  <c r="AK93" i="5"/>
  <c r="AK247" i="5"/>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K166" i="5"/>
  <c r="AK201" i="5"/>
  <c r="AK94" i="5"/>
  <c r="AM248" i="5"/>
  <c r="AM254" i="5"/>
  <c r="AK207" i="5"/>
  <c r="AK248" i="5"/>
  <c r="AK259" i="5"/>
  <c r="AK100" i="5"/>
  <c r="AM131" i="5"/>
  <c r="AM158" i="5"/>
  <c r="AK99" i="5"/>
  <c r="AK256" i="5"/>
  <c r="AK168" i="5"/>
  <c r="AK231" i="5"/>
  <c r="AK139" i="5"/>
  <c r="AK161" i="5"/>
  <c r="AK109" i="5"/>
  <c r="AK110" i="5"/>
  <c r="AK229" i="5"/>
  <c r="AK81" i="5"/>
  <c r="AK196" i="5"/>
  <c r="AK121" i="5"/>
  <c r="AK215" i="5"/>
  <c r="AK143" i="5"/>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M140" i="5"/>
  <c r="AM113" i="5"/>
  <c r="AM93" i="5"/>
  <c r="AM27" i="5"/>
  <c r="AM107" i="5"/>
  <c r="AM114" i="5"/>
  <c r="AM128" i="5"/>
  <c r="AM126" i="5"/>
  <c r="AM144" i="5"/>
  <c r="AM60"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M79" i="5"/>
  <c r="AM260" i="5"/>
  <c r="AM103" i="5"/>
  <c r="AM9" i="5"/>
  <c r="AM99" i="5"/>
  <c r="AM175" i="5"/>
  <c r="AM130" i="5"/>
  <c r="AM71" i="5"/>
  <c r="AM147" i="5"/>
  <c r="AM133" i="5"/>
  <c r="AM187" i="5"/>
  <c r="AM136" i="5"/>
  <c r="AM196" i="5"/>
  <c r="AM226" i="5"/>
  <c r="AM6" i="5"/>
  <c r="AM111" i="5"/>
  <c r="AM132" i="5"/>
  <c r="AM255" i="5"/>
  <c r="AM192" i="5"/>
  <c r="AM76" i="5"/>
  <c r="AM189" i="5"/>
  <c r="AM228" i="5"/>
  <c r="AM142" i="5"/>
  <c r="AM88" i="5"/>
  <c r="AM221" i="5"/>
  <c r="AM174" i="5"/>
  <c r="AM163" i="5"/>
  <c r="AM262"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M168" i="5"/>
  <c r="AM134" i="5"/>
  <c r="AM141" i="5"/>
  <c r="AM235" i="5"/>
  <c r="AM251" i="5"/>
  <c r="AM242" i="5"/>
  <c r="AM176" i="5"/>
  <c r="AM155" i="5"/>
  <c r="AM121" i="5"/>
  <c r="AM137" i="5"/>
  <c r="AM47" i="5"/>
  <c r="AM116" i="5"/>
  <c r="AM241" i="5"/>
  <c r="AM84" i="5"/>
  <c r="AM215" i="5"/>
  <c r="AM69" i="5"/>
  <c r="AM39" i="5"/>
  <c r="AM194" i="5"/>
  <c r="AM49" i="5"/>
  <c r="AM54" i="5"/>
  <c r="AM44" i="5"/>
  <c r="AM87" i="5"/>
  <c r="AM171" i="5"/>
  <c r="AM19" i="5"/>
  <c r="AM230" i="5"/>
  <c r="AM78" i="5"/>
  <c r="AM157" i="5"/>
  <c r="AM160" i="5"/>
  <c r="AM256" i="5"/>
  <c r="AM172" i="5"/>
  <c r="AM205" i="5"/>
  <c r="AM149" i="5"/>
  <c r="AM123" i="5"/>
  <c r="AM112" i="5"/>
  <c r="AM90" i="5"/>
  <c r="AM164" i="5"/>
  <c r="AM186"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M179" i="5"/>
  <c r="AM191" i="5"/>
  <c r="AM185" i="5"/>
  <c r="AM257" i="5"/>
  <c r="AM159" i="5"/>
  <c r="AM108" i="5"/>
  <c r="AM219" i="5"/>
  <c r="AL174" i="5" l="1"/>
  <c r="AL211" i="5"/>
  <c r="AL93" i="5"/>
  <c r="AL94" i="5"/>
  <c r="AL186" i="5"/>
  <c r="AL92" i="5"/>
  <c r="AL117" i="5"/>
  <c r="AL262" i="5"/>
  <c r="AL115" i="5"/>
  <c r="AL176" i="5"/>
  <c r="AL187" i="5"/>
  <c r="AL178" i="5"/>
  <c r="AL188" i="5"/>
  <c r="AL177" i="5"/>
  <c r="AN262" i="5"/>
  <c r="BF56" i="7"/>
  <c r="AL184" i="5"/>
  <c r="AL91" i="5"/>
  <c r="AL82" i="5"/>
  <c r="AL237" i="5"/>
  <c r="AL108" i="5"/>
  <c r="AL234" i="5"/>
  <c r="AL90" i="5"/>
  <c r="AL88" i="5"/>
  <c r="AL107" i="5"/>
  <c r="AL83" i="5"/>
  <c r="AL222" i="5"/>
  <c r="AL106" i="5"/>
  <c r="AL261" i="5"/>
  <c r="AL84" i="5"/>
  <c r="AL85" i="5"/>
  <c r="AL87" i="5"/>
  <c r="AL86" i="5"/>
  <c r="AL190" i="5"/>
  <c r="AL239" i="5"/>
  <c r="AL260" i="5"/>
  <c r="AL89" i="5"/>
  <c r="AL189" i="5"/>
  <c r="AL140" i="5"/>
  <c r="AL247" i="5"/>
  <c r="AL221" i="5"/>
  <c r="AL235" i="5"/>
  <c r="AL208" i="5"/>
  <c r="AL175" i="5"/>
  <c r="AL192" i="5"/>
  <c r="AL223" i="5"/>
  <c r="AL144" i="5"/>
  <c r="AL238" i="5"/>
  <c r="AL248" i="5"/>
  <c r="AL236" i="5"/>
  <c r="AL206" i="5"/>
  <c r="AL100" i="5"/>
  <c r="AL152" i="5"/>
  <c r="AL199" i="5"/>
  <c r="AL127" i="5"/>
  <c r="AL203" i="5"/>
  <c r="AL113" i="5"/>
  <c r="AL233" i="5"/>
  <c r="AL209" i="5"/>
  <c r="AL191" i="5"/>
  <c r="AL110" i="5"/>
  <c r="AL193" i="5"/>
  <c r="AL103" i="5"/>
  <c r="AL114" i="5"/>
  <c r="AL207" i="5"/>
  <c r="AL129" i="5"/>
  <c r="AL102" i="5"/>
  <c r="AL201" i="5"/>
  <c r="AL112" i="5"/>
  <c r="AL245" i="5"/>
  <c r="AL147" i="5"/>
  <c r="AL101" i="5"/>
  <c r="AL200" i="5"/>
  <c r="AL202" i="5"/>
  <c r="AL146" i="5"/>
  <c r="AL105" i="5"/>
  <c r="AL104" i="5"/>
  <c r="AL242" i="5"/>
  <c r="AL241" i="5"/>
  <c r="AL128" i="5"/>
  <c r="AL240" i="5"/>
  <c r="AL109" i="5"/>
  <c r="AL243" i="5"/>
  <c r="AL111" i="5"/>
  <c r="AL125" i="5"/>
  <c r="AL126" i="5"/>
  <c r="AL145" i="5"/>
  <c r="AL130" i="5"/>
  <c r="AL230" i="5"/>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R12" i="7"/>
  <c r="BR50" i="7"/>
  <c r="BL6" i="7"/>
  <c r="CP7" i="7"/>
  <c r="BU52" i="7"/>
  <c r="AZ37" i="7"/>
  <c r="BF52" i="7"/>
  <c r="BF44" i="7"/>
  <c r="BL14" i="7"/>
  <c r="AB25" i="7"/>
  <c r="CD37" i="7"/>
  <c r="I6" i="13"/>
  <c r="AQ17" i="7"/>
  <c r="C12" i="12"/>
  <c r="BU40" i="7"/>
  <c r="C17" i="12"/>
  <c r="I8" i="15"/>
  <c r="O3" i="7" s="1"/>
  <c r="O48" i="7" s="1"/>
  <c r="C7" i="12"/>
  <c r="I13" i="15"/>
  <c r="U3" i="7" s="1"/>
  <c r="U32" i="7" s="1"/>
  <c r="C8" i="12"/>
  <c r="AT53" i="7"/>
  <c r="A4" i="20"/>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H54" i="13"/>
  <c r="AH53" i="13"/>
  <c r="AH52" i="13"/>
  <c r="AH51" i="13"/>
  <c r="AH50" i="13"/>
  <c r="AH49" i="13"/>
  <c r="AH48" i="13"/>
  <c r="AH47" i="13"/>
  <c r="AH46" i="13"/>
  <c r="AH45" i="13"/>
  <c r="AH44" i="13"/>
  <c r="AH43" i="13"/>
  <c r="AH42" i="13"/>
  <c r="AH41" i="13"/>
  <c r="AH40" i="13"/>
  <c r="AH39" i="13"/>
  <c r="AH38" i="13"/>
  <c r="AH37" i="13"/>
  <c r="AH36" i="13"/>
  <c r="AH35" i="13"/>
  <c r="AH34" i="13"/>
  <c r="AH33" i="13"/>
  <c r="AH32" i="13"/>
  <c r="AH31" i="13"/>
  <c r="AH30" i="13"/>
  <c r="AH29" i="13"/>
  <c r="AH28" i="13"/>
  <c r="AH27" i="13"/>
  <c r="AH26" i="13"/>
  <c r="AH25" i="13"/>
  <c r="AH24" i="13"/>
  <c r="AH23" i="13"/>
  <c r="AH22" i="13"/>
  <c r="AH21" i="13"/>
  <c r="AH20" i="13"/>
  <c r="AH19" i="13"/>
  <c r="AH18" i="13"/>
  <c r="AH17" i="13"/>
  <c r="AH16" i="13"/>
  <c r="AH15" i="13"/>
  <c r="AH14" i="13"/>
  <c r="AH13" i="13"/>
  <c r="AH12" i="13"/>
  <c r="AH11" i="13"/>
  <c r="AH10" i="13"/>
  <c r="AH9" i="13"/>
  <c r="AH8" i="13"/>
  <c r="AH7" i="13"/>
  <c r="AH6" i="13"/>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BX40" i="13"/>
  <c r="BZ23" i="13"/>
  <c r="BZ22" i="13"/>
  <c r="BZ21" i="13"/>
  <c r="BZ20" i="13"/>
  <c r="BZ19" i="13"/>
  <c r="BZ18" i="13"/>
  <c r="BZ17" i="13"/>
  <c r="BZ16" i="13"/>
  <c r="BZ15" i="13"/>
  <c r="BZ14" i="13"/>
  <c r="BZ13" i="13"/>
  <c r="BZ12" i="13"/>
  <c r="BZ11" i="13"/>
  <c r="BZ10" i="13"/>
  <c r="BZ9" i="13"/>
  <c r="BZ8" i="13"/>
  <c r="BZ7" i="13"/>
  <c r="BZ6" i="13"/>
  <c r="BZ5" i="13"/>
  <c r="BX47" i="13"/>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AZ55" i="13"/>
  <c r="AZ54" i="13"/>
  <c r="AZ53" i="13"/>
  <c r="AZ52" i="13"/>
  <c r="AZ51" i="13"/>
  <c r="AZ50" i="13"/>
  <c r="AZ49" i="13"/>
  <c r="AZ48" i="13"/>
  <c r="AZ47" i="13"/>
  <c r="AZ46" i="13"/>
  <c r="AZ45" i="13"/>
  <c r="AZ44" i="13"/>
  <c r="AZ43" i="13"/>
  <c r="AZ42" i="13"/>
  <c r="AZ41" i="13"/>
  <c r="AZ40" i="13"/>
  <c r="AZ39" i="13"/>
  <c r="AZ38" i="13"/>
  <c r="AZ37" i="13"/>
  <c r="AZ36" i="13"/>
  <c r="AZ35" i="13"/>
  <c r="AZ34" i="13"/>
  <c r="AZ33" i="13"/>
  <c r="AZ32" i="13"/>
  <c r="AZ31" i="13"/>
  <c r="AZ30" i="13"/>
  <c r="AZ29" i="13"/>
  <c r="AZ28" i="13"/>
  <c r="AZ27" i="13"/>
  <c r="AZ26" i="13"/>
  <c r="AZ25" i="13"/>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T26" i="13"/>
  <c r="AT56" i="13"/>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AH73" i="5" l="1"/>
  <c r="AH4" i="5"/>
  <c r="BD27" i="13"/>
  <c r="AR27" i="13"/>
  <c r="AR51" i="13"/>
  <c r="BD42" i="13"/>
  <c r="BD50" i="13"/>
  <c r="AR10" i="13"/>
  <c r="AR18" i="13"/>
  <c r="AR26" i="13"/>
  <c r="AR34" i="13"/>
  <c r="AR42" i="13"/>
  <c r="AR50" i="13"/>
  <c r="CB50" i="13"/>
  <c r="AL34" i="13"/>
  <c r="AL42" i="13"/>
  <c r="AL50" i="13"/>
  <c r="BD29" i="13"/>
  <c r="BD37" i="13"/>
  <c r="BD53" i="13"/>
  <c r="AR13" i="13"/>
  <c r="AR21" i="13"/>
  <c r="AR29" i="13"/>
  <c r="AR37" i="13"/>
  <c r="AR45" i="13"/>
  <c r="AL13" i="13"/>
  <c r="AL21" i="13"/>
  <c r="AL29" i="13"/>
  <c r="AL37" i="13"/>
  <c r="AL45" i="13"/>
  <c r="AR12" i="13"/>
  <c r="AR20" i="13"/>
  <c r="AR28" i="13"/>
  <c r="AR36" i="13"/>
  <c r="AR44" i="13"/>
  <c r="CB44" i="13"/>
  <c r="AL12" i="13"/>
  <c r="AL20" i="13"/>
  <c r="AL28" i="13"/>
  <c r="AL36" i="13"/>
  <c r="BD47" i="13"/>
  <c r="BD55" i="13"/>
  <c r="AR7" i="13"/>
  <c r="AR15" i="13"/>
  <c r="AR31" i="13"/>
  <c r="AR39" i="13"/>
  <c r="AR47" i="13"/>
  <c r="CB47" i="13"/>
  <c r="AL7" i="13"/>
  <c r="AL15" i="13"/>
  <c r="AL23" i="13"/>
  <c r="AL31" i="13"/>
  <c r="AL39" i="13"/>
  <c r="AL47" i="13"/>
  <c r="AL55" i="13"/>
  <c r="AL11" i="13"/>
  <c r="AL19" i="13"/>
  <c r="AL27" i="13"/>
  <c r="AL35" i="13"/>
  <c r="AL51" i="13"/>
  <c r="AX56" i="13"/>
  <c r="BD30" i="13"/>
  <c r="BD38" i="13"/>
  <c r="BD46" i="13"/>
  <c r="AR22" i="13"/>
  <c r="AR38" i="13"/>
  <c r="AR46" i="13"/>
  <c r="AR54" i="13"/>
  <c r="CH10" i="13"/>
  <c r="AL6" i="13"/>
  <c r="AL14" i="13"/>
  <c r="AL30" i="13"/>
  <c r="AL38" i="13"/>
  <c r="AL46" i="13"/>
  <c r="AL54" i="13"/>
  <c r="AX34" i="13"/>
  <c r="BD32" i="13"/>
  <c r="BD56" i="13"/>
  <c r="AR8" i="13"/>
  <c r="AR16" i="13"/>
  <c r="AR24" i="13"/>
  <c r="AR32" i="13"/>
  <c r="AR40" i="13"/>
  <c r="AR48" i="13"/>
  <c r="AL8" i="13"/>
  <c r="AL16" i="13"/>
  <c r="AL24" i="13"/>
  <c r="AL32" i="13"/>
  <c r="AL48" i="13"/>
  <c r="BD25" i="13"/>
  <c r="BD41" i="13"/>
  <c r="AR17" i="13"/>
  <c r="AR25" i="13"/>
  <c r="AR33" i="13"/>
  <c r="AR41" i="13"/>
  <c r="AL9" i="13"/>
  <c r="AL25" i="13"/>
  <c r="AL33" i="13"/>
  <c r="AL49" i="13"/>
  <c r="AH55" i="5"/>
  <c r="AL70" i="5"/>
  <c r="AL72" i="5"/>
  <c r="AL73" i="5"/>
  <c r="AL74" i="5"/>
  <c r="BY16" i="7"/>
  <c r="AH26" i="5"/>
  <c r="O56" i="7"/>
  <c r="AH187" i="5"/>
  <c r="A280" i="21" a="1"/>
  <c r="A280" i="21" s="1"/>
  <c r="A365" i="21" a="1"/>
  <c r="A365" i="21" s="1"/>
  <c r="C237" i="21" a="1"/>
  <c r="C237" i="21" s="1"/>
  <c r="C255" i="21" a="1"/>
  <c r="C255" i="21" s="1"/>
  <c r="I138" i="11" a="1"/>
  <c r="I138" i="11" s="1"/>
  <c r="C219" i="21" a="1"/>
  <c r="C219" i="21" s="1"/>
  <c r="A15" i="21"/>
  <c r="D119" i="21" s="1" a="1"/>
  <c r="D119" i="21" s="1"/>
  <c r="A151" i="21"/>
  <c r="C119" i="21" a="1"/>
  <c r="C119" i="21" s="1"/>
  <c r="I35" i="11" a="1"/>
  <c r="I35" i="11" s="1"/>
  <c r="ZL6" i="22" s="1"/>
  <c r="ZM3" i="23" s="1"/>
  <c r="E8" i="7"/>
  <c r="E9" i="7" s="1"/>
  <c r="I7" i="13"/>
  <c r="C83" i="21" a="1"/>
  <c r="C83" i="21" s="1"/>
  <c r="C101" i="21" a="1"/>
  <c r="C101" i="21" s="1"/>
  <c r="C116" i="21" s="1"/>
  <c r="A5" i="2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Q19" i="7" s="1"/>
  <c r="O13" i="7"/>
  <c r="Q13" i="7" s="1"/>
  <c r="O25" i="7"/>
  <c r="Q25" i="7" s="1"/>
  <c r="O17" i="7"/>
  <c r="Q17" i="7" s="1"/>
  <c r="O43" i="7"/>
  <c r="O26" i="7"/>
  <c r="Q26" i="7" s="1"/>
  <c r="O28" i="7"/>
  <c r="Q28" i="7" s="1"/>
  <c r="O55" i="7"/>
  <c r="Q55" i="7" s="1"/>
  <c r="O12" i="7"/>
  <c r="Q12" i="7" s="1"/>
  <c r="O24" i="7"/>
  <c r="Q24" i="7" s="1"/>
  <c r="O49" i="7"/>
  <c r="Q49" i="7" s="1"/>
  <c r="BY19" i="7"/>
  <c r="O6" i="7"/>
  <c r="O47" i="7"/>
  <c r="Q47" i="7" s="1"/>
  <c r="O42" i="7"/>
  <c r="Q42" i="7" s="1"/>
  <c r="O34" i="7"/>
  <c r="Q34" i="7" s="1"/>
  <c r="O32" i="7"/>
  <c r="Q32" i="7" s="1"/>
  <c r="BY52" i="7"/>
  <c r="AU17" i="7"/>
  <c r="N59" i="7"/>
  <c r="BY26" i="7"/>
  <c r="AL43" i="13"/>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AU34" i="7"/>
  <c r="AC54" i="7"/>
  <c r="BM48" i="7"/>
  <c r="CK35" i="7"/>
  <c r="BM9" i="7"/>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K37" i="13"/>
  <c r="CK34" i="13"/>
  <c r="CK32" i="13"/>
  <c r="CK30" i="13"/>
  <c r="CK28" i="13"/>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K40" i="13"/>
  <c r="CK36" i="13"/>
  <c r="CK24" i="13"/>
  <c r="CK54" i="13"/>
  <c r="CK46" i="13"/>
  <c r="CK38" i="13"/>
  <c r="CM24" i="13"/>
  <c r="CK51" i="13"/>
  <c r="CK43" i="13"/>
  <c r="CK35" i="13"/>
  <c r="CK31" i="13"/>
  <c r="CK27" i="13"/>
  <c r="CM23" i="13"/>
  <c r="CM21" i="13"/>
  <c r="CM19" i="13"/>
  <c r="CM17" i="13"/>
  <c r="CM15" i="13"/>
  <c r="CM13" i="13"/>
  <c r="CM11" i="13"/>
  <c r="CM9" i="13"/>
  <c r="CM7" i="13"/>
  <c r="CM5" i="13"/>
  <c r="CK50" i="13"/>
  <c r="CK42" i="13"/>
  <c r="CK47" i="13"/>
  <c r="CO47" i="13" s="1"/>
  <c r="CK25" i="13"/>
  <c r="CM16" i="13"/>
  <c r="CM8" i="13"/>
  <c r="CK39" i="13"/>
  <c r="CM22" i="13"/>
  <c r="CM14" i="13"/>
  <c r="CM6" i="13"/>
  <c r="CK33" i="13"/>
  <c r="CM20" i="13"/>
  <c r="CM12" i="13"/>
  <c r="CM18" i="13"/>
  <c r="CM10" i="13"/>
  <c r="CK55" i="13"/>
  <c r="CK29" i="13"/>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C30" i="13"/>
  <c r="AC26" i="13"/>
  <c r="AC22" i="13"/>
  <c r="AC18" i="13"/>
  <c r="AG18" i="13" s="1"/>
  <c r="AC14" i="13"/>
  <c r="AC10" i="13"/>
  <c r="AC6" i="13"/>
  <c r="AC12" i="13"/>
  <c r="AE55" i="13"/>
  <c r="AC47" i="13"/>
  <c r="AC39" i="13"/>
  <c r="AC27" i="13"/>
  <c r="AC23" i="13"/>
  <c r="AC15" i="13"/>
  <c r="AC7" i="13"/>
  <c r="AG7" i="13" s="1"/>
  <c r="AC53" i="13"/>
  <c r="AC49" i="13"/>
  <c r="AC45" i="13"/>
  <c r="AC41" i="13"/>
  <c r="AC37" i="13"/>
  <c r="AC33" i="13"/>
  <c r="AG33" i="13" s="1"/>
  <c r="AC29" i="13"/>
  <c r="AC25" i="13"/>
  <c r="AC21" i="13"/>
  <c r="AC17" i="13"/>
  <c r="AC13" i="13"/>
  <c r="AC9" i="13"/>
  <c r="AC5" i="13"/>
  <c r="AC52" i="13"/>
  <c r="AC48" i="13"/>
  <c r="AC44" i="13"/>
  <c r="AC40" i="13"/>
  <c r="AC36" i="13"/>
  <c r="AC32" i="13"/>
  <c r="AC28" i="13"/>
  <c r="AC24" i="13"/>
  <c r="AC20" i="13"/>
  <c r="AC16" i="13"/>
  <c r="AG16" i="13" s="1"/>
  <c r="AC8" i="13"/>
  <c r="AC51" i="13"/>
  <c r="AC43" i="13"/>
  <c r="AC35" i="13"/>
  <c r="AC31" i="13"/>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Q21" i="13"/>
  <c r="CQ17" i="13"/>
  <c r="CQ13" i="13"/>
  <c r="CQ9" i="13"/>
  <c r="CU9" i="13" s="1"/>
  <c r="CQ5" i="13"/>
  <c r="CQ56" i="13"/>
  <c r="CQ52" i="13"/>
  <c r="CQ48" i="13"/>
  <c r="CQ44" i="13"/>
  <c r="CU44" i="13" s="1"/>
  <c r="CQ40" i="13"/>
  <c r="CQ36" i="13"/>
  <c r="CQ32" i="13"/>
  <c r="CQ28" i="13"/>
  <c r="CQ24" i="13"/>
  <c r="CQ20" i="13"/>
  <c r="CQ16" i="13"/>
  <c r="CQ12" i="13"/>
  <c r="CU12" i="13" s="1"/>
  <c r="CQ8" i="13"/>
  <c r="CQ50" i="13"/>
  <c r="CU50" i="13" s="1"/>
  <c r="CQ42" i="13"/>
  <c r="CQ34" i="13"/>
  <c r="CQ26" i="13"/>
  <c r="CQ18" i="13"/>
  <c r="CQ10" i="13"/>
  <c r="CQ55" i="13"/>
  <c r="CQ47" i="13"/>
  <c r="CQ39" i="13"/>
  <c r="CQ31" i="13"/>
  <c r="CQ23" i="13"/>
  <c r="CQ15" i="13"/>
  <c r="CU15" i="13" s="1"/>
  <c r="CQ7" i="13"/>
  <c r="CQ54" i="13"/>
  <c r="CQ46" i="13"/>
  <c r="CQ38" i="13"/>
  <c r="CQ30" i="13"/>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S24" i="13"/>
  <c r="BS20" i="13"/>
  <c r="BS16" i="13"/>
  <c r="BS12" i="13"/>
  <c r="BS8" i="13"/>
  <c r="BS55" i="13"/>
  <c r="BS51" i="13"/>
  <c r="BS47" i="13"/>
  <c r="BS43" i="13"/>
  <c r="BS39" i="13"/>
  <c r="BS35" i="13"/>
  <c r="BS31" i="13"/>
  <c r="BS27" i="13"/>
  <c r="BW27" i="13" s="1"/>
  <c r="BS23" i="13"/>
  <c r="BS19" i="13"/>
  <c r="BS15" i="13"/>
  <c r="BS11" i="13"/>
  <c r="BS7" i="13"/>
  <c r="BS54" i="13"/>
  <c r="BS50" i="13"/>
  <c r="BS46" i="13"/>
  <c r="BS42" i="13"/>
  <c r="BW42" i="13" s="1"/>
  <c r="BS38" i="13"/>
  <c r="BS34" i="13"/>
  <c r="BS30" i="13"/>
  <c r="BS26" i="13"/>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M36" i="13"/>
  <c r="BM32" i="13"/>
  <c r="BM28" i="13"/>
  <c r="BM24" i="13"/>
  <c r="BM20" i="13"/>
  <c r="BO16" i="13"/>
  <c r="BO14" i="13"/>
  <c r="BO12" i="13"/>
  <c r="BO10" i="13"/>
  <c r="BO8" i="13"/>
  <c r="BO6" i="13"/>
  <c r="BM55" i="13"/>
  <c r="BM51" i="13"/>
  <c r="BM47" i="13"/>
  <c r="BM43" i="13"/>
  <c r="BM39" i="13"/>
  <c r="BM35" i="13"/>
  <c r="BM31" i="13"/>
  <c r="BM27" i="13"/>
  <c r="BM23" i="13"/>
  <c r="BM19" i="13"/>
  <c r="BM16" i="13"/>
  <c r="BM14" i="13"/>
  <c r="BQ14" i="13" s="1"/>
  <c r="BM12" i="13"/>
  <c r="BM10" i="13"/>
  <c r="BQ10" i="13" s="1"/>
  <c r="BM8" i="13"/>
  <c r="BM6" i="13"/>
  <c r="BM54" i="13"/>
  <c r="BM50" i="13"/>
  <c r="BM46" i="13"/>
  <c r="BM42" i="13"/>
  <c r="BM38" i="13"/>
  <c r="BM34" i="13"/>
  <c r="BM30" i="13"/>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BY55" i="13"/>
  <c r="BY54" i="13"/>
  <c r="BY53" i="13"/>
  <c r="BY52" i="13"/>
  <c r="BY51" i="13"/>
  <c r="BY50" i="13"/>
  <c r="BY49" i="13"/>
  <c r="BY48" i="13"/>
  <c r="BY47" i="13"/>
  <c r="BY46" i="13"/>
  <c r="BY45" i="13"/>
  <c r="BY44" i="13"/>
  <c r="BY43" i="13"/>
  <c r="BY42" i="13"/>
  <c r="BY41" i="13"/>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BY24" i="13"/>
  <c r="BY20" i="13"/>
  <c r="BY16" i="13"/>
  <c r="BY12" i="13"/>
  <c r="BY8" i="13"/>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I40" i="13"/>
  <c r="BG39" i="13"/>
  <c r="BI36" i="13"/>
  <c r="BG35" i="13"/>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AO16" i="7"/>
  <c r="AO7" i="7"/>
  <c r="BF59" i="7"/>
  <c r="F71" i="7" s="1" a="1"/>
  <c r="F71" i="7" s="1"/>
  <c r="AK59" i="7"/>
  <c r="AO51" i="7"/>
  <c r="AO45" i="7"/>
  <c r="AO53" i="7"/>
  <c r="AO13" i="7"/>
  <c r="AO23" i="7"/>
  <c r="AO44" i="7"/>
  <c r="AO38" i="7"/>
  <c r="AO26" i="7"/>
  <c r="AO14" i="7"/>
  <c r="AO2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BQ46" i="13" l="1"/>
  <c r="AG31" i="13"/>
  <c r="AG39" i="13"/>
  <c r="CO39" i="13"/>
  <c r="CC8" i="13"/>
  <c r="CC55" i="13"/>
  <c r="BQ30" i="13"/>
  <c r="BK35" i="13"/>
  <c r="CC46" i="13"/>
  <c r="CU30" i="13"/>
  <c r="CO38" i="13"/>
  <c r="CC5" i="13"/>
  <c r="CC44" i="13"/>
  <c r="CC52" i="13"/>
  <c r="BQ19" i="13"/>
  <c r="BQ51" i="13"/>
  <c r="BW11" i="13"/>
  <c r="BW43" i="13"/>
  <c r="CU28" i="13"/>
  <c r="CO44" i="13"/>
  <c r="AG32" i="13"/>
  <c r="CC45" i="13"/>
  <c r="CC53" i="13"/>
  <c r="BW28" i="13"/>
  <c r="CO29" i="13"/>
  <c r="BK39" i="13"/>
  <c r="CC48" i="13"/>
  <c r="CC56" i="13"/>
  <c r="CC41" i="13"/>
  <c r="CC49" i="13"/>
  <c r="BQ40" i="13"/>
  <c r="CU25" i="13"/>
  <c r="AG17" i="13"/>
  <c r="CO41" i="13"/>
  <c r="BK43" i="13"/>
  <c r="CC42" i="13"/>
  <c r="CC50" i="13"/>
  <c r="CU18" i="13"/>
  <c r="AG34" i="13"/>
  <c r="CC43" i="13"/>
  <c r="BW26" i="13"/>
  <c r="CO43" i="13"/>
  <c r="CO28" i="13"/>
  <c r="C238" i="21"/>
  <c r="C242" i="21"/>
  <c r="C241" i="21"/>
  <c r="C240" i="21"/>
  <c r="C244" i="21"/>
  <c r="C239" i="21"/>
  <c r="C247" i="21"/>
  <c r="C246" i="21"/>
  <c r="C245" i="21"/>
  <c r="C249" i="21"/>
  <c r="C243" i="21"/>
  <c r="C248" i="21"/>
  <c r="C252" i="21"/>
  <c r="C251" i="21"/>
  <c r="C250" i="21"/>
  <c r="C222" i="21"/>
  <c r="C226" i="21"/>
  <c r="C220" i="21"/>
  <c r="C224" i="21"/>
  <c r="C221" i="21"/>
  <c r="C229" i="21"/>
  <c r="C233" i="21"/>
  <c r="C223" i="21"/>
  <c r="C228" i="21"/>
  <c r="C225" i="21"/>
  <c r="C230" i="21"/>
  <c r="C232" i="21"/>
  <c r="C227" i="21"/>
  <c r="C231" i="21"/>
  <c r="C234" i="21"/>
  <c r="C102" i="21"/>
  <c r="C103" i="21"/>
  <c r="C104" i="21"/>
  <c r="C105" i="21"/>
  <c r="C106" i="21"/>
  <c r="C107" i="21"/>
  <c r="C108" i="21"/>
  <c r="C110" i="21"/>
  <c r="C111" i="21"/>
  <c r="C112" i="21"/>
  <c r="C113" i="21"/>
  <c r="C109" i="21"/>
  <c r="C114" i="21"/>
  <c r="C115" i="21"/>
  <c r="A281" i="21" a="1"/>
  <c r="A281" i="21" s="1"/>
  <c r="A366" i="21" a="1"/>
  <c r="A366" i="21" s="1"/>
  <c r="D237" i="21" a="1"/>
  <c r="D237" i="21" s="1"/>
  <c r="D255" i="21" a="1"/>
  <c r="D255" i="21" s="1"/>
  <c r="I8" i="13"/>
  <c r="A6" i="20"/>
  <c r="J138" i="11" a="1"/>
  <c r="J138" i="11" s="1"/>
  <c r="D219" i="21" a="1"/>
  <c r="D219" i="21" s="1"/>
  <c r="D101" i="21" a="1"/>
  <c r="D101" i="21" s="1"/>
  <c r="D116" i="21" s="1"/>
  <c r="D83" i="21" a="1"/>
  <c r="D83" i="21" s="1"/>
  <c r="J35" i="11" a="1"/>
  <c r="J35" i="11" s="1"/>
  <c r="ZM6" i="22" s="1"/>
  <c r="ZN3" i="23" s="1"/>
  <c r="A16" i="21"/>
  <c r="A152" i="21"/>
  <c r="A17" i="21"/>
  <c r="A153" i="21"/>
  <c r="J33" i="8"/>
  <c r="F33" i="8"/>
  <c r="P33" i="8"/>
  <c r="D33" i="8"/>
  <c r="C33" i="8"/>
  <c r="O33" i="8"/>
  <c r="I33" i="8"/>
  <c r="G33" i="8"/>
  <c r="N33" i="8"/>
  <c r="K33" i="8"/>
  <c r="L33" i="8"/>
  <c r="H33" i="8"/>
  <c r="E33" i="8"/>
  <c r="AJ230" i="5"/>
  <c r="U59" i="7"/>
  <c r="AJ159" i="5"/>
  <c r="AJ160" i="5"/>
  <c r="O59" i="7"/>
  <c r="CC51" i="13"/>
  <c r="CT37" i="7"/>
  <c r="CV37" i="7" s="1"/>
  <c r="J37" i="7"/>
  <c r="I9" i="13"/>
  <c r="E10" i="7"/>
  <c r="A7" i="20"/>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268" i="21" l="1"/>
  <c r="C257" i="21"/>
  <c r="D239" i="21"/>
  <c r="D243" i="21"/>
  <c r="D238" i="21"/>
  <c r="D242" i="21"/>
  <c r="D241" i="21"/>
  <c r="D244" i="21"/>
  <c r="D248" i="21"/>
  <c r="D240" i="21"/>
  <c r="D247" i="21"/>
  <c r="D246" i="21"/>
  <c r="D245" i="21"/>
  <c r="D249" i="21"/>
  <c r="D252" i="21"/>
  <c r="D251" i="21"/>
  <c r="D250" i="21"/>
  <c r="D223" i="21"/>
  <c r="D220" i="21"/>
  <c r="D222" i="21"/>
  <c r="D224" i="21"/>
  <c r="D226" i="21"/>
  <c r="D230" i="21"/>
  <c r="D234" i="21"/>
  <c r="D231" i="21"/>
  <c r="D221" i="21"/>
  <c r="D228" i="21"/>
  <c r="D225" i="21"/>
  <c r="D232" i="21"/>
  <c r="D229" i="21"/>
  <c r="D227" i="21"/>
  <c r="D233" i="21"/>
  <c r="D102" i="21"/>
  <c r="D103" i="21"/>
  <c r="D104" i="21"/>
  <c r="D105" i="21"/>
  <c r="D106" i="21"/>
  <c r="D107" i="21"/>
  <c r="D108" i="21"/>
  <c r="D109" i="21"/>
  <c r="D110" i="21"/>
  <c r="D111" i="21"/>
  <c r="D112" i="21"/>
  <c r="D113" i="21"/>
  <c r="D114" i="21"/>
  <c r="D115" i="21"/>
  <c r="C256" i="21"/>
  <c r="C261" i="21"/>
  <c r="A283" i="21" a="1"/>
  <c r="A283" i="21" s="1"/>
  <c r="A368" i="21" a="1"/>
  <c r="A368" i="21" s="1"/>
  <c r="E101" i="21" a="1"/>
  <c r="E101" i="21" s="1"/>
  <c r="E116" i="21" s="1"/>
  <c r="A367" i="21" a="1"/>
  <c r="A367" i="21" s="1"/>
  <c r="C263" i="21"/>
  <c r="C266" i="21"/>
  <c r="C264" i="21"/>
  <c r="C259" i="21"/>
  <c r="C267" i="21"/>
  <c r="E255" i="21" a="1"/>
  <c r="E255" i="21" s="1"/>
  <c r="A282" i="21" a="1"/>
  <c r="A282" i="21" s="1"/>
  <c r="C269" i="21"/>
  <c r="C270" i="21"/>
  <c r="C265" i="21"/>
  <c r="C262" i="21"/>
  <c r="C258" i="21"/>
  <c r="C253" i="21"/>
  <c r="C260" i="21"/>
  <c r="F237" i="21" a="1"/>
  <c r="F237" i="21" s="1"/>
  <c r="F255" i="21" a="1"/>
  <c r="F255" i="21" s="1"/>
  <c r="C235" i="21"/>
  <c r="K35" i="11" a="1"/>
  <c r="K35" i="11" s="1"/>
  <c r="ZN6" i="22" s="1"/>
  <c r="ZO3" i="23" s="1"/>
  <c r="E237" i="21" a="1"/>
  <c r="E237" i="21" s="1"/>
  <c r="K138" i="11" a="1"/>
  <c r="K138" i="11" s="1"/>
  <c r="E219" i="21" a="1"/>
  <c r="E219" i="21" s="1"/>
  <c r="L138" i="11" a="1"/>
  <c r="L138" i="11" s="1"/>
  <c r="F219" i="21" a="1"/>
  <c r="F219" i="21" s="1"/>
  <c r="E119" i="21" a="1"/>
  <c r="E119" i="21" s="1"/>
  <c r="E83" i="21" a="1"/>
  <c r="E83" i="21" s="1"/>
  <c r="F83" i="21" a="1"/>
  <c r="F83" i="21" s="1"/>
  <c r="L35" i="11" a="1"/>
  <c r="L35" i="11" s="1"/>
  <c r="ZO6" i="22" s="1"/>
  <c r="ZP3" i="23" s="1"/>
  <c r="F101" i="21" a="1"/>
  <c r="F101" i="21" s="1"/>
  <c r="F116" i="21" s="1"/>
  <c r="F119" i="21" a="1"/>
  <c r="F119" i="21" s="1"/>
  <c r="A18" i="21"/>
  <c r="A154" i="21"/>
  <c r="M33" i="8"/>
  <c r="E11" i="7"/>
  <c r="I10" i="13"/>
  <c r="A8" i="20"/>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D268" i="21" l="1"/>
  <c r="D260" i="21"/>
  <c r="E240" i="21"/>
  <c r="E239" i="21"/>
  <c r="E243" i="21"/>
  <c r="E238" i="21"/>
  <c r="E242" i="21"/>
  <c r="E245" i="21"/>
  <c r="E249" i="21"/>
  <c r="E244" i="21"/>
  <c r="E248" i="21"/>
  <c r="E241" i="21"/>
  <c r="E247" i="21"/>
  <c r="E246" i="21"/>
  <c r="E250" i="21"/>
  <c r="E252" i="21"/>
  <c r="E251" i="21"/>
  <c r="F241" i="21"/>
  <c r="F240" i="21"/>
  <c r="F244" i="21"/>
  <c r="F239" i="21"/>
  <c r="F243" i="21"/>
  <c r="F238" i="21"/>
  <c r="F246" i="21"/>
  <c r="F245" i="21"/>
  <c r="F249" i="21"/>
  <c r="F248" i="21"/>
  <c r="F242" i="21"/>
  <c r="F247" i="21"/>
  <c r="F251" i="21"/>
  <c r="F250" i="21"/>
  <c r="F252" i="21"/>
  <c r="F221" i="21"/>
  <c r="F225" i="21"/>
  <c r="F223" i="21"/>
  <c r="F220" i="21"/>
  <c r="F228" i="21"/>
  <c r="F232" i="21"/>
  <c r="F226" i="21"/>
  <c r="F227" i="21"/>
  <c r="F229" i="21"/>
  <c r="F231" i="21"/>
  <c r="F224" i="21"/>
  <c r="F222" i="21"/>
  <c r="F230" i="21"/>
  <c r="F234" i="21"/>
  <c r="F233" i="21"/>
  <c r="E220" i="21"/>
  <c r="E224" i="21"/>
  <c r="E221" i="21"/>
  <c r="E223" i="21"/>
  <c r="E222" i="21"/>
  <c r="E227" i="21"/>
  <c r="E231" i="21"/>
  <c r="E229" i="21"/>
  <c r="E228" i="21"/>
  <c r="E230" i="21"/>
  <c r="E225" i="21"/>
  <c r="E233" i="21"/>
  <c r="E226" i="21"/>
  <c r="E234" i="21"/>
  <c r="E232" i="21"/>
  <c r="F102" i="21"/>
  <c r="F103" i="21"/>
  <c r="F104" i="21"/>
  <c r="F105" i="21"/>
  <c r="F106" i="21"/>
  <c r="F107" i="21"/>
  <c r="F108" i="21"/>
  <c r="F109" i="21"/>
  <c r="F112" i="21"/>
  <c r="F115" i="21"/>
  <c r="F113" i="21"/>
  <c r="F114" i="21"/>
  <c r="F111" i="21"/>
  <c r="F110" i="21"/>
  <c r="E102" i="21"/>
  <c r="E103" i="21"/>
  <c r="E107" i="21"/>
  <c r="E104" i="21"/>
  <c r="E108" i="21"/>
  <c r="E105" i="21"/>
  <c r="E109" i="21"/>
  <c r="E110" i="21"/>
  <c r="E111" i="21"/>
  <c r="E112" i="21"/>
  <c r="E113" i="21"/>
  <c r="E114" i="21"/>
  <c r="E115" i="21"/>
  <c r="E106" i="21"/>
  <c r="CZ37" i="7" a="1"/>
  <c r="CZ37" i="7" s="1"/>
  <c r="D256" i="21"/>
  <c r="A284" i="21" a="1"/>
  <c r="A284" i="21" s="1"/>
  <c r="A369" i="21" a="1"/>
  <c r="A369" i="21" s="1"/>
  <c r="C271" i="21"/>
  <c r="D266" i="21"/>
  <c r="D270" i="21"/>
  <c r="D258" i="21"/>
  <c r="D259" i="21"/>
  <c r="D257" i="21"/>
  <c r="D267" i="21"/>
  <c r="D263" i="21"/>
  <c r="D261" i="21"/>
  <c r="D265" i="21"/>
  <c r="D264" i="21"/>
  <c r="D269" i="21"/>
  <c r="D253" i="21"/>
  <c r="D262" i="21"/>
  <c r="G237" i="21" a="1"/>
  <c r="G237" i="21" s="1"/>
  <c r="G255" i="21" a="1"/>
  <c r="G255" i="21" s="1"/>
  <c r="D235" i="21"/>
  <c r="M138" i="11" a="1"/>
  <c r="M138" i="11" s="1"/>
  <c r="G219" i="21" a="1"/>
  <c r="G219" i="21" s="1"/>
  <c r="M35" i="11" a="1"/>
  <c r="M35" i="11" s="1"/>
  <c r="ZP6" i="22" s="1"/>
  <c r="ZQ3" i="23" s="1"/>
  <c r="G101" i="21" a="1"/>
  <c r="G101" i="21" s="1"/>
  <c r="G116" i="21" s="1"/>
  <c r="G119" i="21" a="1"/>
  <c r="G119" i="21" s="1"/>
  <c r="G83" i="21" a="1"/>
  <c r="G83" i="21" s="1"/>
  <c r="A19" i="21"/>
  <c r="A155" i="21"/>
  <c r="CZ46" i="7" a="1"/>
  <c r="CZ46" i="7" s="1"/>
  <c r="CZ47" i="7" a="1"/>
  <c r="CZ47" i="7" s="1"/>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A9" i="20"/>
  <c r="I11" i="13"/>
  <c r="E12" i="7"/>
  <c r="K59" i="7"/>
  <c r="G63" i="7" s="1" a="1"/>
  <c r="G63" i="7" s="1"/>
  <c r="DA37" i="7" l="1"/>
  <c r="DA42" i="7"/>
  <c r="F262" i="21"/>
  <c r="E259" i="21"/>
  <c r="E267" i="21"/>
  <c r="E270" i="21"/>
  <c r="E257" i="21"/>
  <c r="E261" i="21"/>
  <c r="F258" i="21"/>
  <c r="F268" i="21"/>
  <c r="E264" i="21"/>
  <c r="E262" i="21"/>
  <c r="G238" i="21"/>
  <c r="G242" i="21"/>
  <c r="G241" i="21"/>
  <c r="G240" i="21"/>
  <c r="G244" i="21"/>
  <c r="G243" i="21"/>
  <c r="G247" i="21"/>
  <c r="G239" i="21"/>
  <c r="G246" i="21"/>
  <c r="G245" i="21"/>
  <c r="G249" i="21"/>
  <c r="G248" i="21"/>
  <c r="G252" i="21"/>
  <c r="G251" i="21"/>
  <c r="G250" i="21"/>
  <c r="G222" i="21"/>
  <c r="G226" i="21"/>
  <c r="G224" i="21"/>
  <c r="G221" i="21"/>
  <c r="G223" i="21"/>
  <c r="G225" i="21"/>
  <c r="G229" i="21"/>
  <c r="G233" i="21"/>
  <c r="G220" i="21"/>
  <c r="G230" i="21"/>
  <c r="G232" i="21"/>
  <c r="G227" i="21"/>
  <c r="G231" i="21"/>
  <c r="G234" i="21"/>
  <c r="G228" i="21"/>
  <c r="G102" i="21"/>
  <c r="G103" i="21"/>
  <c r="G104" i="21"/>
  <c r="G105" i="21"/>
  <c r="G106" i="21"/>
  <c r="G107" i="21"/>
  <c r="G108" i="21"/>
  <c r="G110" i="21"/>
  <c r="G111" i="21"/>
  <c r="G112" i="21"/>
  <c r="G113" i="21"/>
  <c r="G109" i="21"/>
  <c r="G115" i="21"/>
  <c r="G114" i="21"/>
  <c r="E256" i="21"/>
  <c r="C280" i="21"/>
  <c r="A285" i="21" a="1"/>
  <c r="A285" i="21" s="1"/>
  <c r="A370" i="21" a="1"/>
  <c r="A370" i="21" s="1"/>
  <c r="F264" i="21"/>
  <c r="D271" i="21"/>
  <c r="F260" i="21"/>
  <c r="F269" i="21"/>
  <c r="F257" i="21"/>
  <c r="F270" i="21"/>
  <c r="F267" i="21"/>
  <c r="F261" i="21"/>
  <c r="E268" i="21"/>
  <c r="F259" i="21"/>
  <c r="E266" i="21"/>
  <c r="E258" i="21"/>
  <c r="F265" i="21"/>
  <c r="F266" i="21"/>
  <c r="F253" i="21"/>
  <c r="F256" i="21"/>
  <c r="F263" i="21"/>
  <c r="E269" i="21"/>
  <c r="E263" i="21"/>
  <c r="E265" i="21"/>
  <c r="E260" i="21"/>
  <c r="H237" i="21" a="1"/>
  <c r="H237" i="21" s="1"/>
  <c r="H255" i="21" a="1"/>
  <c r="H255" i="21" s="1"/>
  <c r="E253" i="21"/>
  <c r="E235" i="21"/>
  <c r="F235" i="21"/>
  <c r="N138" i="11" a="1"/>
  <c r="N138" i="11" s="1"/>
  <c r="H219" i="21" a="1"/>
  <c r="H219" i="21" s="1"/>
  <c r="N35" i="11" a="1"/>
  <c r="N35" i="11" s="1"/>
  <c r="ZQ6" i="22" s="1"/>
  <c r="ZR3" i="23" s="1"/>
  <c r="H101" i="21" a="1"/>
  <c r="H101" i="21" s="1"/>
  <c r="H116" i="21" s="1"/>
  <c r="H83" i="21" a="1"/>
  <c r="H83" i="21" s="1"/>
  <c r="H119" i="21" a="1"/>
  <c r="H119" i="21" s="1"/>
  <c r="A20" i="21"/>
  <c r="A371" i="21" s="1" a="1"/>
  <c r="A371" i="21" s="1"/>
  <c r="A156" i="21"/>
  <c r="B32" i="8"/>
  <c r="DA47" i="7"/>
  <c r="DA6" i="7"/>
  <c r="DA46" i="7"/>
  <c r="DA15" i="7"/>
  <c r="DA10" i="7"/>
  <c r="G78" i="7"/>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A10" i="20"/>
  <c r="E13" i="7"/>
  <c r="I12" i="13"/>
  <c r="H239" i="21" l="1"/>
  <c r="H243" i="21"/>
  <c r="H238" i="21"/>
  <c r="H242" i="21"/>
  <c r="H241" i="21"/>
  <c r="H248" i="21"/>
  <c r="H247" i="21"/>
  <c r="H240" i="21"/>
  <c r="H244" i="21"/>
  <c r="H246" i="21"/>
  <c r="H245" i="21"/>
  <c r="H249" i="21"/>
  <c r="H252" i="21"/>
  <c r="H251" i="21"/>
  <c r="H250" i="21"/>
  <c r="H223" i="21"/>
  <c r="H220" i="21"/>
  <c r="H222" i="21"/>
  <c r="H224" i="21"/>
  <c r="H221" i="21"/>
  <c r="H230" i="21"/>
  <c r="H234" i="21"/>
  <c r="H225" i="21"/>
  <c r="H228" i="21"/>
  <c r="H226" i="21"/>
  <c r="H232" i="21"/>
  <c r="H227" i="21"/>
  <c r="H229" i="21"/>
  <c r="H231" i="21"/>
  <c r="H233" i="21"/>
  <c r="H102" i="21"/>
  <c r="H103" i="21"/>
  <c r="H104" i="21"/>
  <c r="H105" i="21"/>
  <c r="H106" i="21"/>
  <c r="H107" i="21"/>
  <c r="H108" i="21"/>
  <c r="H109" i="21"/>
  <c r="H110" i="21"/>
  <c r="H111" i="21"/>
  <c r="H112" i="21"/>
  <c r="H113" i="21"/>
  <c r="H114" i="21"/>
  <c r="H115" i="21"/>
  <c r="G256" i="21"/>
  <c r="C281" i="21"/>
  <c r="G267" i="21"/>
  <c r="E271" i="21"/>
  <c r="F271" i="21"/>
  <c r="G268" i="21"/>
  <c r="G263" i="21"/>
  <c r="G260" i="21"/>
  <c r="G258" i="21"/>
  <c r="G265" i="21"/>
  <c r="G269" i="21"/>
  <c r="I255" i="21" a="1"/>
  <c r="I255" i="21" s="1"/>
  <c r="A286" i="21" a="1"/>
  <c r="A286" i="21" s="1"/>
  <c r="G266" i="21"/>
  <c r="G264" i="21"/>
  <c r="G262" i="21"/>
  <c r="G257" i="21"/>
  <c r="G259" i="21"/>
  <c r="G261" i="21"/>
  <c r="G253" i="21"/>
  <c r="G270" i="21"/>
  <c r="G235" i="21"/>
  <c r="I83" i="21" a="1"/>
  <c r="I83" i="21" s="1"/>
  <c r="I237" i="21" a="1"/>
  <c r="I237" i="21" s="1"/>
  <c r="O138" i="11" a="1"/>
  <c r="O138" i="11" s="1"/>
  <c r="I219" i="21" a="1"/>
  <c r="I219" i="21" s="1"/>
  <c r="O35" i="11" a="1"/>
  <c r="O35" i="11" s="1"/>
  <c r="ZR6" i="22" s="1"/>
  <c r="ZS3" i="23" s="1"/>
  <c r="I119" i="21" a="1"/>
  <c r="I119" i="21" s="1"/>
  <c r="I101" i="21" a="1"/>
  <c r="I101" i="21" s="1"/>
  <c r="I116" i="21" s="1"/>
  <c r="A21" i="21"/>
  <c r="A157" i="21"/>
  <c r="I13" i="13"/>
  <c r="E14" i="7"/>
  <c r="A11" i="20"/>
  <c r="H257" i="21" l="1"/>
  <c r="I240" i="21"/>
  <c r="I239" i="21"/>
  <c r="I243" i="21"/>
  <c r="I238" i="21"/>
  <c r="I242" i="21"/>
  <c r="I245" i="21"/>
  <c r="I249" i="21"/>
  <c r="I248" i="21"/>
  <c r="I247" i="21"/>
  <c r="I241" i="21"/>
  <c r="I244" i="21"/>
  <c r="I246" i="21"/>
  <c r="I250" i="21"/>
  <c r="I252" i="21"/>
  <c r="I251" i="21"/>
  <c r="I220" i="21"/>
  <c r="I224" i="21"/>
  <c r="I222" i="21"/>
  <c r="I226" i="21"/>
  <c r="I227" i="21"/>
  <c r="I231" i="21"/>
  <c r="I223" i="21"/>
  <c r="I225" i="21"/>
  <c r="I228" i="21"/>
  <c r="I230" i="21"/>
  <c r="I221" i="21"/>
  <c r="I232" i="21"/>
  <c r="I234" i="21"/>
  <c r="I229" i="21"/>
  <c r="I233" i="21"/>
  <c r="I102" i="21"/>
  <c r="I106" i="21"/>
  <c r="I109" i="21"/>
  <c r="I103" i="21"/>
  <c r="I107" i="21"/>
  <c r="I104" i="21"/>
  <c r="I108" i="21"/>
  <c r="I110" i="21"/>
  <c r="I111" i="21"/>
  <c r="I112" i="21"/>
  <c r="I113" i="21"/>
  <c r="I114" i="21"/>
  <c r="I115" i="21"/>
  <c r="I105" i="21"/>
  <c r="C282" i="21"/>
  <c r="C283" i="21"/>
  <c r="A287" i="21" a="1"/>
  <c r="A287" i="21" s="1"/>
  <c r="A372" i="21" a="1"/>
  <c r="A372" i="21" s="1"/>
  <c r="H258" i="21"/>
  <c r="H260" i="21"/>
  <c r="H266" i="21"/>
  <c r="H264" i="21"/>
  <c r="H256" i="21"/>
  <c r="G271" i="21"/>
  <c r="H262" i="21"/>
  <c r="H259" i="21"/>
  <c r="H268" i="21"/>
  <c r="H261" i="21"/>
  <c r="H265" i="21"/>
  <c r="H269" i="21"/>
  <c r="H267" i="21"/>
  <c r="H270" i="21"/>
  <c r="H263" i="21"/>
  <c r="H253" i="21"/>
  <c r="J237" i="21" a="1"/>
  <c r="J237" i="21" s="1"/>
  <c r="J255" i="21" a="1"/>
  <c r="J255" i="21" s="1"/>
  <c r="H235" i="21"/>
  <c r="P138" i="11" a="1"/>
  <c r="P138" i="11" s="1"/>
  <c r="J219" i="21" a="1"/>
  <c r="J219" i="21" s="1"/>
  <c r="J101" i="21" a="1"/>
  <c r="J101" i="21" s="1"/>
  <c r="J116" i="21" s="1"/>
  <c r="J83" i="21" a="1"/>
  <c r="J83" i="21" s="1"/>
  <c r="P35" i="11" a="1"/>
  <c r="P35" i="11" s="1"/>
  <c r="ZS6" i="22" s="1"/>
  <c r="ZT3" i="23" s="1"/>
  <c r="J119" i="21" a="1"/>
  <c r="J119" i="21" s="1"/>
  <c r="A22" i="21"/>
  <c r="A158" i="21"/>
  <c r="E15" i="7"/>
  <c r="A12" i="20"/>
  <c r="I14" i="13"/>
  <c r="J241" i="21" l="1"/>
  <c r="J240" i="21"/>
  <c r="J244" i="21"/>
  <c r="J239" i="21"/>
  <c r="J243" i="21"/>
  <c r="J242" i="21"/>
  <c r="J246" i="21"/>
  <c r="J238" i="21"/>
  <c r="J245" i="21"/>
  <c r="J249" i="21"/>
  <c r="J248" i="21"/>
  <c r="J247" i="21"/>
  <c r="J251" i="21"/>
  <c r="J250" i="21"/>
  <c r="J252" i="21"/>
  <c r="J221" i="21"/>
  <c r="J225" i="21"/>
  <c r="J223" i="21"/>
  <c r="J220" i="21"/>
  <c r="J222" i="21"/>
  <c r="J224" i="21"/>
  <c r="J228" i="21"/>
  <c r="J232" i="21"/>
  <c r="J229" i="21"/>
  <c r="J231" i="21"/>
  <c r="J226" i="21"/>
  <c r="J230" i="21"/>
  <c r="J227" i="21"/>
  <c r="J233" i="21"/>
  <c r="J234" i="21"/>
  <c r="J102" i="21"/>
  <c r="J103" i="21"/>
  <c r="J104" i="21"/>
  <c r="J105" i="21"/>
  <c r="J106" i="21"/>
  <c r="J107" i="21"/>
  <c r="J108" i="21"/>
  <c r="J109" i="21"/>
  <c r="J111" i="21"/>
  <c r="J115" i="21"/>
  <c r="J112" i="21"/>
  <c r="J110" i="21"/>
  <c r="J113" i="21"/>
  <c r="J114" i="21"/>
  <c r="C284" i="21"/>
  <c r="A288" i="21" a="1"/>
  <c r="A288" i="21" s="1"/>
  <c r="A373" i="21" a="1"/>
  <c r="A373" i="21" s="1"/>
  <c r="H271" i="21"/>
  <c r="I260" i="21"/>
  <c r="I267" i="21"/>
  <c r="I262" i="21"/>
  <c r="I256" i="21"/>
  <c r="I270" i="21"/>
  <c r="I268" i="21"/>
  <c r="I259" i="21"/>
  <c r="I258" i="21"/>
  <c r="I269" i="21"/>
  <c r="I265" i="21"/>
  <c r="I257" i="21"/>
  <c r="I264" i="21"/>
  <c r="I266" i="21"/>
  <c r="I263" i="21"/>
  <c r="I261" i="21"/>
  <c r="K237" i="21" a="1"/>
  <c r="K237" i="21" s="1"/>
  <c r="K255" i="21" a="1"/>
  <c r="K255" i="21" s="1"/>
  <c r="I253" i="21"/>
  <c r="I235" i="21"/>
  <c r="K119" i="21" a="1"/>
  <c r="K119" i="21" s="1"/>
  <c r="Q138" i="11" a="1"/>
  <c r="Q138" i="11" s="1"/>
  <c r="K219" i="21" a="1"/>
  <c r="K219" i="21" s="1"/>
  <c r="K101" i="21" a="1"/>
  <c r="K101" i="21" s="1"/>
  <c r="K116" i="21" s="1"/>
  <c r="K83" i="21" a="1"/>
  <c r="K83" i="21" s="1"/>
  <c r="Q35" i="11" a="1"/>
  <c r="Q35" i="11" s="1"/>
  <c r="ZT6" i="22" s="1"/>
  <c r="ZU3" i="23" s="1"/>
  <c r="A23" i="21"/>
  <c r="A159" i="21"/>
  <c r="E16" i="7"/>
  <c r="I15" i="13"/>
  <c r="A13" i="20"/>
  <c r="J262" i="21" l="1"/>
  <c r="K238" i="21"/>
  <c r="K242" i="21"/>
  <c r="K241" i="21"/>
  <c r="K240" i="21"/>
  <c r="K244" i="21"/>
  <c r="K247" i="21"/>
  <c r="K243" i="21"/>
  <c r="K246" i="21"/>
  <c r="K239" i="21"/>
  <c r="K245" i="21"/>
  <c r="K249" i="21"/>
  <c r="K248" i="21"/>
  <c r="K252" i="21"/>
  <c r="K251" i="21"/>
  <c r="K250" i="21"/>
  <c r="K222" i="21"/>
  <c r="K226" i="21"/>
  <c r="K221" i="21"/>
  <c r="K223" i="21"/>
  <c r="K220" i="21"/>
  <c r="K229" i="21"/>
  <c r="K233" i="21"/>
  <c r="K227" i="21"/>
  <c r="K231" i="21"/>
  <c r="K225" i="21"/>
  <c r="K228" i="21"/>
  <c r="K232" i="21"/>
  <c r="K224" i="21"/>
  <c r="K230" i="21"/>
  <c r="K234" i="21"/>
  <c r="K102" i="21"/>
  <c r="K103" i="21"/>
  <c r="K104" i="21"/>
  <c r="K105" i="21"/>
  <c r="K106" i="21"/>
  <c r="K107" i="21"/>
  <c r="K108" i="21"/>
  <c r="K110" i="21"/>
  <c r="K111" i="21"/>
  <c r="K112" i="21"/>
  <c r="K113" i="21"/>
  <c r="K109" i="21"/>
  <c r="K114" i="21"/>
  <c r="K115" i="21"/>
  <c r="C285" i="21"/>
  <c r="A289" i="21" a="1"/>
  <c r="A289" i="21" s="1"/>
  <c r="A374" i="21" a="1"/>
  <c r="A374" i="21" s="1"/>
  <c r="J263" i="21"/>
  <c r="J269" i="21"/>
  <c r="J256" i="21"/>
  <c r="J258" i="21"/>
  <c r="J265" i="21"/>
  <c r="I271" i="21"/>
  <c r="J260" i="21"/>
  <c r="J268" i="21"/>
  <c r="J267" i="21"/>
  <c r="J266" i="21"/>
  <c r="J259" i="21"/>
  <c r="J270" i="21"/>
  <c r="J257" i="21"/>
  <c r="J264" i="21"/>
  <c r="J261" i="21"/>
  <c r="J253" i="21"/>
  <c r="L237" i="21" a="1"/>
  <c r="L237" i="21" s="1"/>
  <c r="L255" i="21" a="1"/>
  <c r="L255" i="21" s="1"/>
  <c r="J235" i="21"/>
  <c r="R138" i="11" a="1"/>
  <c r="R138" i="11" s="1"/>
  <c r="L219" i="21" a="1"/>
  <c r="L219" i="21" s="1"/>
  <c r="L83" i="21" a="1"/>
  <c r="L83" i="21" s="1"/>
  <c r="L101" i="21" a="1"/>
  <c r="L101" i="21" s="1"/>
  <c r="L116" i="21" s="1"/>
  <c r="R35" i="11" a="1"/>
  <c r="R35" i="11" s="1"/>
  <c r="ZU6" i="22" s="1"/>
  <c r="ZV3" i="23" s="1"/>
  <c r="L119" i="21" a="1"/>
  <c r="L119" i="21" s="1"/>
  <c r="A24" i="21"/>
  <c r="A375" i="21" s="1" a="1"/>
  <c r="A375" i="21" s="1"/>
  <c r="A160" i="21"/>
  <c r="A14" i="20"/>
  <c r="I16" i="13"/>
  <c r="E17" i="7"/>
  <c r="L239" i="21" l="1"/>
  <c r="L243" i="21"/>
  <c r="L238" i="21"/>
  <c r="L242" i="21"/>
  <c r="L241" i="21"/>
  <c r="L244" i="21"/>
  <c r="L248" i="21"/>
  <c r="L247" i="21"/>
  <c r="L246" i="21"/>
  <c r="L240" i="21"/>
  <c r="L245" i="21"/>
  <c r="L249" i="21"/>
  <c r="L252" i="21"/>
  <c r="L251" i="21"/>
  <c r="L250" i="21"/>
  <c r="L223" i="21"/>
  <c r="L224" i="21"/>
  <c r="L221" i="21"/>
  <c r="L225" i="21"/>
  <c r="L230" i="21"/>
  <c r="L234" i="21"/>
  <c r="L222" i="21"/>
  <c r="L232" i="21"/>
  <c r="L220" i="21"/>
  <c r="L227" i="21"/>
  <c r="L229" i="21"/>
  <c r="L231" i="21"/>
  <c r="L226" i="21"/>
  <c r="L233" i="21"/>
  <c r="L228" i="21"/>
  <c r="L102" i="21"/>
  <c r="L103" i="21"/>
  <c r="L104" i="21"/>
  <c r="L105" i="21"/>
  <c r="L106" i="21"/>
  <c r="L107" i="21"/>
  <c r="L108" i="21"/>
  <c r="L109" i="21"/>
  <c r="L110" i="21"/>
  <c r="L111" i="21"/>
  <c r="L112" i="21"/>
  <c r="L113" i="21"/>
  <c r="L114" i="21"/>
  <c r="L115" i="21"/>
  <c r="K256" i="21"/>
  <c r="C286" i="21"/>
  <c r="J271" i="21"/>
  <c r="K257" i="21"/>
  <c r="K258" i="21"/>
  <c r="K264" i="21"/>
  <c r="K262" i="21"/>
  <c r="K261" i="21"/>
  <c r="K269" i="21"/>
  <c r="K268" i="21"/>
  <c r="K263" i="21"/>
  <c r="K270" i="21"/>
  <c r="K266" i="21"/>
  <c r="M255" i="21" a="1"/>
  <c r="M255" i="21" s="1"/>
  <c r="A290" i="21" a="1"/>
  <c r="A290" i="21" s="1"/>
  <c r="K267" i="21"/>
  <c r="K253" i="21"/>
  <c r="K265" i="21"/>
  <c r="K259" i="21"/>
  <c r="K260" i="21"/>
  <c r="K235" i="21"/>
  <c r="M101" i="21" a="1"/>
  <c r="M101" i="21" s="1"/>
  <c r="M116" i="21" s="1"/>
  <c r="M237" i="21" a="1"/>
  <c r="M237" i="21" s="1"/>
  <c r="S138" i="11" a="1"/>
  <c r="S138" i="11" s="1"/>
  <c r="M219" i="21" a="1"/>
  <c r="M219" i="21" s="1"/>
  <c r="M83" i="21" a="1"/>
  <c r="M83" i="21" s="1"/>
  <c r="M119" i="21" a="1"/>
  <c r="M119" i="21" s="1"/>
  <c r="S35" i="11" a="1"/>
  <c r="S35" i="11" s="1"/>
  <c r="ZV6" i="22" s="1"/>
  <c r="ZW3" i="23" s="1"/>
  <c r="A25" i="21"/>
  <c r="A376" i="21" s="1" a="1"/>
  <c r="A376" i="21" s="1"/>
  <c r="A161" i="21"/>
  <c r="E18" i="7"/>
  <c r="I17" i="13"/>
  <c r="A15" i="20"/>
  <c r="L261" i="21" l="1"/>
  <c r="M240" i="21"/>
  <c r="M239" i="21"/>
  <c r="M243" i="21"/>
  <c r="M238" i="21"/>
  <c r="M242" i="21"/>
  <c r="M241" i="21"/>
  <c r="M245" i="21"/>
  <c r="M249" i="21"/>
  <c r="M244" i="21"/>
  <c r="M248" i="21"/>
  <c r="M247" i="21"/>
  <c r="M246" i="21"/>
  <c r="M250" i="21"/>
  <c r="M252" i="21"/>
  <c r="M251" i="21"/>
  <c r="M220" i="21"/>
  <c r="M224" i="21"/>
  <c r="M222" i="21"/>
  <c r="M221" i="21"/>
  <c r="M223" i="21"/>
  <c r="M227" i="21"/>
  <c r="M231" i="21"/>
  <c r="M226" i="21"/>
  <c r="M228" i="21"/>
  <c r="M230" i="21"/>
  <c r="M232" i="21"/>
  <c r="M229" i="21"/>
  <c r="M234" i="21"/>
  <c r="M225" i="21"/>
  <c r="M233" i="21"/>
  <c r="M102" i="21"/>
  <c r="M105" i="21"/>
  <c r="M106" i="21"/>
  <c r="M103" i="21"/>
  <c r="M107" i="21"/>
  <c r="M109" i="21"/>
  <c r="M110" i="21"/>
  <c r="M111" i="21"/>
  <c r="M112" i="21"/>
  <c r="M113" i="21"/>
  <c r="M114" i="21"/>
  <c r="M108" i="21"/>
  <c r="M115" i="21"/>
  <c r="M104" i="21"/>
  <c r="C287" i="21"/>
  <c r="L267" i="21"/>
  <c r="L264" i="21"/>
  <c r="L260" i="21"/>
  <c r="L262" i="21"/>
  <c r="L259" i="21"/>
  <c r="K271" i="21"/>
  <c r="L257" i="21"/>
  <c r="L268" i="21"/>
  <c r="L258" i="21"/>
  <c r="L269" i="21"/>
  <c r="L270" i="21"/>
  <c r="L265" i="21"/>
  <c r="N255" i="21" a="1"/>
  <c r="N255" i="21" s="1"/>
  <c r="A291" i="21" a="1"/>
  <c r="A291" i="21" s="1"/>
  <c r="L263" i="21"/>
  <c r="L253" i="21"/>
  <c r="L256" i="21"/>
  <c r="L266" i="21"/>
  <c r="L235" i="21"/>
  <c r="N83" i="21" a="1"/>
  <c r="N83" i="21" s="1"/>
  <c r="N237" i="21" a="1"/>
  <c r="N237" i="21" s="1"/>
  <c r="N101" i="21" a="1"/>
  <c r="N101" i="21" s="1"/>
  <c r="N116" i="21" s="1"/>
  <c r="T138" i="11" a="1"/>
  <c r="T138" i="11" s="1"/>
  <c r="N219" i="21" a="1"/>
  <c r="N219" i="21" s="1"/>
  <c r="T35" i="11" a="1"/>
  <c r="T35" i="11" s="1"/>
  <c r="ZW6" i="22" s="1"/>
  <c r="ZX3" i="23" s="1"/>
  <c r="N119" i="21" a="1"/>
  <c r="N119" i="21" s="1"/>
  <c r="A26" i="21"/>
  <c r="A377" i="21" s="1" a="1"/>
  <c r="A377" i="21" s="1"/>
  <c r="A162" i="21"/>
  <c r="A16" i="20"/>
  <c r="E19" i="7"/>
  <c r="I18" i="13"/>
  <c r="N241" i="21" l="1"/>
  <c r="N240" i="21"/>
  <c r="N244" i="21"/>
  <c r="N239" i="21"/>
  <c r="N243" i="21"/>
  <c r="N246" i="21"/>
  <c r="N242" i="21"/>
  <c r="N245" i="21"/>
  <c r="N249" i="21"/>
  <c r="N238" i="21"/>
  <c r="N248" i="21"/>
  <c r="N247" i="21"/>
  <c r="N251" i="21"/>
  <c r="N250" i="21"/>
  <c r="N252" i="21"/>
  <c r="N221" i="21"/>
  <c r="N225" i="21"/>
  <c r="N220" i="21"/>
  <c r="N222" i="21"/>
  <c r="N224" i="21"/>
  <c r="N226" i="21"/>
  <c r="N228" i="21"/>
  <c r="N232" i="21"/>
  <c r="N230" i="21"/>
  <c r="N223" i="21"/>
  <c r="N227" i="21"/>
  <c r="N229" i="21"/>
  <c r="N231" i="21"/>
  <c r="N233" i="21"/>
  <c r="N234" i="21"/>
  <c r="N102" i="21"/>
  <c r="N103" i="21"/>
  <c r="N104" i="21"/>
  <c r="N105" i="21"/>
  <c r="N106" i="21"/>
  <c r="N107" i="21"/>
  <c r="N108" i="21"/>
  <c r="N109" i="21"/>
  <c r="N110" i="21"/>
  <c r="N115" i="21"/>
  <c r="N113" i="21"/>
  <c r="N111" i="21"/>
  <c r="N114" i="21"/>
  <c r="N112" i="21"/>
  <c r="C288" i="21"/>
  <c r="M266" i="21"/>
  <c r="M264" i="21"/>
  <c r="M269" i="21"/>
  <c r="M267" i="21"/>
  <c r="L271" i="21"/>
  <c r="M270" i="21"/>
  <c r="M265" i="21"/>
  <c r="M257" i="21"/>
  <c r="O255" i="21" a="1"/>
  <c r="O255" i="21" s="1"/>
  <c r="A292" i="21" a="1"/>
  <c r="A292" i="21" s="1"/>
  <c r="M263" i="21"/>
  <c r="M260" i="21"/>
  <c r="M262" i="21"/>
  <c r="M256" i="21"/>
  <c r="M258" i="21"/>
  <c r="M268" i="21"/>
  <c r="M261" i="21"/>
  <c r="M259" i="21"/>
  <c r="M253" i="21"/>
  <c r="M235" i="21"/>
  <c r="O119" i="21" a="1"/>
  <c r="O119" i="21" s="1"/>
  <c r="O237" i="21" a="1"/>
  <c r="O237" i="21" s="1"/>
  <c r="O101" i="21" a="1"/>
  <c r="O101" i="21" s="1"/>
  <c r="O116" i="21" s="1"/>
  <c r="O83" i="21" a="1"/>
  <c r="O83" i="21" s="1"/>
  <c r="U138" i="11" a="1"/>
  <c r="U138" i="11" s="1"/>
  <c r="O219" i="21" a="1"/>
  <c r="O219" i="21" s="1"/>
  <c r="U35" i="11" a="1"/>
  <c r="U35" i="11" s="1"/>
  <c r="ZX6" i="22" s="1"/>
  <c r="ZY3" i="23" s="1"/>
  <c r="A27" i="21"/>
  <c r="A163" i="21"/>
  <c r="E20" i="7"/>
  <c r="I19" i="13"/>
  <c r="A17" i="20"/>
  <c r="O238" i="21" l="1"/>
  <c r="O242" i="21"/>
  <c r="O241" i="21"/>
  <c r="O240" i="21"/>
  <c r="O244" i="21"/>
  <c r="O247" i="21"/>
  <c r="O246" i="21"/>
  <c r="O243" i="21"/>
  <c r="O245" i="21"/>
  <c r="O249" i="21"/>
  <c r="O239" i="21"/>
  <c r="O248" i="21"/>
  <c r="O252" i="21"/>
  <c r="O251" i="21"/>
  <c r="O250" i="21"/>
  <c r="O222" i="21"/>
  <c r="O226" i="21"/>
  <c r="O223" i="21"/>
  <c r="O220" i="21"/>
  <c r="O224" i="21"/>
  <c r="O229" i="21"/>
  <c r="O233" i="21"/>
  <c r="O225" i="21"/>
  <c r="O231" i="21"/>
  <c r="O228" i="21"/>
  <c r="O230" i="21"/>
  <c r="O232" i="21"/>
  <c r="O227" i="21"/>
  <c r="O221" i="21"/>
  <c r="O234" i="21"/>
  <c r="O102" i="21"/>
  <c r="O103" i="21"/>
  <c r="O104" i="21"/>
  <c r="O105" i="21"/>
  <c r="O106" i="21"/>
  <c r="O107" i="21"/>
  <c r="O108" i="21"/>
  <c r="O110" i="21"/>
  <c r="O111" i="21"/>
  <c r="O112" i="21"/>
  <c r="O113" i="21"/>
  <c r="O109" i="21"/>
  <c r="O115" i="21"/>
  <c r="O114" i="21"/>
  <c r="N261" i="21"/>
  <c r="N270" i="21"/>
  <c r="N265" i="21"/>
  <c r="N264" i="21"/>
  <c r="C289" i="21"/>
  <c r="A293" i="21" a="1"/>
  <c r="A293" i="21" s="1"/>
  <c r="A378" i="21" a="1"/>
  <c r="A378" i="21" s="1"/>
  <c r="M271" i="21"/>
  <c r="N263" i="21"/>
  <c r="N259" i="21"/>
  <c r="N267" i="21"/>
  <c r="N260" i="21"/>
  <c r="N257" i="21"/>
  <c r="N256" i="21"/>
  <c r="N258" i="21"/>
  <c r="N269" i="21"/>
  <c r="N266" i="21"/>
  <c r="N262" i="21"/>
  <c r="N268" i="21"/>
  <c r="P237" i="21" a="1"/>
  <c r="P237" i="21" s="1"/>
  <c r="P255" i="21" a="1"/>
  <c r="P255" i="21" s="1"/>
  <c r="N253" i="21"/>
  <c r="N235" i="21"/>
  <c r="P83" i="21" a="1"/>
  <c r="P83" i="21" s="1"/>
  <c r="P101" i="21" a="1"/>
  <c r="P101" i="21" s="1"/>
  <c r="P116" i="21" s="1"/>
  <c r="V138" i="11" a="1"/>
  <c r="V138" i="11" s="1"/>
  <c r="P219" i="21" a="1"/>
  <c r="P219" i="21" s="1"/>
  <c r="V35" i="11" a="1"/>
  <c r="V35" i="11" s="1"/>
  <c r="ZY6" i="22" s="1"/>
  <c r="ZZ3" i="23" s="1"/>
  <c r="P119" i="21" a="1"/>
  <c r="P119" i="21" s="1"/>
  <c r="A28" i="21"/>
  <c r="A164" i="21"/>
  <c r="E21" i="7"/>
  <c r="I20" i="13"/>
  <c r="A18" i="20"/>
  <c r="P239" i="21" l="1"/>
  <c r="P243" i="21"/>
  <c r="P238" i="21"/>
  <c r="P242" i="21"/>
  <c r="P241" i="21"/>
  <c r="P240" i="21"/>
  <c r="P248" i="21"/>
  <c r="P247" i="21"/>
  <c r="P244" i="21"/>
  <c r="P246" i="21"/>
  <c r="P245" i="21"/>
  <c r="P249" i="21"/>
  <c r="P252" i="21"/>
  <c r="P251" i="21"/>
  <c r="P250" i="21"/>
  <c r="P223" i="21"/>
  <c r="P221" i="21"/>
  <c r="P220" i="21"/>
  <c r="P222" i="21"/>
  <c r="P230" i="21"/>
  <c r="P234" i="21"/>
  <c r="P224" i="21"/>
  <c r="P227" i="21"/>
  <c r="P229" i="21"/>
  <c r="P225" i="21"/>
  <c r="P226" i="21"/>
  <c r="P231" i="21"/>
  <c r="P228" i="21"/>
  <c r="P233" i="21"/>
  <c r="P232" i="21"/>
  <c r="P102" i="21"/>
  <c r="P103" i="21"/>
  <c r="P104" i="21"/>
  <c r="P105" i="21"/>
  <c r="P106" i="21"/>
  <c r="P107" i="21"/>
  <c r="P108" i="21"/>
  <c r="P109" i="21"/>
  <c r="P110" i="21"/>
  <c r="P111" i="21"/>
  <c r="P112" i="21"/>
  <c r="P113" i="21"/>
  <c r="P114" i="21"/>
  <c r="P115" i="21"/>
  <c r="O269" i="21"/>
  <c r="O268" i="21"/>
  <c r="O266" i="21"/>
  <c r="O261" i="21"/>
  <c r="O270" i="21"/>
  <c r="C290" i="21"/>
  <c r="A294" i="21" a="1"/>
  <c r="A294" i="21" s="1"/>
  <c r="A379" i="21" a="1"/>
  <c r="A379" i="21" s="1"/>
  <c r="N271" i="21"/>
  <c r="O257" i="21"/>
  <c r="O263" i="21"/>
  <c r="O259" i="21"/>
  <c r="O265" i="21"/>
  <c r="O258" i="21"/>
  <c r="O264" i="21"/>
  <c r="O256" i="21"/>
  <c r="O260" i="21"/>
  <c r="O262" i="21"/>
  <c r="O267" i="21"/>
  <c r="Q237" i="21" a="1"/>
  <c r="Q237" i="21" s="1"/>
  <c r="Q255" i="21" a="1"/>
  <c r="Q255" i="21" s="1"/>
  <c r="O253" i="21"/>
  <c r="O235" i="21"/>
  <c r="W138" i="11" a="1"/>
  <c r="W138" i="11" s="1"/>
  <c r="Q219" i="21" a="1"/>
  <c r="Q219" i="21" s="1"/>
  <c r="Q83" i="21" a="1"/>
  <c r="Q83" i="21" s="1"/>
  <c r="Q101" i="21" a="1"/>
  <c r="Q101" i="21" s="1"/>
  <c r="Q116" i="21" s="1"/>
  <c r="W35" i="11" a="1"/>
  <c r="W35" i="11" s="1"/>
  <c r="ZZ6" i="22" s="1"/>
  <c r="AAA3" i="23" s="1"/>
  <c r="Q119" i="21" a="1"/>
  <c r="Q119" i="21" s="1"/>
  <c r="A29" i="21"/>
  <c r="A380" i="21" s="1" a="1"/>
  <c r="A380" i="21" s="1"/>
  <c r="A165" i="21"/>
  <c r="E22" i="7"/>
  <c r="I21" i="13"/>
  <c r="A19" i="20"/>
  <c r="P257" i="21" l="1"/>
  <c r="P261" i="21"/>
  <c r="Q240" i="21"/>
  <c r="Q239" i="21"/>
  <c r="Q243" i="21"/>
  <c r="Q238" i="21"/>
  <c r="Q242" i="21"/>
  <c r="Q245" i="21"/>
  <c r="Q249" i="21"/>
  <c r="Q241" i="21"/>
  <c r="Q248" i="21"/>
  <c r="Q247" i="21"/>
  <c r="Q244" i="21"/>
  <c r="Q246" i="21"/>
  <c r="Q250" i="21"/>
  <c r="Q252" i="21"/>
  <c r="Q251" i="21"/>
  <c r="Q220" i="21"/>
  <c r="Q224" i="21"/>
  <c r="Q221" i="21"/>
  <c r="Q223" i="21"/>
  <c r="Q225" i="21"/>
  <c r="Q227" i="21"/>
  <c r="Q231" i="21"/>
  <c r="Q232" i="21"/>
  <c r="Q222" i="21"/>
  <c r="Q229" i="21"/>
  <c r="Q226" i="21"/>
  <c r="Q233" i="21"/>
  <c r="Q234" i="21"/>
  <c r="Q230" i="21"/>
  <c r="Q228" i="21"/>
  <c r="Q102" i="21"/>
  <c r="Q104" i="21"/>
  <c r="Q108" i="21"/>
  <c r="Q109" i="21"/>
  <c r="Q105" i="21"/>
  <c r="Q106" i="21"/>
  <c r="Q110" i="21"/>
  <c r="Q111" i="21"/>
  <c r="Q112" i="21"/>
  <c r="Q113" i="21"/>
  <c r="Q114" i="21"/>
  <c r="Q103" i="21"/>
  <c r="Q107" i="21"/>
  <c r="Q115" i="21"/>
  <c r="C291" i="21"/>
  <c r="P256" i="21"/>
  <c r="P269" i="21"/>
  <c r="O271" i="21"/>
  <c r="P266" i="21"/>
  <c r="P270" i="21"/>
  <c r="P263" i="21"/>
  <c r="P265" i="21"/>
  <c r="R255" i="21" a="1"/>
  <c r="R255" i="21" s="1"/>
  <c r="A295" i="21" a="1"/>
  <c r="A295" i="21" s="1"/>
  <c r="P258" i="21"/>
  <c r="P267" i="21"/>
  <c r="P262" i="21"/>
  <c r="P268" i="21"/>
  <c r="P253" i="21"/>
  <c r="P264" i="21"/>
  <c r="P259" i="21"/>
  <c r="P260" i="21"/>
  <c r="P235" i="21"/>
  <c r="R83" i="21" a="1"/>
  <c r="R83" i="21" s="1"/>
  <c r="R237" i="21" a="1"/>
  <c r="R237" i="21" s="1"/>
  <c r="R101" i="21" a="1"/>
  <c r="R101" i="21" s="1"/>
  <c r="R116" i="21" s="1"/>
  <c r="X138" i="11" a="1"/>
  <c r="X138" i="11" s="1"/>
  <c r="R219" i="21" a="1"/>
  <c r="R219" i="21" s="1"/>
  <c r="X35" i="11" a="1"/>
  <c r="X35" i="11" s="1"/>
  <c r="AAA6" i="22" s="1"/>
  <c r="AAB3" i="23" s="1"/>
  <c r="R119" i="21" a="1"/>
  <c r="R119" i="21" s="1"/>
  <c r="A30" i="21"/>
  <c r="A381" i="21" s="1" a="1"/>
  <c r="A381" i="21" s="1"/>
  <c r="A166" i="21"/>
  <c r="I22" i="13"/>
  <c r="E23" i="7"/>
  <c r="A20" i="20"/>
  <c r="Q257" i="21" l="1"/>
  <c r="Q263" i="21"/>
  <c r="Q259" i="21"/>
  <c r="R241" i="21"/>
  <c r="R240" i="21"/>
  <c r="R244" i="21"/>
  <c r="R239" i="21"/>
  <c r="R243" i="21"/>
  <c r="R246" i="21"/>
  <c r="R245" i="21"/>
  <c r="R249" i="21"/>
  <c r="R242" i="21"/>
  <c r="R248" i="21"/>
  <c r="R238" i="21"/>
  <c r="R247" i="21"/>
  <c r="R251" i="21"/>
  <c r="R250" i="21"/>
  <c r="R252" i="21"/>
  <c r="R221" i="21"/>
  <c r="R225" i="21"/>
  <c r="R222" i="21"/>
  <c r="R224" i="21"/>
  <c r="R223" i="21"/>
  <c r="R228" i="21"/>
  <c r="R232" i="21"/>
  <c r="R230" i="21"/>
  <c r="R227" i="21"/>
  <c r="R220" i="21"/>
  <c r="R229" i="21"/>
  <c r="R231" i="21"/>
  <c r="R234" i="21"/>
  <c r="R226" i="21"/>
  <c r="R233" i="21"/>
  <c r="R102" i="21"/>
  <c r="R103" i="21"/>
  <c r="R104" i="21"/>
  <c r="R105" i="21"/>
  <c r="R106" i="21"/>
  <c r="R107" i="21"/>
  <c r="R108" i="21"/>
  <c r="R109" i="21"/>
  <c r="R113" i="21"/>
  <c r="R114" i="21"/>
  <c r="R115" i="21"/>
  <c r="R112" i="21"/>
  <c r="R110" i="21"/>
  <c r="R111" i="21"/>
  <c r="Q269" i="21"/>
  <c r="C292" i="21"/>
  <c r="Q258" i="21"/>
  <c r="P271" i="21"/>
  <c r="Q262" i="21"/>
  <c r="Q256" i="21"/>
  <c r="Q267" i="21"/>
  <c r="Q261" i="21"/>
  <c r="Q268" i="21"/>
  <c r="Q265" i="21"/>
  <c r="Q260" i="21"/>
  <c r="Q266" i="21"/>
  <c r="Q264" i="21"/>
  <c r="S83" i="21" a="1"/>
  <c r="S83" i="21" s="1"/>
  <c r="A296" i="21" a="1"/>
  <c r="A296" i="21" s="1"/>
  <c r="Q253" i="21"/>
  <c r="Q270" i="21"/>
  <c r="S237" i="21" a="1"/>
  <c r="S237" i="21" s="1"/>
  <c r="S255" i="21" a="1"/>
  <c r="S255" i="21" s="1"/>
  <c r="Q235" i="21"/>
  <c r="S101" i="21" a="1"/>
  <c r="S101" i="21" s="1"/>
  <c r="S116" i="21" s="1"/>
  <c r="Y138" i="11" a="1"/>
  <c r="Y138" i="11" s="1"/>
  <c r="S219" i="21" a="1"/>
  <c r="S219" i="21" s="1"/>
  <c r="Y35" i="11" a="1"/>
  <c r="Y35" i="11" s="1"/>
  <c r="AAB6" i="22" s="1"/>
  <c r="AAC3" i="23" s="1"/>
  <c r="S119" i="21" a="1"/>
  <c r="S119" i="21" s="1"/>
  <c r="A31" i="21"/>
  <c r="A167" i="21"/>
  <c r="I23" i="13"/>
  <c r="A21" i="20"/>
  <c r="E24" i="7"/>
  <c r="S238" i="21" l="1"/>
  <c r="S242" i="21"/>
  <c r="S241" i="21"/>
  <c r="S240" i="21"/>
  <c r="S244" i="21"/>
  <c r="S239" i="21"/>
  <c r="S247" i="21"/>
  <c r="S246" i="21"/>
  <c r="S245" i="21"/>
  <c r="S249" i="21"/>
  <c r="S243" i="21"/>
  <c r="S248" i="21"/>
  <c r="S252" i="21"/>
  <c r="S251" i="21"/>
  <c r="S250" i="21"/>
  <c r="S222" i="21"/>
  <c r="S226" i="21"/>
  <c r="S220" i="21"/>
  <c r="S224" i="21"/>
  <c r="S221" i="21"/>
  <c r="S229" i="21"/>
  <c r="S233" i="21"/>
  <c r="S228" i="21"/>
  <c r="S230" i="21"/>
  <c r="S232" i="21"/>
  <c r="S225" i="21"/>
  <c r="S227" i="21"/>
  <c r="S231" i="21"/>
  <c r="S223" i="21"/>
  <c r="S234" i="21"/>
  <c r="S102" i="21"/>
  <c r="S103" i="21"/>
  <c r="S104" i="21"/>
  <c r="S105" i="21"/>
  <c r="S106" i="21"/>
  <c r="S107" i="21"/>
  <c r="S108" i="21"/>
  <c r="S110" i="21"/>
  <c r="S111" i="21"/>
  <c r="S112" i="21"/>
  <c r="S113" i="21"/>
  <c r="S109" i="21"/>
  <c r="S114" i="21"/>
  <c r="S115" i="21"/>
  <c r="R261" i="21"/>
  <c r="R266" i="21"/>
  <c r="R269" i="21"/>
  <c r="C293" i="21"/>
  <c r="A297" i="21" a="1"/>
  <c r="A297" i="21" s="1"/>
  <c r="A382" i="21" a="1"/>
  <c r="A382" i="21" s="1"/>
  <c r="Q271" i="21"/>
  <c r="R268" i="21"/>
  <c r="R257" i="21"/>
  <c r="R262" i="21"/>
  <c r="R270" i="21"/>
  <c r="R256" i="21"/>
  <c r="R264" i="21"/>
  <c r="R265" i="21"/>
  <c r="R259" i="21"/>
  <c r="R267" i="21"/>
  <c r="R263" i="21"/>
  <c r="R260" i="21"/>
  <c r="R258" i="21"/>
  <c r="T237" i="21" a="1"/>
  <c r="T237" i="21" s="1"/>
  <c r="T255" i="21" a="1"/>
  <c r="T255" i="21" s="1"/>
  <c r="R253" i="21"/>
  <c r="R235" i="21"/>
  <c r="T83" i="21" a="1"/>
  <c r="T83" i="21" s="1"/>
  <c r="Z138" i="11" a="1"/>
  <c r="Z138" i="11" s="1"/>
  <c r="T219" i="21" a="1"/>
  <c r="T219" i="21" s="1"/>
  <c r="T101" i="21" a="1"/>
  <c r="T101" i="21" s="1"/>
  <c r="T116" i="21" s="1"/>
  <c r="Z35" i="11" a="1"/>
  <c r="Z35" i="11" s="1"/>
  <c r="AAC6" i="22" s="1"/>
  <c r="AAD3" i="23" s="1"/>
  <c r="T119" i="21" a="1"/>
  <c r="T119" i="21" s="1"/>
  <c r="A32" i="21"/>
  <c r="U119" i="21" s="1" a="1"/>
  <c r="U119" i="21" s="1"/>
  <c r="A168" i="21"/>
  <c r="E25" i="7"/>
  <c r="A22" i="20"/>
  <c r="I24" i="13"/>
  <c r="S262" i="21" l="1"/>
  <c r="T239" i="21"/>
  <c r="T243" i="21"/>
  <c r="T238" i="21"/>
  <c r="T242" i="21"/>
  <c r="T241" i="21"/>
  <c r="T244" i="21"/>
  <c r="T248" i="21"/>
  <c r="T240" i="21"/>
  <c r="T247" i="21"/>
  <c r="T246" i="21"/>
  <c r="T245" i="21"/>
  <c r="T249" i="21"/>
  <c r="T252" i="21"/>
  <c r="T251" i="21"/>
  <c r="T250" i="21"/>
  <c r="T223" i="21"/>
  <c r="T220" i="21"/>
  <c r="T222" i="21"/>
  <c r="T224" i="21"/>
  <c r="T226" i="21"/>
  <c r="T230" i="21"/>
  <c r="T234" i="21"/>
  <c r="T221" i="21"/>
  <c r="T231" i="21"/>
  <c r="T228" i="21"/>
  <c r="T232" i="21"/>
  <c r="T229" i="21"/>
  <c r="T225" i="21"/>
  <c r="T227" i="21"/>
  <c r="T233" i="21"/>
  <c r="T102" i="21"/>
  <c r="T103" i="21"/>
  <c r="T104" i="21"/>
  <c r="T105" i="21"/>
  <c r="T106" i="21"/>
  <c r="T107" i="21"/>
  <c r="T108" i="21"/>
  <c r="T109" i="21"/>
  <c r="T110" i="21"/>
  <c r="T111" i="21"/>
  <c r="T112" i="21"/>
  <c r="T113" i="21"/>
  <c r="T114" i="21"/>
  <c r="T115" i="21"/>
  <c r="S257" i="21"/>
  <c r="C294" i="21"/>
  <c r="A298" i="21" a="1"/>
  <c r="A298" i="21" s="1"/>
  <c r="A383" i="21" a="1"/>
  <c r="A383" i="21" s="1"/>
  <c r="R271" i="21"/>
  <c r="S261" i="21"/>
  <c r="S266" i="21"/>
  <c r="S264" i="21"/>
  <c r="S258" i="21"/>
  <c r="S265" i="21"/>
  <c r="U101" i="21" a="1"/>
  <c r="U101" i="21" s="1"/>
  <c r="U116" i="21" s="1"/>
  <c r="S269" i="21"/>
  <c r="S259" i="21"/>
  <c r="S267" i="21"/>
  <c r="S270" i="21"/>
  <c r="S268" i="21"/>
  <c r="S263" i="21"/>
  <c r="S260" i="21"/>
  <c r="S253" i="21"/>
  <c r="S256" i="21"/>
  <c r="U237" i="21" a="1"/>
  <c r="U237" i="21" s="1"/>
  <c r="U255" i="21" a="1"/>
  <c r="U255" i="21" s="1"/>
  <c r="S235" i="21"/>
  <c r="AA138" i="11" a="1"/>
  <c r="AA138" i="11" s="1"/>
  <c r="U219" i="21" a="1"/>
  <c r="U219" i="21" s="1"/>
  <c r="U83" i="21" a="1"/>
  <c r="U83" i="21" s="1"/>
  <c r="AA35" i="11" a="1"/>
  <c r="AA35" i="11" s="1"/>
  <c r="AAD6" i="22" s="1"/>
  <c r="AAE3" i="23" s="1"/>
  <c r="A33" i="21"/>
  <c r="A384" i="21" s="1" a="1"/>
  <c r="A384" i="21" s="1"/>
  <c r="A169" i="21"/>
  <c r="E26" i="7"/>
  <c r="I25" i="13"/>
  <c r="A23" i="20"/>
  <c r="T260" i="21" l="1"/>
  <c r="U240" i="21"/>
  <c r="U239" i="21"/>
  <c r="U243" i="21"/>
  <c r="U238" i="21"/>
  <c r="U242" i="21"/>
  <c r="U245" i="21"/>
  <c r="U249" i="21"/>
  <c r="U244" i="21"/>
  <c r="U248" i="21"/>
  <c r="U241" i="21"/>
  <c r="U247" i="21"/>
  <c r="U246" i="21"/>
  <c r="U250" i="21"/>
  <c r="U252" i="21"/>
  <c r="U251" i="21"/>
  <c r="U220" i="21"/>
  <c r="U224" i="21"/>
  <c r="U221" i="21"/>
  <c r="U223" i="21"/>
  <c r="U222" i="21"/>
  <c r="U227" i="21"/>
  <c r="U231" i="21"/>
  <c r="U225" i="21"/>
  <c r="U226" i="21"/>
  <c r="U229" i="21"/>
  <c r="U228" i="21"/>
  <c r="U230" i="21"/>
  <c r="U233" i="21"/>
  <c r="U232" i="21"/>
  <c r="U234" i="21"/>
  <c r="U102" i="21"/>
  <c r="U103" i="21"/>
  <c r="U107" i="21"/>
  <c r="U104" i="21"/>
  <c r="U108" i="21"/>
  <c r="U105" i="21"/>
  <c r="U109" i="21"/>
  <c r="U110" i="21"/>
  <c r="U111" i="21"/>
  <c r="U112" i="21"/>
  <c r="U113" i="21"/>
  <c r="U114" i="21"/>
  <c r="U115" i="21"/>
  <c r="U106" i="21"/>
  <c r="T264" i="21"/>
  <c r="C295" i="21"/>
  <c r="S271" i="21"/>
  <c r="T263" i="21"/>
  <c r="T262" i="21"/>
  <c r="T256" i="21"/>
  <c r="T270" i="21"/>
  <c r="T268" i="21"/>
  <c r="T267" i="21"/>
  <c r="T261" i="21"/>
  <c r="T265" i="21"/>
  <c r="T259" i="21"/>
  <c r="V255" i="21" a="1"/>
  <c r="V255" i="21" s="1"/>
  <c r="A299" i="21" a="1"/>
  <c r="A299" i="21" s="1"/>
  <c r="T253" i="21"/>
  <c r="T266" i="21"/>
  <c r="T269" i="21"/>
  <c r="T257" i="21"/>
  <c r="T258" i="21"/>
  <c r="T235" i="21"/>
  <c r="V83" i="21" a="1"/>
  <c r="V83" i="21" s="1"/>
  <c r="V237" i="21" a="1"/>
  <c r="V237" i="21" s="1"/>
  <c r="V101" i="21" a="1"/>
  <c r="V101" i="21" s="1"/>
  <c r="V116" i="21" s="1"/>
  <c r="AB35" i="11" a="1"/>
  <c r="AB35" i="11" s="1"/>
  <c r="AAE6" i="22" s="1"/>
  <c r="AAF3" i="23" s="1"/>
  <c r="AB138" i="11" a="1"/>
  <c r="AB138" i="11" s="1"/>
  <c r="V219" i="21" a="1"/>
  <c r="V219" i="21" s="1"/>
  <c r="V119" i="21" a="1"/>
  <c r="V119" i="21" s="1"/>
  <c r="A34" i="21"/>
  <c r="A385" i="21" s="1" a="1"/>
  <c r="A385" i="21" s="1"/>
  <c r="A170" i="21"/>
  <c r="I26" i="13"/>
  <c r="A24" i="20"/>
  <c r="E27" i="7"/>
  <c r="U263" i="21" l="1"/>
  <c r="U268" i="21"/>
  <c r="U256" i="21"/>
  <c r="U261" i="21"/>
  <c r="V241" i="21"/>
  <c r="V240" i="21"/>
  <c r="V244" i="21"/>
  <c r="V239" i="21"/>
  <c r="V243" i="21"/>
  <c r="V238" i="21"/>
  <c r="V246" i="21"/>
  <c r="V245" i="21"/>
  <c r="V249" i="21"/>
  <c r="V248" i="21"/>
  <c r="V242" i="21"/>
  <c r="V247" i="21"/>
  <c r="V251" i="21"/>
  <c r="V250" i="21"/>
  <c r="V252" i="21"/>
  <c r="V221" i="21"/>
  <c r="V225" i="21"/>
  <c r="V223" i="21"/>
  <c r="V220" i="21"/>
  <c r="V228" i="21"/>
  <c r="V232" i="21"/>
  <c r="V227" i="21"/>
  <c r="V224" i="21"/>
  <c r="V226" i="21"/>
  <c r="V229" i="21"/>
  <c r="V231" i="21"/>
  <c r="V222" i="21"/>
  <c r="V234" i="21"/>
  <c r="V233" i="21"/>
  <c r="V230" i="21"/>
  <c r="U270" i="21"/>
  <c r="U258" i="21"/>
  <c r="V102" i="21"/>
  <c r="V103" i="21"/>
  <c r="V104" i="21"/>
  <c r="V105" i="21"/>
  <c r="V106" i="21"/>
  <c r="V107" i="21"/>
  <c r="V108" i="21"/>
  <c r="V109" i="21"/>
  <c r="V112" i="21"/>
  <c r="V114" i="21"/>
  <c r="V115" i="21"/>
  <c r="V111" i="21"/>
  <c r="V113" i="21"/>
  <c r="V110" i="21"/>
  <c r="C296" i="21"/>
  <c r="U264" i="21"/>
  <c r="T271" i="21"/>
  <c r="U265" i="21"/>
  <c r="U257" i="21"/>
  <c r="U262" i="21"/>
  <c r="U260" i="21"/>
  <c r="U266" i="21"/>
  <c r="W255" i="21" a="1"/>
  <c r="W255" i="21" s="1"/>
  <c r="A300" i="21" a="1"/>
  <c r="A300" i="21" s="1"/>
  <c r="U267" i="21"/>
  <c r="U269" i="21"/>
  <c r="U259" i="21"/>
  <c r="U253" i="21"/>
  <c r="U235" i="21"/>
  <c r="W101" i="21" a="1"/>
  <c r="W101" i="21" s="1"/>
  <c r="W116" i="21" s="1"/>
  <c r="W237" i="21" a="1"/>
  <c r="W237" i="21" s="1"/>
  <c r="W83" i="21" a="1"/>
  <c r="W83" i="21" s="1"/>
  <c r="AC35" i="11" a="1"/>
  <c r="AC35" i="11" s="1"/>
  <c r="AAF6" i="22" s="1"/>
  <c r="AAG3" i="23" s="1"/>
  <c r="W119" i="21" a="1"/>
  <c r="W119" i="21" s="1"/>
  <c r="AC138" i="11" a="1"/>
  <c r="AC138" i="11" s="1"/>
  <c r="W219" i="21" a="1"/>
  <c r="W219" i="21" s="1"/>
  <c r="A35" i="21"/>
  <c r="A171" i="21"/>
  <c r="I27" i="13"/>
  <c r="A25" i="20"/>
  <c r="E28" i="7"/>
  <c r="V261" i="21" l="1"/>
  <c r="W238" i="21"/>
  <c r="W242" i="21"/>
  <c r="W241" i="21"/>
  <c r="W240" i="21"/>
  <c r="W244" i="21"/>
  <c r="W243" i="21"/>
  <c r="W247" i="21"/>
  <c r="W239" i="21"/>
  <c r="W246" i="21"/>
  <c r="W245" i="21"/>
  <c r="W249" i="21"/>
  <c r="W248" i="21"/>
  <c r="W252" i="21"/>
  <c r="W251" i="21"/>
  <c r="W250" i="21"/>
  <c r="W222" i="21"/>
  <c r="W226" i="21"/>
  <c r="W224" i="21"/>
  <c r="W221" i="21"/>
  <c r="W223" i="21"/>
  <c r="W225" i="21"/>
  <c r="W229" i="21"/>
  <c r="W233" i="21"/>
  <c r="W230" i="21"/>
  <c r="W232" i="21"/>
  <c r="W227" i="21"/>
  <c r="W231" i="21"/>
  <c r="W220" i="21"/>
  <c r="W228" i="21"/>
  <c r="W234" i="21"/>
  <c r="W102" i="21"/>
  <c r="W103" i="21"/>
  <c r="W104" i="21"/>
  <c r="W105" i="21"/>
  <c r="W106" i="21"/>
  <c r="W107" i="21"/>
  <c r="W108" i="21"/>
  <c r="W110" i="21"/>
  <c r="W111" i="21"/>
  <c r="W112" i="21"/>
  <c r="W113" i="21"/>
  <c r="W114" i="21"/>
  <c r="W115" i="21"/>
  <c r="W109" i="21"/>
  <c r="V266" i="21"/>
  <c r="V269" i="21"/>
  <c r="V260" i="21"/>
  <c r="C297" i="21"/>
  <c r="A301" i="21" a="1"/>
  <c r="A301" i="21" s="1"/>
  <c r="A386" i="21" a="1"/>
  <c r="A386" i="21" s="1"/>
  <c r="U271" i="21"/>
  <c r="V257" i="21"/>
  <c r="V267" i="21"/>
  <c r="V268" i="21"/>
  <c r="V264" i="21"/>
  <c r="V262" i="21"/>
  <c r="V270" i="21"/>
  <c r="V263" i="21"/>
  <c r="V259" i="21"/>
  <c r="V265" i="21"/>
  <c r="V258" i="21"/>
  <c r="V256" i="21"/>
  <c r="X101" i="21" a="1"/>
  <c r="X101" i="21" s="1"/>
  <c r="X116" i="21" s="1"/>
  <c r="X255" i="21" a="1"/>
  <c r="X255" i="21" s="1"/>
  <c r="V253" i="21"/>
  <c r="V235" i="21"/>
  <c r="X83" i="21" a="1"/>
  <c r="X83" i="21" s="1"/>
  <c r="AD35" i="11" a="1"/>
  <c r="AD35" i="11" s="1"/>
  <c r="AAG6" i="22" s="1"/>
  <c r="AAH3" i="23" s="1"/>
  <c r="X237" i="21" a="1"/>
  <c r="X237" i="21" s="1"/>
  <c r="AD138" i="11" a="1"/>
  <c r="AD138" i="11" s="1"/>
  <c r="X219" i="21" a="1"/>
  <c r="X219" i="21" s="1"/>
  <c r="X119" i="21" a="1"/>
  <c r="X119" i="21" s="1"/>
  <c r="A36" i="21"/>
  <c r="A172" i="21"/>
  <c r="I28" i="13"/>
  <c r="E29" i="7"/>
  <c r="A26" i="20"/>
  <c r="X239" i="21" l="1"/>
  <c r="X243" i="21"/>
  <c r="X238" i="21"/>
  <c r="X242" i="21"/>
  <c r="X241" i="21"/>
  <c r="X248" i="21"/>
  <c r="X247" i="21"/>
  <c r="X240" i="21"/>
  <c r="X244" i="21"/>
  <c r="X246" i="21"/>
  <c r="X245" i="21"/>
  <c r="X249" i="21"/>
  <c r="X252" i="21"/>
  <c r="X251" i="21"/>
  <c r="X250" i="21"/>
  <c r="X223" i="21"/>
  <c r="X220" i="21"/>
  <c r="X222" i="21"/>
  <c r="X224" i="21"/>
  <c r="X221" i="21"/>
  <c r="X230" i="21"/>
  <c r="X234" i="21"/>
  <c r="X228" i="21"/>
  <c r="X225" i="21"/>
  <c r="X232" i="21"/>
  <c r="X226" i="21"/>
  <c r="X227" i="21"/>
  <c r="X229" i="21"/>
  <c r="X231" i="21"/>
  <c r="X233" i="21"/>
  <c r="X102" i="21"/>
  <c r="X103" i="21"/>
  <c r="X104" i="21"/>
  <c r="X105" i="21"/>
  <c r="X106" i="21"/>
  <c r="X107" i="21"/>
  <c r="X108" i="21"/>
  <c r="X109" i="21"/>
  <c r="X110" i="21"/>
  <c r="X111" i="21"/>
  <c r="X112" i="21"/>
  <c r="X113" i="21"/>
  <c r="X114" i="21"/>
  <c r="X115" i="21"/>
  <c r="C298" i="21"/>
  <c r="A302" i="21" a="1"/>
  <c r="A302" i="21" s="1"/>
  <c r="A387" i="21" a="1"/>
  <c r="A387" i="21" s="1"/>
  <c r="W264" i="21"/>
  <c r="W260" i="21"/>
  <c r="V271" i="21"/>
  <c r="W270" i="21"/>
  <c r="W268" i="21"/>
  <c r="W265" i="21"/>
  <c r="W263" i="21"/>
  <c r="W258" i="21"/>
  <c r="W257" i="21"/>
  <c r="W262" i="21"/>
  <c r="W267" i="21"/>
  <c r="W259" i="21"/>
  <c r="W269" i="21"/>
  <c r="W266" i="21"/>
  <c r="W261" i="21"/>
  <c r="W256" i="21"/>
  <c r="Y83" i="21" a="1"/>
  <c r="Y83" i="21" s="1"/>
  <c r="Y255" i="21" a="1"/>
  <c r="Y255" i="21" s="1"/>
  <c r="W253" i="21"/>
  <c r="W235" i="21"/>
  <c r="Y101" i="21" a="1"/>
  <c r="Y101" i="21" s="1"/>
  <c r="Y116" i="21" s="1"/>
  <c r="Y119" i="21" a="1"/>
  <c r="Y119" i="21" s="1"/>
  <c r="Y237" i="21" a="1"/>
  <c r="Y237" i="21" s="1"/>
  <c r="AE35" i="11" a="1"/>
  <c r="AE35" i="11" s="1"/>
  <c r="AAH6" i="22" s="1"/>
  <c r="AAI3" i="23" s="1"/>
  <c r="AE138" i="11" a="1"/>
  <c r="AE138" i="11" s="1"/>
  <c r="Y219" i="21" a="1"/>
  <c r="Y219" i="21" s="1"/>
  <c r="A37" i="21"/>
  <c r="A173" i="21"/>
  <c r="I29" i="13"/>
  <c r="A27" i="20"/>
  <c r="E30" i="7"/>
  <c r="Y240" i="21" l="1"/>
  <c r="Y239" i="21"/>
  <c r="Y243" i="21"/>
  <c r="Y238" i="21"/>
  <c r="Y242" i="21"/>
  <c r="Y245" i="21"/>
  <c r="Y248" i="21"/>
  <c r="Y247" i="21"/>
  <c r="Y241" i="21"/>
  <c r="Y244" i="21"/>
  <c r="Y246" i="21"/>
  <c r="Y250" i="21"/>
  <c r="Y249" i="21"/>
  <c r="Y252" i="21"/>
  <c r="Y251" i="21"/>
  <c r="Y220" i="21"/>
  <c r="Y224" i="21"/>
  <c r="Y222" i="21"/>
  <c r="Y226" i="21"/>
  <c r="Y227" i="21"/>
  <c r="Y231" i="21"/>
  <c r="Y223" i="21"/>
  <c r="Y221" i="21"/>
  <c r="Y228" i="21"/>
  <c r="Y230" i="21"/>
  <c r="Y225" i="21"/>
  <c r="Y232" i="21"/>
  <c r="Y233" i="21"/>
  <c r="Y234" i="21"/>
  <c r="Y229" i="21"/>
  <c r="Y102" i="21"/>
  <c r="Y106" i="21"/>
  <c r="Y109" i="21"/>
  <c r="Y103" i="21"/>
  <c r="Y107" i="21"/>
  <c r="Y104" i="21"/>
  <c r="Y108" i="21"/>
  <c r="Y110" i="21"/>
  <c r="Y111" i="21"/>
  <c r="Y112" i="21"/>
  <c r="Y113" i="21"/>
  <c r="Y105" i="21"/>
  <c r="Y115" i="21"/>
  <c r="Y114" i="21"/>
  <c r="X269" i="21"/>
  <c r="X263" i="21"/>
  <c r="X268" i="21"/>
  <c r="X266" i="21"/>
  <c r="X259" i="21"/>
  <c r="C299" i="21"/>
  <c r="Z119" i="21" a="1"/>
  <c r="Z119" i="21" s="1"/>
  <c r="A388" i="21" a="1"/>
  <c r="A388" i="21" s="1"/>
  <c r="W271" i="21"/>
  <c r="X264" i="21"/>
  <c r="X260" i="21"/>
  <c r="Z255" i="21" a="1"/>
  <c r="Z255" i="21" s="1"/>
  <c r="A303" i="21" a="1"/>
  <c r="A303" i="21" s="1"/>
  <c r="X262" i="21"/>
  <c r="X256" i="21"/>
  <c r="X258" i="21"/>
  <c r="X270" i="21"/>
  <c r="X265" i="21"/>
  <c r="X257" i="21"/>
  <c r="X267" i="21"/>
  <c r="X261" i="21"/>
  <c r="X253" i="21"/>
  <c r="X235" i="21"/>
  <c r="Z101" i="21" a="1"/>
  <c r="Z101" i="21" s="1"/>
  <c r="Z116" i="21" s="1"/>
  <c r="Z237" i="21" a="1"/>
  <c r="Z237" i="21" s="1"/>
  <c r="Z83" i="21" a="1"/>
  <c r="Z83" i="21" s="1"/>
  <c r="AF35" i="11" a="1"/>
  <c r="AF35" i="11" s="1"/>
  <c r="AAI6" i="22" s="1"/>
  <c r="AAJ3" i="23" s="1"/>
  <c r="AF138" i="11" a="1"/>
  <c r="AF138" i="11" s="1"/>
  <c r="Z219" i="21" a="1"/>
  <c r="Z219" i="21" s="1"/>
  <c r="A38" i="21"/>
  <c r="A389" i="21" s="1" a="1"/>
  <c r="A389" i="21" s="1"/>
  <c r="A174" i="21"/>
  <c r="I30" i="13"/>
  <c r="E31" i="7"/>
  <c r="A28" i="20"/>
  <c r="Y269" i="21" l="1"/>
  <c r="Y268" i="21"/>
  <c r="Y265" i="21"/>
  <c r="Z241" i="21"/>
  <c r="Z240" i="21"/>
  <c r="Z244" i="21"/>
  <c r="Z239" i="21"/>
  <c r="Z243" i="21"/>
  <c r="Z242" i="21"/>
  <c r="Z246" i="21"/>
  <c r="Z238" i="21"/>
  <c r="Z245" i="21"/>
  <c r="Z249" i="21"/>
  <c r="Z248" i="21"/>
  <c r="Z247" i="21"/>
  <c r="Z251" i="21"/>
  <c r="Z250" i="21"/>
  <c r="Z252" i="21"/>
  <c r="Z221" i="21"/>
  <c r="Z225" i="21"/>
  <c r="Z223" i="21"/>
  <c r="Z220" i="21"/>
  <c r="Z222" i="21"/>
  <c r="Z224" i="21"/>
  <c r="Z228" i="21"/>
  <c r="Z232" i="21"/>
  <c r="Z229" i="21"/>
  <c r="Z231" i="21"/>
  <c r="Z230" i="21"/>
  <c r="Z233" i="21"/>
  <c r="Z227" i="21"/>
  <c r="Z226" i="21"/>
  <c r="Z234" i="21"/>
  <c r="Z102" i="21"/>
  <c r="Z103" i="21"/>
  <c r="Z104" i="21"/>
  <c r="Z105" i="21"/>
  <c r="Z106" i="21"/>
  <c r="Z107" i="21"/>
  <c r="Z108" i="21"/>
  <c r="Z109" i="21"/>
  <c r="Z111" i="21"/>
  <c r="Z114" i="21"/>
  <c r="Z115" i="21"/>
  <c r="Z112" i="21"/>
  <c r="Z113" i="21"/>
  <c r="Z110" i="21"/>
  <c r="C300" i="21"/>
  <c r="X271" i="21"/>
  <c r="Y264" i="21"/>
  <c r="Y266" i="21"/>
  <c r="Y258" i="21"/>
  <c r="Y270" i="21"/>
  <c r="Y262" i="21"/>
  <c r="Y257" i="21"/>
  <c r="Y267" i="21"/>
  <c r="Y260" i="21"/>
  <c r="Y256" i="21"/>
  <c r="AA255" i="21" a="1"/>
  <c r="AA255" i="21" s="1"/>
  <c r="A304" i="21" a="1"/>
  <c r="A304" i="21" s="1"/>
  <c r="Y259" i="21"/>
  <c r="Y263" i="21"/>
  <c r="Y261" i="21"/>
  <c r="Y253" i="21"/>
  <c r="Y235" i="21"/>
  <c r="AA83" i="21" a="1"/>
  <c r="AA83" i="21" s="1"/>
  <c r="AA237" i="21" a="1"/>
  <c r="AA237" i="21" s="1"/>
  <c r="AA101" i="21" a="1"/>
  <c r="AA101" i="21" s="1"/>
  <c r="AA116" i="21" s="1"/>
  <c r="AG138" i="11" a="1"/>
  <c r="AG138" i="11" s="1"/>
  <c r="AA219" i="21" a="1"/>
  <c r="AA219" i="21" s="1"/>
  <c r="AG35" i="11" a="1"/>
  <c r="AG35" i="11" s="1"/>
  <c r="AAJ6" i="22" s="1"/>
  <c r="AAK3" i="23" s="1"/>
  <c r="AA119" i="21" a="1"/>
  <c r="AA119" i="21" s="1"/>
  <c r="A39" i="21"/>
  <c r="A390" i="21" s="1" a="1"/>
  <c r="A390" i="21" s="1"/>
  <c r="A175" i="21"/>
  <c r="I31" i="13"/>
  <c r="A29" i="20"/>
  <c r="E32" i="7"/>
  <c r="Z263" i="21" l="1"/>
  <c r="AA238" i="21"/>
  <c r="AA242" i="21"/>
  <c r="AA241" i="21"/>
  <c r="AA240" i="21"/>
  <c r="AA244" i="21"/>
  <c r="AA247" i="21"/>
  <c r="AA243" i="21"/>
  <c r="AA246" i="21"/>
  <c r="AA239" i="21"/>
  <c r="AA245" i="21"/>
  <c r="AA248" i="21"/>
  <c r="AA252" i="21"/>
  <c r="AA251" i="21"/>
  <c r="AA250" i="21"/>
  <c r="AA249" i="21"/>
  <c r="AA222" i="21"/>
  <c r="AA226" i="21"/>
  <c r="AA221" i="21"/>
  <c r="AA223" i="21"/>
  <c r="AA220" i="21"/>
  <c r="AA229" i="21"/>
  <c r="AA233" i="21"/>
  <c r="AA227" i="21"/>
  <c r="AA231" i="21"/>
  <c r="AA224" i="21"/>
  <c r="AA228" i="21"/>
  <c r="AA230" i="21"/>
  <c r="AA225" i="21"/>
  <c r="AA232" i="21"/>
  <c r="AA234" i="21"/>
  <c r="Z256" i="21"/>
  <c r="Z270" i="21"/>
  <c r="AA102" i="21"/>
  <c r="AA103" i="21"/>
  <c r="AA104" i="21"/>
  <c r="AA105" i="21"/>
  <c r="AA106" i="21"/>
  <c r="AA107" i="21"/>
  <c r="AA108" i="21"/>
  <c r="AA110" i="21"/>
  <c r="AA111" i="21"/>
  <c r="AA112" i="21"/>
  <c r="AA113" i="21"/>
  <c r="AA109" i="21"/>
  <c r="AA114" i="21"/>
  <c r="AA115" i="21"/>
  <c r="C301" i="21"/>
  <c r="Y271" i="21"/>
  <c r="Z269" i="21"/>
  <c r="Z260" i="21"/>
  <c r="Z261" i="21"/>
  <c r="Z257" i="21"/>
  <c r="Z258" i="21"/>
  <c r="Z264" i="21"/>
  <c r="Z268" i="21"/>
  <c r="Z262" i="21"/>
  <c r="AB255" i="21" a="1"/>
  <c r="AB255" i="21" s="1"/>
  <c r="A305" i="21" a="1"/>
  <c r="A305" i="21" s="1"/>
  <c r="Z266" i="21"/>
  <c r="Z265" i="21"/>
  <c r="Z259" i="21"/>
  <c r="Z267" i="21"/>
  <c r="Z253" i="21"/>
  <c r="Z235" i="21"/>
  <c r="AB83" i="21" a="1"/>
  <c r="AB83" i="21" s="1"/>
  <c r="AB237" i="21" a="1"/>
  <c r="AB237" i="21" s="1"/>
  <c r="AH138" i="11" a="1"/>
  <c r="AH138" i="11" s="1"/>
  <c r="AB219" i="21" a="1"/>
  <c r="AB219" i="21" s="1"/>
  <c r="AH35" i="11" a="1"/>
  <c r="AH35" i="11" s="1"/>
  <c r="AAK6" i="22" s="1"/>
  <c r="AAL3" i="23" s="1"/>
  <c r="AB119" i="21" a="1"/>
  <c r="AB119" i="21" s="1"/>
  <c r="AB101" i="21" a="1"/>
  <c r="AB101" i="21" s="1"/>
  <c r="AB116" i="21" s="1"/>
  <c r="A40" i="21"/>
  <c r="A176" i="21"/>
  <c r="I32" i="13"/>
  <c r="E33" i="7"/>
  <c r="A30" i="20"/>
  <c r="AB239" i="21" l="1"/>
  <c r="AB243" i="21"/>
  <c r="AB238" i="21"/>
  <c r="AB242" i="21"/>
  <c r="AB241" i="21"/>
  <c r="AB244" i="21"/>
  <c r="AB248" i="21"/>
  <c r="AB247" i="21"/>
  <c r="AB246" i="21"/>
  <c r="AB240" i="21"/>
  <c r="AB245" i="21"/>
  <c r="AB249" i="21"/>
  <c r="AB252" i="21"/>
  <c r="AB251" i="21"/>
  <c r="AB250" i="21"/>
  <c r="AB223" i="21"/>
  <c r="AB224" i="21"/>
  <c r="AB221" i="21"/>
  <c r="AB225" i="21"/>
  <c r="AB230" i="21"/>
  <c r="AB234" i="21"/>
  <c r="AB220" i="21"/>
  <c r="AB226" i="21"/>
  <c r="AB232" i="21"/>
  <c r="AB227" i="21"/>
  <c r="AB229" i="21"/>
  <c r="AB231" i="21"/>
  <c r="AB222" i="21"/>
  <c r="AB228" i="21"/>
  <c r="AB233" i="21"/>
  <c r="AB102" i="21"/>
  <c r="AB103" i="21"/>
  <c r="AB104" i="21"/>
  <c r="AB105" i="21"/>
  <c r="AB106" i="21"/>
  <c r="AB107" i="21"/>
  <c r="AB108" i="21"/>
  <c r="AB109" i="21"/>
  <c r="AB110" i="21"/>
  <c r="AB111" i="21"/>
  <c r="AB112" i="21"/>
  <c r="AB113" i="21"/>
  <c r="AB114" i="21"/>
  <c r="AB115" i="21"/>
  <c r="AA260" i="21"/>
  <c r="AA259" i="21"/>
  <c r="AA265" i="21"/>
  <c r="C302" i="21"/>
  <c r="A306" i="21" a="1"/>
  <c r="A306" i="21" s="1"/>
  <c r="A391" i="21" a="1"/>
  <c r="A391" i="21" s="1"/>
  <c r="AA256" i="21"/>
  <c r="Z271" i="21"/>
  <c r="AA262" i="21"/>
  <c r="AA268" i="21"/>
  <c r="AA269" i="21"/>
  <c r="AA266" i="21"/>
  <c r="AA263" i="21"/>
  <c r="AA257" i="21"/>
  <c r="AA258" i="21"/>
  <c r="AA270" i="21"/>
  <c r="AA264" i="21"/>
  <c r="AA261" i="21"/>
  <c r="AA267" i="21"/>
  <c r="AC237" i="21" a="1"/>
  <c r="AC237" i="21" s="1"/>
  <c r="AC255" i="21" a="1"/>
  <c r="AC255" i="21" s="1"/>
  <c r="AA253" i="21"/>
  <c r="AA235" i="21"/>
  <c r="AI138" i="11" a="1"/>
  <c r="AI138" i="11" s="1"/>
  <c r="AC219" i="21" a="1"/>
  <c r="AC219" i="21" s="1"/>
  <c r="AI35" i="11" a="1"/>
  <c r="AI35" i="11" s="1"/>
  <c r="AAL6" i="22" s="1"/>
  <c r="AAM3" i="23" s="1"/>
  <c r="AC101" i="21" a="1"/>
  <c r="AC101" i="21" s="1"/>
  <c r="AC116" i="21" s="1"/>
  <c r="AC83" i="21" a="1"/>
  <c r="AC83" i="21" s="1"/>
  <c r="AC119" i="21" a="1"/>
  <c r="AC119" i="21" s="1"/>
  <c r="A41" i="21"/>
  <c r="A392" i="21" s="1" a="1"/>
  <c r="A392" i="21" s="1"/>
  <c r="A177" i="21"/>
  <c r="E34" i="7"/>
  <c r="A31" i="20"/>
  <c r="I33" i="13"/>
  <c r="AC240" i="21" l="1"/>
  <c r="AC239" i="21"/>
  <c r="AC243" i="21"/>
  <c r="AC238" i="21"/>
  <c r="AC242" i="21"/>
  <c r="AC241" i="21"/>
  <c r="AC245" i="21"/>
  <c r="AC244" i="21"/>
  <c r="AC248" i="21"/>
  <c r="AC247" i="21"/>
  <c r="AC246" i="21"/>
  <c r="AC250" i="21"/>
  <c r="AC249" i="21"/>
  <c r="AC252" i="21"/>
  <c r="AC251" i="21"/>
  <c r="AC220" i="21"/>
  <c r="AC224" i="21"/>
  <c r="AC222" i="21"/>
  <c r="AC221" i="21"/>
  <c r="AC223" i="21"/>
  <c r="AC227" i="21"/>
  <c r="AC231" i="21"/>
  <c r="AC225" i="21"/>
  <c r="AC228" i="21"/>
  <c r="AC230" i="21"/>
  <c r="AC226" i="21"/>
  <c r="AC232" i="21"/>
  <c r="AC229" i="21"/>
  <c r="AC234" i="21"/>
  <c r="AC233" i="21"/>
  <c r="AC102" i="21"/>
  <c r="AC105" i="21"/>
  <c r="AC106" i="21"/>
  <c r="AC103" i="21"/>
  <c r="AC107" i="21"/>
  <c r="AC109" i="21"/>
  <c r="AC110" i="21"/>
  <c r="AC111" i="21"/>
  <c r="AC112" i="21"/>
  <c r="AC113" i="21"/>
  <c r="AC104" i="21"/>
  <c r="AC108" i="21"/>
  <c r="AC114" i="21"/>
  <c r="AC115" i="21"/>
  <c r="AB265" i="21"/>
  <c r="C303" i="21"/>
  <c r="AA271" i="21"/>
  <c r="AB262" i="21"/>
  <c r="AB259" i="21"/>
  <c r="AB257" i="21"/>
  <c r="AB266" i="21"/>
  <c r="AB267" i="21"/>
  <c r="AB264" i="21"/>
  <c r="AB263" i="21"/>
  <c r="AB268" i="21"/>
  <c r="AD255" i="21" a="1"/>
  <c r="AD255" i="21" s="1"/>
  <c r="A307" i="21" a="1"/>
  <c r="A307" i="21" s="1"/>
  <c r="AB269" i="21"/>
  <c r="AB258" i="21"/>
  <c r="AB256" i="21"/>
  <c r="AB270" i="21"/>
  <c r="AB261" i="21"/>
  <c r="AB260" i="21"/>
  <c r="AB253" i="21"/>
  <c r="AB235" i="21"/>
  <c r="AD119" i="21" a="1"/>
  <c r="AD119" i="21" s="1"/>
  <c r="AD237" i="21" a="1"/>
  <c r="AD237" i="21" s="1"/>
  <c r="AD101" i="21" a="1"/>
  <c r="AD101" i="21" s="1"/>
  <c r="AD116" i="21" s="1"/>
  <c r="AD83" i="21" a="1"/>
  <c r="AD83" i="21" s="1"/>
  <c r="AJ35" i="11" a="1"/>
  <c r="AJ35" i="11" s="1"/>
  <c r="AAM6" i="22" s="1"/>
  <c r="AAN3" i="23" s="1"/>
  <c r="AJ138" i="11" a="1"/>
  <c r="AJ138" i="11" s="1"/>
  <c r="AD219" i="21" a="1"/>
  <c r="AD219" i="21" s="1"/>
  <c r="A42" i="21"/>
  <c r="A393" i="21" s="1" a="1"/>
  <c r="A393" i="21" s="1"/>
  <c r="A178" i="21"/>
  <c r="I34" i="13"/>
  <c r="E35" i="7"/>
  <c r="A32" i="20"/>
  <c r="AC256" i="21" l="1"/>
  <c r="AD241" i="21"/>
  <c r="AD240" i="21"/>
  <c r="AD244" i="21"/>
  <c r="AD239" i="21"/>
  <c r="AD243" i="21"/>
  <c r="AD246" i="21"/>
  <c r="AD242" i="21"/>
  <c r="AD245" i="21"/>
  <c r="AD238" i="21"/>
  <c r="AD248" i="21"/>
  <c r="AD247" i="21"/>
  <c r="AD251" i="21"/>
  <c r="AD250" i="21"/>
  <c r="AD249" i="21"/>
  <c r="AD252" i="21"/>
  <c r="AD221" i="21"/>
  <c r="AD225" i="21"/>
  <c r="AD220" i="21"/>
  <c r="AD222" i="21"/>
  <c r="AD224" i="21"/>
  <c r="AD226" i="21"/>
  <c r="AD228" i="21"/>
  <c r="AD232" i="21"/>
  <c r="AD223" i="21"/>
  <c r="AD230" i="21"/>
  <c r="AD227" i="21"/>
  <c r="AD234" i="21"/>
  <c r="AD229" i="21"/>
  <c r="AD233" i="21"/>
  <c r="AD231" i="21"/>
  <c r="AC263" i="21"/>
  <c r="AC260" i="21"/>
  <c r="AC264" i="21"/>
  <c r="AD102" i="21"/>
  <c r="AD103" i="21"/>
  <c r="AD104" i="21"/>
  <c r="AD105" i="21"/>
  <c r="AD106" i="21"/>
  <c r="AD107" i="21"/>
  <c r="AD108" i="21"/>
  <c r="AD110" i="21"/>
  <c r="AD114" i="21"/>
  <c r="AD115" i="21"/>
  <c r="AD111" i="21"/>
  <c r="AD113" i="21"/>
  <c r="AD112" i="21"/>
  <c r="AD109" i="21"/>
  <c r="C304" i="21"/>
  <c r="AC259" i="21"/>
  <c r="AC267" i="21"/>
  <c r="AB271" i="21"/>
  <c r="AC261" i="21"/>
  <c r="AC266" i="21"/>
  <c r="AC270" i="21"/>
  <c r="AC265" i="21"/>
  <c r="AC269" i="21"/>
  <c r="AC262" i="21"/>
  <c r="AC268" i="21"/>
  <c r="AE255" i="21" a="1"/>
  <c r="AE255" i="21" s="1"/>
  <c r="A308" i="21" a="1"/>
  <c r="A308" i="21" s="1"/>
  <c r="AC253" i="21"/>
  <c r="AC257" i="21"/>
  <c r="AC258" i="21"/>
  <c r="AC235" i="21"/>
  <c r="AE83" i="21" a="1"/>
  <c r="AE83" i="21" s="1"/>
  <c r="AE237" i="21" a="1"/>
  <c r="AE237" i="21" s="1"/>
  <c r="AE101" i="21" a="1"/>
  <c r="AE101" i="21" s="1"/>
  <c r="AE116" i="21" s="1"/>
  <c r="AK138" i="11" a="1"/>
  <c r="AK138" i="11" s="1"/>
  <c r="AE219" i="21" a="1"/>
  <c r="AE219" i="21" s="1"/>
  <c r="AK35" i="11" a="1"/>
  <c r="AK35" i="11" s="1"/>
  <c r="AAN6" i="22" s="1"/>
  <c r="AAO3" i="23" s="1"/>
  <c r="AE119" i="21" a="1"/>
  <c r="AE119" i="21" s="1"/>
  <c r="A43" i="21"/>
  <c r="A394" i="21" s="1" a="1"/>
  <c r="A394" i="21" s="1"/>
  <c r="A179" i="21"/>
  <c r="E36" i="7"/>
  <c r="I35" i="13"/>
  <c r="A33" i="20"/>
  <c r="AE238" i="21" l="1"/>
  <c r="AE242" i="21"/>
  <c r="AE241" i="21"/>
  <c r="AE240" i="21"/>
  <c r="AE244" i="21"/>
  <c r="AE247" i="21"/>
  <c r="AE246" i="21"/>
  <c r="AE243" i="21"/>
  <c r="AE245" i="21"/>
  <c r="AE239" i="21"/>
  <c r="AE248" i="21"/>
  <c r="AE252" i="21"/>
  <c r="AE251" i="21"/>
  <c r="AE250" i="21"/>
  <c r="AE249" i="21"/>
  <c r="AE222" i="21"/>
  <c r="AE226" i="21"/>
  <c r="AE223" i="21"/>
  <c r="AE220" i="21"/>
  <c r="AE224" i="21"/>
  <c r="AE229" i="21"/>
  <c r="AE233" i="21"/>
  <c r="AE231" i="21"/>
  <c r="AE225" i="21"/>
  <c r="AE228" i="21"/>
  <c r="AE221" i="21"/>
  <c r="AE230" i="21"/>
  <c r="AE232" i="21"/>
  <c r="AE227" i="21"/>
  <c r="AE234" i="21"/>
  <c r="AE102" i="21"/>
  <c r="AE103" i="21"/>
  <c r="AE104" i="21"/>
  <c r="AE105" i="21"/>
  <c r="AE106" i="21"/>
  <c r="AE107" i="21"/>
  <c r="AE108" i="21"/>
  <c r="AE109" i="21"/>
  <c r="AE110" i="21"/>
  <c r="AE111" i="21"/>
  <c r="AE112" i="21"/>
  <c r="AE113" i="21"/>
  <c r="AE114" i="21"/>
  <c r="AE115" i="21"/>
  <c r="AD257" i="21"/>
  <c r="AD256" i="21"/>
  <c r="AD258" i="21"/>
  <c r="AD265" i="21"/>
  <c r="AD259" i="21"/>
  <c r="AD264" i="21"/>
  <c r="AD262" i="21"/>
  <c r="C305" i="21"/>
  <c r="AC271" i="21"/>
  <c r="AD260" i="21"/>
  <c r="AD266" i="21"/>
  <c r="AD268" i="21"/>
  <c r="AD261" i="21"/>
  <c r="AD270" i="21"/>
  <c r="AD269" i="21"/>
  <c r="AF101" i="21" a="1"/>
  <c r="AF101" i="21" s="1"/>
  <c r="AF116" i="21" s="1"/>
  <c r="A309" i="21" a="1"/>
  <c r="A309" i="21" s="1"/>
  <c r="AD263" i="21"/>
  <c r="AD267" i="21"/>
  <c r="AF237" i="21" a="1"/>
  <c r="AF237" i="21" s="1"/>
  <c r="AF255" i="21" a="1"/>
  <c r="AF255" i="21" s="1"/>
  <c r="AD253" i="21"/>
  <c r="AD235" i="21"/>
  <c r="AF119" i="21" a="1"/>
  <c r="AF119" i="21" s="1"/>
  <c r="AF83" i="21" a="1"/>
  <c r="AF83" i="21" s="1"/>
  <c r="AL138" i="11" a="1"/>
  <c r="AL138" i="11" s="1"/>
  <c r="AF219" i="21" a="1"/>
  <c r="AF219" i="21" s="1"/>
  <c r="AL35" i="11" a="1"/>
  <c r="AL35" i="11" s="1"/>
  <c r="AAO6" i="22" s="1"/>
  <c r="AAP3" i="23" s="1"/>
  <c r="A44" i="21"/>
  <c r="A395" i="21" s="1" a="1"/>
  <c r="A395" i="21" s="1"/>
  <c r="A180" i="21"/>
  <c r="A34" i="20"/>
  <c r="I36" i="13"/>
  <c r="E37" i="7"/>
  <c r="AE261" i="21" l="1"/>
  <c r="AE266" i="21"/>
  <c r="AF239" i="21"/>
  <c r="AF243" i="21"/>
  <c r="AF238" i="21"/>
  <c r="AF242" i="21"/>
  <c r="AF241" i="21"/>
  <c r="AF240" i="21"/>
  <c r="AF248" i="21"/>
  <c r="AF247" i="21"/>
  <c r="AF244" i="21"/>
  <c r="AF246" i="21"/>
  <c r="AF245" i="21"/>
  <c r="AF249" i="21"/>
  <c r="AF252" i="21"/>
  <c r="AF251" i="21"/>
  <c r="AF250" i="21"/>
  <c r="AF223" i="21"/>
  <c r="AF221" i="21"/>
  <c r="AF220" i="21"/>
  <c r="AF222" i="21"/>
  <c r="AF230" i="21"/>
  <c r="AF234" i="21"/>
  <c r="AF227" i="21"/>
  <c r="AF229" i="21"/>
  <c r="AF231" i="21"/>
  <c r="AF225" i="21"/>
  <c r="AF226" i="21"/>
  <c r="AF228" i="21"/>
  <c r="AF232" i="21"/>
  <c r="AF233" i="21"/>
  <c r="AF224" i="21"/>
  <c r="AF102" i="21"/>
  <c r="AF103" i="21"/>
  <c r="AF104" i="21"/>
  <c r="AF105" i="21"/>
  <c r="AF106" i="21"/>
  <c r="AF107" i="21"/>
  <c r="AF108" i="21"/>
  <c r="AF109" i="21"/>
  <c r="AF110" i="21"/>
  <c r="AF111" i="21"/>
  <c r="AF112" i="21"/>
  <c r="AF113" i="21"/>
  <c r="AF114" i="21"/>
  <c r="AF115" i="21"/>
  <c r="AE269" i="21"/>
  <c r="C306" i="21"/>
  <c r="AE260" i="21"/>
  <c r="AD271" i="21"/>
  <c r="AE264" i="21"/>
  <c r="AE257" i="21"/>
  <c r="AE263" i="21"/>
  <c r="AE259" i="21"/>
  <c r="AE268" i="21"/>
  <c r="AE262" i="21"/>
  <c r="AE256" i="21"/>
  <c r="AE270" i="21"/>
  <c r="AE267" i="21"/>
  <c r="AG255" i="21" a="1"/>
  <c r="AG255" i="21" s="1"/>
  <c r="A310" i="21" a="1"/>
  <c r="A310" i="21" s="1"/>
  <c r="AE258" i="21"/>
  <c r="AE265" i="21"/>
  <c r="AE253" i="21"/>
  <c r="AE235" i="21"/>
  <c r="AG83" i="21" a="1"/>
  <c r="AG83" i="21" s="1"/>
  <c r="AG237" i="21" a="1"/>
  <c r="AG237" i="21" s="1"/>
  <c r="AG101" i="21" a="1"/>
  <c r="AG101" i="21" s="1"/>
  <c r="AG116" i="21" s="1"/>
  <c r="AM138" i="11" a="1"/>
  <c r="AM138" i="11" s="1"/>
  <c r="AG219" i="21" a="1"/>
  <c r="AG219" i="21" s="1"/>
  <c r="AM35" i="11" a="1"/>
  <c r="AM35" i="11" s="1"/>
  <c r="AAP6" i="22" s="1"/>
  <c r="AAQ3" i="23" s="1"/>
  <c r="AG119" i="21" a="1"/>
  <c r="AG119" i="21" s="1"/>
  <c r="A45" i="21"/>
  <c r="A181" i="21"/>
  <c r="I37" i="13"/>
  <c r="A35" i="20"/>
  <c r="E38" i="7"/>
  <c r="AF261" i="21" l="1"/>
  <c r="AG240" i="21"/>
  <c r="AG239" i="21"/>
  <c r="AG243" i="21"/>
  <c r="AG238" i="21"/>
  <c r="AG242" i="21"/>
  <c r="AG245" i="21"/>
  <c r="AG241" i="21"/>
  <c r="AG248" i="21"/>
  <c r="AG247" i="21"/>
  <c r="AG244" i="21"/>
  <c r="AG246" i="21"/>
  <c r="AG250" i="21"/>
  <c r="AG249" i="21"/>
  <c r="AG252" i="21"/>
  <c r="AG251" i="21"/>
  <c r="AG220" i="21"/>
  <c r="AG224" i="21"/>
  <c r="AG221" i="21"/>
  <c r="AG223" i="21"/>
  <c r="AG225" i="21"/>
  <c r="AG227" i="21"/>
  <c r="AG231" i="21"/>
  <c r="AG222" i="21"/>
  <c r="AG232" i="21"/>
  <c r="AG229" i="21"/>
  <c r="AG230" i="21"/>
  <c r="AG233" i="21"/>
  <c r="AG226" i="21"/>
  <c r="AG234" i="21"/>
  <c r="AG228" i="21"/>
  <c r="AF258" i="21"/>
  <c r="AG102" i="21"/>
  <c r="AG104" i="21"/>
  <c r="AG108" i="21"/>
  <c r="AG105" i="21"/>
  <c r="AG106" i="21"/>
  <c r="AG109" i="21"/>
  <c r="AG110" i="21"/>
  <c r="AG111" i="21"/>
  <c r="AG112" i="21"/>
  <c r="AG113" i="21"/>
  <c r="AG114" i="21"/>
  <c r="AG115" i="21"/>
  <c r="AG103" i="21"/>
  <c r="AG107" i="21"/>
  <c r="AF257" i="21"/>
  <c r="AF264" i="21"/>
  <c r="C307" i="21"/>
  <c r="A311" i="21" a="1"/>
  <c r="A311" i="21" s="1"/>
  <c r="A396" i="21" a="1"/>
  <c r="A396" i="21" s="1"/>
  <c r="AF269" i="21"/>
  <c r="AE271" i="21"/>
  <c r="AF263" i="21"/>
  <c r="AF265" i="21"/>
  <c r="AF270" i="21"/>
  <c r="AF268" i="21"/>
  <c r="AF260" i="21"/>
  <c r="AF256" i="21"/>
  <c r="AF262" i="21"/>
  <c r="AF259" i="21"/>
  <c r="AF267" i="21"/>
  <c r="AF266" i="21"/>
  <c r="AF253" i="21"/>
  <c r="AH83" i="21" a="1"/>
  <c r="AH83" i="21" s="1"/>
  <c r="AH255" i="21" a="1"/>
  <c r="AH255" i="21" s="1"/>
  <c r="AF235" i="21"/>
  <c r="AN35" i="11" a="1"/>
  <c r="AN35" i="11" s="1"/>
  <c r="AAQ6" i="22" s="1"/>
  <c r="AAR3" i="23" s="1"/>
  <c r="AH237" i="21" a="1"/>
  <c r="AH237" i="21" s="1"/>
  <c r="AH101" i="21" a="1"/>
  <c r="AH101" i="21" s="1"/>
  <c r="AH116" i="21" s="1"/>
  <c r="AN138" i="11" a="1"/>
  <c r="AN138" i="11" s="1"/>
  <c r="AH219" i="21" a="1"/>
  <c r="AH219" i="21" s="1"/>
  <c r="AH119" i="21" a="1"/>
  <c r="AH119" i="21" s="1"/>
  <c r="A46" i="21"/>
  <c r="A182" i="21"/>
  <c r="I38" i="13"/>
  <c r="E39" i="7"/>
  <c r="A36" i="20"/>
  <c r="AH241" i="21" l="1"/>
  <c r="AH240" i="21"/>
  <c r="AH244" i="21"/>
  <c r="AH239" i="21"/>
  <c r="AH243" i="21"/>
  <c r="AH246" i="21"/>
  <c r="AH245" i="21"/>
  <c r="AH242" i="21"/>
  <c r="AH248" i="21"/>
  <c r="AH238" i="21"/>
  <c r="AH247" i="21"/>
  <c r="AH251" i="21"/>
  <c r="AH250" i="21"/>
  <c r="AH249" i="21"/>
  <c r="AH252" i="21"/>
  <c r="AH221" i="21"/>
  <c r="AH225" i="21"/>
  <c r="AH222" i="21"/>
  <c r="AH224" i="21"/>
  <c r="AH223" i="21"/>
  <c r="AH228" i="21"/>
  <c r="AH232" i="21"/>
  <c r="AH226" i="21"/>
  <c r="AH230" i="21"/>
  <c r="AH220" i="21"/>
  <c r="AH227" i="21"/>
  <c r="AH229" i="21"/>
  <c r="AH231" i="21"/>
  <c r="AH234" i="21"/>
  <c r="AH233" i="21"/>
  <c r="AH102" i="21"/>
  <c r="AH103" i="21"/>
  <c r="AH104" i="21"/>
  <c r="AH105" i="21"/>
  <c r="AH106" i="21"/>
  <c r="AH107" i="21"/>
  <c r="AH108" i="21"/>
  <c r="AH109" i="21"/>
  <c r="AH114" i="21"/>
  <c r="AH115" i="21"/>
  <c r="AH110" i="21"/>
  <c r="AH113" i="21"/>
  <c r="AH112" i="21"/>
  <c r="AH111" i="21"/>
  <c r="AG259" i="21"/>
  <c r="C308" i="21"/>
  <c r="A312" i="21" a="1"/>
  <c r="A312" i="21" s="1"/>
  <c r="A397" i="21" a="1"/>
  <c r="A397" i="21" s="1"/>
  <c r="AF271" i="21"/>
  <c r="AG256" i="21"/>
  <c r="AG269" i="21"/>
  <c r="AG261" i="21"/>
  <c r="AG270" i="21"/>
  <c r="AG258" i="21"/>
  <c r="AG262" i="21"/>
  <c r="AG263" i="21"/>
  <c r="AG264" i="21"/>
  <c r="AG267" i="21"/>
  <c r="AG265" i="21"/>
  <c r="AG257" i="21"/>
  <c r="AG266" i="21"/>
  <c r="AG260" i="21"/>
  <c r="AG268" i="21"/>
  <c r="AI237" i="21" a="1"/>
  <c r="AI237" i="21" s="1"/>
  <c r="AI255" i="21" a="1"/>
  <c r="AI255" i="21" s="1"/>
  <c r="AG253" i="21"/>
  <c r="AG235" i="21"/>
  <c r="AI83" i="21" a="1"/>
  <c r="AI83" i="21" s="1"/>
  <c r="AO138" i="11" a="1"/>
  <c r="AO138" i="11" s="1"/>
  <c r="AI219" i="21" a="1"/>
  <c r="AI219" i="21" s="1"/>
  <c r="AI101" i="21" a="1"/>
  <c r="AI101" i="21" s="1"/>
  <c r="AI116" i="21" s="1"/>
  <c r="AI119" i="21" a="1"/>
  <c r="AI119" i="21" s="1"/>
  <c r="AO35" i="11" a="1"/>
  <c r="AO35" i="11" s="1"/>
  <c r="AAR6" i="22" s="1"/>
  <c r="AAS3" i="23" s="1"/>
  <c r="A47" i="21"/>
  <c r="A183" i="21"/>
  <c r="I39" i="13"/>
  <c r="E40" i="7"/>
  <c r="A37" i="20"/>
  <c r="AI238" i="21" l="1"/>
  <c r="AI242" i="21"/>
  <c r="AI241" i="21"/>
  <c r="AI240" i="21"/>
  <c r="AI244" i="21"/>
  <c r="AI239" i="21"/>
  <c r="AI247" i="21"/>
  <c r="AI246" i="21"/>
  <c r="AI245" i="21"/>
  <c r="AI243" i="21"/>
  <c r="AI248" i="21"/>
  <c r="AI252" i="21"/>
  <c r="AI251" i="21"/>
  <c r="AI250" i="21"/>
  <c r="AI249" i="21"/>
  <c r="AI222" i="21"/>
  <c r="AI226" i="21"/>
  <c r="AI220" i="21"/>
  <c r="AI224" i="21"/>
  <c r="AI221" i="21"/>
  <c r="AI229" i="21"/>
  <c r="AI233" i="21"/>
  <c r="AI228" i="21"/>
  <c r="AI230" i="21"/>
  <c r="AI232" i="21"/>
  <c r="AI223" i="21"/>
  <c r="AI227" i="21"/>
  <c r="AI225" i="21"/>
  <c r="AI234" i="21"/>
  <c r="AI231" i="21"/>
  <c r="AI102" i="21"/>
  <c r="AI103" i="21"/>
  <c r="AI104" i="21"/>
  <c r="AI105" i="21"/>
  <c r="AI106" i="21"/>
  <c r="AI107" i="21"/>
  <c r="AI108" i="21"/>
  <c r="AI109" i="21"/>
  <c r="AI110" i="21"/>
  <c r="AI111" i="21"/>
  <c r="AI112" i="21"/>
  <c r="AI114" i="21"/>
  <c r="AI115" i="21"/>
  <c r="AI113" i="21"/>
  <c r="AH268" i="21"/>
  <c r="C309" i="21"/>
  <c r="A313" i="21" a="1"/>
  <c r="A313" i="21" s="1"/>
  <c r="A398" i="21" a="1"/>
  <c r="A398" i="21" s="1"/>
  <c r="AG271" i="21"/>
  <c r="AH264" i="21"/>
  <c r="AH265" i="21"/>
  <c r="AH270" i="21"/>
  <c r="AH262" i="21"/>
  <c r="AH267" i="21"/>
  <c r="AH257" i="21"/>
  <c r="AH266" i="21"/>
  <c r="AH263" i="21"/>
  <c r="AH260" i="21"/>
  <c r="AH258" i="21"/>
  <c r="AH269" i="21"/>
  <c r="AH256" i="21"/>
  <c r="AH261" i="21"/>
  <c r="AH259" i="21"/>
  <c r="AJ237" i="21" a="1"/>
  <c r="AJ237" i="21" s="1"/>
  <c r="AJ255" i="21" a="1"/>
  <c r="AJ255" i="21" s="1"/>
  <c r="AH253" i="21"/>
  <c r="AH235" i="21"/>
  <c r="AJ101" i="21" a="1"/>
  <c r="AJ101" i="21" s="1"/>
  <c r="AJ116" i="21" s="1"/>
  <c r="AJ83" i="21" a="1"/>
  <c r="AJ83" i="21" s="1"/>
  <c r="AP138" i="11" a="1"/>
  <c r="AP138" i="11" s="1"/>
  <c r="AJ219" i="21" a="1"/>
  <c r="AJ219" i="21" s="1"/>
  <c r="AP35" i="11" a="1"/>
  <c r="AP35" i="11" s="1"/>
  <c r="AAS6" i="22" s="1"/>
  <c r="AAT3" i="23" s="1"/>
  <c r="AJ119" i="21" a="1"/>
  <c r="AJ119" i="21" s="1"/>
  <c r="A48" i="21"/>
  <c r="A399" i="21" s="1" a="1"/>
  <c r="A399" i="21" s="1"/>
  <c r="A184" i="21"/>
  <c r="A38" i="20"/>
  <c r="E41" i="7"/>
  <c r="I40" i="13"/>
  <c r="AI259" i="21" l="1"/>
  <c r="AK119" i="21" a="1"/>
  <c r="AK119" i="21" s="1"/>
  <c r="AJ239" i="21"/>
  <c r="AJ243" i="21"/>
  <c r="AJ238" i="21"/>
  <c r="AJ242" i="21"/>
  <c r="AJ241" i="21"/>
  <c r="AJ244" i="21"/>
  <c r="AJ248" i="21"/>
  <c r="AJ240" i="21"/>
  <c r="AJ247" i="21"/>
  <c r="AJ246" i="21"/>
  <c r="AJ245" i="21"/>
  <c r="AJ249" i="21"/>
  <c r="AJ252" i="21"/>
  <c r="AJ251" i="21"/>
  <c r="AJ250" i="21"/>
  <c r="AJ223" i="21"/>
  <c r="AJ220" i="21"/>
  <c r="AJ222" i="21"/>
  <c r="AJ224" i="21"/>
  <c r="AJ226" i="21"/>
  <c r="AJ230" i="21"/>
  <c r="AJ234" i="21"/>
  <c r="AJ225" i="21"/>
  <c r="AJ231" i="21"/>
  <c r="AJ228" i="21"/>
  <c r="AJ232" i="21"/>
  <c r="AJ229" i="21"/>
  <c r="AJ233" i="21"/>
  <c r="AJ227" i="21"/>
  <c r="AJ221" i="21"/>
  <c r="AJ102" i="21"/>
  <c r="AJ103" i="21"/>
  <c r="AJ104" i="21"/>
  <c r="AJ105" i="21"/>
  <c r="AJ106" i="21"/>
  <c r="AJ107" i="21"/>
  <c r="AJ108" i="21"/>
  <c r="AJ109" i="21"/>
  <c r="AJ110" i="21"/>
  <c r="AJ111" i="21"/>
  <c r="AJ112" i="21"/>
  <c r="AJ113" i="21"/>
  <c r="AJ114" i="21"/>
  <c r="AJ115" i="21"/>
  <c r="AI256" i="21"/>
  <c r="AI266" i="21"/>
  <c r="AI270" i="21"/>
  <c r="AI257" i="21"/>
  <c r="AI267" i="21"/>
  <c r="AI263" i="21"/>
  <c r="C310" i="21"/>
  <c r="AI258" i="21"/>
  <c r="AH271" i="21"/>
  <c r="AI262" i="21"/>
  <c r="AI269" i="21"/>
  <c r="AI260" i="21"/>
  <c r="AI268" i="21"/>
  <c r="AI265" i="21"/>
  <c r="AI264" i="21"/>
  <c r="AI261" i="21"/>
  <c r="AK255" i="21" a="1"/>
  <c r="AK255" i="21" s="1"/>
  <c r="A314" i="21" a="1"/>
  <c r="A314" i="21" s="1"/>
  <c r="AI253" i="21"/>
  <c r="AI235" i="21"/>
  <c r="AQ35" i="11" a="1"/>
  <c r="AQ35" i="11" s="1"/>
  <c r="AAT6" i="22" s="1"/>
  <c r="AAU3" i="23" s="1"/>
  <c r="AK237" i="21" a="1"/>
  <c r="AK237" i="21" s="1"/>
  <c r="AK101" i="21" a="1"/>
  <c r="AK101" i="21" s="1"/>
  <c r="AK116" i="21" s="1"/>
  <c r="AK83" i="21" a="1"/>
  <c r="AK83" i="21" s="1"/>
  <c r="AQ138" i="11" a="1"/>
  <c r="AQ138" i="11" s="1"/>
  <c r="AK219" i="21" a="1"/>
  <c r="AK219" i="21" s="1"/>
  <c r="A49" i="21"/>
  <c r="A185" i="21"/>
  <c r="E42" i="7"/>
  <c r="I41" i="13"/>
  <c r="A39" i="20"/>
  <c r="AJ261" i="21" l="1"/>
  <c r="AK240" i="21"/>
  <c r="AK239" i="21"/>
  <c r="AK243" i="21"/>
  <c r="AK238" i="21"/>
  <c r="AK242" i="21"/>
  <c r="AK245" i="21"/>
  <c r="AK244" i="21"/>
  <c r="AK248" i="21"/>
  <c r="AK241" i="21"/>
  <c r="AK247" i="21"/>
  <c r="AK246" i="21"/>
  <c r="AK250" i="21"/>
  <c r="AK249" i="21"/>
  <c r="AK252" i="21"/>
  <c r="AK251" i="21"/>
  <c r="AK220" i="21"/>
  <c r="AK224" i="21"/>
  <c r="AK221" i="21"/>
  <c r="AK223" i="21"/>
  <c r="AK222" i="21"/>
  <c r="AK227" i="21"/>
  <c r="AK231" i="21"/>
  <c r="AK229" i="21"/>
  <c r="AK225" i="21"/>
  <c r="AK226" i="21"/>
  <c r="AK228" i="21"/>
  <c r="AK230" i="21"/>
  <c r="AK233" i="21"/>
  <c r="AK232" i="21"/>
  <c r="AK234" i="21"/>
  <c r="AJ270" i="21"/>
  <c r="AK102" i="21"/>
  <c r="AK103" i="21"/>
  <c r="AK107" i="21"/>
  <c r="AK104" i="21"/>
  <c r="AK108" i="21"/>
  <c r="AK105" i="21"/>
  <c r="AK109" i="21"/>
  <c r="AK110" i="21"/>
  <c r="AK111" i="21"/>
  <c r="AK112" i="21"/>
  <c r="AK113" i="21"/>
  <c r="AK106" i="21"/>
  <c r="AK115" i="21"/>
  <c r="AK114" i="21"/>
  <c r="AJ259" i="21"/>
  <c r="AJ267" i="21"/>
  <c r="AJ260" i="21"/>
  <c r="AJ268" i="21"/>
  <c r="AJ258" i="21"/>
  <c r="C311" i="21"/>
  <c r="A315" i="21" a="1"/>
  <c r="A315" i="21" s="1"/>
  <c r="A400" i="21" a="1"/>
  <c r="A400" i="21" s="1"/>
  <c r="AJ264" i="21"/>
  <c r="AJ256" i="21"/>
  <c r="AJ266" i="21"/>
  <c r="AJ257" i="21"/>
  <c r="AJ269" i="21"/>
  <c r="AJ262" i="21"/>
  <c r="AJ265" i="21"/>
  <c r="AJ253" i="21"/>
  <c r="AI271" i="21"/>
  <c r="AJ263" i="21"/>
  <c r="AL101" i="21" a="1"/>
  <c r="AL101" i="21" s="1"/>
  <c r="AL116" i="21" s="1"/>
  <c r="AR35" i="11" a="1"/>
  <c r="AR35" i="11" s="1"/>
  <c r="AAU6" i="22" s="1"/>
  <c r="AAV3" i="23" s="1"/>
  <c r="AL255" i="21" a="1"/>
  <c r="AL255" i="21" s="1"/>
  <c r="AJ235" i="21"/>
  <c r="AL83" i="21" a="1"/>
  <c r="AL83" i="21" s="1"/>
  <c r="AL119" i="21" a="1"/>
  <c r="AL119" i="21" s="1"/>
  <c r="AL237" i="21" a="1"/>
  <c r="AL237" i="21" s="1"/>
  <c r="AR138" i="11" a="1"/>
  <c r="AR138" i="11" s="1"/>
  <c r="AL219" i="21" a="1"/>
  <c r="AL219" i="21" s="1"/>
  <c r="A50" i="21"/>
  <c r="A186" i="21"/>
  <c r="I42" i="13"/>
  <c r="E43" i="7"/>
  <c r="A40" i="20"/>
  <c r="AL241" i="21" l="1"/>
  <c r="AL240" i="21"/>
  <c r="AL239" i="21"/>
  <c r="AL243" i="21"/>
  <c r="AL238" i="21"/>
  <c r="AL246" i="21"/>
  <c r="AL245" i="21"/>
  <c r="AL244" i="21"/>
  <c r="AL248" i="21"/>
  <c r="AL242" i="21"/>
  <c r="AL247" i="21"/>
  <c r="AL251" i="21"/>
  <c r="AL250" i="21"/>
  <c r="AL249" i="21"/>
  <c r="AL252" i="21"/>
  <c r="AL221" i="21"/>
  <c r="AL225" i="21"/>
  <c r="AL223" i="21"/>
  <c r="AL220" i="21"/>
  <c r="AL228" i="21"/>
  <c r="AL232" i="21"/>
  <c r="AL224" i="21"/>
  <c r="AL227" i="21"/>
  <c r="AL222" i="21"/>
  <c r="AL229" i="21"/>
  <c r="AL231" i="21"/>
  <c r="AL226" i="21"/>
  <c r="AL234" i="21"/>
  <c r="AL233" i="21"/>
  <c r="AL230" i="21"/>
  <c r="AL102" i="21"/>
  <c r="AL103" i="21"/>
  <c r="AL104" i="21"/>
  <c r="AL105" i="21"/>
  <c r="AL106" i="21"/>
  <c r="AL107" i="21"/>
  <c r="AL108" i="21"/>
  <c r="AL112" i="21"/>
  <c r="AL114" i="21"/>
  <c r="AL115" i="21"/>
  <c r="AL109" i="21"/>
  <c r="AL110" i="21"/>
  <c r="AL111" i="21"/>
  <c r="AL113" i="21"/>
  <c r="AK260" i="21"/>
  <c r="AK264" i="21"/>
  <c r="AK265" i="21"/>
  <c r="AK267" i="21"/>
  <c r="C312" i="21"/>
  <c r="A316" i="21" a="1"/>
  <c r="A316" i="21" s="1"/>
  <c r="A401" i="21" a="1"/>
  <c r="A401" i="21" s="1"/>
  <c r="AJ271" i="21"/>
  <c r="AK258" i="21"/>
  <c r="AK270" i="21"/>
  <c r="AK262" i="21"/>
  <c r="AK268" i="21"/>
  <c r="AK259" i="21"/>
  <c r="AK257" i="21"/>
  <c r="AK266" i="21"/>
  <c r="AK256" i="21"/>
  <c r="AK261" i="21"/>
  <c r="AK269" i="21"/>
  <c r="AK263" i="21"/>
  <c r="AM237" i="21" a="1"/>
  <c r="AM237" i="21" s="1"/>
  <c r="AM255" i="21" a="1"/>
  <c r="AM255" i="21" s="1"/>
  <c r="AK253" i="21"/>
  <c r="AK235" i="21"/>
  <c r="AM101" i="21" a="1"/>
  <c r="AM101" i="21" s="1"/>
  <c r="AM116" i="21" s="1"/>
  <c r="AM83" i="21" a="1"/>
  <c r="AM83" i="21" s="1"/>
  <c r="AS35" i="11" a="1"/>
  <c r="AS35" i="11" s="1"/>
  <c r="AAV6" i="22" s="1"/>
  <c r="AAW3" i="23" s="1"/>
  <c r="AM119" i="21" a="1"/>
  <c r="AM119" i="21" s="1"/>
  <c r="AS138" i="11" a="1"/>
  <c r="AS138" i="11" s="1"/>
  <c r="AM219" i="21" a="1"/>
  <c r="AM219" i="21" s="1"/>
  <c r="A51" i="21"/>
  <c r="A402" i="21" s="1" a="1"/>
  <c r="A402" i="21" s="1"/>
  <c r="A187" i="21"/>
  <c r="I43" i="13"/>
  <c r="A41" i="20"/>
  <c r="E44" i="7"/>
  <c r="AM238" i="21" l="1"/>
  <c r="AM242" i="21"/>
  <c r="AM241" i="21"/>
  <c r="AM240" i="21"/>
  <c r="AM243" i="21"/>
  <c r="AM247" i="21"/>
  <c r="AM239" i="21"/>
  <c r="AM246" i="21"/>
  <c r="AM245" i="21"/>
  <c r="AM244" i="21"/>
  <c r="AM248" i="21"/>
  <c r="AM252" i="21"/>
  <c r="AM251" i="21"/>
  <c r="AM250" i="21"/>
  <c r="AM249" i="21"/>
  <c r="AM222" i="21"/>
  <c r="AM224" i="21"/>
  <c r="AM221" i="21"/>
  <c r="AM223" i="21"/>
  <c r="AM225" i="21"/>
  <c r="AM229" i="21"/>
  <c r="AM233" i="21"/>
  <c r="AM230" i="21"/>
  <c r="AM232" i="21"/>
  <c r="AM227" i="21"/>
  <c r="AM220" i="21"/>
  <c r="AM231" i="21"/>
  <c r="AM226" i="21"/>
  <c r="AM234" i="21"/>
  <c r="AM228" i="21"/>
  <c r="AM102" i="21"/>
  <c r="AM103" i="21"/>
  <c r="AM104" i="21"/>
  <c r="AM105" i="21"/>
  <c r="AM106" i="21"/>
  <c r="AM107" i="21"/>
  <c r="AM108" i="21"/>
  <c r="AM109" i="21"/>
  <c r="AM110" i="21"/>
  <c r="AM111" i="21"/>
  <c r="AM112" i="21"/>
  <c r="AM113" i="21"/>
  <c r="AM114" i="21"/>
  <c r="AM115" i="21"/>
  <c r="C313" i="21"/>
  <c r="AK271" i="21"/>
  <c r="AL260" i="21"/>
  <c r="AL257" i="21"/>
  <c r="AL265" i="21"/>
  <c r="AL267" i="21"/>
  <c r="AL262" i="21"/>
  <c r="AL259" i="21"/>
  <c r="AL266" i="21"/>
  <c r="AL258" i="21"/>
  <c r="AL268" i="21"/>
  <c r="AL263" i="21"/>
  <c r="AN255" i="21" a="1"/>
  <c r="AN255" i="21" s="1"/>
  <c r="A317" i="21" a="1"/>
  <c r="A317" i="21" s="1"/>
  <c r="AL256" i="21"/>
  <c r="AL261" i="21"/>
  <c r="AL270" i="21"/>
  <c r="AL264" i="21"/>
  <c r="AL269" i="21"/>
  <c r="AL253" i="21"/>
  <c r="AL235" i="21"/>
  <c r="AN83" i="21" a="1"/>
  <c r="AN83" i="21" s="1"/>
  <c r="AN237" i="21" a="1"/>
  <c r="AN237" i="21" s="1"/>
  <c r="AN101" i="21" a="1"/>
  <c r="AN101" i="21" s="1"/>
  <c r="AN116" i="21" s="1"/>
  <c r="AT138" i="11" a="1"/>
  <c r="AT138" i="11" s="1"/>
  <c r="AN219" i="21" a="1"/>
  <c r="AN219" i="21" s="1"/>
  <c r="AT35" i="11" a="1"/>
  <c r="AT35" i="11" s="1"/>
  <c r="AAW6" i="22" s="1"/>
  <c r="AAX3" i="23" s="1"/>
  <c r="AN119" i="21" a="1"/>
  <c r="AN119" i="21" s="1"/>
  <c r="A52" i="21"/>
  <c r="A188" i="21"/>
  <c r="E45" i="7"/>
  <c r="I44" i="13"/>
  <c r="A42" i="20"/>
  <c r="AM256" i="21" l="1"/>
  <c r="AM260" i="21"/>
  <c r="AN239" i="21"/>
  <c r="AN238" i="21"/>
  <c r="AN242" i="21"/>
  <c r="AN241" i="21"/>
  <c r="AN244" i="21"/>
  <c r="AN248" i="21"/>
  <c r="AN243" i="21"/>
  <c r="AN247" i="21"/>
  <c r="AN240" i="21"/>
  <c r="AN246" i="21"/>
  <c r="AN245" i="21"/>
  <c r="AN249" i="21"/>
  <c r="AN252" i="21"/>
  <c r="AN251" i="21"/>
  <c r="AN250" i="21"/>
  <c r="AN223" i="21"/>
  <c r="AN220" i="21"/>
  <c r="AN222" i="21"/>
  <c r="AN224" i="21"/>
  <c r="AN221" i="21"/>
  <c r="AN226" i="21"/>
  <c r="AN230" i="21"/>
  <c r="AN234" i="21"/>
  <c r="AN228" i="21"/>
  <c r="AN232" i="21"/>
  <c r="AN225" i="21"/>
  <c r="AN227" i="21"/>
  <c r="AN229" i="21"/>
  <c r="AN231" i="21"/>
  <c r="AN233" i="21"/>
  <c r="AN102" i="21"/>
  <c r="AN103" i="21"/>
  <c r="AN104" i="21"/>
  <c r="AN105" i="21"/>
  <c r="AN106" i="21"/>
  <c r="AN107" i="21"/>
  <c r="AN108" i="21"/>
  <c r="AN109" i="21"/>
  <c r="AN110" i="21"/>
  <c r="AN111" i="21"/>
  <c r="AN112" i="21"/>
  <c r="AN113" i="21"/>
  <c r="AN114" i="21"/>
  <c r="AN115" i="21"/>
  <c r="AM266" i="21"/>
  <c r="AM257" i="21"/>
  <c r="AM267" i="21"/>
  <c r="C314" i="21"/>
  <c r="A318" i="21" a="1"/>
  <c r="A318" i="21" s="1"/>
  <c r="A403" i="21" a="1"/>
  <c r="A403" i="21" s="1"/>
  <c r="AM269" i="21"/>
  <c r="AM262" i="21"/>
  <c r="AM263" i="21"/>
  <c r="AM261" i="21"/>
  <c r="AL271" i="21"/>
  <c r="AM270" i="21"/>
  <c r="AM258" i="21"/>
  <c r="AM259" i="21"/>
  <c r="AM253" i="21"/>
  <c r="AM265" i="21"/>
  <c r="AM264" i="21"/>
  <c r="AM268" i="21"/>
  <c r="AO101" i="21" a="1"/>
  <c r="AO101" i="21" s="1"/>
  <c r="AO116" i="21" s="1"/>
  <c r="AO255" i="21" a="1"/>
  <c r="AO255" i="21" s="1"/>
  <c r="AM235" i="21"/>
  <c r="AO83" i="21" a="1"/>
  <c r="AO83" i="21" s="1"/>
  <c r="AO119" i="21" a="1"/>
  <c r="AO119" i="21" s="1"/>
  <c r="AO237" i="21" a="1"/>
  <c r="AO237" i="21" s="1"/>
  <c r="AU35" i="11" a="1"/>
  <c r="AU35" i="11" s="1"/>
  <c r="AAX6" i="22" s="1"/>
  <c r="AAY3" i="23" s="1"/>
  <c r="AU138" i="11" a="1"/>
  <c r="AU138" i="11" s="1"/>
  <c r="AO219" i="21" a="1"/>
  <c r="AO219" i="21" s="1"/>
  <c r="A53" i="21"/>
  <c r="A189" i="21"/>
  <c r="I45" i="13"/>
  <c r="E46" i="7"/>
  <c r="A43" i="20"/>
  <c r="AO240" i="21" l="1"/>
  <c r="AO239" i="21"/>
  <c r="AO243" i="21"/>
  <c r="AO238" i="21"/>
  <c r="AO242" i="21"/>
  <c r="AO245" i="21"/>
  <c r="AO244" i="21"/>
  <c r="AO248" i="21"/>
  <c r="AO247" i="21"/>
  <c r="AO241" i="21"/>
  <c r="AO246" i="21"/>
  <c r="AO250" i="21"/>
  <c r="AO249" i="21"/>
  <c r="AO252" i="21"/>
  <c r="AO251" i="21"/>
  <c r="AO220" i="21"/>
  <c r="AO224" i="21"/>
  <c r="AO222" i="21"/>
  <c r="AO227" i="21"/>
  <c r="AO231" i="21"/>
  <c r="AO221" i="21"/>
  <c r="AO226" i="21"/>
  <c r="AO228" i="21"/>
  <c r="AO230" i="21"/>
  <c r="AO232" i="21"/>
  <c r="AO223" i="21"/>
  <c r="AO225" i="21"/>
  <c r="AO229" i="21"/>
  <c r="AO234" i="21"/>
  <c r="AO233" i="21"/>
  <c r="AO102" i="21"/>
  <c r="AO106" i="21"/>
  <c r="AO103" i="21"/>
  <c r="AO107" i="21"/>
  <c r="AO104" i="21"/>
  <c r="AO108" i="21"/>
  <c r="AO109" i="21"/>
  <c r="AO110" i="21"/>
  <c r="AO111" i="21"/>
  <c r="AO112" i="21"/>
  <c r="AO113" i="21"/>
  <c r="AO105" i="21"/>
  <c r="AO115" i="21"/>
  <c r="AO114" i="21"/>
  <c r="AN267" i="21"/>
  <c r="AN262" i="21"/>
  <c r="AN269" i="21"/>
  <c r="C315" i="21"/>
  <c r="A319" i="21" a="1"/>
  <c r="A319" i="21" s="1"/>
  <c r="A404" i="21" a="1"/>
  <c r="A404" i="21" s="1"/>
  <c r="AM271" i="21"/>
  <c r="AN259" i="21"/>
  <c r="AN258" i="21"/>
  <c r="AN261" i="21"/>
  <c r="AN270" i="21"/>
  <c r="AN263" i="21"/>
  <c r="AN257" i="21"/>
  <c r="AN260" i="21"/>
  <c r="AN264" i="21"/>
  <c r="AN265" i="21"/>
  <c r="AN266" i="21"/>
  <c r="AN256" i="21"/>
  <c r="AN268" i="21"/>
  <c r="AP237" i="21" a="1"/>
  <c r="AP237" i="21" s="1"/>
  <c r="AP255" i="21" a="1"/>
  <c r="AP255" i="21" s="1"/>
  <c r="AN253" i="21"/>
  <c r="AN235" i="21"/>
  <c r="AV138" i="11" a="1"/>
  <c r="AV138" i="11" s="1"/>
  <c r="AP219" i="21" a="1"/>
  <c r="AP219" i="21" s="1"/>
  <c r="AP101" i="21" a="1"/>
  <c r="AP101" i="21" s="1"/>
  <c r="AP116" i="21" s="1"/>
  <c r="AP83" i="21" a="1"/>
  <c r="AP83" i="21" s="1"/>
  <c r="AV35" i="11" a="1"/>
  <c r="AV35" i="11" s="1"/>
  <c r="AAY6" i="22" s="1"/>
  <c r="AAZ3" i="23" s="1"/>
  <c r="AP119" i="21" a="1"/>
  <c r="AP119" i="21" s="1"/>
  <c r="A54" i="21"/>
  <c r="A190" i="21"/>
  <c r="E47" i="7"/>
  <c r="I46" i="13"/>
  <c r="A44" i="20"/>
  <c r="AP241" i="21" l="1"/>
  <c r="AP240" i="21"/>
  <c r="AP239" i="21"/>
  <c r="AP243" i="21"/>
  <c r="AP242" i="21"/>
  <c r="AP246" i="21"/>
  <c r="AP238" i="21"/>
  <c r="AP245" i="21"/>
  <c r="AP244" i="21"/>
  <c r="AP248" i="21"/>
  <c r="AP247" i="21"/>
  <c r="AP251" i="21"/>
  <c r="AP250" i="21"/>
  <c r="AP249" i="21"/>
  <c r="AP252" i="21"/>
  <c r="AP221" i="21"/>
  <c r="AP225" i="21"/>
  <c r="AP223" i="21"/>
  <c r="AP220" i="21"/>
  <c r="AP222" i="21"/>
  <c r="AP224" i="21"/>
  <c r="AP228" i="21"/>
  <c r="AP232" i="21"/>
  <c r="AP229" i="21"/>
  <c r="AP231" i="21"/>
  <c r="AP226" i="21"/>
  <c r="AP230" i="21"/>
  <c r="AP233" i="21"/>
  <c r="AP227" i="21"/>
  <c r="AP234" i="21"/>
  <c r="AP102" i="21"/>
  <c r="AP103" i="21"/>
  <c r="AP104" i="21"/>
  <c r="AP105" i="21"/>
  <c r="AP106" i="21"/>
  <c r="AP107" i="21"/>
  <c r="AP108" i="21"/>
  <c r="AP111" i="21"/>
  <c r="AP114" i="21"/>
  <c r="AP115" i="21"/>
  <c r="AP110" i="21"/>
  <c r="AP112" i="21"/>
  <c r="AP113" i="21"/>
  <c r="AP109" i="21"/>
  <c r="AO269" i="21"/>
  <c r="C316" i="21"/>
  <c r="A320" i="21" a="1"/>
  <c r="A320" i="21" s="1"/>
  <c r="A405" i="21" a="1"/>
  <c r="A405" i="21" s="1"/>
  <c r="AN271" i="21"/>
  <c r="AO268" i="21"/>
  <c r="AO264" i="21"/>
  <c r="AO266" i="21"/>
  <c r="AO260" i="21"/>
  <c r="AO262" i="21"/>
  <c r="AO267" i="21"/>
  <c r="AO256" i="21"/>
  <c r="AO261" i="21"/>
  <c r="AO258" i="21"/>
  <c r="AO270" i="21"/>
  <c r="AO259" i="21"/>
  <c r="AO263" i="21"/>
  <c r="AO265" i="21"/>
  <c r="AO257" i="21"/>
  <c r="AQ237" i="21" a="1"/>
  <c r="AQ237" i="21" s="1"/>
  <c r="AQ255" i="21" a="1"/>
  <c r="AQ255" i="21" s="1"/>
  <c r="AO253" i="21"/>
  <c r="AO235" i="21"/>
  <c r="AW138" i="11" a="1"/>
  <c r="AW138" i="11" s="1"/>
  <c r="AQ219" i="21" a="1"/>
  <c r="AQ219" i="21" s="1"/>
  <c r="AQ101" i="21" a="1"/>
  <c r="AQ101" i="21" s="1"/>
  <c r="AQ116" i="21" s="1"/>
  <c r="AW35" i="11" a="1"/>
  <c r="AW35" i="11" s="1"/>
  <c r="AAZ6" i="22" s="1"/>
  <c r="ABA3" i="23" s="1"/>
  <c r="AQ83" i="21" a="1"/>
  <c r="AQ83" i="21" s="1"/>
  <c r="AQ119" i="21" a="1"/>
  <c r="AQ119" i="21" s="1"/>
  <c r="A55" i="21"/>
  <c r="A191" i="21"/>
  <c r="I47" i="13"/>
  <c r="E48" i="7"/>
  <c r="A45" i="20"/>
  <c r="AP259" i="21" l="1"/>
  <c r="AP257" i="21"/>
  <c r="AQ238" i="21"/>
  <c r="AQ242" i="21"/>
  <c r="AQ241" i="21"/>
  <c r="AQ240" i="21"/>
  <c r="AQ247" i="21"/>
  <c r="AQ246" i="21"/>
  <c r="AQ239" i="21"/>
  <c r="AQ243" i="21"/>
  <c r="AQ245" i="21"/>
  <c r="AQ244" i="21"/>
  <c r="AQ248" i="21"/>
  <c r="AQ252" i="21"/>
  <c r="AQ251" i="21"/>
  <c r="AQ250" i="21"/>
  <c r="AQ249" i="21"/>
  <c r="AQ222" i="21"/>
  <c r="AQ221" i="21"/>
  <c r="AQ223" i="21"/>
  <c r="AQ220" i="21"/>
  <c r="AQ229" i="21"/>
  <c r="AQ233" i="21"/>
  <c r="AQ225" i="21"/>
  <c r="AQ227" i="21"/>
  <c r="AQ224" i="21"/>
  <c r="AQ231" i="21"/>
  <c r="AQ226" i="21"/>
  <c r="AQ228" i="21"/>
  <c r="AQ230" i="21"/>
  <c r="AQ232" i="21"/>
  <c r="AQ234" i="21"/>
  <c r="AQ102" i="21"/>
  <c r="AQ103" i="21"/>
  <c r="AQ104" i="21"/>
  <c r="AQ105" i="21"/>
  <c r="AQ106" i="21"/>
  <c r="AQ107" i="21"/>
  <c r="AQ109" i="21"/>
  <c r="AQ110" i="21"/>
  <c r="AQ111" i="21"/>
  <c r="AQ112" i="21"/>
  <c r="AQ114" i="21"/>
  <c r="AQ115" i="21"/>
  <c r="AQ108" i="21"/>
  <c r="AQ113" i="21"/>
  <c r="AP263" i="21"/>
  <c r="AP262" i="21"/>
  <c r="C317" i="21"/>
  <c r="A321" i="21" a="1"/>
  <c r="A321" i="21" s="1"/>
  <c r="A406" i="21" a="1"/>
  <c r="A406" i="21" s="1"/>
  <c r="AP270" i="21"/>
  <c r="AP260" i="21"/>
  <c r="AP267" i="21"/>
  <c r="AO271" i="21"/>
  <c r="AP256" i="21"/>
  <c r="AP258" i="21"/>
  <c r="AP269" i="21"/>
  <c r="AP264" i="21"/>
  <c r="AP261" i="21"/>
  <c r="AP268" i="21"/>
  <c r="AP265" i="21"/>
  <c r="AP253" i="21"/>
  <c r="AP266" i="21"/>
  <c r="AR237" i="21" a="1"/>
  <c r="AR237" i="21" s="1"/>
  <c r="AR255" i="21" a="1"/>
  <c r="AR255" i="21" s="1"/>
  <c r="AP235" i="21"/>
  <c r="AX138" i="11" a="1"/>
  <c r="AX138" i="11" s="1"/>
  <c r="AR219" i="21" a="1"/>
  <c r="AR219" i="21" s="1"/>
  <c r="AR101" i="21" a="1"/>
  <c r="AR101" i="21" s="1"/>
  <c r="AR116" i="21" s="1"/>
  <c r="AR83" i="21" a="1"/>
  <c r="AR83" i="21" s="1"/>
  <c r="AX35" i="11" a="1"/>
  <c r="AX35" i="11" s="1"/>
  <c r="ABA6" i="22" s="1"/>
  <c r="ABB3" i="23" s="1"/>
  <c r="AR119" i="21" a="1"/>
  <c r="AR119" i="21" s="1"/>
  <c r="A56" i="21"/>
  <c r="A192" i="21"/>
  <c r="I48" i="13"/>
  <c r="A46" i="20"/>
  <c r="E49" i="7"/>
  <c r="AQ262" i="21" l="1"/>
  <c r="AR239" i="21"/>
  <c r="AR238" i="21"/>
  <c r="AR242" i="21"/>
  <c r="AR241" i="21"/>
  <c r="AR244" i="21"/>
  <c r="AR248" i="21"/>
  <c r="AR247" i="21"/>
  <c r="AR246" i="21"/>
  <c r="AR240" i="21"/>
  <c r="AR243" i="21"/>
  <c r="AR245" i="21"/>
  <c r="AR249" i="21"/>
  <c r="AR252" i="21"/>
  <c r="AR251" i="21"/>
  <c r="AR250" i="21"/>
  <c r="AR223" i="21"/>
  <c r="AR224" i="21"/>
  <c r="AR221" i="21"/>
  <c r="AR225" i="21"/>
  <c r="AR226" i="21"/>
  <c r="AR230" i="21"/>
  <c r="AR234" i="21"/>
  <c r="AR232" i="21"/>
  <c r="AR227" i="21"/>
  <c r="AR229" i="21"/>
  <c r="AR222" i="21"/>
  <c r="AR231" i="21"/>
  <c r="AR228" i="21"/>
  <c r="AR220" i="21"/>
  <c r="AR233" i="21"/>
  <c r="AR102" i="21"/>
  <c r="AR103" i="21"/>
  <c r="AR104" i="21"/>
  <c r="AR105" i="21"/>
  <c r="AR106" i="21"/>
  <c r="AR107" i="21"/>
  <c r="AR108" i="21"/>
  <c r="AR109" i="21"/>
  <c r="AR110" i="21"/>
  <c r="AR111" i="21"/>
  <c r="AR112" i="21"/>
  <c r="AR113" i="21"/>
  <c r="AR114" i="21"/>
  <c r="AR115" i="21"/>
  <c r="C318" i="21"/>
  <c r="A322" i="21" a="1"/>
  <c r="A322" i="21" s="1"/>
  <c r="A407" i="21" a="1"/>
  <c r="A407" i="21" s="1"/>
  <c r="AP271" i="21"/>
  <c r="AQ257" i="21"/>
  <c r="AQ266" i="21"/>
  <c r="AQ258" i="21"/>
  <c r="AQ269" i="21"/>
  <c r="AQ260" i="21"/>
  <c r="AQ256" i="21"/>
  <c r="AQ261" i="21"/>
  <c r="AQ270" i="21"/>
  <c r="AQ265" i="21"/>
  <c r="AQ259" i="21"/>
  <c r="AQ264" i="21"/>
  <c r="AQ267" i="21"/>
  <c r="AQ263" i="21"/>
  <c r="AQ268" i="21"/>
  <c r="AQ253" i="21"/>
  <c r="AS237" i="21" a="1"/>
  <c r="AS237" i="21" s="1"/>
  <c r="AS255" i="21" a="1"/>
  <c r="AS255" i="21" s="1"/>
  <c r="AQ235" i="21"/>
  <c r="AY138" i="11" a="1"/>
  <c r="AY138" i="11" s="1"/>
  <c r="AS219" i="21" a="1"/>
  <c r="AS219" i="21" s="1"/>
  <c r="AY35" i="11" a="1"/>
  <c r="AY35" i="11" s="1"/>
  <c r="ABB6" i="22" s="1"/>
  <c r="ABC3" i="23" s="1"/>
  <c r="AS83" i="21" a="1"/>
  <c r="AS83" i="21" s="1"/>
  <c r="AS101" i="21" a="1"/>
  <c r="AS101" i="21" s="1"/>
  <c r="AS116" i="21" s="1"/>
  <c r="AS119" i="21" a="1"/>
  <c r="AS119" i="21" s="1"/>
  <c r="A57" i="21"/>
  <c r="A193" i="21"/>
  <c r="I49" i="13"/>
  <c r="E50" i="7"/>
  <c r="A47" i="20"/>
  <c r="AR261" i="21" l="1"/>
  <c r="AS240" i="21"/>
  <c r="AS239" i="21"/>
  <c r="AS243" i="21"/>
  <c r="AS238" i="21"/>
  <c r="AS242" i="21"/>
  <c r="AS241" i="21"/>
  <c r="AS245" i="21"/>
  <c r="AS244" i="21"/>
  <c r="AS248" i="21"/>
  <c r="AS247" i="21"/>
  <c r="AS246" i="21"/>
  <c r="AS250" i="21"/>
  <c r="AS249" i="21"/>
  <c r="AS252" i="21"/>
  <c r="AS251" i="21"/>
  <c r="AS220" i="21"/>
  <c r="AS224" i="21"/>
  <c r="AS222" i="21"/>
  <c r="AS221" i="21"/>
  <c r="AS223" i="21"/>
  <c r="AS227" i="21"/>
  <c r="AS231" i="21"/>
  <c r="AS228" i="21"/>
  <c r="AS230" i="21"/>
  <c r="AS225" i="21"/>
  <c r="AS232" i="21"/>
  <c r="AS229" i="21"/>
  <c r="AS234" i="21"/>
  <c r="AS226" i="21"/>
  <c r="AS233" i="21"/>
  <c r="AS102" i="21"/>
  <c r="AS105" i="21"/>
  <c r="AS108" i="21"/>
  <c r="AS106" i="21"/>
  <c r="AS103" i="21"/>
  <c r="AS107" i="21"/>
  <c r="AS109" i="21"/>
  <c r="AS110" i="21"/>
  <c r="AS111" i="21"/>
  <c r="AS112" i="21"/>
  <c r="AS113" i="21"/>
  <c r="AS114" i="21"/>
  <c r="AS104" i="21"/>
  <c r="AS115" i="21"/>
  <c r="AR257" i="21"/>
  <c r="C319" i="21"/>
  <c r="A323" i="21" a="1"/>
  <c r="A323" i="21" s="1"/>
  <c r="A408" i="21" a="1"/>
  <c r="A408" i="21" s="1"/>
  <c r="AR269" i="21"/>
  <c r="AR266" i="21"/>
  <c r="AR259" i="21"/>
  <c r="AR268" i="21"/>
  <c r="AR263" i="21"/>
  <c r="AR256" i="21"/>
  <c r="AQ271" i="21"/>
  <c r="AR267" i="21"/>
  <c r="AR265" i="21"/>
  <c r="AR264" i="21"/>
  <c r="AR270" i="21"/>
  <c r="AR260" i="21"/>
  <c r="AR262" i="21"/>
  <c r="AR258" i="21"/>
  <c r="AR253" i="21"/>
  <c r="AT237" i="21" a="1"/>
  <c r="AT237" i="21" s="1"/>
  <c r="AT255" i="21" a="1"/>
  <c r="AT255" i="21" s="1"/>
  <c r="AR235" i="21"/>
  <c r="AZ138" i="11" a="1"/>
  <c r="AZ138" i="11" s="1"/>
  <c r="AT219" i="21" a="1"/>
  <c r="AT219" i="21" s="1"/>
  <c r="AT101" i="21" a="1"/>
  <c r="AT101" i="21" s="1"/>
  <c r="AT116" i="21" s="1"/>
  <c r="AZ35" i="11" a="1"/>
  <c r="AZ35" i="11" s="1"/>
  <c r="ABC6" i="22" s="1"/>
  <c r="ABD3" i="23" s="1"/>
  <c r="AT83" i="21" a="1"/>
  <c r="AT83" i="21" s="1"/>
  <c r="AT119" i="21" a="1"/>
  <c r="AT119" i="21" s="1"/>
  <c r="A58" i="21"/>
  <c r="A409" i="21" s="1" a="1"/>
  <c r="A409" i="21" s="1"/>
  <c r="A194" i="21"/>
  <c r="E51" i="7"/>
  <c r="A48" i="20"/>
  <c r="I50" i="13"/>
  <c r="AS257" i="21" l="1"/>
  <c r="AT241" i="21"/>
  <c r="AT240" i="21"/>
  <c r="AT239" i="21"/>
  <c r="AT243" i="21"/>
  <c r="AT246" i="21"/>
  <c r="AT242" i="21"/>
  <c r="AT245" i="21"/>
  <c r="AT238" i="21"/>
  <c r="AT244" i="21"/>
  <c r="AT248" i="21"/>
  <c r="AT247" i="21"/>
  <c r="AT251" i="21"/>
  <c r="AT250" i="21"/>
  <c r="AT249" i="21"/>
  <c r="AT252" i="21"/>
  <c r="AT221" i="21"/>
  <c r="AT225" i="21"/>
  <c r="AT220" i="21"/>
  <c r="AT222" i="21"/>
  <c r="AT224" i="21"/>
  <c r="AT228" i="21"/>
  <c r="AT232" i="21"/>
  <c r="AT223" i="21"/>
  <c r="AT226" i="21"/>
  <c r="AT230" i="21"/>
  <c r="AT227" i="21"/>
  <c r="AT231" i="21"/>
  <c r="AT234" i="21"/>
  <c r="AT229" i="21"/>
  <c r="AT233" i="21"/>
  <c r="AT102" i="21"/>
  <c r="AT103" i="21"/>
  <c r="AT104" i="21"/>
  <c r="AT105" i="21"/>
  <c r="AT106" i="21"/>
  <c r="AT107" i="21"/>
  <c r="AT108" i="21"/>
  <c r="AT110" i="21"/>
  <c r="AT114" i="21"/>
  <c r="AT115" i="21"/>
  <c r="AT109" i="21"/>
  <c r="AT111" i="21"/>
  <c r="AT113" i="21"/>
  <c r="AT112" i="21"/>
  <c r="AS264" i="21"/>
  <c r="AS260" i="21"/>
  <c r="C320" i="21"/>
  <c r="AS266" i="21"/>
  <c r="AS269" i="21"/>
  <c r="AR271" i="21"/>
  <c r="AS270" i="21"/>
  <c r="AS256" i="21"/>
  <c r="AS258" i="21"/>
  <c r="AS259" i="21"/>
  <c r="AS263" i="21"/>
  <c r="AS267" i="21"/>
  <c r="AS265" i="21"/>
  <c r="AS253" i="21"/>
  <c r="AS261" i="21"/>
  <c r="AS262" i="21"/>
  <c r="AS268" i="21"/>
  <c r="AU255" i="21" a="1"/>
  <c r="AU255" i="21" s="1"/>
  <c r="A324" i="21" a="1"/>
  <c r="A324" i="21" s="1"/>
  <c r="AS235" i="21"/>
  <c r="AU101" i="21" a="1"/>
  <c r="AU101" i="21" s="1"/>
  <c r="AU116" i="21" s="1"/>
  <c r="AU237" i="21" a="1"/>
  <c r="AU237" i="21" s="1"/>
  <c r="AU83" i="21" a="1"/>
  <c r="AU83" i="21" s="1"/>
  <c r="BA138" i="11" a="1"/>
  <c r="BA138" i="11" s="1"/>
  <c r="AU219" i="21" a="1"/>
  <c r="AU219" i="21" s="1"/>
  <c r="AU119" i="21" a="1"/>
  <c r="AU119" i="21" s="1"/>
  <c r="BA35" i="11" a="1"/>
  <c r="BA35" i="11" s="1"/>
  <c r="ABD6" i="22" s="1"/>
  <c r="ABE3" i="23" s="1"/>
  <c r="A59" i="21"/>
  <c r="A195" i="21"/>
  <c r="I51" i="13"/>
  <c r="E52" i="7"/>
  <c r="A49" i="20"/>
  <c r="AT258" i="21" l="1"/>
  <c r="AU238" i="21"/>
  <c r="AU242" i="21"/>
  <c r="AU241" i="21"/>
  <c r="AU240" i="21"/>
  <c r="AU243" i="21"/>
  <c r="AU247" i="21"/>
  <c r="AU246" i="21"/>
  <c r="AU245" i="21"/>
  <c r="AU239" i="21"/>
  <c r="AU244" i="21"/>
  <c r="AU248" i="21"/>
  <c r="AU252" i="21"/>
  <c r="AU251" i="21"/>
  <c r="AU250" i="21"/>
  <c r="AU249" i="21"/>
  <c r="AU222" i="21"/>
  <c r="AU223" i="21"/>
  <c r="AU220" i="21"/>
  <c r="AU224" i="21"/>
  <c r="AU229" i="21"/>
  <c r="AU233" i="21"/>
  <c r="AU231" i="21"/>
  <c r="AU221" i="21"/>
  <c r="AU226" i="21"/>
  <c r="AU228" i="21"/>
  <c r="AU225" i="21"/>
  <c r="AU230" i="21"/>
  <c r="AU232" i="21"/>
  <c r="AU227" i="21"/>
  <c r="AU234" i="21"/>
  <c r="AU102" i="21"/>
  <c r="AU103" i="21"/>
  <c r="AU104" i="21"/>
  <c r="AU105" i="21"/>
  <c r="AU106" i="21"/>
  <c r="AU107" i="21"/>
  <c r="AU109" i="21"/>
  <c r="AU110" i="21"/>
  <c r="AU111" i="21"/>
  <c r="AU112" i="21"/>
  <c r="AU108" i="21"/>
  <c r="AU113" i="21"/>
  <c r="AU114" i="21"/>
  <c r="AU115" i="21"/>
  <c r="AT257" i="21"/>
  <c r="C321" i="21"/>
  <c r="A325" i="21" a="1"/>
  <c r="A325" i="21" s="1"/>
  <c r="A410" i="21" a="1"/>
  <c r="A410" i="21" s="1"/>
  <c r="AT268" i="21"/>
  <c r="AT260" i="21"/>
  <c r="AT264" i="21"/>
  <c r="AS271" i="21"/>
  <c r="AT269" i="21"/>
  <c r="AT263" i="21"/>
  <c r="AT262" i="21"/>
  <c r="AT266" i="21"/>
  <c r="AT270" i="21"/>
  <c r="AT267" i="21"/>
  <c r="AT265" i="21"/>
  <c r="AT256" i="21"/>
  <c r="AT259" i="21"/>
  <c r="AT253" i="21"/>
  <c r="AT261" i="21"/>
  <c r="AV237" i="21" a="1"/>
  <c r="AV237" i="21" s="1"/>
  <c r="AV255" i="21" a="1"/>
  <c r="AV255" i="21" s="1"/>
  <c r="AT235" i="21"/>
  <c r="BB138" i="11" a="1"/>
  <c r="BB138" i="11" s="1"/>
  <c r="AV219" i="21" a="1"/>
  <c r="AV219" i="21" s="1"/>
  <c r="AV101" i="21" a="1"/>
  <c r="AV101" i="21" s="1"/>
  <c r="AV116" i="21" s="1"/>
  <c r="AV83" i="21" a="1"/>
  <c r="AV83" i="21" s="1"/>
  <c r="AV119" i="21" a="1"/>
  <c r="AV119" i="21" s="1"/>
  <c r="BB35" i="11" a="1"/>
  <c r="BB35" i="11" s="1"/>
  <c r="ABE6" i="22" s="1"/>
  <c r="ABF3" i="23" s="1"/>
  <c r="A60" i="21"/>
  <c r="A196" i="21"/>
  <c r="E53" i="7"/>
  <c r="A50" i="20"/>
  <c r="I52" i="13"/>
  <c r="AV239" i="21" l="1"/>
  <c r="AV238" i="21"/>
  <c r="AV242" i="21"/>
  <c r="AV241" i="21"/>
  <c r="AV240" i="21"/>
  <c r="AV244" i="21"/>
  <c r="AV248" i="21"/>
  <c r="AV243" i="21"/>
  <c r="AV247" i="21"/>
  <c r="AV246" i="21"/>
  <c r="AV245" i="21"/>
  <c r="AV249" i="21"/>
  <c r="AV252" i="21"/>
  <c r="AV251" i="21"/>
  <c r="AV250" i="21"/>
  <c r="AV223" i="21"/>
  <c r="AV221" i="21"/>
  <c r="AV220" i="21"/>
  <c r="AV222" i="21"/>
  <c r="AV226" i="21"/>
  <c r="AV230" i="21"/>
  <c r="AV234" i="21"/>
  <c r="AV227" i="21"/>
  <c r="AV229" i="21"/>
  <c r="AV231" i="21"/>
  <c r="AV224" i="21"/>
  <c r="AV228" i="21"/>
  <c r="AV233" i="21"/>
  <c r="AV232" i="21"/>
  <c r="AV225" i="21"/>
  <c r="AU257" i="21"/>
  <c r="AV102" i="21"/>
  <c r="AV103" i="21"/>
  <c r="AV104" i="21"/>
  <c r="AV105" i="21"/>
  <c r="AV106" i="21"/>
  <c r="AV107" i="21"/>
  <c r="AV108" i="21"/>
  <c r="AV109" i="21"/>
  <c r="AV110" i="21"/>
  <c r="AV111" i="21"/>
  <c r="AV112" i="21"/>
  <c r="AV113" i="21"/>
  <c r="AV114" i="21"/>
  <c r="AV115" i="21"/>
  <c r="AU262" i="21"/>
  <c r="C322" i="21"/>
  <c r="A326" i="21" a="1"/>
  <c r="A326" i="21" s="1"/>
  <c r="A411" i="21" a="1"/>
  <c r="A411" i="21" s="1"/>
  <c r="AU265" i="21"/>
  <c r="AU261" i="21"/>
  <c r="AU260" i="21"/>
  <c r="AT271" i="21"/>
  <c r="AU270" i="21"/>
  <c r="AU267" i="21"/>
  <c r="AU256" i="21"/>
  <c r="AU266" i="21"/>
  <c r="AU258" i="21"/>
  <c r="AU268" i="21"/>
  <c r="AU264" i="21"/>
  <c r="AU259" i="21"/>
  <c r="AU269" i="21"/>
  <c r="AU263" i="21"/>
  <c r="AW237" i="21" a="1"/>
  <c r="AW237" i="21" s="1"/>
  <c r="AW255" i="21" a="1"/>
  <c r="AW255" i="21" s="1"/>
  <c r="AU253" i="21"/>
  <c r="AU235" i="21"/>
  <c r="AW101" i="21" a="1"/>
  <c r="AW101" i="21" s="1"/>
  <c r="AW116" i="21" s="1"/>
  <c r="AW83" i="21" a="1"/>
  <c r="AW83" i="21" s="1"/>
  <c r="BC138" i="11" a="1"/>
  <c r="BC138" i="11" s="1"/>
  <c r="AW219" i="21" a="1"/>
  <c r="AW219" i="21" s="1"/>
  <c r="BC35" i="11" a="1"/>
  <c r="BC35" i="11" s="1"/>
  <c r="ABF6" i="22" s="1"/>
  <c r="ABG3" i="23" s="1"/>
  <c r="AW119" i="21" a="1"/>
  <c r="AW119" i="21" s="1"/>
  <c r="A61" i="21"/>
  <c r="A197" i="21"/>
  <c r="A51" i="20"/>
  <c r="I53" i="13"/>
  <c r="E54" i="7"/>
  <c r="AV257" i="21" l="1"/>
  <c r="AW240" i="21"/>
  <c r="AW239" i="21"/>
  <c r="AW243" i="21"/>
  <c r="AW238" i="21"/>
  <c r="AW242" i="21"/>
  <c r="AW245" i="21"/>
  <c r="AW241" i="21"/>
  <c r="AW244" i="21"/>
  <c r="AW248" i="21"/>
  <c r="AW247" i="21"/>
  <c r="AW246" i="21"/>
  <c r="AW250" i="21"/>
  <c r="AW249" i="21"/>
  <c r="AW252" i="21"/>
  <c r="AW251" i="21"/>
  <c r="AW220" i="21"/>
  <c r="AW224" i="21"/>
  <c r="AW221" i="21"/>
  <c r="AW223" i="21"/>
  <c r="AW225" i="21"/>
  <c r="AW227" i="21"/>
  <c r="AW231" i="21"/>
  <c r="AW229" i="21"/>
  <c r="AW226" i="21"/>
  <c r="AW230" i="21"/>
  <c r="AW232" i="21"/>
  <c r="AW228" i="21"/>
  <c r="AW233" i="21"/>
  <c r="AW234" i="21"/>
  <c r="AW222" i="21"/>
  <c r="AW102" i="21"/>
  <c r="AW104" i="21"/>
  <c r="AW105" i="21"/>
  <c r="AW106" i="21"/>
  <c r="AW108" i="21"/>
  <c r="AW109" i="21"/>
  <c r="AW110" i="21"/>
  <c r="AW111" i="21"/>
  <c r="AW112" i="21"/>
  <c r="AW113" i="21"/>
  <c r="AW107" i="21"/>
  <c r="AW114" i="21"/>
  <c r="AW103" i="21"/>
  <c r="AW115" i="21"/>
  <c r="AV265" i="21"/>
  <c r="AV268" i="21"/>
  <c r="AV269" i="21"/>
  <c r="C323" i="21"/>
  <c r="A327" i="21" a="1"/>
  <c r="A327" i="21" s="1"/>
  <c r="A412" i="21" a="1"/>
  <c r="A412" i="21" s="1"/>
  <c r="AV260" i="21"/>
  <c r="AU271" i="21"/>
  <c r="AV267" i="21"/>
  <c r="AV256" i="21"/>
  <c r="AV264" i="21"/>
  <c r="AV262" i="21"/>
  <c r="AV270" i="21"/>
  <c r="AV259" i="21"/>
  <c r="AV266" i="21"/>
  <c r="AV261" i="21"/>
  <c r="AV258" i="21"/>
  <c r="AV263" i="21"/>
  <c r="AV253" i="21"/>
  <c r="AX83" i="21" a="1"/>
  <c r="AX83" i="21" s="1"/>
  <c r="AX255" i="21" a="1"/>
  <c r="AX255" i="21" s="1"/>
  <c r="AV235" i="21"/>
  <c r="AX101" i="21" a="1"/>
  <c r="AX101" i="21" s="1"/>
  <c r="AX116" i="21" s="1"/>
  <c r="BD35" i="11" a="1"/>
  <c r="BD35" i="11" s="1"/>
  <c r="ABG6" i="22" s="1"/>
  <c r="ABH3" i="23" s="1"/>
  <c r="AX237" i="21" a="1"/>
  <c r="AX237" i="21" s="1"/>
  <c r="BD138" i="11" a="1"/>
  <c r="BD138" i="11" s="1"/>
  <c r="AX219" i="21" a="1"/>
  <c r="AX219" i="21" s="1"/>
  <c r="AX119" i="21" a="1"/>
  <c r="AX119" i="21" s="1"/>
  <c r="A62" i="21"/>
  <c r="A198" i="21"/>
  <c r="E55" i="7"/>
  <c r="I54" i="13"/>
  <c r="A52" i="20"/>
  <c r="AW261" i="21" l="1"/>
  <c r="AX241" i="21"/>
  <c r="AX240" i="21"/>
  <c r="AX239" i="21"/>
  <c r="AX243" i="21"/>
  <c r="AX246" i="21"/>
  <c r="AX245" i="21"/>
  <c r="AX242" i="21"/>
  <c r="AX244" i="21"/>
  <c r="AX248" i="21"/>
  <c r="AX238" i="21"/>
  <c r="AX247" i="21"/>
  <c r="AX251" i="21"/>
  <c r="AX250" i="21"/>
  <c r="AX249" i="21"/>
  <c r="AX252" i="21"/>
  <c r="AX221" i="21"/>
  <c r="AX225" i="21"/>
  <c r="AX222" i="21"/>
  <c r="AX223" i="21"/>
  <c r="AX228" i="21"/>
  <c r="AX232" i="21"/>
  <c r="AX220" i="21"/>
  <c r="AX230" i="21"/>
  <c r="AX227" i="21"/>
  <c r="AX229" i="21"/>
  <c r="AX231" i="21"/>
  <c r="AX234" i="21"/>
  <c r="AX224" i="21"/>
  <c r="AX226" i="21"/>
  <c r="AX233" i="21"/>
  <c r="AX102" i="21"/>
  <c r="AX103" i="21"/>
  <c r="AX104" i="21"/>
  <c r="AX105" i="21"/>
  <c r="AX106" i="21"/>
  <c r="AX107" i="21"/>
  <c r="AX108" i="21"/>
  <c r="AX109" i="21"/>
  <c r="AX114" i="21"/>
  <c r="AX115" i="21"/>
  <c r="AX110" i="21"/>
  <c r="AX113" i="21"/>
  <c r="AX111" i="21"/>
  <c r="AX112" i="21"/>
  <c r="AW260" i="21"/>
  <c r="AW263" i="21"/>
  <c r="AW265" i="21"/>
  <c r="AW264" i="21"/>
  <c r="C324" i="21"/>
  <c r="A328" i="21" a="1"/>
  <c r="A328" i="21" s="1"/>
  <c r="A413" i="21" a="1"/>
  <c r="A413" i="21" s="1"/>
  <c r="AW259" i="21"/>
  <c r="AV271" i="21"/>
  <c r="AW269" i="21"/>
  <c r="AW266" i="21"/>
  <c r="AW268" i="21"/>
  <c r="AW270" i="21"/>
  <c r="AW267" i="21"/>
  <c r="AW262" i="21"/>
  <c r="AW256" i="21"/>
  <c r="AW257" i="21"/>
  <c r="AW258" i="21"/>
  <c r="AW253" i="21"/>
  <c r="AY237" i="21" a="1"/>
  <c r="AY237" i="21" s="1"/>
  <c r="AY255" i="21" a="1"/>
  <c r="AY255" i="21" s="1"/>
  <c r="AW235" i="21"/>
  <c r="AY101" i="21" a="1"/>
  <c r="AY101" i="21" s="1"/>
  <c r="AY116" i="21" s="1"/>
  <c r="AY83" i="21" a="1"/>
  <c r="AY83" i="21" s="1"/>
  <c r="BE138" i="11" a="1"/>
  <c r="BE138" i="11" s="1"/>
  <c r="AY219" i="21" a="1"/>
  <c r="AY219" i="21" s="1"/>
  <c r="AY119" i="21" a="1"/>
  <c r="AY119" i="21" s="1"/>
  <c r="BE35" i="11" a="1"/>
  <c r="BE35" i="11" s="1"/>
  <c r="ABH6" i="22" s="1"/>
  <c r="ABI3" i="23" s="1"/>
  <c r="A63" i="21"/>
  <c r="A199" i="21"/>
  <c r="I55" i="13"/>
  <c r="E56" i="7"/>
  <c r="A53" i="20"/>
  <c r="AX268" i="21" l="1"/>
  <c r="AX256" i="21"/>
  <c r="AX269" i="21"/>
  <c r="AX261" i="21"/>
  <c r="AX266" i="21"/>
  <c r="AY238" i="21"/>
  <c r="AY242" i="21"/>
  <c r="AY241" i="21"/>
  <c r="AY240" i="21"/>
  <c r="AY239" i="21"/>
  <c r="AY247" i="21"/>
  <c r="AY246" i="21"/>
  <c r="AY243" i="21"/>
  <c r="AY245" i="21"/>
  <c r="AY244" i="21"/>
  <c r="AY248" i="21"/>
  <c r="AY252" i="21"/>
  <c r="AY251" i="21"/>
  <c r="AY250" i="21"/>
  <c r="AY249" i="21"/>
  <c r="AY222" i="21"/>
  <c r="AY220" i="21"/>
  <c r="AY221" i="21"/>
  <c r="AY229" i="21"/>
  <c r="AY233" i="21"/>
  <c r="AY224" i="21"/>
  <c r="AY225" i="21"/>
  <c r="AY226" i="21"/>
  <c r="AY228" i="21"/>
  <c r="AY223" i="21"/>
  <c r="AY230" i="21"/>
  <c r="AY232" i="21"/>
  <c r="AY227" i="21"/>
  <c r="AY234" i="21"/>
  <c r="AY231" i="21"/>
  <c r="AY102" i="21"/>
  <c r="AY103" i="21"/>
  <c r="AY104" i="21"/>
  <c r="AY105" i="21"/>
  <c r="AY106" i="21"/>
  <c r="AY107" i="21"/>
  <c r="AY109" i="21"/>
  <c r="AY110" i="21"/>
  <c r="AY111" i="21"/>
  <c r="AY112" i="21"/>
  <c r="AY108" i="21"/>
  <c r="AY114" i="21"/>
  <c r="AY115" i="21"/>
  <c r="AY113" i="21"/>
  <c r="C325" i="21"/>
  <c r="A329" i="21" a="1"/>
  <c r="A329" i="21" s="1"/>
  <c r="A414" i="21" a="1"/>
  <c r="A414" i="21" s="1"/>
  <c r="AZ83" i="21" a="1"/>
  <c r="AZ83" i="21" s="1"/>
  <c r="AW271" i="21"/>
  <c r="AX263" i="21"/>
  <c r="AZ101" i="21" a="1"/>
  <c r="AZ101" i="21" s="1"/>
  <c r="AZ116" i="21" s="1"/>
  <c r="AX267" i="21"/>
  <c r="AX260" i="21"/>
  <c r="AX265" i="21"/>
  <c r="AX264" i="21"/>
  <c r="AX259" i="21"/>
  <c r="AX257" i="21"/>
  <c r="AX270" i="21"/>
  <c r="AX262" i="21"/>
  <c r="AX258" i="21"/>
  <c r="AZ237" i="21" a="1"/>
  <c r="AZ237" i="21" s="1"/>
  <c r="AZ255" i="21" a="1"/>
  <c r="AZ255" i="21" s="1"/>
  <c r="AX253" i="21"/>
  <c r="AX235" i="21"/>
  <c r="BF138" i="11" a="1"/>
  <c r="BF138" i="11" s="1"/>
  <c r="AZ219" i="21" a="1"/>
  <c r="AZ219" i="21" s="1"/>
  <c r="BF35" i="11" a="1"/>
  <c r="BF35" i="11" s="1"/>
  <c r="ABI6" i="22" s="1"/>
  <c r="ABJ3" i="23" s="1"/>
  <c r="AZ119" i="21" a="1"/>
  <c r="AZ119" i="21" s="1"/>
  <c r="A64" i="21"/>
  <c r="A415" i="21" s="1" a="1"/>
  <c r="A415" i="21" s="1"/>
  <c r="A200" i="21"/>
  <c r="I56" i="13"/>
  <c r="A54" i="20"/>
  <c r="AY259" i="21" l="1"/>
  <c r="AZ239" i="21"/>
  <c r="AZ238" i="21"/>
  <c r="AZ242" i="21"/>
  <c r="AZ241" i="21"/>
  <c r="AZ244" i="21"/>
  <c r="AZ248" i="21"/>
  <c r="AZ240" i="21"/>
  <c r="AZ247" i="21"/>
  <c r="AZ246" i="21"/>
  <c r="AZ243" i="21"/>
  <c r="AZ245" i="21"/>
  <c r="AZ249" i="21"/>
  <c r="AZ252" i="21"/>
  <c r="AZ251" i="21"/>
  <c r="AZ250" i="21"/>
  <c r="AZ223" i="21"/>
  <c r="AZ220" i="21"/>
  <c r="AZ222" i="21"/>
  <c r="AZ224" i="21"/>
  <c r="AZ226" i="21"/>
  <c r="AZ230" i="21"/>
  <c r="AZ234" i="21"/>
  <c r="AZ231" i="21"/>
  <c r="AZ225" i="21"/>
  <c r="AZ228" i="21"/>
  <c r="AZ221" i="21"/>
  <c r="AZ227" i="21"/>
  <c r="AZ229" i="21"/>
  <c r="AZ232" i="21"/>
  <c r="AZ233" i="21"/>
  <c r="AZ102" i="21"/>
  <c r="AZ103" i="21"/>
  <c r="AZ104" i="21"/>
  <c r="AZ105" i="21"/>
  <c r="AZ106" i="21"/>
  <c r="AZ107" i="21"/>
  <c r="AZ108" i="21"/>
  <c r="AZ109" i="21"/>
  <c r="AZ110" i="21"/>
  <c r="AZ111" i="21"/>
  <c r="AZ112" i="21"/>
  <c r="AZ113" i="21"/>
  <c r="AZ114" i="21"/>
  <c r="AZ115" i="21"/>
  <c r="C326" i="21"/>
  <c r="AY262" i="21"/>
  <c r="AY257" i="21"/>
  <c r="AY256" i="21"/>
  <c r="AY261" i="21"/>
  <c r="AY265" i="21"/>
  <c r="AY264" i="21"/>
  <c r="AY268" i="21"/>
  <c r="AX271" i="21"/>
  <c r="AY267" i="21"/>
  <c r="AY260" i="21"/>
  <c r="AY266" i="21"/>
  <c r="AY269" i="21"/>
  <c r="AY263" i="21"/>
  <c r="BA255" i="21" a="1"/>
  <c r="BA255" i="21" s="1"/>
  <c r="A330" i="21" a="1"/>
  <c r="A330" i="21" s="1"/>
  <c r="AY253" i="21"/>
  <c r="AY270" i="21"/>
  <c r="AY258" i="21"/>
  <c r="AY235" i="21"/>
  <c r="BA83" i="21" a="1"/>
  <c r="BA83" i="21" s="1"/>
  <c r="BA237" i="21" a="1"/>
  <c r="BA237" i="21" s="1"/>
  <c r="BG138" i="11" a="1"/>
  <c r="BG138" i="11" s="1"/>
  <c r="BA219" i="21" a="1"/>
  <c r="BA219" i="21" s="1"/>
  <c r="BA101" i="21" a="1"/>
  <c r="BA101" i="21" s="1"/>
  <c r="BA116" i="21" s="1"/>
  <c r="BG35" i="11" a="1"/>
  <c r="BG35" i="11" s="1"/>
  <c r="ABJ6" i="22" s="1"/>
  <c r="ABK3" i="23" s="1"/>
  <c r="BA119" i="21" a="1"/>
  <c r="BA119" i="21" s="1"/>
  <c r="AZ269" i="21" l="1"/>
  <c r="AZ261" i="21"/>
  <c r="AZ257" i="21"/>
  <c r="BA240" i="21"/>
  <c r="BA239" i="21"/>
  <c r="BA243" i="21"/>
  <c r="BA238" i="21"/>
  <c r="BA242" i="21"/>
  <c r="BA245" i="21"/>
  <c r="BA244" i="21"/>
  <c r="BA248" i="21"/>
  <c r="BA241" i="21"/>
  <c r="BA247" i="21"/>
  <c r="BA246" i="21"/>
  <c r="BA250" i="21"/>
  <c r="BA249" i="21"/>
  <c r="BA252" i="21"/>
  <c r="BA251" i="21"/>
  <c r="BA220" i="21"/>
  <c r="BA224" i="21"/>
  <c r="BA221" i="21"/>
  <c r="BA223" i="21"/>
  <c r="BA222" i="21"/>
  <c r="BA227" i="21"/>
  <c r="BA231" i="21"/>
  <c r="BA229" i="21"/>
  <c r="BA226" i="21"/>
  <c r="BA225" i="21"/>
  <c r="BA228" i="21"/>
  <c r="BA230" i="21"/>
  <c r="BA233" i="21"/>
  <c r="BA232" i="21"/>
  <c r="BA234" i="21"/>
  <c r="BA102" i="21"/>
  <c r="BA103" i="21"/>
  <c r="BA107" i="21"/>
  <c r="BA108" i="21"/>
  <c r="BA104" i="21"/>
  <c r="BA105" i="21"/>
  <c r="BA109" i="21"/>
  <c r="BA110" i="21"/>
  <c r="BA111" i="21"/>
  <c r="BA112" i="21"/>
  <c r="BA113" i="21"/>
  <c r="BA106" i="21"/>
  <c r="BA115" i="21"/>
  <c r="BA114" i="21"/>
  <c r="AZ264" i="21"/>
  <c r="C327" i="21"/>
  <c r="AZ270" i="21"/>
  <c r="AZ265" i="21"/>
  <c r="AZ259" i="21"/>
  <c r="AY271" i="21"/>
  <c r="AZ262" i="21"/>
  <c r="AZ258" i="21"/>
  <c r="AZ266" i="21"/>
  <c r="AZ263" i="21"/>
  <c r="AZ260" i="21"/>
  <c r="AZ256" i="21"/>
  <c r="AZ268" i="21"/>
  <c r="AZ267" i="21"/>
  <c r="AZ253" i="21"/>
  <c r="AZ235" i="21"/>
  <c r="C436" i="21" l="1"/>
  <c r="C94" i="13" s="1"/>
  <c r="C432" i="21"/>
  <c r="C90" i="13" s="1"/>
  <c r="C430" i="21"/>
  <c r="C88" i="13" s="1"/>
  <c r="BA267" i="21"/>
  <c r="M420" i="21" s="1"/>
  <c r="M38" i="8" s="1"/>
  <c r="BA261" i="21"/>
  <c r="G420" i="21" s="1"/>
  <c r="G38" i="8" s="1"/>
  <c r="C437" i="21"/>
  <c r="C95" i="13" s="1"/>
  <c r="BA268" i="21"/>
  <c r="N420" i="21" s="1"/>
  <c r="N38" i="8" s="1"/>
  <c r="BA259" i="21"/>
  <c r="E420" i="21" s="1"/>
  <c r="E38" i="8" s="1"/>
  <c r="BA257" i="21"/>
  <c r="C420" i="21" s="1"/>
  <c r="C38" i="8" s="1"/>
  <c r="C433" i="21"/>
  <c r="C91" i="13" s="1"/>
  <c r="BA264" i="21"/>
  <c r="J420" i="21" s="1"/>
  <c r="J38" i="8" s="1"/>
  <c r="BA258" i="21"/>
  <c r="D420" i="21" s="1"/>
  <c r="D38" i="8" s="1"/>
  <c r="C438" i="21"/>
  <c r="C96" i="13" s="1"/>
  <c r="BA266" i="21"/>
  <c r="L420" i="21" s="1"/>
  <c r="L38" i="8" s="1"/>
  <c r="BA256" i="21"/>
  <c r="C431" i="21"/>
  <c r="C89" i="13" s="1"/>
  <c r="C435" i="21"/>
  <c r="C93" i="13" s="1"/>
  <c r="C429" i="21"/>
  <c r="C87" i="13" s="1"/>
  <c r="C434" i="21"/>
  <c r="C92" i="13" s="1"/>
  <c r="C328" i="21"/>
  <c r="BA270" i="21"/>
  <c r="P420" i="21" s="1"/>
  <c r="P38" i="8" s="1"/>
  <c r="BA260" i="21"/>
  <c r="F420" i="21" s="1"/>
  <c r="F38" i="8" s="1"/>
  <c r="AZ271" i="21"/>
  <c r="BA262" i="21"/>
  <c r="H420" i="21" s="1"/>
  <c r="H38" i="8" s="1"/>
  <c r="BA263" i="21"/>
  <c r="BA269" i="21"/>
  <c r="O420" i="21" s="1"/>
  <c r="O38" i="8" s="1"/>
  <c r="BA265" i="21"/>
  <c r="K420" i="21" s="1"/>
  <c r="K38" i="8" s="1"/>
  <c r="BA253" i="21"/>
  <c r="BA235" i="21"/>
  <c r="I420" i="21" l="1"/>
  <c r="I38" i="8" s="1"/>
  <c r="C329" i="21"/>
  <c r="BA271" i="21"/>
  <c r="B420" i="21" s="1"/>
  <c r="B38" i="8" s="1"/>
  <c r="C69" i="12"/>
  <c r="C74" i="12"/>
  <c r="C76" i="12"/>
  <c r="C68" i="12"/>
  <c r="C73" i="12"/>
  <c r="C71" i="12"/>
  <c r="C75" i="12"/>
  <c r="C77" i="12"/>
  <c r="C330" i="21" l="1"/>
  <c r="E88" i="13"/>
  <c r="E90" i="13"/>
  <c r="E96" i="13"/>
  <c r="E93" i="13"/>
  <c r="E95" i="13"/>
  <c r="E92" i="13"/>
  <c r="E87" i="13"/>
  <c r="E94" i="13"/>
  <c r="E89" i="13"/>
  <c r="C70" i="12"/>
  <c r="E91" i="13"/>
  <c r="C72" i="12"/>
  <c r="E2" i="20" l="1"/>
  <c r="B7" i="21" a="1"/>
  <c r="B7" i="21" s="1"/>
  <c r="B8" i="21" s="1"/>
  <c r="F36" i="11" s="1" a="1"/>
  <c r="F36" i="11" s="1"/>
  <c r="B3" i="20" l="1"/>
  <c r="F2" i="20"/>
  <c r="B9" i="21"/>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B31" i="21" a="1"/>
  <c r="B31" i="21" s="1"/>
  <c r="B35" i="21" a="1"/>
  <c r="B35" i="21" s="1"/>
  <c r="B39" i="21" a="1"/>
  <c r="B39" i="21" s="1"/>
  <c r="B43" i="21" a="1"/>
  <c r="B43" i="21" s="1"/>
  <c r="B47" i="21" a="1"/>
  <c r="B47" i="21" s="1"/>
  <c r="B51" i="21" a="1"/>
  <c r="B51" i="21" s="1"/>
  <c r="B57" i="21" a="1"/>
  <c r="B57" i="21" s="1"/>
  <c r="B61" i="21" a="1"/>
  <c r="B61" i="21" s="1"/>
  <c r="B26" i="21" a="1"/>
  <c r="B26" i="21" s="1"/>
  <c r="B38" i="21" a="1"/>
  <c r="B38" i="21" s="1"/>
  <c r="B50" i="21" a="1"/>
  <c r="B50" i="21" s="1"/>
  <c r="B64" i="21" a="1"/>
  <c r="B64" i="21" s="1"/>
  <c r="B24" i="21" a="1"/>
  <c r="B24" i="21" s="1"/>
  <c r="B28" i="21" a="1"/>
  <c r="B28" i="21" s="1"/>
  <c r="B32" i="21" a="1"/>
  <c r="B32" i="21" s="1"/>
  <c r="B36" i="21" a="1"/>
  <c r="B36" i="21" s="1"/>
  <c r="B40" i="21" a="1"/>
  <c r="B40" i="21" s="1"/>
  <c r="B44" i="21" a="1"/>
  <c r="B44" i="21" s="1"/>
  <c r="B48" i="21" a="1"/>
  <c r="B48" i="21" s="1"/>
  <c r="B52" i="21" a="1"/>
  <c r="B52" i="21" s="1"/>
  <c r="B58" i="21" a="1"/>
  <c r="B58" i="21" s="1"/>
  <c r="B62" i="21" a="1"/>
  <c r="B62" i="21" s="1"/>
  <c r="B30" i="21" a="1"/>
  <c r="B30" i="21" s="1"/>
  <c r="B42" i="21" a="1"/>
  <c r="B42" i="21" s="1"/>
  <c r="B56" i="21" a="1"/>
  <c r="B56" i="21" s="1"/>
  <c r="B25" i="21" a="1"/>
  <c r="B25" i="21" s="1"/>
  <c r="B29" i="21" a="1"/>
  <c r="B29" i="21" s="1"/>
  <c r="B33" i="21" a="1"/>
  <c r="B33" i="21" s="1"/>
  <c r="B37" i="21" a="1"/>
  <c r="B37" i="21" s="1"/>
  <c r="B41" i="21" a="1"/>
  <c r="B41" i="21" s="1"/>
  <c r="B45" i="21" a="1"/>
  <c r="B45" i="21" s="1"/>
  <c r="B49" i="21" a="1"/>
  <c r="B49" i="21" s="1"/>
  <c r="B55" i="21" a="1"/>
  <c r="B55" i="21" s="1"/>
  <c r="B59" i="21" a="1"/>
  <c r="B59" i="21" s="1"/>
  <c r="B63" i="21" a="1"/>
  <c r="B63" i="21" s="1"/>
  <c r="B34" i="21" a="1"/>
  <c r="B34" i="21" s="1"/>
  <c r="B46" i="21" a="1"/>
  <c r="B46" i="21" s="1"/>
  <c r="B60" i="21" a="1"/>
  <c r="B60" i="21" s="1"/>
  <c r="B15" i="21" a="1"/>
  <c r="B15" i="21" s="1"/>
  <c r="B14" i="21" a="1"/>
  <c r="B14" i="21" s="1"/>
  <c r="B13" i="21" a="1"/>
  <c r="B13" i="21" s="1"/>
  <c r="B17" i="21" a="1"/>
  <c r="B17" i="21" s="1"/>
  <c r="B54" i="21" a="1"/>
  <c r="B54" i="21" s="1"/>
  <c r="B22" i="21" a="1"/>
  <c r="B22" i="21" s="1"/>
  <c r="B18" i="21" a="1"/>
  <c r="B18" i="21" s="1"/>
  <c r="B16" i="21" a="1"/>
  <c r="B16" i="21" s="1"/>
  <c r="B53" i="21" a="1"/>
  <c r="B53" i="21" s="1"/>
  <c r="B23" i="21" a="1"/>
  <c r="B23" i="21" s="1"/>
  <c r="B20" i="21" a="1"/>
  <c r="B20" i="21" s="1"/>
  <c r="B19" i="21" a="1"/>
  <c r="B19" i="21" s="1"/>
  <c r="B21" i="21" a="1"/>
  <c r="B21" i="21" s="1"/>
  <c r="K87" i="21" l="1"/>
  <c r="K123" i="21" s="1"/>
  <c r="K95" i="21"/>
  <c r="K131" i="21" s="1"/>
  <c r="K88" i="21"/>
  <c r="K124" i="21" s="1"/>
  <c r="K98" i="21"/>
  <c r="K134" i="21" s="1"/>
  <c r="K89" i="21"/>
  <c r="K125" i="21" s="1"/>
  <c r="K94" i="21"/>
  <c r="K130" i="21" s="1"/>
  <c r="K90" i="21"/>
  <c r="K126" i="21" s="1"/>
  <c r="K97" i="21"/>
  <c r="K133" i="21" s="1"/>
  <c r="K91" i="21"/>
  <c r="K127" i="21" s="1"/>
  <c r="K84" i="21"/>
  <c r="K93" i="21"/>
  <c r="K129" i="21" s="1"/>
  <c r="K85" i="21"/>
  <c r="K121" i="21" s="1"/>
  <c r="K92" i="21"/>
  <c r="K128" i="21" s="1"/>
  <c r="K86" i="21"/>
  <c r="K122" i="21" s="1"/>
  <c r="K96" i="21"/>
  <c r="K132" i="21" s="1"/>
  <c r="AV85" i="21"/>
  <c r="AV121" i="21" s="1"/>
  <c r="AV97" i="21"/>
  <c r="AV133" i="21" s="1"/>
  <c r="AV86" i="21"/>
  <c r="AV122" i="21" s="1"/>
  <c r="AV92" i="21"/>
  <c r="AV128" i="21" s="1"/>
  <c r="AV87" i="21"/>
  <c r="AV123" i="21" s="1"/>
  <c r="AV91" i="21"/>
  <c r="AV127" i="21" s="1"/>
  <c r="AV88" i="21"/>
  <c r="AV124" i="21" s="1"/>
  <c r="AV95" i="21"/>
  <c r="AV131" i="21" s="1"/>
  <c r="AV89" i="21"/>
  <c r="AV125" i="21" s="1"/>
  <c r="AV94" i="21"/>
  <c r="AV130" i="21" s="1"/>
  <c r="AV90" i="21"/>
  <c r="AV126" i="21" s="1"/>
  <c r="AV98" i="21"/>
  <c r="AV134" i="21" s="1"/>
  <c r="AV93" i="21"/>
  <c r="AV129" i="21" s="1"/>
  <c r="AV84" i="21"/>
  <c r="AV120" i="21" s="1"/>
  <c r="AV96" i="21"/>
  <c r="AV132" i="21" s="1"/>
  <c r="N89" i="21"/>
  <c r="N125" i="21" s="1"/>
  <c r="N96" i="21"/>
  <c r="N132" i="21" s="1"/>
  <c r="N90" i="21"/>
  <c r="N126" i="21" s="1"/>
  <c r="N92" i="21"/>
  <c r="N128" i="21" s="1"/>
  <c r="N91" i="21"/>
  <c r="N127" i="21" s="1"/>
  <c r="N95" i="21"/>
  <c r="N131" i="21" s="1"/>
  <c r="N84" i="21"/>
  <c r="N120" i="21" s="1"/>
  <c r="N85" i="21"/>
  <c r="N121" i="21" s="1"/>
  <c r="N94" i="21"/>
  <c r="N130" i="21" s="1"/>
  <c r="N86" i="21"/>
  <c r="N122" i="21" s="1"/>
  <c r="N93" i="21"/>
  <c r="N129" i="21" s="1"/>
  <c r="N87" i="21"/>
  <c r="N123" i="21" s="1"/>
  <c r="N97" i="21"/>
  <c r="N133" i="21" s="1"/>
  <c r="N88" i="21"/>
  <c r="N124" i="21" s="1"/>
  <c r="N98" i="21"/>
  <c r="N134" i="21" s="1"/>
  <c r="AG89" i="21"/>
  <c r="AG125" i="21" s="1"/>
  <c r="AG85" i="21"/>
  <c r="AG121" i="21" s="1"/>
  <c r="AG88" i="21"/>
  <c r="AG124" i="21" s="1"/>
  <c r="AG87" i="21"/>
  <c r="AG123" i="21" s="1"/>
  <c r="AG84" i="21"/>
  <c r="AG120" i="21" s="1"/>
  <c r="AG91" i="21"/>
  <c r="AG127" i="21" s="1"/>
  <c r="AG96" i="21"/>
  <c r="AG132" i="21" s="1"/>
  <c r="AG92" i="21"/>
  <c r="AG128" i="21" s="1"/>
  <c r="AG97" i="21"/>
  <c r="AG133" i="21" s="1"/>
  <c r="AG93" i="21"/>
  <c r="AG129" i="21" s="1"/>
  <c r="AG90" i="21"/>
  <c r="AG126" i="21" s="1"/>
  <c r="AG94" i="21"/>
  <c r="AG130" i="21" s="1"/>
  <c r="AG98" i="21"/>
  <c r="AG134" i="21" s="1"/>
  <c r="AG95" i="21"/>
  <c r="AG131" i="21" s="1"/>
  <c r="AG86" i="21"/>
  <c r="AG122" i="21" s="1"/>
  <c r="AA90" i="21"/>
  <c r="AA126" i="21" s="1"/>
  <c r="AA97" i="21"/>
  <c r="AA133" i="21" s="1"/>
  <c r="AA93" i="21"/>
  <c r="AA129" i="21" s="1"/>
  <c r="AA84" i="21"/>
  <c r="AA120" i="21" s="1"/>
  <c r="AA92" i="21"/>
  <c r="AA128" i="21" s="1"/>
  <c r="AA85" i="21"/>
  <c r="AA121" i="21" s="1"/>
  <c r="AA91" i="21"/>
  <c r="AA127" i="21" s="1"/>
  <c r="AA86" i="21"/>
  <c r="AA122" i="21" s="1"/>
  <c r="AA95" i="21"/>
  <c r="AA131" i="21" s="1"/>
  <c r="AA87" i="21"/>
  <c r="AA123" i="21" s="1"/>
  <c r="AA94" i="21"/>
  <c r="AA130" i="21" s="1"/>
  <c r="AA88" i="21"/>
  <c r="AA124" i="21" s="1"/>
  <c r="AA96" i="21"/>
  <c r="AA132" i="21" s="1"/>
  <c r="AA89" i="21"/>
  <c r="AA125" i="21" s="1"/>
  <c r="AA98" i="21"/>
  <c r="AA134" i="21" s="1"/>
  <c r="X87" i="21"/>
  <c r="X123" i="21" s="1"/>
  <c r="X94" i="21"/>
  <c r="X130" i="21" s="1"/>
  <c r="X88" i="21"/>
  <c r="X124" i="21" s="1"/>
  <c r="X93" i="21"/>
  <c r="X129" i="21" s="1"/>
  <c r="X89" i="21"/>
  <c r="X125" i="21" s="1"/>
  <c r="X92" i="21"/>
  <c r="X128" i="21" s="1"/>
  <c r="X90" i="21"/>
  <c r="X126" i="21" s="1"/>
  <c r="X98" i="21"/>
  <c r="X134" i="21" s="1"/>
  <c r="X91" i="21"/>
  <c r="X127" i="21" s="1"/>
  <c r="X84" i="21"/>
  <c r="X120" i="21" s="1"/>
  <c r="X95" i="21"/>
  <c r="X131" i="21" s="1"/>
  <c r="X85" i="21"/>
  <c r="X121" i="21" s="1"/>
  <c r="X96" i="21"/>
  <c r="X132" i="21" s="1"/>
  <c r="X86" i="21"/>
  <c r="X122" i="21" s="1"/>
  <c r="X97" i="21"/>
  <c r="X133" i="21" s="1"/>
  <c r="G86" i="21"/>
  <c r="G122" i="21" s="1"/>
  <c r="G92" i="21"/>
  <c r="G128" i="21" s="1"/>
  <c r="G87" i="21"/>
  <c r="G123" i="21" s="1"/>
  <c r="G96" i="21"/>
  <c r="G132" i="21" s="1"/>
  <c r="G88" i="21"/>
  <c r="G124" i="21" s="1"/>
  <c r="G98" i="21"/>
  <c r="G134" i="21" s="1"/>
  <c r="G89" i="21"/>
  <c r="G125" i="21" s="1"/>
  <c r="G95" i="21"/>
  <c r="G131" i="21" s="1"/>
  <c r="G90" i="21"/>
  <c r="G126" i="21" s="1"/>
  <c r="G97" i="21"/>
  <c r="G133" i="21" s="1"/>
  <c r="G91" i="21"/>
  <c r="G127" i="21" s="1"/>
  <c r="G84" i="21"/>
  <c r="G94" i="21"/>
  <c r="G130" i="21" s="1"/>
  <c r="G85" i="21"/>
  <c r="G121" i="21" s="1"/>
  <c r="G93" i="21"/>
  <c r="G129" i="21" s="1"/>
  <c r="AR88" i="21"/>
  <c r="AR124" i="21" s="1"/>
  <c r="AR98" i="21"/>
  <c r="AR134" i="21" s="1"/>
  <c r="AR89" i="21"/>
  <c r="AR125" i="21" s="1"/>
  <c r="AR91" i="21"/>
  <c r="AR127" i="21" s="1"/>
  <c r="AR90" i="21"/>
  <c r="AR126" i="21" s="1"/>
  <c r="AR95" i="21"/>
  <c r="AR131" i="21" s="1"/>
  <c r="AR94" i="21"/>
  <c r="AR130" i="21" s="1"/>
  <c r="AR84" i="21"/>
  <c r="AR120" i="21" s="1"/>
  <c r="AR96" i="21"/>
  <c r="AR132" i="21" s="1"/>
  <c r="AR85" i="21"/>
  <c r="AR121" i="21" s="1"/>
  <c r="AR97" i="21"/>
  <c r="AR133" i="21" s="1"/>
  <c r="AR86" i="21"/>
  <c r="AR122" i="21" s="1"/>
  <c r="AR93" i="21"/>
  <c r="AR129" i="21" s="1"/>
  <c r="AR87" i="21"/>
  <c r="AR123" i="21" s="1"/>
  <c r="AR92" i="21"/>
  <c r="AR128" i="21" s="1"/>
  <c r="AS89" i="21"/>
  <c r="AS125" i="21" s="1"/>
  <c r="AS88" i="21"/>
  <c r="AS124" i="21" s="1"/>
  <c r="AS91" i="21"/>
  <c r="AS127" i="21" s="1"/>
  <c r="AS96" i="21"/>
  <c r="AS132" i="21" s="1"/>
  <c r="AS92" i="21"/>
  <c r="AS128" i="21" s="1"/>
  <c r="AS97" i="21"/>
  <c r="AS133" i="21" s="1"/>
  <c r="AS93" i="21"/>
  <c r="AS129" i="21" s="1"/>
  <c r="AS98" i="21"/>
  <c r="AS134" i="21" s="1"/>
  <c r="AS94" i="21"/>
  <c r="AS130" i="21" s="1"/>
  <c r="AS87" i="21"/>
  <c r="AS123" i="21" s="1"/>
  <c r="AS95" i="21"/>
  <c r="AS131" i="21" s="1"/>
  <c r="AS90" i="21"/>
  <c r="AS126" i="21" s="1"/>
  <c r="AS84" i="21"/>
  <c r="AS120" i="21" s="1"/>
  <c r="AS85" i="21"/>
  <c r="AS121" i="21" s="1"/>
  <c r="AS86" i="21"/>
  <c r="AS122" i="21" s="1"/>
  <c r="AC85" i="21"/>
  <c r="AC121" i="21" s="1"/>
  <c r="AC90" i="21"/>
  <c r="AC126" i="21" s="1"/>
  <c r="AC89" i="21"/>
  <c r="AC125" i="21" s="1"/>
  <c r="AC96" i="21"/>
  <c r="AC132" i="21" s="1"/>
  <c r="AC91" i="21"/>
  <c r="AC127" i="21" s="1"/>
  <c r="AC97" i="21"/>
  <c r="AC133" i="21" s="1"/>
  <c r="AC92" i="21"/>
  <c r="AC128" i="21" s="1"/>
  <c r="AC86" i="21"/>
  <c r="AC122" i="21" s="1"/>
  <c r="AC93" i="21"/>
  <c r="AC129" i="21" s="1"/>
  <c r="AC88" i="21"/>
  <c r="AC124" i="21" s="1"/>
  <c r="AC94" i="21"/>
  <c r="AC130" i="21" s="1"/>
  <c r="AC98" i="21"/>
  <c r="AC134" i="21" s="1"/>
  <c r="AC95" i="21"/>
  <c r="AC131" i="21" s="1"/>
  <c r="AC84" i="21"/>
  <c r="AC120" i="21" s="1"/>
  <c r="AC87" i="21"/>
  <c r="AC123" i="21" s="1"/>
  <c r="O88" i="21"/>
  <c r="O124" i="21" s="1"/>
  <c r="O93" i="21"/>
  <c r="O129" i="21" s="1"/>
  <c r="O89" i="21"/>
  <c r="O125" i="21" s="1"/>
  <c r="O98" i="21"/>
  <c r="O134" i="21" s="1"/>
  <c r="O90" i="21"/>
  <c r="O126" i="21" s="1"/>
  <c r="O97" i="21"/>
  <c r="O133" i="21" s="1"/>
  <c r="O91" i="21"/>
  <c r="O127" i="21" s="1"/>
  <c r="O84" i="21"/>
  <c r="O120" i="21" s="1"/>
  <c r="O92" i="21"/>
  <c r="O128" i="21" s="1"/>
  <c r="O85" i="21"/>
  <c r="O121" i="21" s="1"/>
  <c r="O96" i="21"/>
  <c r="O132" i="21" s="1"/>
  <c r="O86" i="21"/>
  <c r="O122" i="21" s="1"/>
  <c r="O95" i="21"/>
  <c r="O131" i="21" s="1"/>
  <c r="O87" i="21"/>
  <c r="O123" i="21" s="1"/>
  <c r="O94" i="21"/>
  <c r="O130" i="21" s="1"/>
  <c r="T87" i="21"/>
  <c r="T123" i="21" s="1"/>
  <c r="T91" i="21"/>
  <c r="T127" i="21" s="1"/>
  <c r="T88" i="21"/>
  <c r="T124" i="21" s="1"/>
  <c r="T94" i="21"/>
  <c r="T130" i="21" s="1"/>
  <c r="T89" i="21"/>
  <c r="T125" i="21" s="1"/>
  <c r="T93" i="21"/>
  <c r="T129" i="21" s="1"/>
  <c r="T90" i="21"/>
  <c r="T126" i="21" s="1"/>
  <c r="T98" i="21"/>
  <c r="T134" i="21" s="1"/>
  <c r="T92" i="21"/>
  <c r="T128" i="21" s="1"/>
  <c r="T84" i="21"/>
  <c r="T120" i="21" s="1"/>
  <c r="T96" i="21"/>
  <c r="T132" i="21" s="1"/>
  <c r="T85" i="21"/>
  <c r="T121" i="21" s="1"/>
  <c r="T97" i="21"/>
  <c r="T133" i="21" s="1"/>
  <c r="T86" i="21"/>
  <c r="T122" i="21" s="1"/>
  <c r="T95" i="21"/>
  <c r="T131" i="21" s="1"/>
  <c r="H89" i="21"/>
  <c r="H125" i="21" s="1"/>
  <c r="H98" i="21"/>
  <c r="H134" i="21" s="1"/>
  <c r="H90" i="21"/>
  <c r="H126" i="21" s="1"/>
  <c r="H92" i="21"/>
  <c r="H128" i="21" s="1"/>
  <c r="H91" i="21"/>
  <c r="H127" i="21" s="1"/>
  <c r="H84" i="21"/>
  <c r="H95" i="21"/>
  <c r="H131" i="21" s="1"/>
  <c r="H85" i="21"/>
  <c r="H121" i="21" s="1"/>
  <c r="H97" i="21"/>
  <c r="H133" i="21" s="1"/>
  <c r="H86" i="21"/>
  <c r="H122" i="21" s="1"/>
  <c r="H94" i="21"/>
  <c r="H130" i="21" s="1"/>
  <c r="H87" i="21"/>
  <c r="H123" i="21" s="1"/>
  <c r="H93" i="21"/>
  <c r="H129" i="21" s="1"/>
  <c r="H88" i="21"/>
  <c r="H124" i="21" s="1"/>
  <c r="H96" i="21"/>
  <c r="H132" i="21" s="1"/>
  <c r="F85" i="21"/>
  <c r="F121" i="21" s="1"/>
  <c r="F92" i="21"/>
  <c r="F128" i="21" s="1"/>
  <c r="F86" i="21"/>
  <c r="F122" i="21" s="1"/>
  <c r="F96" i="21"/>
  <c r="F132" i="21" s="1"/>
  <c r="F87" i="21"/>
  <c r="F123" i="21" s="1"/>
  <c r="F95" i="21"/>
  <c r="F131" i="21" s="1"/>
  <c r="F88" i="21"/>
  <c r="F124" i="21" s="1"/>
  <c r="F97" i="21"/>
  <c r="F133" i="21" s="1"/>
  <c r="F89" i="21"/>
  <c r="F125" i="21" s="1"/>
  <c r="F98" i="21"/>
  <c r="F134" i="21" s="1"/>
  <c r="F90" i="21"/>
  <c r="F126" i="21" s="1"/>
  <c r="F94" i="21"/>
  <c r="F130" i="21" s="1"/>
  <c r="F91" i="21"/>
  <c r="F127" i="21" s="1"/>
  <c r="F84" i="21"/>
  <c r="F93" i="21"/>
  <c r="F129" i="21" s="1"/>
  <c r="AL86" i="21"/>
  <c r="AL122" i="21" s="1"/>
  <c r="AL95" i="21"/>
  <c r="AL131" i="21" s="1"/>
  <c r="AL87" i="21"/>
  <c r="AL123" i="21" s="1"/>
  <c r="AL96" i="21"/>
  <c r="AL132" i="21" s="1"/>
  <c r="AL88" i="21"/>
  <c r="AL124" i="21" s="1"/>
  <c r="AL97" i="21"/>
  <c r="AL133" i="21" s="1"/>
  <c r="AL89" i="21"/>
  <c r="AL125" i="21" s="1"/>
  <c r="AL98" i="21"/>
  <c r="AL134" i="21" s="1"/>
  <c r="AL90" i="21"/>
  <c r="AL126" i="21" s="1"/>
  <c r="AL94" i="21"/>
  <c r="AL130" i="21" s="1"/>
  <c r="AL93" i="21"/>
  <c r="AL129" i="21" s="1"/>
  <c r="AL84" i="21"/>
  <c r="AL120" i="21" s="1"/>
  <c r="AL92" i="21"/>
  <c r="AL128" i="21" s="1"/>
  <c r="AL85" i="21"/>
  <c r="AL121" i="21" s="1"/>
  <c r="AL91" i="21"/>
  <c r="AL127" i="21" s="1"/>
  <c r="AE86" i="21"/>
  <c r="AE122" i="21" s="1"/>
  <c r="AE94" i="21"/>
  <c r="AE130" i="21" s="1"/>
  <c r="AE87" i="21"/>
  <c r="AE123" i="21" s="1"/>
  <c r="AE93" i="21"/>
  <c r="AE129" i="21" s="1"/>
  <c r="AE88" i="21"/>
  <c r="AE124" i="21" s="1"/>
  <c r="AE97" i="21"/>
  <c r="AE133" i="21" s="1"/>
  <c r="AE89" i="21"/>
  <c r="AE125" i="21" s="1"/>
  <c r="AE96" i="21"/>
  <c r="AE132" i="21" s="1"/>
  <c r="AE90" i="21"/>
  <c r="AE126" i="21" s="1"/>
  <c r="AE98" i="21"/>
  <c r="AE134" i="21" s="1"/>
  <c r="AE92" i="21"/>
  <c r="AE128" i="21" s="1"/>
  <c r="AE84" i="21"/>
  <c r="AE120" i="21" s="1"/>
  <c r="AE91" i="21"/>
  <c r="AE127" i="21" s="1"/>
  <c r="AE85" i="21"/>
  <c r="AE121" i="21" s="1"/>
  <c r="AE95" i="21"/>
  <c r="AE131" i="21" s="1"/>
  <c r="Y92" i="21"/>
  <c r="Y128" i="21" s="1"/>
  <c r="Y97" i="21"/>
  <c r="Y133" i="21" s="1"/>
  <c r="Y93" i="21"/>
  <c r="Y129" i="21" s="1"/>
  <c r="Y87" i="21"/>
  <c r="Y123" i="21" s="1"/>
  <c r="Y94" i="21"/>
  <c r="Y130" i="21" s="1"/>
  <c r="Y89" i="21"/>
  <c r="Y125" i="21" s="1"/>
  <c r="Y95" i="21"/>
  <c r="Y131" i="21" s="1"/>
  <c r="Y98" i="21"/>
  <c r="Y134" i="21" s="1"/>
  <c r="Y85" i="21"/>
  <c r="Y121" i="21" s="1"/>
  <c r="Y84" i="21"/>
  <c r="Y120" i="21" s="1"/>
  <c r="Y88" i="21"/>
  <c r="Y124" i="21" s="1"/>
  <c r="Y86" i="21"/>
  <c r="Y122" i="21" s="1"/>
  <c r="Y91" i="21"/>
  <c r="Y127" i="21" s="1"/>
  <c r="Y90" i="21"/>
  <c r="Y126" i="21" s="1"/>
  <c r="Y96" i="21"/>
  <c r="Y132" i="21" s="1"/>
  <c r="AX90" i="21"/>
  <c r="AX126" i="21" s="1"/>
  <c r="AX95" i="21"/>
  <c r="AX131" i="21" s="1"/>
  <c r="AX94" i="21"/>
  <c r="AX130" i="21" s="1"/>
  <c r="AX93" i="21"/>
  <c r="AX129" i="21" s="1"/>
  <c r="AX84" i="21"/>
  <c r="AX120" i="21" s="1"/>
  <c r="AX85" i="21"/>
  <c r="AX121" i="21" s="1"/>
  <c r="AX92" i="21"/>
  <c r="AX128" i="21" s="1"/>
  <c r="AX86" i="21"/>
  <c r="AX122" i="21" s="1"/>
  <c r="AX96" i="21"/>
  <c r="AX132" i="21" s="1"/>
  <c r="AX87" i="21"/>
  <c r="AX123" i="21" s="1"/>
  <c r="AX97" i="21"/>
  <c r="AX133" i="21" s="1"/>
  <c r="AX88" i="21"/>
  <c r="AX124" i="21" s="1"/>
  <c r="AX98" i="21"/>
  <c r="AX134" i="21" s="1"/>
  <c r="AX89" i="21"/>
  <c r="AX125" i="21" s="1"/>
  <c r="AX91" i="21"/>
  <c r="AX127" i="21" s="1"/>
  <c r="P86" i="21"/>
  <c r="P122" i="21" s="1"/>
  <c r="P92" i="21"/>
  <c r="P128" i="21" s="1"/>
  <c r="P87" i="21"/>
  <c r="P123" i="21" s="1"/>
  <c r="P96" i="21"/>
  <c r="P132" i="21" s="1"/>
  <c r="P88" i="21"/>
  <c r="P124" i="21" s="1"/>
  <c r="P95" i="21"/>
  <c r="P131" i="21" s="1"/>
  <c r="P89" i="21"/>
  <c r="P125" i="21" s="1"/>
  <c r="P94" i="21"/>
  <c r="P130" i="21" s="1"/>
  <c r="P90" i="21"/>
  <c r="P126" i="21" s="1"/>
  <c r="P98" i="21"/>
  <c r="P134" i="21" s="1"/>
  <c r="P91" i="21"/>
  <c r="P127" i="21" s="1"/>
  <c r="P84" i="21"/>
  <c r="P120" i="21" s="1"/>
  <c r="P93" i="21"/>
  <c r="P129" i="21" s="1"/>
  <c r="P85" i="21"/>
  <c r="P121" i="21" s="1"/>
  <c r="P97" i="21"/>
  <c r="P133" i="21" s="1"/>
  <c r="E96" i="21"/>
  <c r="E132" i="21" s="1"/>
  <c r="E85" i="21"/>
  <c r="E121" i="21" s="1"/>
  <c r="E87" i="21"/>
  <c r="E123" i="21" s="1"/>
  <c r="E88" i="21"/>
  <c r="E124" i="21" s="1"/>
  <c r="E91" i="21"/>
  <c r="E127" i="21" s="1"/>
  <c r="E90" i="21"/>
  <c r="E126" i="21" s="1"/>
  <c r="E92" i="21"/>
  <c r="E128" i="21" s="1"/>
  <c r="E97" i="21"/>
  <c r="E133" i="21" s="1"/>
  <c r="E93" i="21"/>
  <c r="E129" i="21" s="1"/>
  <c r="E86" i="21"/>
  <c r="E122" i="21" s="1"/>
  <c r="E94" i="21"/>
  <c r="E130" i="21" s="1"/>
  <c r="E89" i="21"/>
  <c r="E125" i="21" s="1"/>
  <c r="E95" i="21"/>
  <c r="E131" i="21" s="1"/>
  <c r="E98" i="21"/>
  <c r="E134" i="21" s="1"/>
  <c r="E84" i="21"/>
  <c r="J87" i="21"/>
  <c r="J123" i="21" s="1"/>
  <c r="J94" i="21"/>
  <c r="J130" i="21" s="1"/>
  <c r="J88" i="21"/>
  <c r="J124" i="21" s="1"/>
  <c r="J97" i="21"/>
  <c r="J133" i="21" s="1"/>
  <c r="J89" i="21"/>
  <c r="J125" i="21" s="1"/>
  <c r="J98" i="21"/>
  <c r="J134" i="21" s="1"/>
  <c r="J90" i="21"/>
  <c r="J126" i="21" s="1"/>
  <c r="J93" i="21"/>
  <c r="J129" i="21" s="1"/>
  <c r="J91" i="21"/>
  <c r="J127" i="21" s="1"/>
  <c r="J84" i="21"/>
  <c r="J92" i="21"/>
  <c r="J128" i="21" s="1"/>
  <c r="J85" i="21"/>
  <c r="J121" i="21" s="1"/>
  <c r="J96" i="21"/>
  <c r="J132" i="21" s="1"/>
  <c r="J86" i="21"/>
  <c r="J122" i="21" s="1"/>
  <c r="J95" i="21"/>
  <c r="J131" i="21" s="1"/>
  <c r="AQ92" i="21"/>
  <c r="AQ128" i="21" s="1"/>
  <c r="AQ85" i="21"/>
  <c r="AQ121" i="21" s="1"/>
  <c r="AQ91" i="21"/>
  <c r="AQ127" i="21" s="1"/>
  <c r="AQ86" i="21"/>
  <c r="AQ122" i="21" s="1"/>
  <c r="AQ95" i="21"/>
  <c r="AQ131" i="21" s="1"/>
  <c r="AQ87" i="21"/>
  <c r="AQ123" i="21" s="1"/>
  <c r="AQ94" i="21"/>
  <c r="AQ130" i="21" s="1"/>
  <c r="AQ88" i="21"/>
  <c r="AQ124" i="21" s="1"/>
  <c r="AQ96" i="21"/>
  <c r="AQ132" i="21" s="1"/>
  <c r="AQ89" i="21"/>
  <c r="AQ125" i="21" s="1"/>
  <c r="AQ98" i="21"/>
  <c r="AQ134" i="21" s="1"/>
  <c r="AQ90" i="21"/>
  <c r="AQ126" i="21" s="1"/>
  <c r="AQ97" i="21"/>
  <c r="AQ133" i="21" s="1"/>
  <c r="AQ93" i="21"/>
  <c r="AQ129" i="21" s="1"/>
  <c r="AQ84" i="21"/>
  <c r="I92" i="21"/>
  <c r="I128" i="21" s="1"/>
  <c r="I97" i="21"/>
  <c r="I133" i="21" s="1"/>
  <c r="I93" i="21"/>
  <c r="I129" i="21" s="1"/>
  <c r="I88" i="21"/>
  <c r="I124" i="21" s="1"/>
  <c r="I94" i="21"/>
  <c r="I130" i="21" s="1"/>
  <c r="I91" i="21"/>
  <c r="I127" i="21" s="1"/>
  <c r="I95" i="21"/>
  <c r="I131" i="21" s="1"/>
  <c r="I98" i="21"/>
  <c r="I134" i="21" s="1"/>
  <c r="I96" i="21"/>
  <c r="I132" i="21" s="1"/>
  <c r="I84" i="21"/>
  <c r="I87" i="21"/>
  <c r="I123" i="21" s="1"/>
  <c r="I86" i="21"/>
  <c r="I122" i="21" s="1"/>
  <c r="I89" i="21"/>
  <c r="I125" i="21" s="1"/>
  <c r="I90" i="21"/>
  <c r="I126" i="21" s="1"/>
  <c r="I85" i="21"/>
  <c r="I121" i="21" s="1"/>
  <c r="B88" i="21"/>
  <c r="B124" i="21" s="1"/>
  <c r="B90" i="21"/>
  <c r="B89" i="21"/>
  <c r="B91" i="21"/>
  <c r="B84" i="21"/>
  <c r="B94" i="21"/>
  <c r="B97" i="21"/>
  <c r="B85" i="21"/>
  <c r="B93" i="21"/>
  <c r="B92" i="21"/>
  <c r="B86" i="21"/>
  <c r="B98" i="21"/>
  <c r="B87" i="21"/>
  <c r="B96" i="21"/>
  <c r="B95" i="21"/>
  <c r="AH86" i="21"/>
  <c r="AH122" i="21" s="1"/>
  <c r="AH96" i="21"/>
  <c r="AH132" i="21" s="1"/>
  <c r="AH87" i="21"/>
  <c r="AH123" i="21" s="1"/>
  <c r="AH97" i="21"/>
  <c r="AH133" i="21" s="1"/>
  <c r="AH88" i="21"/>
  <c r="AH124" i="21" s="1"/>
  <c r="AH98" i="21"/>
  <c r="AH134" i="21" s="1"/>
  <c r="AH89" i="21"/>
  <c r="AH125" i="21" s="1"/>
  <c r="AH95" i="21"/>
  <c r="AH131" i="21" s="1"/>
  <c r="AH90" i="21"/>
  <c r="AH126" i="21" s="1"/>
  <c r="AH91" i="21"/>
  <c r="AH127" i="21" s="1"/>
  <c r="AH94" i="21"/>
  <c r="AH130" i="21" s="1"/>
  <c r="AH93" i="21"/>
  <c r="AH129" i="21" s="1"/>
  <c r="AH84" i="21"/>
  <c r="AH120" i="21" s="1"/>
  <c r="AH85" i="21"/>
  <c r="AH121" i="21" s="1"/>
  <c r="AH92" i="21"/>
  <c r="AH128" i="21" s="1"/>
  <c r="S86" i="21"/>
  <c r="S122" i="21" s="1"/>
  <c r="S93" i="21"/>
  <c r="S129" i="21" s="1"/>
  <c r="S87" i="21"/>
  <c r="S123" i="21" s="1"/>
  <c r="S92" i="21"/>
  <c r="S128" i="21" s="1"/>
  <c r="S88" i="21"/>
  <c r="S124" i="21" s="1"/>
  <c r="S97" i="21"/>
  <c r="S133" i="21" s="1"/>
  <c r="S89" i="21"/>
  <c r="S125" i="21" s="1"/>
  <c r="S96" i="21"/>
  <c r="S132" i="21" s="1"/>
  <c r="S90" i="21"/>
  <c r="S126" i="21" s="1"/>
  <c r="S98" i="21"/>
  <c r="S134" i="21" s="1"/>
  <c r="S91" i="21"/>
  <c r="S127" i="21" s="1"/>
  <c r="S84" i="21"/>
  <c r="S120" i="21" s="1"/>
  <c r="S95" i="21"/>
  <c r="S131" i="21" s="1"/>
  <c r="S85" i="21"/>
  <c r="S121" i="21" s="1"/>
  <c r="S94" i="21"/>
  <c r="S130" i="21" s="1"/>
  <c r="U87" i="21"/>
  <c r="U123" i="21" s="1"/>
  <c r="U96" i="21"/>
  <c r="U132" i="21" s="1"/>
  <c r="U92" i="21"/>
  <c r="U128" i="21" s="1"/>
  <c r="U97" i="21"/>
  <c r="U133" i="21" s="1"/>
  <c r="U93" i="21"/>
  <c r="U129" i="21" s="1"/>
  <c r="U89" i="21"/>
  <c r="U125" i="21" s="1"/>
  <c r="U94" i="21"/>
  <c r="U130" i="21" s="1"/>
  <c r="U85" i="21"/>
  <c r="U121" i="21" s="1"/>
  <c r="U95" i="21"/>
  <c r="U131" i="21" s="1"/>
  <c r="U91" i="21"/>
  <c r="U127" i="21" s="1"/>
  <c r="U88" i="21"/>
  <c r="U124" i="21" s="1"/>
  <c r="U98" i="21"/>
  <c r="U134" i="21" s="1"/>
  <c r="U90" i="21"/>
  <c r="U126" i="21" s="1"/>
  <c r="U84" i="21"/>
  <c r="U120" i="21" s="1"/>
  <c r="U86" i="21"/>
  <c r="U122" i="21" s="1"/>
  <c r="AT87" i="21"/>
  <c r="AT123" i="21" s="1"/>
  <c r="AT96" i="21"/>
  <c r="AT132" i="21" s="1"/>
  <c r="AT88" i="21"/>
  <c r="AT124" i="21" s="1"/>
  <c r="AT97" i="21"/>
  <c r="AT133" i="21" s="1"/>
  <c r="AT89" i="21"/>
  <c r="AT125" i="21" s="1"/>
  <c r="AT98" i="21"/>
  <c r="AT134" i="21" s="1"/>
  <c r="AT90" i="21"/>
  <c r="AT126" i="21" s="1"/>
  <c r="AT92" i="21"/>
  <c r="AT128" i="21" s="1"/>
  <c r="AT91" i="21"/>
  <c r="AT127" i="21" s="1"/>
  <c r="AT84" i="21"/>
  <c r="AT120" i="21" s="1"/>
  <c r="AT95" i="21"/>
  <c r="AT131" i="21" s="1"/>
  <c r="AT85" i="21"/>
  <c r="AT121" i="21" s="1"/>
  <c r="AT94" i="21"/>
  <c r="AT130" i="21" s="1"/>
  <c r="AT86" i="21"/>
  <c r="AT122" i="21" s="1"/>
  <c r="AT93" i="21"/>
  <c r="AT129" i="21" s="1"/>
  <c r="L88" i="21"/>
  <c r="L124" i="21" s="1"/>
  <c r="L96" i="21"/>
  <c r="L132" i="21" s="1"/>
  <c r="L89" i="21"/>
  <c r="L125" i="21" s="1"/>
  <c r="L95" i="21"/>
  <c r="L131" i="21" s="1"/>
  <c r="L90" i="21"/>
  <c r="L126" i="21" s="1"/>
  <c r="L98" i="21"/>
  <c r="L134" i="21" s="1"/>
  <c r="L91" i="21"/>
  <c r="L127" i="21" s="1"/>
  <c r="L84" i="21"/>
  <c r="L94" i="21"/>
  <c r="L130" i="21" s="1"/>
  <c r="L85" i="21"/>
  <c r="L121" i="21" s="1"/>
  <c r="L97" i="21"/>
  <c r="L133" i="21" s="1"/>
  <c r="L86" i="21"/>
  <c r="L122" i="21" s="1"/>
  <c r="L93" i="21"/>
  <c r="L129" i="21" s="1"/>
  <c r="L87" i="21"/>
  <c r="L123" i="21" s="1"/>
  <c r="L92" i="21"/>
  <c r="L128" i="21" s="1"/>
  <c r="C89" i="21"/>
  <c r="C125" i="21" s="1"/>
  <c r="C92" i="21"/>
  <c r="C128" i="21" s="1"/>
  <c r="C90" i="21"/>
  <c r="C126" i="21" s="1"/>
  <c r="C98" i="21"/>
  <c r="C134" i="21" s="1"/>
  <c r="C91" i="21"/>
  <c r="C127" i="21" s="1"/>
  <c r="C84" i="21"/>
  <c r="C95" i="21"/>
  <c r="C131" i="21" s="1"/>
  <c r="C85" i="21"/>
  <c r="C121" i="21" s="1"/>
  <c r="C94" i="21"/>
  <c r="C130" i="21" s="1"/>
  <c r="C86" i="21"/>
  <c r="C122" i="21" s="1"/>
  <c r="C93" i="21"/>
  <c r="C129" i="21" s="1"/>
  <c r="C87" i="21"/>
  <c r="C123" i="21" s="1"/>
  <c r="C96" i="21"/>
  <c r="C132" i="21" s="1"/>
  <c r="C88" i="21"/>
  <c r="C124" i="21" s="1"/>
  <c r="C97" i="21"/>
  <c r="C133" i="21" s="1"/>
  <c r="AW93" i="21"/>
  <c r="AW129" i="21" s="1"/>
  <c r="AW86" i="21"/>
  <c r="AW122" i="21" s="1"/>
  <c r="AW94" i="21"/>
  <c r="AW130" i="21" s="1"/>
  <c r="AW98" i="21"/>
  <c r="AW134" i="21" s="1"/>
  <c r="AW95" i="21"/>
  <c r="AW131" i="21" s="1"/>
  <c r="AW89" i="21"/>
  <c r="AW125" i="21" s="1"/>
  <c r="AW85" i="21"/>
  <c r="AW121" i="21" s="1"/>
  <c r="AW84" i="21"/>
  <c r="AW120" i="21" s="1"/>
  <c r="AW87" i="21"/>
  <c r="AW123" i="21" s="1"/>
  <c r="AW88" i="21"/>
  <c r="AW124" i="21" s="1"/>
  <c r="AW90" i="21"/>
  <c r="AW126" i="21" s="1"/>
  <c r="AW91" i="21"/>
  <c r="AW127" i="21" s="1"/>
  <c r="AW96" i="21"/>
  <c r="AW132" i="21" s="1"/>
  <c r="AW92" i="21"/>
  <c r="AW128" i="21" s="1"/>
  <c r="AW97" i="21"/>
  <c r="AW133" i="21" s="1"/>
  <c r="AD90" i="21"/>
  <c r="AD126" i="21" s="1"/>
  <c r="AD92" i="21"/>
  <c r="AD128" i="21" s="1"/>
  <c r="AD91" i="21"/>
  <c r="AD127" i="21" s="1"/>
  <c r="AD84" i="21"/>
  <c r="AD120" i="21" s="1"/>
  <c r="AD95" i="21"/>
  <c r="AD131" i="21" s="1"/>
  <c r="AD85" i="21"/>
  <c r="AD121" i="21" s="1"/>
  <c r="AD94" i="21"/>
  <c r="AD130" i="21" s="1"/>
  <c r="AD86" i="21"/>
  <c r="AD122" i="21" s="1"/>
  <c r="AD93" i="21"/>
  <c r="AD129" i="21" s="1"/>
  <c r="AD87" i="21"/>
  <c r="AD123" i="21" s="1"/>
  <c r="AD96" i="21"/>
  <c r="AD132" i="21" s="1"/>
  <c r="AD88" i="21"/>
  <c r="AD124" i="21" s="1"/>
  <c r="AD97" i="21"/>
  <c r="AD133" i="21" s="1"/>
  <c r="AD89" i="21"/>
  <c r="AD125" i="21" s="1"/>
  <c r="AD98" i="21"/>
  <c r="AD134" i="21" s="1"/>
  <c r="AY88" i="21"/>
  <c r="AY124" i="21" s="1"/>
  <c r="AY98" i="21"/>
  <c r="AY134" i="21" s="1"/>
  <c r="AY89" i="21"/>
  <c r="AY125" i="21" s="1"/>
  <c r="AY96" i="21"/>
  <c r="AY132" i="21" s="1"/>
  <c r="AY90" i="21"/>
  <c r="AY126" i="21" s="1"/>
  <c r="AY92" i="21"/>
  <c r="AY128" i="21" s="1"/>
  <c r="AY91" i="21"/>
  <c r="AY127" i="21" s="1"/>
  <c r="AY84" i="21"/>
  <c r="AY120" i="21" s="1"/>
  <c r="AY95" i="21"/>
  <c r="AY131" i="21" s="1"/>
  <c r="AY85" i="21"/>
  <c r="AY121" i="21" s="1"/>
  <c r="AY94" i="21"/>
  <c r="AY130" i="21" s="1"/>
  <c r="AY86" i="21"/>
  <c r="AY122" i="21" s="1"/>
  <c r="AY93" i="21"/>
  <c r="AY129" i="21" s="1"/>
  <c r="AY87" i="21"/>
  <c r="AY123" i="21" s="1"/>
  <c r="AY97" i="21"/>
  <c r="AY133" i="21" s="1"/>
  <c r="Q96" i="21"/>
  <c r="Q132" i="21" s="1"/>
  <c r="Q98" i="21"/>
  <c r="Q134" i="21" s="1"/>
  <c r="Q86" i="21"/>
  <c r="Q122" i="21" s="1"/>
  <c r="Q84" i="21"/>
  <c r="Q120" i="21" s="1"/>
  <c r="Q89" i="21"/>
  <c r="Q125" i="21" s="1"/>
  <c r="Q88" i="21"/>
  <c r="Q124" i="21" s="1"/>
  <c r="Q91" i="21"/>
  <c r="Q127" i="21" s="1"/>
  <c r="Q92" i="21"/>
  <c r="Q128" i="21" s="1"/>
  <c r="Q97" i="21"/>
  <c r="Q133" i="21" s="1"/>
  <c r="Q93" i="21"/>
  <c r="Q129" i="21" s="1"/>
  <c r="Q85" i="21"/>
  <c r="Q121" i="21" s="1"/>
  <c r="Q94" i="21"/>
  <c r="Q130" i="21" s="1"/>
  <c r="Q87" i="21"/>
  <c r="Q123" i="21" s="1"/>
  <c r="Q95" i="21"/>
  <c r="Q131" i="21" s="1"/>
  <c r="Q90" i="21"/>
  <c r="Q126" i="21" s="1"/>
  <c r="AN86" i="21"/>
  <c r="AN122" i="21" s="1"/>
  <c r="AN97" i="21"/>
  <c r="AN133" i="21" s="1"/>
  <c r="AN87" i="21"/>
  <c r="AN123" i="21" s="1"/>
  <c r="AN94" i="21"/>
  <c r="AN130" i="21" s="1"/>
  <c r="AN88" i="21"/>
  <c r="AN124" i="21" s="1"/>
  <c r="AN93" i="21"/>
  <c r="AN129" i="21" s="1"/>
  <c r="AN89" i="21"/>
  <c r="AN125" i="21" s="1"/>
  <c r="AN92" i="21"/>
  <c r="AN128" i="21" s="1"/>
  <c r="AN90" i="21"/>
  <c r="AN126" i="21" s="1"/>
  <c r="AN98" i="21"/>
  <c r="AN134" i="21" s="1"/>
  <c r="AN91" i="21"/>
  <c r="AN127" i="21" s="1"/>
  <c r="AN84" i="21"/>
  <c r="AN120" i="21" s="1"/>
  <c r="AN95" i="21"/>
  <c r="AN131" i="21" s="1"/>
  <c r="AN85" i="21"/>
  <c r="AN121" i="21" s="1"/>
  <c r="AN96" i="21"/>
  <c r="AN132" i="21" s="1"/>
  <c r="AP88" i="21"/>
  <c r="AP124" i="21" s="1"/>
  <c r="AP97" i="21"/>
  <c r="AP133" i="21" s="1"/>
  <c r="AP89" i="21"/>
  <c r="AP125" i="21" s="1"/>
  <c r="AP98" i="21"/>
  <c r="AP134" i="21" s="1"/>
  <c r="AP90" i="21"/>
  <c r="AP126" i="21" s="1"/>
  <c r="AP93" i="21"/>
  <c r="AP129" i="21" s="1"/>
  <c r="AP92" i="21"/>
  <c r="AP128" i="21" s="1"/>
  <c r="AP84" i="21"/>
  <c r="AP91" i="21"/>
  <c r="AP127" i="21" s="1"/>
  <c r="AP85" i="21"/>
  <c r="AP121" i="21" s="1"/>
  <c r="AP95" i="21"/>
  <c r="AP131" i="21" s="1"/>
  <c r="AP86" i="21"/>
  <c r="AP122" i="21" s="1"/>
  <c r="AP94" i="21"/>
  <c r="AP130" i="21" s="1"/>
  <c r="AP87" i="21"/>
  <c r="AP123" i="21" s="1"/>
  <c r="AP96" i="21"/>
  <c r="AP132" i="21" s="1"/>
  <c r="D86" i="21"/>
  <c r="D122" i="21" s="1"/>
  <c r="D97" i="21"/>
  <c r="D133" i="21" s="1"/>
  <c r="D87" i="21"/>
  <c r="D123" i="21" s="1"/>
  <c r="D98" i="21"/>
  <c r="D134" i="21" s="1"/>
  <c r="D88" i="21"/>
  <c r="D124" i="21" s="1"/>
  <c r="D95" i="21"/>
  <c r="D131" i="21" s="1"/>
  <c r="D89" i="21"/>
  <c r="D125" i="21" s="1"/>
  <c r="D94" i="21"/>
  <c r="D130" i="21" s="1"/>
  <c r="D90" i="21"/>
  <c r="D126" i="21" s="1"/>
  <c r="D93" i="21"/>
  <c r="D129" i="21" s="1"/>
  <c r="D91" i="21"/>
  <c r="D127" i="21" s="1"/>
  <c r="D84" i="21"/>
  <c r="D92" i="21"/>
  <c r="D128" i="21" s="1"/>
  <c r="D85" i="21"/>
  <c r="D121" i="21" s="1"/>
  <c r="D96" i="21"/>
  <c r="D132" i="21" s="1"/>
  <c r="AI85" i="21"/>
  <c r="AI121" i="21" s="1"/>
  <c r="AI94" i="21"/>
  <c r="AI130" i="21" s="1"/>
  <c r="AI86" i="21"/>
  <c r="AI122" i="21" s="1"/>
  <c r="AI93" i="21"/>
  <c r="AI129" i="21" s="1"/>
  <c r="AI87" i="21"/>
  <c r="AI123" i="21" s="1"/>
  <c r="AI97" i="21"/>
  <c r="AI133" i="21" s="1"/>
  <c r="AI88" i="21"/>
  <c r="AI124" i="21" s="1"/>
  <c r="AI96" i="21"/>
  <c r="AI132" i="21" s="1"/>
  <c r="AI89" i="21"/>
  <c r="AI125" i="21" s="1"/>
  <c r="AI98" i="21"/>
  <c r="AI134" i="21" s="1"/>
  <c r="AI90" i="21"/>
  <c r="AI126" i="21" s="1"/>
  <c r="AI92" i="21"/>
  <c r="AI128" i="21" s="1"/>
  <c r="AI91" i="21"/>
  <c r="AI127" i="21" s="1"/>
  <c r="AI84" i="21"/>
  <c r="AI120" i="21" s="1"/>
  <c r="AI95" i="21"/>
  <c r="AI131" i="21" s="1"/>
  <c r="Z85" i="21"/>
  <c r="Z121" i="21" s="1"/>
  <c r="Z95" i="21"/>
  <c r="Z131" i="21" s="1"/>
  <c r="Z86" i="21"/>
  <c r="Z122" i="21" s="1"/>
  <c r="Z94" i="21"/>
  <c r="Z130" i="21" s="1"/>
  <c r="Z87" i="21"/>
  <c r="Z123" i="21" s="1"/>
  <c r="Z96" i="21"/>
  <c r="Z132" i="21" s="1"/>
  <c r="Z88" i="21"/>
  <c r="Z124" i="21" s="1"/>
  <c r="Z97" i="21"/>
  <c r="Z133" i="21" s="1"/>
  <c r="Z89" i="21"/>
  <c r="Z125" i="21" s="1"/>
  <c r="Z98" i="21"/>
  <c r="Z134" i="21" s="1"/>
  <c r="Z90" i="21"/>
  <c r="Z126" i="21" s="1"/>
  <c r="Z93" i="21"/>
  <c r="Z129" i="21" s="1"/>
  <c r="Z91" i="21"/>
  <c r="Z127" i="21" s="1"/>
  <c r="Z84" i="21"/>
  <c r="Z120" i="21" s="1"/>
  <c r="Z92" i="21"/>
  <c r="Z128" i="21" s="1"/>
  <c r="AU85" i="21"/>
  <c r="AU121" i="21" s="1"/>
  <c r="AU95" i="21"/>
  <c r="AU131" i="21" s="1"/>
  <c r="AU86" i="21"/>
  <c r="AU122" i="21" s="1"/>
  <c r="AU94" i="21"/>
  <c r="AU130" i="21" s="1"/>
  <c r="AU87" i="21"/>
  <c r="AU123" i="21" s="1"/>
  <c r="AU93" i="21"/>
  <c r="AU129" i="21" s="1"/>
  <c r="AU88" i="21"/>
  <c r="AU124" i="21" s="1"/>
  <c r="AU97" i="21"/>
  <c r="AU133" i="21" s="1"/>
  <c r="AU89" i="21"/>
  <c r="AU125" i="21" s="1"/>
  <c r="AU96" i="21"/>
  <c r="AU132" i="21" s="1"/>
  <c r="AU90" i="21"/>
  <c r="AU126" i="21" s="1"/>
  <c r="AU98" i="21"/>
  <c r="AU134" i="21" s="1"/>
  <c r="AU92" i="21"/>
  <c r="AU128" i="21" s="1"/>
  <c r="AU91" i="21"/>
  <c r="AU127" i="21" s="1"/>
  <c r="AU84" i="21"/>
  <c r="AU120" i="21" s="1"/>
  <c r="M93" i="21"/>
  <c r="M129" i="21" s="1"/>
  <c r="M98" i="21"/>
  <c r="M134" i="21" s="1"/>
  <c r="M94" i="21"/>
  <c r="M130" i="21" s="1"/>
  <c r="M88" i="21"/>
  <c r="M124" i="21" s="1"/>
  <c r="M95" i="21"/>
  <c r="M131" i="21" s="1"/>
  <c r="M86" i="21"/>
  <c r="M122" i="21" s="1"/>
  <c r="M96" i="21"/>
  <c r="M132" i="21" s="1"/>
  <c r="M84" i="21"/>
  <c r="M120" i="21" s="1"/>
  <c r="M91" i="21"/>
  <c r="M127" i="21" s="1"/>
  <c r="M85" i="21"/>
  <c r="M121" i="21" s="1"/>
  <c r="M87" i="21"/>
  <c r="M123" i="21" s="1"/>
  <c r="M89" i="21"/>
  <c r="M125" i="21" s="1"/>
  <c r="M97" i="21"/>
  <c r="M133" i="21" s="1"/>
  <c r="M92" i="21"/>
  <c r="M128" i="21" s="1"/>
  <c r="M90" i="21"/>
  <c r="M126" i="21" s="1"/>
  <c r="AJ96" i="21"/>
  <c r="AJ132" i="21" s="1"/>
  <c r="AJ85" i="21"/>
  <c r="AJ121" i="21" s="1"/>
  <c r="AJ97" i="21"/>
  <c r="AJ133" i="21" s="1"/>
  <c r="AJ86" i="21"/>
  <c r="AJ122" i="21" s="1"/>
  <c r="AJ91" i="21"/>
  <c r="AJ127" i="21" s="1"/>
  <c r="AJ87" i="21"/>
  <c r="AJ123" i="21" s="1"/>
  <c r="AJ95" i="21"/>
  <c r="AJ131" i="21" s="1"/>
  <c r="AJ88" i="21"/>
  <c r="AJ124" i="21" s="1"/>
  <c r="AJ94" i="21"/>
  <c r="AJ130" i="21" s="1"/>
  <c r="AJ89" i="21"/>
  <c r="AJ125" i="21" s="1"/>
  <c r="AJ93" i="21"/>
  <c r="AJ129" i="21" s="1"/>
  <c r="AJ90" i="21"/>
  <c r="AJ126" i="21" s="1"/>
  <c r="AJ98" i="21"/>
  <c r="AJ134" i="21" s="1"/>
  <c r="AJ92" i="21"/>
  <c r="AJ128" i="21" s="1"/>
  <c r="AJ84" i="21"/>
  <c r="AJ120" i="21" s="1"/>
  <c r="W85" i="21"/>
  <c r="W121" i="21" s="1"/>
  <c r="W93" i="21"/>
  <c r="W129" i="21" s="1"/>
  <c r="W86" i="21"/>
  <c r="W122" i="21" s="1"/>
  <c r="W92" i="21"/>
  <c r="W128" i="21" s="1"/>
  <c r="W87" i="21"/>
  <c r="W123" i="21" s="1"/>
  <c r="W96" i="21"/>
  <c r="W132" i="21" s="1"/>
  <c r="W88" i="21"/>
  <c r="W124" i="21" s="1"/>
  <c r="W98" i="21"/>
  <c r="W134" i="21" s="1"/>
  <c r="W89" i="21"/>
  <c r="W125" i="21" s="1"/>
  <c r="W97" i="21"/>
  <c r="W133" i="21" s="1"/>
  <c r="W90" i="21"/>
  <c r="W126" i="21" s="1"/>
  <c r="W95" i="21"/>
  <c r="W131" i="21" s="1"/>
  <c r="W91" i="21"/>
  <c r="W127" i="21" s="1"/>
  <c r="W84" i="21"/>
  <c r="W120" i="21" s="1"/>
  <c r="W94" i="21"/>
  <c r="W130" i="21" s="1"/>
  <c r="V86" i="21"/>
  <c r="V122" i="21" s="1"/>
  <c r="V95" i="21"/>
  <c r="V131" i="21" s="1"/>
  <c r="V87" i="21"/>
  <c r="V123" i="21" s="1"/>
  <c r="V96" i="21"/>
  <c r="V132" i="21" s="1"/>
  <c r="V88" i="21"/>
  <c r="V124" i="21" s="1"/>
  <c r="V97" i="21"/>
  <c r="V133" i="21" s="1"/>
  <c r="V89" i="21"/>
  <c r="V125" i="21" s="1"/>
  <c r="V98" i="21"/>
  <c r="V134" i="21" s="1"/>
  <c r="V90" i="21"/>
  <c r="V126" i="21" s="1"/>
  <c r="V94" i="21"/>
  <c r="V130" i="21" s="1"/>
  <c r="V91" i="21"/>
  <c r="V127" i="21" s="1"/>
  <c r="V84" i="21"/>
  <c r="V120" i="21" s="1"/>
  <c r="V93" i="21"/>
  <c r="V129" i="21" s="1"/>
  <c r="V85" i="21"/>
  <c r="V121" i="21" s="1"/>
  <c r="V92" i="21"/>
  <c r="V128" i="21" s="1"/>
  <c r="AO90" i="21"/>
  <c r="AO126" i="21" s="1"/>
  <c r="AO97" i="21"/>
  <c r="AO133" i="21" s="1"/>
  <c r="AO91" i="21"/>
  <c r="AO127" i="21" s="1"/>
  <c r="AO87" i="21"/>
  <c r="AO123" i="21" s="1"/>
  <c r="AO92" i="21"/>
  <c r="AO128" i="21" s="1"/>
  <c r="AO89" i="21"/>
  <c r="AO125" i="21" s="1"/>
  <c r="AO93" i="21"/>
  <c r="AO129" i="21" s="1"/>
  <c r="AO85" i="21"/>
  <c r="AO121" i="21" s="1"/>
  <c r="AO94" i="21"/>
  <c r="AO130" i="21" s="1"/>
  <c r="AO98" i="21"/>
  <c r="AO134" i="21" s="1"/>
  <c r="AO95" i="21"/>
  <c r="AO131" i="21" s="1"/>
  <c r="AO84" i="21"/>
  <c r="AO120" i="21" s="1"/>
  <c r="AO88" i="21"/>
  <c r="AO124" i="21" s="1"/>
  <c r="AO86" i="21"/>
  <c r="AO122" i="21" s="1"/>
  <c r="AO96" i="21"/>
  <c r="AO132" i="21" s="1"/>
  <c r="BA89" i="21"/>
  <c r="BA125" i="21" s="1"/>
  <c r="BA84" i="21"/>
  <c r="BA120" i="21" s="1"/>
  <c r="BA85" i="21"/>
  <c r="BA121" i="21" s="1"/>
  <c r="BA87" i="21"/>
  <c r="BA123" i="21" s="1"/>
  <c r="BA96" i="21"/>
  <c r="BA132" i="21" s="1"/>
  <c r="BA91" i="21"/>
  <c r="BA127" i="21" s="1"/>
  <c r="BA88" i="21"/>
  <c r="BA124" i="21" s="1"/>
  <c r="BA92" i="21"/>
  <c r="BA128" i="21" s="1"/>
  <c r="BA90" i="21"/>
  <c r="BA126" i="21" s="1"/>
  <c r="BA93" i="21"/>
  <c r="BA129" i="21" s="1"/>
  <c r="BA86" i="21"/>
  <c r="BA122" i="21" s="1"/>
  <c r="BA94" i="21"/>
  <c r="BA130" i="21" s="1"/>
  <c r="BA98" i="21"/>
  <c r="BA134" i="21" s="1"/>
  <c r="BA95" i="21"/>
  <c r="BA131" i="21" s="1"/>
  <c r="BA97" i="21"/>
  <c r="BA133" i="21" s="1"/>
  <c r="AF86" i="21"/>
  <c r="AF122" i="21" s="1"/>
  <c r="AF92" i="21"/>
  <c r="AF128" i="21" s="1"/>
  <c r="AF87" i="21"/>
  <c r="AF123" i="21" s="1"/>
  <c r="AF91" i="21"/>
  <c r="AF127" i="21" s="1"/>
  <c r="AF88" i="21"/>
  <c r="AF124" i="21" s="1"/>
  <c r="AF95" i="21"/>
  <c r="AF131" i="21" s="1"/>
  <c r="AF89" i="21"/>
  <c r="AF125" i="21" s="1"/>
  <c r="AF94" i="21"/>
  <c r="AF130" i="21" s="1"/>
  <c r="AF90" i="21"/>
  <c r="AF126" i="21" s="1"/>
  <c r="AF98" i="21"/>
  <c r="AF134" i="21" s="1"/>
  <c r="AF93" i="21"/>
  <c r="AF129" i="21" s="1"/>
  <c r="AF84" i="21"/>
  <c r="AF120" i="21" s="1"/>
  <c r="AF96" i="21"/>
  <c r="AF132" i="21" s="1"/>
  <c r="AF85" i="21"/>
  <c r="AF121" i="21" s="1"/>
  <c r="AF97" i="21"/>
  <c r="AF133" i="21" s="1"/>
  <c r="AZ87" i="21"/>
  <c r="AZ123" i="21" s="1"/>
  <c r="AZ95" i="21"/>
  <c r="AZ131" i="21" s="1"/>
  <c r="AZ88" i="21"/>
  <c r="AZ124" i="21" s="1"/>
  <c r="AZ94" i="21"/>
  <c r="AZ130" i="21" s="1"/>
  <c r="AZ89" i="21"/>
  <c r="AZ125" i="21" s="1"/>
  <c r="AZ93" i="21"/>
  <c r="AZ129" i="21" s="1"/>
  <c r="AZ90" i="21"/>
  <c r="AZ126" i="21" s="1"/>
  <c r="AZ98" i="21"/>
  <c r="AZ134" i="21" s="1"/>
  <c r="AZ92" i="21"/>
  <c r="AZ128" i="21" s="1"/>
  <c r="AZ84" i="21"/>
  <c r="AZ120" i="21" s="1"/>
  <c r="AZ96" i="21"/>
  <c r="AZ132" i="21" s="1"/>
  <c r="AZ85" i="21"/>
  <c r="AZ121" i="21" s="1"/>
  <c r="AZ97" i="21"/>
  <c r="AZ133" i="21" s="1"/>
  <c r="AZ86" i="21"/>
  <c r="AZ122" i="21" s="1"/>
  <c r="AZ91" i="21"/>
  <c r="AZ127" i="21" s="1"/>
  <c r="R94" i="21"/>
  <c r="R130" i="21" s="1"/>
  <c r="R85" i="21"/>
  <c r="R121" i="21" s="1"/>
  <c r="R93" i="21"/>
  <c r="R129" i="21" s="1"/>
  <c r="R86" i="21"/>
  <c r="R122" i="21" s="1"/>
  <c r="R92" i="21"/>
  <c r="R128" i="21" s="1"/>
  <c r="R87" i="21"/>
  <c r="R123" i="21" s="1"/>
  <c r="R96" i="21"/>
  <c r="R132" i="21" s="1"/>
  <c r="R88" i="21"/>
  <c r="R124" i="21" s="1"/>
  <c r="R97" i="21"/>
  <c r="R133" i="21" s="1"/>
  <c r="R89" i="21"/>
  <c r="R125" i="21" s="1"/>
  <c r="R98" i="21"/>
  <c r="R134" i="21" s="1"/>
  <c r="R90" i="21"/>
  <c r="R126" i="21" s="1"/>
  <c r="R95" i="21"/>
  <c r="R131" i="21" s="1"/>
  <c r="R91" i="21"/>
  <c r="R127" i="21" s="1"/>
  <c r="R84" i="21"/>
  <c r="R120" i="21" s="1"/>
  <c r="AK86" i="21"/>
  <c r="AK122" i="21" s="1"/>
  <c r="AK89" i="21"/>
  <c r="AK125" i="21" s="1"/>
  <c r="AK84" i="21"/>
  <c r="AK120" i="21" s="1"/>
  <c r="AK87" i="21"/>
  <c r="AK123" i="21" s="1"/>
  <c r="AK96" i="21"/>
  <c r="AK132" i="21" s="1"/>
  <c r="AK91" i="21"/>
  <c r="AK127" i="21" s="1"/>
  <c r="AK97" i="21"/>
  <c r="AK133" i="21" s="1"/>
  <c r="AK92" i="21"/>
  <c r="AK128" i="21" s="1"/>
  <c r="AK85" i="21"/>
  <c r="AK121" i="21" s="1"/>
  <c r="AK93" i="21"/>
  <c r="AK129" i="21" s="1"/>
  <c r="AK88" i="21"/>
  <c r="AK124" i="21" s="1"/>
  <c r="AK94" i="21"/>
  <c r="AK130" i="21" s="1"/>
  <c r="AK98" i="21"/>
  <c r="AK134" i="21" s="1"/>
  <c r="AK95" i="21"/>
  <c r="AK131" i="21" s="1"/>
  <c r="AK90" i="21"/>
  <c r="AK126" i="21" s="1"/>
  <c r="AM88" i="21"/>
  <c r="AM124" i="21" s="1"/>
  <c r="AM95" i="21"/>
  <c r="AM131" i="21" s="1"/>
  <c r="AM89" i="21"/>
  <c r="AM125" i="21" s="1"/>
  <c r="AM97" i="21"/>
  <c r="AM133" i="21" s="1"/>
  <c r="AM90" i="21"/>
  <c r="AM126" i="21" s="1"/>
  <c r="AM91" i="21"/>
  <c r="AM127" i="21" s="1"/>
  <c r="AM94" i="21"/>
  <c r="AM130" i="21" s="1"/>
  <c r="AM84" i="21"/>
  <c r="AM120" i="21" s="1"/>
  <c r="AM93" i="21"/>
  <c r="AM129" i="21" s="1"/>
  <c r="AM85" i="21"/>
  <c r="AM121" i="21" s="1"/>
  <c r="AM92" i="21"/>
  <c r="AM128" i="21" s="1"/>
  <c r="AM86" i="21"/>
  <c r="AM122" i="21" s="1"/>
  <c r="AM96" i="21"/>
  <c r="AM132" i="21" s="1"/>
  <c r="AM87" i="21"/>
  <c r="AM123" i="21" s="1"/>
  <c r="AM98" i="21"/>
  <c r="AM134" i="21" s="1"/>
  <c r="AB87" i="21"/>
  <c r="AB123" i="21" s="1"/>
  <c r="AB92" i="21"/>
  <c r="AB128" i="21" s="1"/>
  <c r="AB88" i="21"/>
  <c r="AB124" i="21" s="1"/>
  <c r="AB91" i="21"/>
  <c r="AB127" i="21" s="1"/>
  <c r="AB89" i="21"/>
  <c r="AB125" i="21" s="1"/>
  <c r="AB98" i="21"/>
  <c r="AB134" i="21" s="1"/>
  <c r="AB90" i="21"/>
  <c r="AB126" i="21" s="1"/>
  <c r="AB95" i="21"/>
  <c r="AB131" i="21" s="1"/>
  <c r="AB94" i="21"/>
  <c r="AB130" i="21" s="1"/>
  <c r="AB84" i="21"/>
  <c r="AB96" i="21"/>
  <c r="AB132" i="21" s="1"/>
  <c r="AB85" i="21"/>
  <c r="AB121" i="21" s="1"/>
  <c r="AB97" i="21"/>
  <c r="AB133" i="21" s="1"/>
  <c r="AB86" i="21"/>
  <c r="AB122" i="21" s="1"/>
  <c r="AB93" i="21"/>
  <c r="AB129" i="21" s="1"/>
  <c r="K2" i="20"/>
  <c r="A10" i="19" s="1"/>
  <c r="J2" i="20"/>
  <c r="AZ117" i="21"/>
  <c r="AH117" i="21"/>
  <c r="R117" i="21"/>
  <c r="S117" i="21"/>
  <c r="AK117" i="21"/>
  <c r="U117" i="21"/>
  <c r="AM117" i="21"/>
  <c r="AT117" i="21"/>
  <c r="AB117" i="21"/>
  <c r="AW117" i="21"/>
  <c r="AV117" i="21"/>
  <c r="AD117" i="21"/>
  <c r="N117" i="21"/>
  <c r="AY117" i="21"/>
  <c r="AG117" i="21"/>
  <c r="Q117" i="21"/>
  <c r="AA117" i="21"/>
  <c r="AN117" i="21"/>
  <c r="X117" i="21"/>
  <c r="AI117" i="21"/>
  <c r="AR117" i="21"/>
  <c r="Z117" i="21"/>
  <c r="AS117" i="21"/>
  <c r="AU117" i="21"/>
  <c r="AC117" i="21"/>
  <c r="M117" i="21"/>
  <c r="O117" i="21"/>
  <c r="AJ117" i="21"/>
  <c r="T117" i="21"/>
  <c r="W117" i="21"/>
  <c r="AL117" i="21"/>
  <c r="V117" i="21"/>
  <c r="AE117" i="21"/>
  <c r="AO117" i="21"/>
  <c r="Y117" i="21"/>
  <c r="BA117" i="21"/>
  <c r="AX117" i="21"/>
  <c r="AF117" i="21"/>
  <c r="P117" i="21"/>
  <c r="C428" i="21"/>
  <c r="C86" i="13" s="1"/>
  <c r="C67" i="12" s="1"/>
  <c r="AL99" i="21" l="1"/>
  <c r="C350" i="21"/>
  <c r="W99" i="21"/>
  <c r="AP99" i="21"/>
  <c r="B131" i="21"/>
  <c r="M419" i="21" s="1"/>
  <c r="M37" i="8" s="1"/>
  <c r="B435" i="21"/>
  <c r="B93" i="13" s="1"/>
  <c r="D93" i="13" s="1"/>
  <c r="F93" i="13" s="1"/>
  <c r="B133" i="21"/>
  <c r="O419" i="21" s="1"/>
  <c r="O37" i="8" s="1"/>
  <c r="B437" i="21"/>
  <c r="B95" i="13" s="1"/>
  <c r="D95" i="13" s="1"/>
  <c r="F95" i="13" s="1"/>
  <c r="AX99" i="21"/>
  <c r="O99" i="21"/>
  <c r="G99" i="21"/>
  <c r="AZ99" i="21"/>
  <c r="AD99" i="21"/>
  <c r="AT99" i="21"/>
  <c r="B132" i="21"/>
  <c r="N419" i="21" s="1"/>
  <c r="N37" i="8" s="1"/>
  <c r="B436" i="21"/>
  <c r="B94" i="13" s="1"/>
  <c r="D94" i="13" s="1"/>
  <c r="F94" i="13" s="1"/>
  <c r="B130" i="21"/>
  <c r="L419" i="21" s="1"/>
  <c r="L37" i="8" s="1"/>
  <c r="B434" i="21"/>
  <c r="B92" i="13" s="1"/>
  <c r="D92" i="13" s="1"/>
  <c r="F92" i="13" s="1"/>
  <c r="AC99" i="21"/>
  <c r="AS99" i="21"/>
  <c r="AK99" i="21"/>
  <c r="B427" i="21"/>
  <c r="B85" i="13" s="1"/>
  <c r="D85" i="13" s="1"/>
  <c r="B99" i="21"/>
  <c r="B424" i="21"/>
  <c r="B82" i="13" s="1"/>
  <c r="D82" i="13" s="1"/>
  <c r="P99" i="21"/>
  <c r="Y99" i="21"/>
  <c r="X99" i="21"/>
  <c r="N99" i="21"/>
  <c r="AV99" i="21"/>
  <c r="V99" i="21"/>
  <c r="AI99" i="21"/>
  <c r="Q99" i="21"/>
  <c r="L99" i="21"/>
  <c r="AH99" i="21"/>
  <c r="B134" i="21"/>
  <c r="P419" i="21" s="1"/>
  <c r="P37" i="8" s="1"/>
  <c r="B438" i="21"/>
  <c r="B96" i="13" s="1"/>
  <c r="D96" i="13" s="1"/>
  <c r="F96" i="13" s="1"/>
  <c r="B127" i="21"/>
  <c r="B431" i="21"/>
  <c r="B89" i="13" s="1"/>
  <c r="D89" i="13" s="1"/>
  <c r="F89" i="13" s="1"/>
  <c r="F99" i="21"/>
  <c r="H99" i="21"/>
  <c r="AO99" i="21"/>
  <c r="M99" i="21"/>
  <c r="AU99" i="21"/>
  <c r="Z99" i="21"/>
  <c r="D99" i="21"/>
  <c r="AN99" i="21"/>
  <c r="AW99" i="21"/>
  <c r="U99" i="21"/>
  <c r="B426" i="21"/>
  <c r="B84" i="13" s="1"/>
  <c r="D84" i="13" s="1"/>
  <c r="B125" i="21"/>
  <c r="G419" i="21" s="1"/>
  <c r="G37" i="8" s="1"/>
  <c r="B429" i="21"/>
  <c r="B87" i="13" s="1"/>
  <c r="D87" i="13" s="1"/>
  <c r="F87" i="13" s="1"/>
  <c r="I99" i="21"/>
  <c r="J99" i="21"/>
  <c r="R99" i="21"/>
  <c r="C99" i="21"/>
  <c r="S99" i="21"/>
  <c r="B128" i="21"/>
  <c r="B432" i="21"/>
  <c r="B90" i="13" s="1"/>
  <c r="D90" i="13" s="1"/>
  <c r="F90" i="13" s="1"/>
  <c r="B126" i="21"/>
  <c r="H419" i="21" s="1"/>
  <c r="H37" i="8" s="1"/>
  <c r="B430" i="21"/>
  <c r="B88" i="13" s="1"/>
  <c r="D88" i="13" s="1"/>
  <c r="F88" i="13" s="1"/>
  <c r="AR99" i="21"/>
  <c r="AG99" i="21"/>
  <c r="K99" i="21"/>
  <c r="AB99" i="21"/>
  <c r="AB120" i="21"/>
  <c r="AB135" i="21" s="1"/>
  <c r="B305" i="21" s="1"/>
  <c r="AM99" i="21"/>
  <c r="AF99" i="21"/>
  <c r="AJ99" i="21"/>
  <c r="AY99" i="21"/>
  <c r="B129" i="21"/>
  <c r="K419" i="21" s="1"/>
  <c r="K37" i="8" s="1"/>
  <c r="B433" i="21"/>
  <c r="B91" i="13" s="1"/>
  <c r="D91" i="13" s="1"/>
  <c r="F91" i="13" s="1"/>
  <c r="B428" i="21"/>
  <c r="B86" i="13" s="1"/>
  <c r="D86" i="13" s="1"/>
  <c r="BA99" i="21"/>
  <c r="B425" i="21"/>
  <c r="B83" i="13" s="1"/>
  <c r="D83" i="13" s="1"/>
  <c r="AQ99" i="21"/>
  <c r="E99" i="21"/>
  <c r="AE99" i="21"/>
  <c r="T99" i="21"/>
  <c r="AA99" i="21"/>
  <c r="AO135" i="21"/>
  <c r="B318" i="21" s="1"/>
  <c r="W135" i="21"/>
  <c r="B300" i="21" s="1"/>
  <c r="AJ135" i="21"/>
  <c r="B313" i="21" s="1"/>
  <c r="Z135" i="21"/>
  <c r="B303" i="21" s="1"/>
  <c r="AI135" i="21"/>
  <c r="B312" i="21" s="1"/>
  <c r="U135" i="21"/>
  <c r="B298" i="21" s="1"/>
  <c r="AF135" i="21"/>
  <c r="B309" i="21" s="1"/>
  <c r="BA135" i="21"/>
  <c r="B330" i="21" s="1"/>
  <c r="V135" i="21"/>
  <c r="B299" i="21" s="1"/>
  <c r="M135" i="21"/>
  <c r="B290" i="21" s="1"/>
  <c r="AU135" i="21"/>
  <c r="B324" i="21" s="1"/>
  <c r="AN135" i="21"/>
  <c r="B317" i="21" s="1"/>
  <c r="Q135" i="21"/>
  <c r="B294" i="21" s="1"/>
  <c r="AY135" i="21"/>
  <c r="B328" i="21" s="1"/>
  <c r="AD135" i="21"/>
  <c r="B307" i="21" s="1"/>
  <c r="AW135" i="21"/>
  <c r="B326" i="21" s="1"/>
  <c r="AT135" i="21"/>
  <c r="B323" i="21" s="1"/>
  <c r="S135" i="21"/>
  <c r="B296" i="21" s="1"/>
  <c r="AH135" i="21"/>
  <c r="B311" i="21" s="1"/>
  <c r="P135" i="21"/>
  <c r="B293" i="21" s="1"/>
  <c r="Y135" i="21"/>
  <c r="B302" i="21" s="1"/>
  <c r="AR135" i="21"/>
  <c r="B321" i="21" s="1"/>
  <c r="AG135" i="21"/>
  <c r="B310" i="21" s="1"/>
  <c r="N135" i="21"/>
  <c r="B291" i="21" s="1"/>
  <c r="AV135" i="21"/>
  <c r="B325" i="21" s="1"/>
  <c r="AK135" i="21"/>
  <c r="B314" i="21" s="1"/>
  <c r="R135" i="21"/>
  <c r="B295" i="21" s="1"/>
  <c r="AX135" i="21"/>
  <c r="B327" i="21" s="1"/>
  <c r="AE135" i="21"/>
  <c r="B308" i="21" s="1"/>
  <c r="AL135" i="21"/>
  <c r="B315" i="21" s="1"/>
  <c r="T135" i="21"/>
  <c r="B297" i="21" s="1"/>
  <c r="O135" i="21"/>
  <c r="B292" i="21" s="1"/>
  <c r="AC135" i="21"/>
  <c r="B306" i="21" s="1"/>
  <c r="AS135" i="21"/>
  <c r="B322" i="21" s="1"/>
  <c r="X135" i="21"/>
  <c r="B301" i="21" s="1"/>
  <c r="AA135" i="21"/>
  <c r="B304" i="21" s="1"/>
  <c r="AM135" i="21"/>
  <c r="B316" i="21" s="1"/>
  <c r="AZ135" i="21"/>
  <c r="B329" i="21" s="1"/>
  <c r="E86" i="13"/>
  <c r="C425" i="21"/>
  <c r="C83" i="13" s="1"/>
  <c r="E83" i="13" s="1"/>
  <c r="C427" i="21"/>
  <c r="C85" i="13" s="1"/>
  <c r="C66" i="12" s="1"/>
  <c r="C426" i="21"/>
  <c r="C84" i="13" s="1"/>
  <c r="C65" i="12" s="1"/>
  <c r="C424" i="21"/>
  <c r="C82" i="13" s="1"/>
  <c r="B350" i="21"/>
  <c r="F419" i="21"/>
  <c r="F37" i="8" s="1"/>
  <c r="B123" i="21"/>
  <c r="B349" i="21" s="1"/>
  <c r="B122" i="21"/>
  <c r="C348" i="21" s="1"/>
  <c r="B121" i="21"/>
  <c r="C347" i="21" s="1"/>
  <c r="F117" i="21"/>
  <c r="F120" i="21"/>
  <c r="F135" i="21" s="1"/>
  <c r="D120" i="21"/>
  <c r="D135" i="21" s="1"/>
  <c r="D117" i="21"/>
  <c r="AP117" i="21"/>
  <c r="AP120" i="21"/>
  <c r="AP135" i="21" s="1"/>
  <c r="B117" i="21"/>
  <c r="B120" i="21"/>
  <c r="I117" i="21"/>
  <c r="I120" i="21"/>
  <c r="I135" i="21" s="1"/>
  <c r="H120" i="21"/>
  <c r="H135" i="21" s="1"/>
  <c r="H117" i="21"/>
  <c r="L117" i="21"/>
  <c r="L120" i="21"/>
  <c r="L135" i="21" s="1"/>
  <c r="K120" i="21"/>
  <c r="K135" i="21" s="1"/>
  <c r="K117" i="21"/>
  <c r="AQ120" i="21"/>
  <c r="AQ135" i="21" s="1"/>
  <c r="AQ117" i="21"/>
  <c r="J120" i="21"/>
  <c r="J135" i="21" s="1"/>
  <c r="J117" i="21"/>
  <c r="C120" i="21"/>
  <c r="C135" i="21" s="1"/>
  <c r="C117" i="21"/>
  <c r="G117" i="21"/>
  <c r="G120" i="21"/>
  <c r="G135" i="21" s="1"/>
  <c r="E117" i="21"/>
  <c r="E120" i="21"/>
  <c r="E135" i="21" s="1"/>
  <c r="D350" i="21" l="1"/>
  <c r="B74" i="12"/>
  <c r="F83" i="13"/>
  <c r="B76" i="12"/>
  <c r="F86" i="13"/>
  <c r="B73" i="12"/>
  <c r="B69" i="12"/>
  <c r="B75" i="12"/>
  <c r="C356" i="21"/>
  <c r="B356" i="21"/>
  <c r="B66" i="12"/>
  <c r="C354" i="21"/>
  <c r="B354" i="21"/>
  <c r="B358" i="21"/>
  <c r="C358" i="21"/>
  <c r="B355" i="21"/>
  <c r="C355" i="21"/>
  <c r="B64" i="12"/>
  <c r="B353" i="21"/>
  <c r="C353" i="21"/>
  <c r="I419" i="21"/>
  <c r="I37" i="8" s="1"/>
  <c r="B68" i="12"/>
  <c r="B71" i="12"/>
  <c r="B351" i="21"/>
  <c r="C351" i="21"/>
  <c r="J419" i="21"/>
  <c r="J37" i="8" s="1"/>
  <c r="B359" i="21"/>
  <c r="C359" i="21"/>
  <c r="B70" i="12"/>
  <c r="B360" i="21"/>
  <c r="C360" i="21"/>
  <c r="B77" i="12"/>
  <c r="C352" i="21"/>
  <c r="B352" i="21"/>
  <c r="B67" i="12"/>
  <c r="B72" i="12"/>
  <c r="B65" i="12"/>
  <c r="B357" i="21"/>
  <c r="C357" i="21"/>
  <c r="B63" i="12"/>
  <c r="B388" i="21"/>
  <c r="C388" i="21" s="1"/>
  <c r="D388" i="21" s="1"/>
  <c r="B385" i="21"/>
  <c r="C385" i="21" s="1"/>
  <c r="D385" i="21" s="1"/>
  <c r="B375" i="21"/>
  <c r="C375" i="21" s="1"/>
  <c r="D375" i="21" s="1"/>
  <c r="B402" i="21"/>
  <c r="C402" i="21" s="1"/>
  <c r="D402" i="21" s="1"/>
  <c r="B383" i="21"/>
  <c r="C383" i="21" s="1"/>
  <c r="D383" i="21" s="1"/>
  <c r="B401" i="21"/>
  <c r="C401" i="21" s="1"/>
  <c r="D401" i="21" s="1"/>
  <c r="B406" i="21"/>
  <c r="C406" i="21" s="1"/>
  <c r="D406" i="21" s="1"/>
  <c r="B380" i="21"/>
  <c r="C380" i="21" s="1"/>
  <c r="D380" i="21" s="1"/>
  <c r="B378" i="21"/>
  <c r="C378" i="21" s="1"/>
  <c r="D378" i="21" s="1"/>
  <c r="B393" i="21"/>
  <c r="C393" i="21" s="1"/>
  <c r="D393" i="21" s="1"/>
  <c r="B413" i="21"/>
  <c r="C413" i="21" s="1"/>
  <c r="D413" i="21" s="1"/>
  <c r="B386" i="21"/>
  <c r="C386" i="21" s="1"/>
  <c r="D386" i="21" s="1"/>
  <c r="B382" i="21"/>
  <c r="C382" i="21" s="1"/>
  <c r="D382" i="21" s="1"/>
  <c r="B376" i="21"/>
  <c r="C376" i="21" s="1"/>
  <c r="D376" i="21" s="1"/>
  <c r="B411" i="21"/>
  <c r="C411" i="21" s="1"/>
  <c r="D411" i="21" s="1"/>
  <c r="B415" i="21"/>
  <c r="C415" i="21" s="1"/>
  <c r="D415" i="21" s="1"/>
  <c r="B391" i="21"/>
  <c r="C391" i="21" s="1"/>
  <c r="D391" i="21" s="1"/>
  <c r="B390" i="21"/>
  <c r="C390" i="21" s="1"/>
  <c r="D390" i="21" s="1"/>
  <c r="B381" i="21"/>
  <c r="C381" i="21" s="1"/>
  <c r="D381" i="21" s="1"/>
  <c r="B414" i="21"/>
  <c r="C414" i="21" s="1"/>
  <c r="D414" i="21" s="1"/>
  <c r="B389" i="21"/>
  <c r="C389" i="21" s="1"/>
  <c r="D389" i="21" s="1"/>
  <c r="B407" i="21"/>
  <c r="C407" i="21" s="1"/>
  <c r="D407" i="21" s="1"/>
  <c r="B377" i="21"/>
  <c r="C377" i="21" s="1"/>
  <c r="D377" i="21" s="1"/>
  <c r="B400" i="21"/>
  <c r="C400" i="21" s="1"/>
  <c r="D400" i="21" s="1"/>
  <c r="B412" i="21"/>
  <c r="C412" i="21" s="1"/>
  <c r="D412" i="21" s="1"/>
  <c r="B399" i="21"/>
  <c r="C399" i="21" s="1"/>
  <c r="D399" i="21" s="1"/>
  <c r="B410" i="21"/>
  <c r="C410" i="21" s="1"/>
  <c r="D410" i="21" s="1"/>
  <c r="B395" i="21"/>
  <c r="C395" i="21" s="1"/>
  <c r="D395" i="21" s="1"/>
  <c r="B387" i="21"/>
  <c r="C387" i="21" s="1"/>
  <c r="D387" i="21" s="1"/>
  <c r="B396" i="21"/>
  <c r="C396" i="21" s="1"/>
  <c r="D396" i="21" s="1"/>
  <c r="B408" i="21"/>
  <c r="C408" i="21" s="1"/>
  <c r="D408" i="21" s="1"/>
  <c r="B392" i="21"/>
  <c r="C392" i="21" s="1"/>
  <c r="D392" i="21" s="1"/>
  <c r="B379" i="21"/>
  <c r="C379" i="21" s="1"/>
  <c r="D379" i="21" s="1"/>
  <c r="B409" i="21"/>
  <c r="C409" i="21" s="1"/>
  <c r="D409" i="21" s="1"/>
  <c r="B384" i="21"/>
  <c r="C384" i="21" s="1"/>
  <c r="D384" i="21" s="1"/>
  <c r="B394" i="21"/>
  <c r="C394" i="21" s="1"/>
  <c r="D394" i="21" s="1"/>
  <c r="B397" i="21"/>
  <c r="C397" i="21" s="1"/>
  <c r="D397" i="21" s="1"/>
  <c r="B398" i="21"/>
  <c r="C398" i="21" s="1"/>
  <c r="D398" i="21" s="1"/>
  <c r="B403" i="21"/>
  <c r="C403" i="21" s="1"/>
  <c r="D403" i="21" s="1"/>
  <c r="C64" i="12"/>
  <c r="D419" i="21"/>
  <c r="D37" i="8" s="1"/>
  <c r="E85" i="13"/>
  <c r="F85" i="13" s="1"/>
  <c r="E419" i="21"/>
  <c r="E37" i="8" s="1"/>
  <c r="C419" i="21"/>
  <c r="C37" i="8" s="1"/>
  <c r="C349" i="21"/>
  <c r="D349" i="21" s="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C346" i="21"/>
  <c r="B346" i="21"/>
  <c r="B135" i="21"/>
  <c r="D359" i="21" l="1"/>
  <c r="D353" i="21"/>
  <c r="D354" i="21"/>
  <c r="D351" i="21"/>
  <c r="D355" i="21"/>
  <c r="D356" i="21"/>
  <c r="D352" i="21"/>
  <c r="D357" i="21"/>
  <c r="D360" i="21"/>
  <c r="D358" i="21"/>
  <c r="B279" i="2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<sst xmlns="http://schemas.openxmlformats.org/spreadsheetml/2006/main" count="951" uniqueCount="325">
  <si>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</si>
  <si>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</si>
  <si>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</si>
  <si>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</si>
  <si>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</si>
  <si>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</si>
  <si>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</si>
  <si>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</si>
  <si>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</si>
  <si>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</si>
  <si>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</si>
  <si>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</si>
  <si>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</si>
  <si>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</si>
  <si>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</si>
  <si>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</si>
  <si>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</si>
  <si>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</si>
  <si>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</si>
  <si>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</si>
  <si>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</si>
  <si>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</si>
  <si>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</si>
  <si>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</si>
  <si>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</si>
  <si>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</si>
  <si>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</si>
  <si>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</si>
  <si>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</si>
  <si>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</si>
  <si>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</si>
  <si>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</si>
  <si>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</si>
  <si>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</si>
  <si>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</si>
  <si>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</si>
  <si>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</si>
  <si>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</si>
  <si>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</si>
  <si>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</si>
  <si>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</si>
  <si>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</si>
  <si>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</si>
  <si>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</si>
  <si>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</si>
  <si>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</si>
  <si>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</si>
  <si>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</si>
  <si>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</si>
  <si>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</si>
  <si>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</si>
  <si>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</si>
  <si>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</si>
  <si>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</si>
  <si>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</si>
  <si>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</si>
  <si>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</si>
  <si>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</si>
  <si>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</si>
  <si>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</si>
  <si>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</si>
  <si>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</si>
  <si>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</si>
  <si>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</si>
  <si>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</si>
  <si>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</si>
  <si>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</si>
  <si>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</si>
  <si>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</si>
  <si>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</si>
  <si>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</si>
  <si>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</si>
  <si>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</si>
  <si>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</si>
  <si>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</si>
  <si>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</si>
  <si>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</si>
  <si>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</si>
  <si>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</si>
  <si>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</si>
  <si>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</si>
  <si>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</si>
  <si>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</si>
  <si>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</si>
  <si>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</si>
  <si>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</si>
  <si>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</si>
  <si>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</si>
  <si>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</si>
  <si>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</si>
  <si>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</si>
  <si>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</si>
  <si>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</si>
  <si>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</si>
  <si>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</si>
  <si>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</si>
  <si>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</si>
  <si>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</si>
  <si>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</si>
  <si>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</si>
  <si>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</si>
  <si>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</si>
  <si>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</si>
  <si>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</si>
  <si>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</si>
  <si>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</si>
  <si>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</si>
  <si>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</si>
  <si>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</si>
  <si>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</si>
  <si>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</si>
  <si>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</si>
  <si>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</si>
  <si>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</si>
  <si>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</si>
  <si>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</si>
  <si>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</si>
  <si>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</si>
  <si>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</si>
  <si>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</si>
  <si>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</si>
  <si>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</si>
  <si>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</si>
  <si>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</si>
  <si>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</si>
  <si>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</si>
  <si>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</si>
  <si>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</si>
  <si>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</si>
  <si>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</si>
  <si>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</si>
  <si>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</si>
  <si>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</si>
  <si>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</si>
  <si>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</si>
  <si>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</si>
  <si>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</si>
  <si>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</si>
  <si>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</si>
  <si>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</si>
  <si>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</si>
  <si>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</si>
  <si>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</si>
  <si>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</si>
  <si>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</si>
  <si>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</si>
  <si>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</si>
  <si>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</si>
  <si>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</si>
  <si>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</si>
  <si>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</si>
  <si>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</si>
  <si>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</si>
  <si>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</si>
  <si>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</si>
  <si>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</si>
  <si>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</si>
  <si>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</si>
  <si>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</si>
  <si>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</si>
  <si>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</si>
  <si>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</si>
  <si>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</si>
  <si>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</si>
  <si>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</si>
  <si>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</si>
  <si>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</si>
  <si>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</si>
  <si>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</si>
  <si>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</si>
  <si>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</si>
  <si>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</si>
  <si>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</si>
  <si>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</si>
  <si>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</si>
  <si>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</si>
  <si>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</si>
  <si>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</si>
  <si>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</si>
  <si>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</si>
  <si>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</si>
  <si>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</si>
  <si>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</si>
  <si>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</si>
  <si>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</si>
  <si>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</si>
  <si>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</si>
  <si>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</si>
  <si>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</si>
  <si>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</si>
  <si>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</si>
  <si>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</si>
  <si>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</si>
  <si>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</si>
  <si>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</si>
  <si>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</si>
  <si>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</si>
  <si>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</si>
  <si>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</si>
  <si>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</si>
  <si>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</si>
  <si>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</si>
  <si>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</si>
  <si>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</si>
  <si>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</si>
  <si>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</si>
  <si>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</si>
  <si>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</si>
  <si>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</si>
  <si>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</si>
  <si>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</si>
  <si>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</si>
  <si>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</si>
  <si>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</si>
  <si>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</si>
  <si>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</si>
  <si>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</si>
  <si>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</si>
  <si>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</si>
  <si>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</si>
  <si>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</si>
  <si>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</si>
  <si>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</si>
  <si>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</si>
  <si>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</si>
  <si>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</si>
  <si>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</si>
  <si>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</si>
  <si>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</si>
  <si>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</si>
  <si>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</si>
  <si>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</si>
  <si>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</si>
  <si>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</si>
  <si>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</si>
  <si>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</si>
  <si>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</si>
  <si>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</si>
  <si>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</si>
  <si>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</si>
  <si>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</si>
  <si>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</si>
  <si>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</si>
  <si>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</si>
  <si>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</si>
  <si>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</si>
  <si>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</si>
  <si>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</si>
  <si>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</si>
  <si>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</si>
  <si>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</si>
  <si>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</si>
  <si>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</si>
  <si>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</si>
  <si>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</si>
  <si>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</si>
  <si>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</si>
  <si>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</si>
  <si>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</si>
  <si>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</si>
  <si>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</si>
  <si>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</si>
  <si>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</si>
  <si>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</si>
  <si>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</si>
  <si>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</si>
  <si>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</si>
  <si>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</si>
  <si>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</si>
  <si>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</si>
  <si>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</si>
  <si>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</si>
  <si>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</si>
  <si>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</si>
  <si>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</si>
  <si>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</si>
  <si>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</si>
  <si>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</si>
  <si>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</si>
  <si>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</si>
  <si>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</si>
  <si>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</si>
  <si>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</si>
  <si>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</si>
  <si>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</si>
  <si>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</si>
  <si>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</si>
  <si>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</si>
  <si>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</si>
  <si>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</si>
  <si>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</si>
  <si>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</si>
  <si>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</si>
  <si>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</si>
  <si>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</si>
  <si>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</si>
  <si>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</si>
  <si>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</si>
  <si>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</si>
  <si>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</si>
  <si>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core capacity</t>
  </si>
  <si>
    <t>ad hoc capacity</t>
  </si>
  <si>
    <t>Hours available per week</t>
  </si>
  <si>
    <t>Clinical session (Ad hoc)</t>
  </si>
  <si>
    <t>By-week availability</t>
  </si>
  <si>
    <t>note: sum total time assigned</t>
  </si>
  <si>
    <t>Cross check</t>
  </si>
  <si>
    <t>Clinical Resource</t>
  </si>
  <si>
    <t>Hours available</t>
  </si>
  <si>
    <t>Weekly avg</t>
  </si>
  <si>
    <t>Hours committed</t>
  </si>
  <si>
    <t>Caseload grouping</t>
  </si>
  <si>
    <t>1 to 15 [group here]</t>
  </si>
  <si>
    <t>Overall summary</t>
  </si>
  <si>
    <t>Specific resource level summary</t>
  </si>
  <si>
    <t xml:space="preserve">Clinical resource: </t>
  </si>
  <si>
    <t>Weekly availability</t>
  </si>
  <si>
    <t>Capacity sessions</t>
  </si>
  <si>
    <t>Assigned</t>
  </si>
  <si>
    <t>Available</t>
  </si>
  <si>
    <t>Specific session summary</t>
  </si>
  <si>
    <t>Clinical session:</t>
  </si>
  <si>
    <t>Ad Hoc</t>
  </si>
  <si>
    <t>[hideable]</t>
  </si>
  <si>
    <t>-&gt; out to 52 weeks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</si>
</sst>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3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s>
  <cellStyleXfs count="2">
    <xf numFmtId="0" fontId="0" fillId="0" borderId="0"/>
    <xf numFmtId="9" fontId="5" fillId="0" borderId="0" applyFont="0" applyFill="0" applyBorder="0" applyAlignment="0" applyProtection="0"/>
  </cellStyleXfs>
  <cellXfs count="224">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14" fontId="0" fillId="0" borderId="0" xfId="0" applyNumberFormat="1" applyAlignment="1">
      <alignment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7" borderId="0" xfId="0" applyFill="1" applyAlignment="1">
      <alignment textRotation="9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29" xfId="0" applyBorder="1" applyAlignment="1">
      <alignment horizontal="center" textRotation="90" wrapText="1"/>
    </xf>
    <xf numFmtId="0" fontId="0" fillId="0" borderId="30"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1" fillId="7" borderId="13" xfId="0" applyFont="1" applyFill="1" applyBorder="1" applyAlignment="1">
      <alignment horizontal="center"/>
    </xf>
    <xf numFmtId="0" fontId="1" fillId="7" borderId="15" xfId="0" applyFont="1" applyFill="1" applyBorder="1" applyAlignment="1">
      <alignment horizontal="center"/>
    </xf>
    <xf numFmtId="0" fontId="0" fillId="0" borderId="0" xfId="0" applyAlignment="1">
      <alignment horizontal="center" textRotation="90"/>
    </xf>
  </cellXfs>
  <cellStyles count="2">
    <cellStyle name="Normal" xfId="0" builtinId="0"/>
    <cellStyle name="Percent" xfId="1" builtinId="5"/>
  </cellStyles>
  <dxfs count="20">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1.6666666666666666E-2</c:v>
                </c:pt>
                <c:pt idx="1">
                  <c:v>1.6666666666666666E-2</c:v>
                </c:pt>
                <c:pt idx="2">
                  <c:v>1.6666666666666666E-2</c:v>
                </c:pt>
                <c:pt idx="3">
                  <c:v>1.6666666666666666E-2</c:v>
                </c:pt>
                <c:pt idx="4">
                  <c:v>1.6666666666666666E-2</c:v>
                </c:pt>
                <c:pt idx="5">
                  <c:v>1.6666666666666666E-2</c:v>
                </c:pt>
                <c:pt idx="6">
                  <c:v>1.6666666666666666E-2</c:v>
                </c:pt>
                <c:pt idx="7">
                  <c:v>1.6666666666666666E-2</c:v>
                </c:pt>
                <c:pt idx="8">
                  <c:v>1.6666666666666666E-2</c:v>
                </c:pt>
                <c:pt idx="9">
                  <c:v>1.6666666666666666E-2</c:v>
                </c:pt>
                <c:pt idx="10">
                  <c:v>1.6666666666666666E-2</c:v>
                </c:pt>
                <c:pt idx="11">
                  <c:v>1.6666666666666666E-2</c:v>
                </c:pt>
                <c:pt idx="12">
                  <c:v>1.6666666666666666E-2</c:v>
                </c:pt>
                <c:pt idx="13">
                  <c:v>1.6666666666666666E-2</c:v>
                </c:pt>
                <c:pt idx="14">
                  <c:v>1.6666666666666666E-2</c:v>
                </c:pt>
                <c:pt idx="15">
                  <c:v>1.6666666666666666E-2</c:v>
                </c:pt>
                <c:pt idx="16">
                  <c:v>1.6666666666666666E-2</c:v>
                </c:pt>
                <c:pt idx="17">
                  <c:v>1.6666666666666666E-2</c:v>
                </c:pt>
                <c:pt idx="18">
                  <c:v>1.6666666666666666E-2</c:v>
                </c:pt>
                <c:pt idx="19">
                  <c:v>1.6666666666666666E-2</c:v>
                </c:pt>
                <c:pt idx="20">
                  <c:v>1.6666666666666666E-2</c:v>
                </c:pt>
                <c:pt idx="21">
                  <c:v>1.6666666666666666E-2</c:v>
                </c:pt>
                <c:pt idx="22">
                  <c:v>1.6666666666666666E-2</c:v>
                </c:pt>
                <c:pt idx="23">
                  <c:v>1.6666666666666666E-2</c:v>
                </c:pt>
                <c:pt idx="24">
                  <c:v>1.6666666666666666E-2</c:v>
                </c:pt>
                <c:pt idx="25">
                  <c:v>1.6666666666666666E-2</c:v>
                </c:pt>
                <c:pt idx="26">
                  <c:v>1.6666666666666666E-2</c:v>
                </c:pt>
                <c:pt idx="27">
                  <c:v>1.6666666666666666E-2</c:v>
                </c:pt>
                <c:pt idx="28">
                  <c:v>1.6666666666666666E-2</c:v>
                </c:pt>
                <c:pt idx="29">
                  <c:v>1.6666666666666666E-2</c:v>
                </c:pt>
                <c:pt idx="30">
                  <c:v>1.6666666666666666E-2</c:v>
                </c:pt>
                <c:pt idx="31">
                  <c:v>1.6666666666666666E-2</c:v>
                </c:pt>
                <c:pt idx="32">
                  <c:v>1.6666666666666666E-2</c:v>
                </c:pt>
                <c:pt idx="33">
                  <c:v>1.6666666666666666E-2</c:v>
                </c:pt>
                <c:pt idx="34">
                  <c:v>1.6666666666666666E-2</c:v>
                </c:pt>
                <c:pt idx="35">
                  <c:v>1.6666666666666666E-2</c:v>
                </c:pt>
                <c:pt idx="36">
                  <c:v>1.6666666666666666E-2</c:v>
                </c:pt>
                <c:pt idx="37">
                  <c:v>1.6666666666666666E-2</c:v>
                </c:pt>
                <c:pt idx="38">
                  <c:v>1.6666666666666666E-2</c:v>
                </c:pt>
                <c:pt idx="39">
                  <c:v>1.6666666666666666E-2</c:v>
                </c:pt>
                <c:pt idx="40">
                  <c:v>1.6666666666666666E-2</c:v>
                </c:pt>
                <c:pt idx="41">
                  <c:v>1.6666666666666666E-2</c:v>
                </c:pt>
                <c:pt idx="42">
                  <c:v>1.6666666666666666E-2</c:v>
                </c:pt>
                <c:pt idx="43">
                  <c:v>1.6666666666666666E-2</c:v>
                </c:pt>
                <c:pt idx="44">
                  <c:v>1.6666666666666666E-2</c:v>
                </c:pt>
                <c:pt idx="45">
                  <c:v>1.6666666666666666E-2</c:v>
                </c:pt>
                <c:pt idx="46">
                  <c:v>1.6666666666666666E-2</c:v>
                </c:pt>
                <c:pt idx="47">
                  <c:v>1.6666666666666666E-2</c:v>
                </c:pt>
                <c:pt idx="48">
                  <c:v>1.6666666666666666E-2</c:v>
                </c:pt>
                <c:pt idx="49">
                  <c:v>1.6666666666666666E-2</c:v>
                </c:pt>
                <c:pt idx="50">
                  <c:v>1.6666666666666666E-2</c:v>
                </c:pt>
                <c:pt idx="51">
                  <c:v>1.6666666666666666E-2</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3"/>
                <c:pt idx="0">
                  <c:v>Caseload 1</c:v>
                </c:pt>
                <c:pt idx="1">
                  <c:v>Caseload 2</c:v>
                </c:pt>
                <c:pt idx="2">
                  <c:v>Caseload 3</c:v>
                </c:pt>
              </c:strCache>
            </c:strRef>
          </c:cat>
          <c:val>
            <c:numRef>
              <c:f>'Required Capacity (Hide)'!$F$63:$F$77</c:f>
              <c:numCache>
                <c:formatCode>General</c:formatCode>
                <c:ptCount val="3"/>
                <c:pt idx="0">
                  <c:v>0</c:v>
                </c:pt>
                <c:pt idx="1">
                  <c:v>0</c:v>
                </c:pt>
                <c:pt idx="2">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3"/>
                <c:pt idx="0">
                  <c:v>Caseload 1</c:v>
                </c:pt>
                <c:pt idx="1">
                  <c:v>Caseload 2</c:v>
                </c:pt>
                <c:pt idx="2">
                  <c:v>Caseload 3</c:v>
                </c:pt>
              </c:strCache>
            </c:strRef>
          </c:cat>
          <c:val>
            <c:numRef>
              <c:f>'Required Capacity (Hide)'!$G$63:$G$77</c:f>
              <c:numCache>
                <c:formatCode>General</c:formatCode>
                <c:ptCount val="3"/>
                <c:pt idx="0">
                  <c:v>0</c:v>
                </c:pt>
                <c:pt idx="1">
                  <c:v>0</c:v>
                </c:pt>
                <c:pt idx="2">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3"/>
                <c:pt idx="0">
                  <c:v>0</c:v>
                </c:pt>
                <c:pt idx="1">
                  <c:v>0</c:v>
                </c:pt>
                <c:pt idx="2">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3"/>
                <c:pt idx="0">
                  <c:v>0</c:v>
                </c:pt>
                <c:pt idx="1">
                  <c:v>0</c:v>
                </c:pt>
                <c:pt idx="2">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Config'!$J$5:$J$20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'Waiting List Config'!$L$5:$L$20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4"/>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[0]!Summary_WaitingListLower</c:f>
              <c:numCache>
                <c:formatCode>General</c:formatCode>
                <c:ptCount val="3"/>
                <c:pt idx="0">
                  <c:v>0</c:v>
                </c:pt>
                <c:pt idx="1">
                  <c:v>0</c:v>
                </c:pt>
                <c:pt idx="2">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4"/>
                <c:pt idx="0">
                  <c:v>Caseload 1</c:v>
                </c:pt>
                <c:pt idx="1">
                  <c:v>Caseload 2</c:v>
                </c:pt>
                <c:pt idx="2">
                  <c:v>Caseload 3</c:v>
                </c:pt>
                <c:pt idx="3">
                  <c:v>'Unknown' Waiting List</c:v>
                </c:pt>
              </c:strCache>
            </c:strRef>
          </c:cat>
          <c:val>
            <c:numRef>
              <c:f>[0]!Summary_WaitingListUpper</c:f>
              <c:numCache>
                <c:formatCode>General</c:formatCode>
                <c:ptCount val="3"/>
                <c:pt idx="0">
                  <c:v>0</c:v>
                </c:pt>
                <c:pt idx="1">
                  <c:v>0</c:v>
                </c:pt>
                <c:pt idx="2">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0</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3"/>
                <c:pt idx="0">
                  <c:v>Caseload 1</c:v>
                </c:pt>
                <c:pt idx="1">
                  <c:v>Caseload 2</c:v>
                </c:pt>
                <c:pt idx="2">
                  <c:v>Caseload 3</c:v>
                </c:pt>
              </c:strCache>
            </c:strRef>
          </c:cat>
          <c:val>
            <c:numRef>
              <c:f>'Planning Backing (Hide)'!$J$63:$J$77</c:f>
              <c:numCache>
                <c:formatCode>General</c:formatCode>
                <c:ptCount val="3"/>
                <c:pt idx="0">
                  <c:v>0</c:v>
                </c:pt>
                <c:pt idx="1">
                  <c:v>0</c:v>
                </c:pt>
                <c:pt idx="2">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3"/>
                <c:pt idx="0">
                  <c:v>Caseload 1</c:v>
                </c:pt>
                <c:pt idx="1">
                  <c:v>Caseload 2</c:v>
                </c:pt>
                <c:pt idx="2">
                  <c:v>Caseload 3</c:v>
                </c:pt>
              </c:strCache>
            </c:strRef>
          </c:cat>
          <c:val>
            <c:numRef>
              <c:f>'Planning Backing (Hide)'!$K$63:$K$77</c:f>
              <c:numCache>
                <c:formatCode>General</c:formatCode>
                <c:ptCount val="3"/>
                <c:pt idx="0">
                  <c:v>0</c:v>
                </c:pt>
                <c:pt idx="1">
                  <c:v>0</c:v>
                </c:pt>
                <c:pt idx="2">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3"/>
                <c:pt idx="0">
                  <c:v>0</c:v>
                </c:pt>
                <c:pt idx="1">
                  <c:v>0</c:v>
                </c:pt>
                <c:pt idx="2">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30</xdr:col>
      <xdr:colOff>92075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30</xdr:col>
      <xdr:colOff>92075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30</xdr:col>
      <xdr:colOff>457201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28</xdr:col>
      <xdr:colOff>34925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30</xdr:col>
      <xdr:colOff>130175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50</xdr:row>
      <xdr:rowOff>114300</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5" x14ac:dyDescent="0.25"/>
  <cols>
    <col min="1" max="1" width="9.28515625" bestFit="1" customWidth="1"/>
    <col min="2" max="2" width="10.7109375" bestFit="1" customWidth="1"/>
  </cols>
  <sheetData>
    <row r="1" spans="1:30" x14ac:dyDescent="0.25">
      <c r="A1" t="s">
        <v>11</v>
      </c>
      <c r="B1" t="s">
        <v>12</v>
      </c>
      <c r="D1" t="s">
        <v>67</v>
      </c>
      <c r="F1" t="s">
        <v>68</v>
      </c>
      <c r="H1" t="s">
        <v>70</v>
      </c>
      <c r="K1" t="s">
        <v>75</v>
      </c>
      <c r="N1" t="s">
        <v>83</v>
      </c>
      <c r="P1" t="s">
        <v>103</v>
      </c>
      <c r="R1" t="s">
        <v>109</v>
      </c>
      <c r="T1" t="s">
        <v>114</v>
      </c>
      <c r="V1" t="s">
        <v>155</v>
      </c>
      <c r="X1" t="s">
        <v>160</v>
      </c>
      <c r="Z1" t="s">
        <v>179</v>
      </c>
      <c r="AB1" t="s">
        <v>186</v>
      </c>
      <c r="AD1" t="s">
        <v>193</v>
      </c>
    </row>
    <row r="2" spans="1:30"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row>
    <row r="3" spans="1:30"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row>
    <row r="4" spans="1:30" x14ac:dyDescent="0.25">
      <c r="B4" t="str">
        <f>Setup!A22</f>
        <v>Caseload 3</v>
      </c>
      <c r="D4">
        <v>3</v>
      </c>
      <c r="F4" t="s">
        <v>60</v>
      </c>
      <c r="H4" t="s">
        <v>73</v>
      </c>
      <c r="I4">
        <v>0.75</v>
      </c>
      <c r="K4" t="s">
        <v>76</v>
      </c>
      <c r="L4">
        <v>2</v>
      </c>
      <c r="R4" t="str">
        <v/>
      </c>
      <c r="T4" t="str">
        <f>Setup!A21</f>
        <v>Caseload 2</v>
      </c>
      <c r="X4" s="76" t="s">
        <v>161</v>
      </c>
    </row>
    <row r="5" spans="1:30" x14ac:dyDescent="0.25">
      <c r="B5" t="str">
        <f>Setup!A23</f>
        <v>Caseload 4</v>
      </c>
      <c r="D5">
        <v>4</v>
      </c>
      <c r="H5" t="s">
        <v>74</v>
      </c>
      <c r="I5">
        <v>0.8</v>
      </c>
      <c r="K5" t="s">
        <v>77</v>
      </c>
      <c r="L5">
        <v>1</v>
      </c>
      <c r="R5" t="str">
        <v/>
      </c>
      <c r="T5" t="str">
        <f>Setup!A22</f>
        <v>Caseload 3</v>
      </c>
      <c r="X5" s="76" t="s">
        <v>162</v>
      </c>
    </row>
    <row r="6" spans="1:30" x14ac:dyDescent="0.25">
      <c r="B6" t="str">
        <f>Setup!A24</f>
        <v>Caseload 5</v>
      </c>
      <c r="D6">
        <v>5</v>
      </c>
      <c r="K6" t="s">
        <v>78</v>
      </c>
      <c r="L6">
        <v>0.5</v>
      </c>
      <c r="R6" t="str">
        <v/>
      </c>
      <c r="T6" t="str">
        <f>Setup!A23</f>
        <v>Caseload 4</v>
      </c>
      <c r="X6" s="76" t="s">
        <v>163</v>
      </c>
    </row>
    <row r="7" spans="1:30" x14ac:dyDescent="0.25">
      <c r="B7" t="str">
        <f>Setup!A25</f>
        <v>Caseload 6</v>
      </c>
      <c r="D7">
        <v>6</v>
      </c>
      <c r="K7" t="s">
        <v>79</v>
      </c>
      <c r="L7">
        <v>0.25</v>
      </c>
      <c r="R7" t="str">
        <v/>
      </c>
      <c r="T7" t="str">
        <f>Setup!A24</f>
        <v>Caseload 5</v>
      </c>
      <c r="X7" s="76" t="s">
        <v>164</v>
      </c>
    </row>
    <row r="8" spans="1:30" x14ac:dyDescent="0.25">
      <c r="B8" t="str">
        <f>Setup!A26</f>
        <v>Caseload 7</v>
      </c>
      <c r="D8">
        <v>7</v>
      </c>
      <c r="K8" t="s">
        <v>80</v>
      </c>
      <c r="L8">
        <v>3.7999999999999999E-2</v>
      </c>
      <c r="R8" t="str">
        <v/>
      </c>
      <c r="T8" t="str">
        <f>Setup!A25</f>
        <v>Caseload 6</v>
      </c>
      <c r="X8" s="76" t="s">
        <v>165</v>
      </c>
    </row>
    <row r="9" spans="1:30" x14ac:dyDescent="0.25">
      <c r="B9" t="str">
        <f>Setup!A27</f>
        <v>Caseload 8</v>
      </c>
      <c r="D9">
        <v>8</v>
      </c>
      <c r="K9" t="s">
        <v>81</v>
      </c>
      <c r="L9">
        <v>1.9E-2</v>
      </c>
      <c r="R9" t="str">
        <v/>
      </c>
      <c r="T9" t="str">
        <f>Setup!A26</f>
        <v>Caseload 7</v>
      </c>
    </row>
    <row r="10" spans="1:30" x14ac:dyDescent="0.25">
      <c r="B10" t="str">
        <f>Setup!A28</f>
        <v>Caseload 9</v>
      </c>
      <c r="D10">
        <v>9</v>
      </c>
      <c r="R10" t="str">
        <v/>
      </c>
      <c r="T10" t="str">
        <f>Setup!A27</f>
        <v>Caseload 8</v>
      </c>
    </row>
    <row r="11" spans="1:30" x14ac:dyDescent="0.25">
      <c r="B11" t="str">
        <f>Setup!A29</f>
        <v>Caseload 10</v>
      </c>
      <c r="D11">
        <v>10</v>
      </c>
      <c r="R11" t="str">
        <v/>
      </c>
      <c r="T11" t="str">
        <f>Setup!A28</f>
        <v>Caseload 9</v>
      </c>
    </row>
    <row r="12" spans="1:30" x14ac:dyDescent="0.25">
      <c r="B12" t="str">
        <f>Setup!A30</f>
        <v>Caseload 11</v>
      </c>
      <c r="D12">
        <v>11</v>
      </c>
      <c r="R12" t="str">
        <v/>
      </c>
      <c r="T12" t="str">
        <f>Setup!A29</f>
        <v>Caseload 10</v>
      </c>
    </row>
    <row r="13" spans="1:30" x14ac:dyDescent="0.25">
      <c r="B13" t="str">
        <f>Setup!A31</f>
        <v>Caseload 12</v>
      </c>
      <c r="D13">
        <v>12</v>
      </c>
      <c r="R13" t="str">
        <v/>
      </c>
      <c r="T13" t="str">
        <f>Setup!A30</f>
        <v>Caseload 11</v>
      </c>
    </row>
    <row r="14" spans="1:30" x14ac:dyDescent="0.25">
      <c r="B14" t="str">
        <f>Setup!A32</f>
        <v>Caseload 13</v>
      </c>
      <c r="D14">
        <v>13</v>
      </c>
      <c r="R14" t="str">
        <v/>
      </c>
      <c r="T14" t="str">
        <f>Setup!A31</f>
        <v>Caseload 12</v>
      </c>
    </row>
    <row r="15" spans="1:30" x14ac:dyDescent="0.25">
      <c r="B15" t="str">
        <f>Setup!A33</f>
        <v>Caseload 14</v>
      </c>
      <c r="D15">
        <v>14</v>
      </c>
      <c r="R15" t="str">
        <v/>
      </c>
      <c r="T15" t="str">
        <f>Setup!A32</f>
        <v>Caseload 13</v>
      </c>
    </row>
    <row r="16" spans="1:30" x14ac:dyDescent="0.25">
      <c r="B16" t="str">
        <f>Setup!A34</f>
        <v>Caseload 15</v>
      </c>
      <c r="D16">
        <v>15</v>
      </c>
      <c r="R16" t="str">
        <v/>
      </c>
      <c r="T16" t="str">
        <f>Setup!A33</f>
        <v>Caseload 14</v>
      </c>
    </row>
    <row r="17" spans="18:20" x14ac:dyDescent="0.25">
      <c r="R17" t="str">
        <v/>
      </c>
      <c r="T17" t="str">
        <f>Setup!A34</f>
        <v>Caseload 15</v>
      </c>
    </row>
    <row r="18" spans="18:20" x14ac:dyDescent="0.25">
      <c r="R18" t="str">
        <v/>
      </c>
    </row>
    <row r="19" spans="18:20" x14ac:dyDescent="0.25">
      <c r="R19" t="str">
        <v/>
      </c>
    </row>
    <row r="20" spans="18:20" x14ac:dyDescent="0.25">
      <c r="R20" t="str">
        <v/>
      </c>
    </row>
    <row r="21" spans="18:20" x14ac:dyDescent="0.25">
      <c r="R21" t="str">
        <v/>
      </c>
    </row>
    <row r="22" spans="18:20" x14ac:dyDescent="0.25">
      <c r="R22" t="str">
        <v/>
      </c>
    </row>
    <row r="23" spans="18:20" x14ac:dyDescent="0.25">
      <c r="R23" t="str">
        <v/>
      </c>
    </row>
    <row r="24" spans="18:20" x14ac:dyDescent="0.25">
      <c r="R24" t="str">
        <v/>
      </c>
    </row>
    <row r="25" spans="18:20" x14ac:dyDescent="0.25">
      <c r="R25" t="str">
        <v/>
      </c>
    </row>
    <row r="26" spans="18:20" x14ac:dyDescent="0.25">
      <c r="R26" t="str">
        <v/>
      </c>
    </row>
    <row r="27" spans="18:20" x14ac:dyDescent="0.25">
      <c r="R27" t="str">
        <v/>
      </c>
    </row>
    <row r="28" spans="18:20" x14ac:dyDescent="0.25">
      <c r="R28" t="str">
        <v/>
      </c>
    </row>
    <row r="29" spans="18:20" x14ac:dyDescent="0.25">
      <c r="R29" t="str">
        <v/>
      </c>
    </row>
    <row r="30" spans="18:20" x14ac:dyDescent="0.25">
      <c r="R30" t="str">
        <v/>
      </c>
    </row>
    <row r="31" spans="18:20" x14ac:dyDescent="0.25">
      <c r="R31" t="str">
        <v/>
      </c>
    </row>
    <row r="32" spans="18:20" x14ac:dyDescent="0.25">
      <c r="R32" t="str">
        <v/>
      </c>
    </row>
    <row r="33" spans="18:18" x14ac:dyDescent="0.25">
      <c r="R33" t="str">
        <v/>
      </c>
    </row>
    <row r="34" spans="18:18" x14ac:dyDescent="0.25">
      <c r="R34" t="str">
        <v/>
      </c>
    </row>
    <row r="35" spans="18:18" x14ac:dyDescent="0.25">
      <c r="R35" t="str">
        <v/>
      </c>
    </row>
    <row r="36" spans="18:18" x14ac:dyDescent="0.25">
      <c r="R36" t="str">
        <v/>
      </c>
    </row>
    <row r="37" spans="18:18" x14ac:dyDescent="0.25">
      <c r="R37" t="str">
        <v/>
      </c>
    </row>
    <row r="38" spans="18:18" x14ac:dyDescent="0.25">
      <c r="R38" t="str">
        <v/>
      </c>
    </row>
    <row r="39" spans="18:18" x14ac:dyDescent="0.25">
      <c r="R39" t="str">
        <v/>
      </c>
    </row>
    <row r="40" spans="18:18" x14ac:dyDescent="0.25">
      <c r="R40" t="str">
        <v/>
      </c>
    </row>
    <row r="41" spans="18:18" x14ac:dyDescent="0.25">
      <c r="R41" t="str">
        <v/>
      </c>
    </row>
    <row r="42" spans="18:18" x14ac:dyDescent="0.25">
      <c r="R42" t="str">
        <v/>
      </c>
    </row>
    <row r="43" spans="18:18" x14ac:dyDescent="0.25">
      <c r="R43" t="str">
        <v/>
      </c>
    </row>
    <row r="44" spans="18:18" x14ac:dyDescent="0.25">
      <c r="R44" t="str">
        <v/>
      </c>
    </row>
    <row r="45" spans="18:18" x14ac:dyDescent="0.25">
      <c r="R45" t="str">
        <v/>
      </c>
    </row>
    <row r="46" spans="18:18" x14ac:dyDescent="0.25">
      <c r="R46" t="str">
        <v/>
      </c>
    </row>
    <row r="47" spans="18:18" x14ac:dyDescent="0.25">
      <c r="R47" t="str">
        <v/>
      </c>
    </row>
    <row r="48" spans="18:18" x14ac:dyDescent="0.25">
      <c r="R48" t="str">
        <v/>
      </c>
    </row>
    <row r="49" spans="18:18" x14ac:dyDescent="0.25">
      <c r="R49" t="str">
        <v/>
      </c>
    </row>
    <row r="50" spans="18:18" x14ac:dyDescent="0.25">
      <c r="R50" t="str">
        <v/>
      </c>
    </row>
    <row r="51" spans="18:18" x14ac:dyDescent="0.25">
      <c r="R51" t="str">
        <v/>
      </c>
    </row>
    <row r="52" spans="18:18" x14ac:dyDescent="0.25">
      <c r="R52" t="str">
        <v/>
      </c>
    </row>
    <row r="53" spans="18:18" x14ac:dyDescent="0.25">
      <c r="R53" t="str">
        <v/>
      </c>
    </row>
    <row r="54" spans="18:18" x14ac:dyDescent="0.25">
      <c r="R54" t="str">
        <v/>
      </c>
    </row>
    <row r="55" spans="18:18" x14ac:dyDescent="0.25">
      <c r="R55" t="str">
        <v/>
      </c>
    </row>
    <row r="56" spans="18:18" x14ac:dyDescent="0.25">
      <c r="R56" t="str">
        <v/>
      </c>
    </row>
    <row r="57" spans="18:18" x14ac:dyDescent="0.25">
      <c r="R57" t="str">
        <v/>
      </c>
    </row>
    <row r="58" spans="18:18" x14ac:dyDescent="0.25">
      <c r="R58" t="str">
        <v/>
      </c>
    </row>
    <row r="59" spans="18:18" x14ac:dyDescent="0.25">
      <c r="R59" t="str">
        <v/>
      </c>
    </row>
    <row r="60" spans="18:18" x14ac:dyDescent="0.25">
      <c r="R60" t="str">
        <v/>
      </c>
    </row>
    <row r="61" spans="18:18" x14ac:dyDescent="0.25">
      <c r="R61" t="str">
        <v/>
      </c>
    </row>
    <row r="62" spans="18:18" x14ac:dyDescent="0.25">
      <c r="R62" t="str">
        <v/>
      </c>
    </row>
    <row r="63" spans="18:18" x14ac:dyDescent="0.25">
      <c r="R63" t="str">
        <v/>
      </c>
    </row>
    <row r="64" spans="18:18" x14ac:dyDescent="0.25">
      <c r="R64" t="str">
        <v/>
      </c>
    </row>
    <row r="65" spans="18:18" x14ac:dyDescent="0.25">
      <c r="R65" t="str">
        <v/>
      </c>
    </row>
    <row r="66" spans="18:18" x14ac:dyDescent="0.25">
      <c r="R66" t="str">
        <v/>
      </c>
    </row>
    <row r="67" spans="18:18" x14ac:dyDescent="0.25">
      <c r="R67" t="str">
        <v/>
      </c>
    </row>
    <row r="68" spans="18:18" x14ac:dyDescent="0.25">
      <c r="R68" t="str">
        <v/>
      </c>
    </row>
    <row r="69" spans="18:18" x14ac:dyDescent="0.25">
      <c r="R69" t="str">
        <v/>
      </c>
    </row>
    <row r="70" spans="18:18" x14ac:dyDescent="0.25">
      <c r="R70" t="str">
        <v/>
      </c>
    </row>
    <row r="71" spans="18:18" x14ac:dyDescent="0.25">
      <c r="R71" t="str">
        <v/>
      </c>
    </row>
    <row r="72" spans="18:18" x14ac:dyDescent="0.25">
      <c r="R72" t="str">
        <v/>
      </c>
    </row>
    <row r="73" spans="18:18" x14ac:dyDescent="0.25">
      <c r="R73" t="str">
        <v/>
      </c>
    </row>
    <row r="74" spans="18:18" x14ac:dyDescent="0.25">
      <c r="R74" t="str">
        <v/>
      </c>
    </row>
    <row r="75" spans="18:18" x14ac:dyDescent="0.25">
      <c r="R75" t="str">
        <v/>
      </c>
    </row>
    <row r="76" spans="18:18" x14ac:dyDescent="0.25">
      <c r="R76" t="str">
        <v/>
      </c>
    </row>
    <row r="77" spans="18:18" x14ac:dyDescent="0.25">
      <c r="R77" t="str">
        <v/>
      </c>
    </row>
    <row r="78" spans="18:18" x14ac:dyDescent="0.25">
      <c r="R78" t="str">
        <v/>
      </c>
    </row>
    <row r="79" spans="18:18" x14ac:dyDescent="0.25">
      <c r="R79" t="str">
        <v/>
      </c>
    </row>
    <row r="80" spans="18:18"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275</v>
      </c>
      <c r="B9" s="169" t="s">
        <v>210</v>
      </c>
      <c r="C9" s="170" t="s">
        <v>276</v>
      </c>
    </row>
    <row r="10" spans="1:3" ht="30" x14ac:dyDescent="0.25">
      <c r="A10" s="169" t="s">
        <v>284</v>
      </c>
      <c r="B10" s="169" t="s">
        <v>210</v>
      </c>
      <c r="C10" s="170" t="s">
        <v>285</v>
      </c>
    </row>
    <row r="11" spans="1:3" ht="30" x14ac:dyDescent="0.25">
      <c r="A11" s="169" t="s">
        <v>286</v>
      </c>
      <c r="B11" s="169" t="s">
        <v>287</v>
      </c>
      <c r="C11" s="170" t="s">
        <v>288</v>
      </c>
    </row>
    <row r="12" spans="1:3" ht="75" x14ac:dyDescent="0.25">
      <c r="A12" s="169" t="s">
        <v>290</v>
      </c>
      <c r="B12" s="169" t="s">
        <v>287</v>
      </c>
      <c r="C12" s="170" t="s">
        <v>291</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192" t="str">
        <f>"Demand and capacity analysis notes for "&amp;Setup!B5</f>
        <v xml:space="preserve">Demand and capacity analysis notes for </v>
      </c>
      <c r="C2" s="192"/>
      <c r="D2" s="192"/>
      <c r="E2" s="192"/>
      <c r="F2" s="192"/>
      <c r="G2" s="192"/>
      <c r="H2" s="192"/>
      <c r="I2" s="192"/>
      <c r="J2" s="192"/>
      <c r="K2" s="192"/>
      <c r="L2" s="192"/>
      <c r="M2" s="192"/>
      <c r="N2" s="192"/>
      <c r="O2" s="192"/>
      <c r="P2" s="192"/>
      <c r="Q2" s="192"/>
      <c r="R2" s="192"/>
      <c r="S2" s="192"/>
      <c r="T2" s="192"/>
      <c r="U2" s="192"/>
    </row>
    <row r="3" spans="2:21" ht="15.75" thickBot="1" x14ac:dyDescent="0.3">
      <c r="B3" s="172" t="s">
        <v>218</v>
      </c>
    </row>
    <row r="4" spans="2:21" ht="15.75" thickBot="1" x14ac:dyDescent="0.3">
      <c r="B4" s="189"/>
      <c r="C4" s="190"/>
      <c r="D4" s="190"/>
      <c r="E4" s="190"/>
      <c r="F4" s="190"/>
      <c r="G4" s="190"/>
      <c r="H4" s="190"/>
      <c r="I4" s="190"/>
      <c r="J4" s="190"/>
      <c r="K4" s="190"/>
      <c r="L4" s="190"/>
      <c r="M4" s="190"/>
      <c r="N4" s="190"/>
      <c r="O4" s="190"/>
      <c r="P4" s="190"/>
      <c r="Q4" s="190"/>
      <c r="R4" s="190"/>
      <c r="S4" s="190"/>
      <c r="T4" s="190"/>
      <c r="U4" s="191"/>
    </row>
    <row r="5" spans="2:21" x14ac:dyDescent="0.25">
      <c r="B5" s="193"/>
      <c r="C5" s="193"/>
      <c r="D5" s="193"/>
      <c r="E5" s="193"/>
      <c r="F5" s="193"/>
      <c r="G5" s="193"/>
      <c r="H5" s="193"/>
      <c r="I5" s="193"/>
      <c r="J5" s="193"/>
      <c r="K5" s="193"/>
      <c r="L5" s="193"/>
      <c r="M5" s="193"/>
      <c r="N5" s="193"/>
      <c r="O5" s="193"/>
      <c r="P5" s="193"/>
      <c r="Q5" s="193"/>
      <c r="R5" s="193"/>
      <c r="S5" s="193"/>
      <c r="T5" s="193"/>
      <c r="U5" s="193"/>
    </row>
    <row r="6" spans="2:21" x14ac:dyDescent="0.25">
      <c r="B6" s="194"/>
      <c r="C6" s="194"/>
      <c r="D6" s="194"/>
      <c r="E6" s="194"/>
      <c r="F6" s="194"/>
      <c r="G6" s="194"/>
      <c r="H6" s="194"/>
      <c r="I6" s="194"/>
      <c r="J6" s="194"/>
      <c r="K6" s="194"/>
      <c r="L6" s="194"/>
      <c r="M6" s="194"/>
      <c r="N6" s="194"/>
      <c r="O6" s="194"/>
      <c r="P6" s="194"/>
      <c r="Q6" s="194"/>
      <c r="R6" s="194"/>
      <c r="S6" s="194"/>
      <c r="T6" s="194"/>
      <c r="U6" s="194"/>
    </row>
    <row r="7" spans="2:21" x14ac:dyDescent="0.25">
      <c r="B7" s="194"/>
      <c r="C7" s="194"/>
      <c r="D7" s="194"/>
      <c r="E7" s="194"/>
      <c r="F7" s="194"/>
      <c r="G7" s="194"/>
      <c r="H7" s="194"/>
      <c r="I7" s="194"/>
      <c r="J7" s="194"/>
      <c r="K7" s="194"/>
      <c r="L7" s="194"/>
      <c r="M7" s="194"/>
      <c r="N7" s="194"/>
      <c r="O7" s="194"/>
      <c r="P7" s="194"/>
      <c r="Q7" s="194"/>
      <c r="R7" s="194"/>
      <c r="S7" s="194"/>
      <c r="T7" s="194"/>
      <c r="U7" s="194"/>
    </row>
    <row r="8" spans="2:21" x14ac:dyDescent="0.25">
      <c r="B8" s="194"/>
      <c r="C8" s="194"/>
      <c r="D8" s="194"/>
      <c r="E8" s="194"/>
      <c r="F8" s="194"/>
      <c r="G8" s="194"/>
      <c r="H8" s="194"/>
      <c r="I8" s="194"/>
      <c r="J8" s="194"/>
      <c r="K8" s="194"/>
      <c r="L8" s="194"/>
      <c r="M8" s="194"/>
      <c r="N8" s="194"/>
      <c r="O8" s="194"/>
      <c r="P8" s="194"/>
      <c r="Q8" s="194"/>
      <c r="R8" s="194"/>
      <c r="S8" s="194"/>
      <c r="T8" s="194"/>
      <c r="U8" s="194"/>
    </row>
    <row r="9" spans="2:21" x14ac:dyDescent="0.25">
      <c r="B9" s="194"/>
      <c r="C9" s="194"/>
      <c r="D9" s="194"/>
      <c r="E9" s="194"/>
      <c r="F9" s="194"/>
      <c r="G9" s="194"/>
      <c r="H9" s="194"/>
      <c r="I9" s="194"/>
      <c r="J9" s="194"/>
      <c r="K9" s="194"/>
      <c r="L9" s="194"/>
      <c r="M9" s="194"/>
      <c r="N9" s="194"/>
      <c r="O9" s="194"/>
      <c r="P9" s="194"/>
      <c r="Q9" s="194"/>
      <c r="R9" s="194"/>
      <c r="S9" s="194"/>
      <c r="T9" s="194"/>
      <c r="U9" s="194"/>
    </row>
    <row r="10" spans="2:21" x14ac:dyDescent="0.25">
      <c r="B10" s="194"/>
      <c r="C10" s="194"/>
      <c r="D10" s="194"/>
      <c r="E10" s="194"/>
      <c r="F10" s="194"/>
      <c r="G10" s="194"/>
      <c r="H10" s="194"/>
      <c r="I10" s="194"/>
      <c r="J10" s="194"/>
      <c r="K10" s="194"/>
      <c r="L10" s="194"/>
      <c r="M10" s="194"/>
      <c r="N10" s="194"/>
      <c r="O10" s="194"/>
      <c r="P10" s="194"/>
      <c r="Q10" s="194"/>
      <c r="R10" s="194"/>
      <c r="S10" s="194"/>
      <c r="T10" s="194"/>
      <c r="U10" s="194"/>
    </row>
    <row r="11" spans="2:21" x14ac:dyDescent="0.25">
      <c r="B11" s="194"/>
      <c r="C11" s="194"/>
      <c r="D11" s="194"/>
      <c r="E11" s="194"/>
      <c r="F11" s="194"/>
      <c r="G11" s="194"/>
      <c r="H11" s="194"/>
      <c r="I11" s="194"/>
      <c r="J11" s="194"/>
      <c r="K11" s="194"/>
      <c r="L11" s="194"/>
      <c r="M11" s="194"/>
      <c r="N11" s="194"/>
      <c r="O11" s="194"/>
      <c r="P11" s="194"/>
      <c r="Q11" s="194"/>
      <c r="R11" s="194"/>
      <c r="S11" s="194"/>
      <c r="T11" s="194"/>
      <c r="U11" s="194"/>
    </row>
    <row r="12" spans="2:21" x14ac:dyDescent="0.25">
      <c r="B12" s="194"/>
      <c r="C12" s="194"/>
      <c r="D12" s="194"/>
      <c r="E12" s="194"/>
      <c r="F12" s="194"/>
      <c r="G12" s="194"/>
      <c r="H12" s="194"/>
      <c r="I12" s="194"/>
      <c r="J12" s="194"/>
      <c r="K12" s="194"/>
      <c r="L12" s="194"/>
      <c r="M12" s="194"/>
      <c r="N12" s="194"/>
      <c r="O12" s="194"/>
      <c r="P12" s="194"/>
      <c r="Q12" s="194"/>
      <c r="R12" s="194"/>
      <c r="S12" s="194"/>
      <c r="T12" s="194"/>
      <c r="U12" s="194"/>
    </row>
    <row r="13" spans="2:21" x14ac:dyDescent="0.25">
      <c r="B13" s="194"/>
      <c r="C13" s="194"/>
      <c r="D13" s="194"/>
      <c r="E13" s="194"/>
      <c r="F13" s="194"/>
      <c r="G13" s="194"/>
      <c r="H13" s="194"/>
      <c r="I13" s="194"/>
      <c r="J13" s="194"/>
      <c r="K13" s="194"/>
      <c r="L13" s="194"/>
      <c r="M13" s="194"/>
      <c r="N13" s="194"/>
      <c r="O13" s="194"/>
      <c r="P13" s="194"/>
      <c r="Q13" s="194"/>
      <c r="R13" s="194"/>
      <c r="S13" s="194"/>
      <c r="T13" s="194"/>
      <c r="U13" s="194"/>
    </row>
    <row r="14" spans="2:21" x14ac:dyDescent="0.25">
      <c r="B14" s="194"/>
      <c r="C14" s="194"/>
      <c r="D14" s="194"/>
      <c r="E14" s="194"/>
      <c r="F14" s="194"/>
      <c r="G14" s="194"/>
      <c r="H14" s="194"/>
      <c r="I14" s="194"/>
      <c r="J14" s="194"/>
      <c r="K14" s="194"/>
      <c r="L14" s="194"/>
      <c r="M14" s="194"/>
      <c r="N14" s="194"/>
      <c r="O14" s="194"/>
      <c r="P14" s="194"/>
      <c r="Q14" s="194"/>
      <c r="R14" s="194"/>
      <c r="S14" s="194"/>
      <c r="T14" s="194"/>
      <c r="U14" s="194"/>
    </row>
    <row r="15" spans="2:21" x14ac:dyDescent="0.25">
      <c r="B15" s="194"/>
      <c r="C15" s="194"/>
      <c r="D15" s="194"/>
      <c r="E15" s="194"/>
      <c r="F15" s="194"/>
      <c r="G15" s="194"/>
      <c r="H15" s="194"/>
      <c r="I15" s="194"/>
      <c r="J15" s="194"/>
      <c r="K15" s="194"/>
      <c r="L15" s="194"/>
      <c r="M15" s="194"/>
      <c r="N15" s="194"/>
      <c r="O15" s="194"/>
      <c r="P15" s="194"/>
      <c r="Q15" s="194"/>
      <c r="R15" s="194"/>
      <c r="S15" s="194"/>
      <c r="T15" s="194"/>
      <c r="U15" s="194"/>
    </row>
    <row r="16" spans="2:21" x14ac:dyDescent="0.25">
      <c r="B16" s="194"/>
      <c r="C16" s="194"/>
      <c r="D16" s="194"/>
      <c r="E16" s="194"/>
      <c r="F16" s="194"/>
      <c r="G16" s="194"/>
      <c r="H16" s="194"/>
      <c r="I16" s="194"/>
      <c r="J16" s="194"/>
      <c r="K16" s="194"/>
      <c r="L16" s="194"/>
      <c r="M16" s="194"/>
      <c r="N16" s="194"/>
      <c r="O16" s="194"/>
      <c r="P16" s="194"/>
      <c r="Q16" s="194"/>
      <c r="R16" s="194"/>
      <c r="S16" s="194"/>
      <c r="T16" s="194"/>
      <c r="U16" s="194"/>
    </row>
    <row r="17" spans="2:21" x14ac:dyDescent="0.25">
      <c r="B17" s="194"/>
      <c r="C17" s="194"/>
      <c r="D17" s="194"/>
      <c r="E17" s="194"/>
      <c r="F17" s="194"/>
      <c r="G17" s="194"/>
      <c r="H17" s="194"/>
      <c r="I17" s="194"/>
      <c r="J17" s="194"/>
      <c r="K17" s="194"/>
      <c r="L17" s="194"/>
      <c r="M17" s="194"/>
      <c r="N17" s="194"/>
      <c r="O17" s="194"/>
      <c r="P17" s="194"/>
      <c r="Q17" s="194"/>
      <c r="R17" s="194"/>
      <c r="S17" s="194"/>
      <c r="T17" s="194"/>
      <c r="U17" s="194"/>
    </row>
    <row r="18" spans="2:21" x14ac:dyDescent="0.25">
      <c r="B18" s="194"/>
      <c r="C18" s="194"/>
      <c r="D18" s="194"/>
      <c r="E18" s="194"/>
      <c r="F18" s="194"/>
      <c r="G18" s="194"/>
      <c r="H18" s="194"/>
      <c r="I18" s="194"/>
      <c r="J18" s="194"/>
      <c r="K18" s="194"/>
      <c r="L18" s="194"/>
      <c r="M18" s="194"/>
      <c r="N18" s="194"/>
      <c r="O18" s="194"/>
      <c r="P18" s="194"/>
      <c r="Q18" s="194"/>
      <c r="R18" s="194"/>
      <c r="S18" s="194"/>
      <c r="T18" s="194"/>
      <c r="U18" s="194"/>
    </row>
    <row r="19" spans="2:21" x14ac:dyDescent="0.25">
      <c r="B19" s="194"/>
      <c r="C19" s="194"/>
      <c r="D19" s="194"/>
      <c r="E19" s="194"/>
      <c r="F19" s="194"/>
      <c r="G19" s="194"/>
      <c r="H19" s="194"/>
      <c r="I19" s="194"/>
      <c r="J19" s="194"/>
      <c r="K19" s="194"/>
      <c r="L19" s="194"/>
      <c r="M19" s="194"/>
      <c r="N19" s="194"/>
      <c r="O19" s="194"/>
      <c r="P19" s="194"/>
      <c r="Q19" s="194"/>
      <c r="R19" s="194"/>
      <c r="S19" s="194"/>
      <c r="T19" s="194"/>
      <c r="U19" s="194"/>
    </row>
    <row r="20" spans="2:21" x14ac:dyDescent="0.25">
      <c r="B20" s="194"/>
      <c r="C20" s="194"/>
      <c r="D20" s="194"/>
      <c r="E20" s="194"/>
      <c r="F20" s="194"/>
      <c r="G20" s="194"/>
      <c r="H20" s="194"/>
      <c r="I20" s="194"/>
      <c r="J20" s="194"/>
      <c r="K20" s="194"/>
      <c r="L20" s="194"/>
      <c r="M20" s="194"/>
      <c r="N20" s="194"/>
      <c r="O20" s="194"/>
      <c r="P20" s="194"/>
      <c r="Q20" s="194"/>
      <c r="R20" s="194"/>
      <c r="S20" s="194"/>
      <c r="T20" s="194"/>
      <c r="U20" s="194"/>
    </row>
    <row r="21" spans="2:21" x14ac:dyDescent="0.25">
      <c r="B21" s="194"/>
      <c r="C21" s="194"/>
      <c r="D21" s="194"/>
      <c r="E21" s="194"/>
      <c r="F21" s="194"/>
      <c r="G21" s="194"/>
      <c r="H21" s="194"/>
      <c r="I21" s="194"/>
      <c r="J21" s="194"/>
      <c r="K21" s="194"/>
      <c r="L21" s="194"/>
      <c r="M21" s="194"/>
      <c r="N21" s="194"/>
      <c r="O21" s="194"/>
      <c r="P21" s="194"/>
      <c r="Q21" s="194"/>
      <c r="R21" s="194"/>
      <c r="S21" s="194"/>
      <c r="T21" s="194"/>
      <c r="U21" s="194"/>
    </row>
    <row r="22" spans="2:21" x14ac:dyDescent="0.25">
      <c r="B22" s="194"/>
      <c r="C22" s="194"/>
      <c r="D22" s="194"/>
      <c r="E22" s="194"/>
      <c r="F22" s="194"/>
      <c r="G22" s="194"/>
      <c r="H22" s="194"/>
      <c r="I22" s="194"/>
      <c r="J22" s="194"/>
      <c r="K22" s="194"/>
      <c r="L22" s="194"/>
      <c r="M22" s="194"/>
      <c r="N22" s="194"/>
      <c r="O22" s="194"/>
      <c r="P22" s="194"/>
      <c r="Q22" s="194"/>
      <c r="R22" s="194"/>
      <c r="S22" s="194"/>
      <c r="T22" s="194"/>
      <c r="U22" s="194"/>
    </row>
    <row r="23" spans="2:21" x14ac:dyDescent="0.25">
      <c r="B23" s="194"/>
      <c r="C23" s="194"/>
      <c r="D23" s="194"/>
      <c r="E23" s="194"/>
      <c r="F23" s="194"/>
      <c r="G23" s="194"/>
      <c r="H23" s="194"/>
      <c r="I23" s="194"/>
      <c r="J23" s="194"/>
      <c r="K23" s="194"/>
      <c r="L23" s="194"/>
      <c r="M23" s="194"/>
      <c r="N23" s="194"/>
      <c r="O23" s="194"/>
      <c r="P23" s="194"/>
      <c r="Q23" s="194"/>
      <c r="R23" s="194"/>
      <c r="S23" s="194"/>
      <c r="T23" s="194"/>
      <c r="U23" s="194"/>
    </row>
    <row r="24" spans="2:21" x14ac:dyDescent="0.25">
      <c r="B24" s="194"/>
      <c r="C24" s="194"/>
      <c r="D24" s="194"/>
      <c r="E24" s="194"/>
      <c r="F24" s="194"/>
      <c r="G24" s="194"/>
      <c r="H24" s="194"/>
      <c r="I24" s="194"/>
      <c r="J24" s="194"/>
      <c r="K24" s="194"/>
      <c r="L24" s="194"/>
      <c r="M24" s="194"/>
      <c r="N24" s="194"/>
      <c r="O24" s="194"/>
      <c r="P24" s="194"/>
      <c r="Q24" s="194"/>
      <c r="R24" s="194"/>
      <c r="S24" s="194"/>
      <c r="T24" s="194"/>
      <c r="U24" s="194"/>
    </row>
    <row r="25" spans="2:21" x14ac:dyDescent="0.25">
      <c r="B25" s="194"/>
      <c r="C25" s="194"/>
      <c r="D25" s="194"/>
      <c r="E25" s="194"/>
      <c r="F25" s="194"/>
      <c r="G25" s="194"/>
      <c r="H25" s="194"/>
      <c r="I25" s="194"/>
      <c r="J25" s="194"/>
      <c r="K25" s="194"/>
      <c r="L25" s="194"/>
      <c r="M25" s="194"/>
      <c r="N25" s="194"/>
      <c r="O25" s="194"/>
      <c r="P25" s="194"/>
      <c r="Q25" s="194"/>
      <c r="R25" s="194"/>
      <c r="S25" s="194"/>
      <c r="T25" s="194"/>
      <c r="U25" s="194"/>
    </row>
    <row r="26" spans="2:21" x14ac:dyDescent="0.25">
      <c r="B26" s="194"/>
      <c r="C26" s="194"/>
      <c r="D26" s="194"/>
      <c r="E26" s="194"/>
      <c r="F26" s="194"/>
      <c r="G26" s="194"/>
      <c r="H26" s="194"/>
      <c r="I26" s="194"/>
      <c r="J26" s="194"/>
      <c r="K26" s="194"/>
      <c r="L26" s="194"/>
      <c r="M26" s="194"/>
      <c r="N26" s="194"/>
      <c r="O26" s="194"/>
      <c r="P26" s="194"/>
      <c r="Q26" s="194"/>
      <c r="R26" s="194"/>
      <c r="S26" s="194"/>
      <c r="T26" s="194"/>
      <c r="U26" s="194"/>
    </row>
    <row r="27" spans="2:21" x14ac:dyDescent="0.25">
      <c r="B27" s="194"/>
      <c r="C27" s="194"/>
      <c r="D27" s="194"/>
      <c r="E27" s="194"/>
      <c r="F27" s="194"/>
      <c r="G27" s="194"/>
      <c r="H27" s="194"/>
      <c r="I27" s="194"/>
      <c r="J27" s="194"/>
      <c r="K27" s="194"/>
      <c r="L27" s="194"/>
      <c r="M27" s="194"/>
      <c r="N27" s="194"/>
      <c r="O27" s="194"/>
      <c r="P27" s="194"/>
      <c r="Q27" s="194"/>
      <c r="R27" s="194"/>
      <c r="S27" s="194"/>
      <c r="T27" s="194"/>
      <c r="U27" s="194"/>
    </row>
    <row r="28" spans="2:21" x14ac:dyDescent="0.25">
      <c r="B28" s="194"/>
      <c r="C28" s="194"/>
      <c r="D28" s="194"/>
      <c r="E28" s="194"/>
      <c r="F28" s="194"/>
      <c r="G28" s="194"/>
      <c r="H28" s="194"/>
      <c r="I28" s="194"/>
      <c r="J28" s="194"/>
      <c r="K28" s="194"/>
      <c r="L28" s="194"/>
      <c r="M28" s="194"/>
      <c r="N28" s="194"/>
      <c r="O28" s="194"/>
      <c r="P28" s="194"/>
      <c r="Q28" s="194"/>
      <c r="R28" s="194"/>
      <c r="S28" s="194"/>
      <c r="T28" s="194"/>
      <c r="U28" s="194"/>
    </row>
    <row r="29" spans="2:21" x14ac:dyDescent="0.25">
      <c r="B29" s="194"/>
      <c r="C29" s="194"/>
      <c r="D29" s="194"/>
      <c r="E29" s="194"/>
      <c r="F29" s="194"/>
      <c r="G29" s="194"/>
      <c r="H29" s="194"/>
      <c r="I29" s="194"/>
      <c r="J29" s="194"/>
      <c r="K29" s="194"/>
      <c r="L29" s="194"/>
      <c r="M29" s="194"/>
      <c r="N29" s="194"/>
      <c r="O29" s="194"/>
      <c r="P29" s="194"/>
      <c r="Q29" s="194"/>
      <c r="R29" s="194"/>
      <c r="S29" s="194"/>
      <c r="T29" s="194"/>
      <c r="U29" s="194"/>
    </row>
    <row r="30" spans="2:21" x14ac:dyDescent="0.25">
      <c r="B30" s="194"/>
      <c r="C30" s="194"/>
      <c r="D30" s="194"/>
      <c r="E30" s="194"/>
      <c r="F30" s="194"/>
      <c r="G30" s="194"/>
      <c r="H30" s="194"/>
      <c r="I30" s="194"/>
      <c r="J30" s="194"/>
      <c r="K30" s="194"/>
      <c r="L30" s="194"/>
      <c r="M30" s="194"/>
      <c r="N30" s="194"/>
      <c r="O30" s="194"/>
      <c r="P30" s="194"/>
      <c r="Q30" s="194"/>
      <c r="R30" s="194"/>
      <c r="S30" s="194"/>
      <c r="T30" s="194"/>
      <c r="U30" s="194"/>
    </row>
    <row r="31" spans="2:21" x14ac:dyDescent="0.25">
      <c r="B31" s="194"/>
      <c r="C31" s="194"/>
      <c r="D31" s="194"/>
      <c r="E31" s="194"/>
      <c r="F31" s="194"/>
      <c r="G31" s="194"/>
      <c r="H31" s="194"/>
      <c r="I31" s="194"/>
      <c r="J31" s="194"/>
      <c r="K31" s="194"/>
      <c r="L31" s="194"/>
      <c r="M31" s="194"/>
      <c r="N31" s="194"/>
      <c r="O31" s="194"/>
      <c r="P31" s="194"/>
      <c r="Q31" s="194"/>
      <c r="R31" s="194"/>
      <c r="S31" s="194"/>
      <c r="T31" s="194"/>
      <c r="U31" s="194"/>
    </row>
    <row r="32" spans="2:21" x14ac:dyDescent="0.25">
      <c r="B32" s="194"/>
      <c r="C32" s="194"/>
      <c r="D32" s="194"/>
      <c r="E32" s="194"/>
      <c r="F32" s="194"/>
      <c r="G32" s="194"/>
      <c r="H32" s="194"/>
      <c r="I32" s="194"/>
      <c r="J32" s="194"/>
      <c r="K32" s="194"/>
      <c r="L32" s="194"/>
      <c r="M32" s="194"/>
      <c r="N32" s="194"/>
      <c r="O32" s="194"/>
      <c r="P32" s="194"/>
      <c r="Q32" s="194"/>
      <c r="R32" s="194"/>
      <c r="S32" s="194"/>
      <c r="T32" s="194"/>
      <c r="U32" s="194"/>
    </row>
    <row r="33" spans="2:21" x14ac:dyDescent="0.25">
      <c r="B33" s="194"/>
      <c r="C33" s="194"/>
      <c r="D33" s="194"/>
      <c r="E33" s="194"/>
      <c r="F33" s="194"/>
      <c r="G33" s="194"/>
      <c r="H33" s="194"/>
      <c r="I33" s="194"/>
      <c r="J33" s="194"/>
      <c r="K33" s="194"/>
      <c r="L33" s="194"/>
      <c r="M33" s="194"/>
      <c r="N33" s="194"/>
      <c r="O33" s="194"/>
      <c r="P33" s="194"/>
      <c r="Q33" s="194"/>
      <c r="R33" s="194"/>
      <c r="S33" s="194"/>
      <c r="T33" s="194"/>
      <c r="U33" s="194"/>
    </row>
    <row r="34" spans="2:21" x14ac:dyDescent="0.25">
      <c r="B34" s="194"/>
      <c r="C34" s="194"/>
      <c r="D34" s="194"/>
      <c r="E34" s="194"/>
      <c r="F34" s="194"/>
      <c r="G34" s="194"/>
      <c r="H34" s="194"/>
      <c r="I34" s="194"/>
      <c r="J34" s="194"/>
      <c r="K34" s="194"/>
      <c r="L34" s="194"/>
      <c r="M34" s="194"/>
      <c r="N34" s="194"/>
      <c r="O34" s="194"/>
      <c r="P34" s="194"/>
      <c r="Q34" s="194"/>
      <c r="R34" s="194"/>
      <c r="S34" s="194"/>
      <c r="T34" s="194"/>
      <c r="U34" s="194"/>
    </row>
    <row r="35" spans="2:21" x14ac:dyDescent="0.25">
      <c r="B35" s="194"/>
      <c r="C35" s="194"/>
      <c r="D35" s="194"/>
      <c r="E35" s="194"/>
      <c r="F35" s="194"/>
      <c r="G35" s="194"/>
      <c r="H35" s="194"/>
      <c r="I35" s="194"/>
      <c r="J35" s="194"/>
      <c r="K35" s="194"/>
      <c r="L35" s="194"/>
      <c r="M35" s="194"/>
      <c r="N35" s="194"/>
      <c r="O35" s="194"/>
      <c r="P35" s="194"/>
      <c r="Q35" s="194"/>
      <c r="R35" s="194"/>
      <c r="S35" s="194"/>
      <c r="T35" s="194"/>
      <c r="U35" s="194"/>
    </row>
    <row r="36" spans="2:21" x14ac:dyDescent="0.25">
      <c r="B36" s="194"/>
      <c r="C36" s="194"/>
      <c r="D36" s="194"/>
      <c r="E36" s="194"/>
      <c r="F36" s="194"/>
      <c r="G36" s="194"/>
      <c r="H36" s="194"/>
      <c r="I36" s="194"/>
      <c r="J36" s="194"/>
      <c r="K36" s="194"/>
      <c r="L36" s="194"/>
      <c r="M36" s="194"/>
      <c r="N36" s="194"/>
      <c r="O36" s="194"/>
      <c r="P36" s="194"/>
      <c r="Q36" s="194"/>
      <c r="R36" s="194"/>
      <c r="S36" s="194"/>
      <c r="T36" s="194"/>
      <c r="U36" s="194"/>
    </row>
    <row r="37" spans="2:21" x14ac:dyDescent="0.25">
      <c r="B37" s="194"/>
      <c r="C37" s="194"/>
      <c r="D37" s="194"/>
      <c r="E37" s="194"/>
      <c r="F37" s="194"/>
      <c r="G37" s="194"/>
      <c r="H37" s="194"/>
      <c r="I37" s="194"/>
      <c r="J37" s="194"/>
      <c r="K37" s="194"/>
      <c r="L37" s="194"/>
      <c r="M37" s="194"/>
      <c r="N37" s="194"/>
      <c r="O37" s="194"/>
      <c r="P37" s="194"/>
      <c r="Q37" s="194"/>
      <c r="R37" s="194"/>
      <c r="S37" s="194"/>
      <c r="T37" s="194"/>
      <c r="U37" s="194"/>
    </row>
    <row r="38" spans="2:21" x14ac:dyDescent="0.25">
      <c r="B38" s="194"/>
      <c r="C38" s="194"/>
      <c r="D38" s="194"/>
      <c r="E38" s="194"/>
      <c r="F38" s="194"/>
      <c r="G38" s="194"/>
      <c r="H38" s="194"/>
      <c r="I38" s="194"/>
      <c r="J38" s="194"/>
      <c r="K38" s="194"/>
      <c r="L38" s="194"/>
      <c r="M38" s="194"/>
      <c r="N38" s="194"/>
      <c r="O38" s="194"/>
      <c r="P38" s="194"/>
      <c r="Q38" s="194"/>
      <c r="R38" s="194"/>
      <c r="S38" s="194"/>
      <c r="T38" s="194"/>
      <c r="U38" s="194"/>
    </row>
    <row r="39" spans="2:21" x14ac:dyDescent="0.25">
      <c r="B39" s="194"/>
      <c r="C39" s="194"/>
      <c r="D39" s="194"/>
      <c r="E39" s="194"/>
      <c r="F39" s="194"/>
      <c r="G39" s="194"/>
      <c r="H39" s="194"/>
      <c r="I39" s="194"/>
      <c r="J39" s="194"/>
      <c r="K39" s="194"/>
      <c r="L39" s="194"/>
      <c r="M39" s="194"/>
      <c r="N39" s="194"/>
      <c r="O39" s="194"/>
      <c r="P39" s="194"/>
      <c r="Q39" s="194"/>
      <c r="R39" s="194"/>
      <c r="S39" s="194"/>
      <c r="T39" s="194"/>
      <c r="U39" s="194"/>
    </row>
    <row r="40" spans="2:21" x14ac:dyDescent="0.25">
      <c r="B40" s="194"/>
      <c r="C40" s="194"/>
      <c r="D40" s="194"/>
      <c r="E40" s="194"/>
      <c r="F40" s="194"/>
      <c r="G40" s="194"/>
      <c r="H40" s="194"/>
      <c r="I40" s="194"/>
      <c r="J40" s="194"/>
      <c r="K40" s="194"/>
      <c r="L40" s="194"/>
      <c r="M40" s="194"/>
      <c r="N40" s="194"/>
      <c r="O40" s="194"/>
      <c r="P40" s="194"/>
      <c r="Q40" s="194"/>
      <c r="R40" s="194"/>
      <c r="S40" s="194"/>
      <c r="T40" s="194"/>
      <c r="U40" s="194"/>
    </row>
    <row r="41" spans="2:21" x14ac:dyDescent="0.25">
      <c r="B41" s="194"/>
      <c r="C41" s="194"/>
      <c r="D41" s="194"/>
      <c r="E41" s="194"/>
      <c r="F41" s="194"/>
      <c r="G41" s="194"/>
      <c r="H41" s="194"/>
      <c r="I41" s="194"/>
      <c r="J41" s="194"/>
      <c r="K41" s="194"/>
      <c r="L41" s="194"/>
      <c r="M41" s="194"/>
      <c r="N41" s="194"/>
      <c r="O41" s="194"/>
      <c r="P41" s="194"/>
      <c r="Q41" s="194"/>
      <c r="R41" s="194"/>
      <c r="S41" s="194"/>
      <c r="T41" s="194"/>
      <c r="U41" s="194"/>
    </row>
    <row r="42" spans="2:21" x14ac:dyDescent="0.25">
      <c r="B42" s="194"/>
      <c r="C42" s="194"/>
      <c r="D42" s="194"/>
      <c r="E42" s="194"/>
      <c r="F42" s="194"/>
      <c r="G42" s="194"/>
      <c r="H42" s="194"/>
      <c r="I42" s="194"/>
      <c r="J42" s="194"/>
      <c r="K42" s="194"/>
      <c r="L42" s="194"/>
      <c r="M42" s="194"/>
      <c r="N42" s="194"/>
      <c r="O42" s="194"/>
      <c r="P42" s="194"/>
      <c r="Q42" s="194"/>
      <c r="R42" s="194"/>
      <c r="S42" s="194"/>
      <c r="T42" s="194"/>
      <c r="U42" s="194"/>
    </row>
    <row r="43" spans="2:21" x14ac:dyDescent="0.25">
      <c r="B43" s="194"/>
      <c r="C43" s="194"/>
      <c r="D43" s="194"/>
      <c r="E43" s="194"/>
      <c r="F43" s="194"/>
      <c r="G43" s="194"/>
      <c r="H43" s="194"/>
      <c r="I43" s="194"/>
      <c r="J43" s="194"/>
      <c r="K43" s="194"/>
      <c r="L43" s="194"/>
      <c r="M43" s="194"/>
      <c r="N43" s="194"/>
      <c r="O43" s="194"/>
      <c r="P43" s="194"/>
      <c r="Q43" s="194"/>
      <c r="R43" s="194"/>
      <c r="S43" s="194"/>
      <c r="T43" s="194"/>
      <c r="U43" s="194"/>
    </row>
    <row r="44" spans="2:21" x14ac:dyDescent="0.25">
      <c r="B44" s="194"/>
      <c r="C44" s="194"/>
      <c r="D44" s="194"/>
      <c r="E44" s="194"/>
      <c r="F44" s="194"/>
      <c r="G44" s="194"/>
      <c r="H44" s="194"/>
      <c r="I44" s="194"/>
      <c r="J44" s="194"/>
      <c r="K44" s="194"/>
      <c r="L44" s="194"/>
      <c r="M44" s="194"/>
      <c r="N44" s="194"/>
      <c r="O44" s="194"/>
      <c r="P44" s="194"/>
      <c r="Q44" s="194"/>
      <c r="R44" s="194"/>
      <c r="S44" s="194"/>
      <c r="T44" s="194"/>
      <c r="U44" s="194"/>
    </row>
    <row r="45" spans="2:21" x14ac:dyDescent="0.25">
      <c r="B45" s="194"/>
      <c r="C45" s="194"/>
      <c r="D45" s="194"/>
      <c r="E45" s="194"/>
      <c r="F45" s="194"/>
      <c r="G45" s="194"/>
      <c r="H45" s="194"/>
      <c r="I45" s="194"/>
      <c r="J45" s="194"/>
      <c r="K45" s="194"/>
      <c r="L45" s="194"/>
      <c r="M45" s="194"/>
      <c r="N45" s="194"/>
      <c r="O45" s="194"/>
      <c r="P45" s="194"/>
      <c r="Q45" s="194"/>
      <c r="R45" s="194"/>
      <c r="S45" s="194"/>
      <c r="T45" s="194"/>
      <c r="U45" s="194"/>
    </row>
    <row r="46" spans="2:21" x14ac:dyDescent="0.25">
      <c r="B46" s="194"/>
      <c r="C46" s="194"/>
      <c r="D46" s="194"/>
      <c r="E46" s="194"/>
      <c r="F46" s="194"/>
      <c r="G46" s="194"/>
      <c r="H46" s="194"/>
      <c r="I46" s="194"/>
      <c r="J46" s="194"/>
      <c r="K46" s="194"/>
      <c r="L46" s="194"/>
      <c r="M46" s="194"/>
      <c r="N46" s="194"/>
      <c r="O46" s="194"/>
      <c r="P46" s="194"/>
      <c r="Q46" s="194"/>
      <c r="R46" s="194"/>
      <c r="S46" s="194"/>
      <c r="T46" s="194"/>
      <c r="U46" s="194"/>
    </row>
    <row r="47" spans="2:21" x14ac:dyDescent="0.25">
      <c r="B47" s="194"/>
      <c r="C47" s="194"/>
      <c r="D47" s="194"/>
      <c r="E47" s="194"/>
      <c r="F47" s="194"/>
      <c r="G47" s="194"/>
      <c r="H47" s="194"/>
      <c r="I47" s="194"/>
      <c r="J47" s="194"/>
      <c r="K47" s="194"/>
      <c r="L47" s="194"/>
      <c r="M47" s="194"/>
      <c r="N47" s="194"/>
      <c r="O47" s="194"/>
      <c r="P47" s="194"/>
      <c r="Q47" s="194"/>
      <c r="R47" s="194"/>
      <c r="S47" s="194"/>
      <c r="T47" s="194"/>
      <c r="U47" s="194"/>
    </row>
    <row r="48" spans="2:21" x14ac:dyDescent="0.25">
      <c r="B48" s="194"/>
      <c r="C48" s="194"/>
      <c r="D48" s="194"/>
      <c r="E48" s="194"/>
      <c r="F48" s="194"/>
      <c r="G48" s="194"/>
      <c r="H48" s="194"/>
      <c r="I48" s="194"/>
      <c r="J48" s="194"/>
      <c r="K48" s="194"/>
      <c r="L48" s="194"/>
      <c r="M48" s="194"/>
      <c r="N48" s="194"/>
      <c r="O48" s="194"/>
      <c r="P48" s="194"/>
      <c r="Q48" s="194"/>
      <c r="R48" s="194"/>
      <c r="S48" s="194"/>
      <c r="T48" s="194"/>
      <c r="U48" s="194"/>
    </row>
    <row r="49" spans="2:21" x14ac:dyDescent="0.25">
      <c r="B49" s="194"/>
      <c r="C49" s="194"/>
      <c r="D49" s="194"/>
      <c r="E49" s="194"/>
      <c r="F49" s="194"/>
      <c r="G49" s="194"/>
      <c r="H49" s="194"/>
      <c r="I49" s="194"/>
      <c r="J49" s="194"/>
      <c r="K49" s="194"/>
      <c r="L49" s="194"/>
      <c r="M49" s="194"/>
      <c r="N49" s="194"/>
      <c r="O49" s="194"/>
      <c r="P49" s="194"/>
      <c r="Q49" s="194"/>
      <c r="R49" s="194"/>
      <c r="S49" s="194"/>
      <c r="T49" s="194"/>
      <c r="U49" s="194"/>
    </row>
    <row r="50" spans="2:21" x14ac:dyDescent="0.25">
      <c r="B50" s="194"/>
      <c r="C50" s="194"/>
      <c r="D50" s="194"/>
      <c r="E50" s="194"/>
      <c r="F50" s="194"/>
      <c r="G50" s="194"/>
      <c r="H50" s="194"/>
      <c r="I50" s="194"/>
      <c r="J50" s="194"/>
      <c r="K50" s="194"/>
      <c r="L50" s="194"/>
      <c r="M50" s="194"/>
      <c r="N50" s="194"/>
      <c r="O50" s="194"/>
      <c r="P50" s="194"/>
      <c r="Q50" s="194"/>
      <c r="R50" s="194"/>
      <c r="S50" s="194"/>
      <c r="T50" s="194"/>
      <c r="U50" s="194"/>
    </row>
    <row r="51" spans="2:21" x14ac:dyDescent="0.25">
      <c r="B51" s="194"/>
      <c r="C51" s="194"/>
      <c r="D51" s="194"/>
      <c r="E51" s="194"/>
      <c r="F51" s="194"/>
      <c r="G51" s="194"/>
      <c r="H51" s="194"/>
      <c r="I51" s="194"/>
      <c r="J51" s="194"/>
      <c r="K51" s="194"/>
      <c r="L51" s="194"/>
      <c r="M51" s="194"/>
      <c r="N51" s="194"/>
      <c r="O51" s="194"/>
      <c r="P51" s="194"/>
      <c r="Q51" s="194"/>
      <c r="R51" s="194"/>
      <c r="S51" s="194"/>
      <c r="T51" s="194"/>
      <c r="U51" s="194"/>
    </row>
    <row r="52" spans="2:21" x14ac:dyDescent="0.25">
      <c r="B52" s="194"/>
      <c r="C52" s="194"/>
      <c r="D52" s="194"/>
      <c r="E52" s="194"/>
      <c r="F52" s="194"/>
      <c r="G52" s="194"/>
      <c r="H52" s="194"/>
      <c r="I52" s="194"/>
      <c r="J52" s="194"/>
      <c r="K52" s="194"/>
      <c r="L52" s="194"/>
      <c r="M52" s="194"/>
      <c r="N52" s="194"/>
      <c r="O52" s="194"/>
      <c r="P52" s="194"/>
      <c r="Q52" s="194"/>
      <c r="R52" s="194"/>
      <c r="S52" s="194"/>
      <c r="T52" s="194"/>
      <c r="U52" s="194"/>
    </row>
    <row r="53" spans="2:21" x14ac:dyDescent="0.25">
      <c r="B53" s="194"/>
      <c r="C53" s="194"/>
      <c r="D53" s="194"/>
      <c r="E53" s="194"/>
      <c r="F53" s="194"/>
      <c r="G53" s="194"/>
      <c r="H53" s="194"/>
      <c r="I53" s="194"/>
      <c r="J53" s="194"/>
      <c r="K53" s="194"/>
      <c r="L53" s="194"/>
      <c r="M53" s="194"/>
      <c r="N53" s="194"/>
      <c r="O53" s="194"/>
      <c r="P53" s="194"/>
      <c r="Q53" s="194"/>
      <c r="R53" s="194"/>
      <c r="S53" s="194"/>
      <c r="T53" s="194"/>
      <c r="U53" s="194"/>
    </row>
    <row r="54" spans="2:21" x14ac:dyDescent="0.25">
      <c r="B54" s="194"/>
      <c r="C54" s="194"/>
      <c r="D54" s="194"/>
      <c r="E54" s="194"/>
      <c r="F54" s="194"/>
      <c r="G54" s="194"/>
      <c r="H54" s="194"/>
      <c r="I54" s="194"/>
      <c r="J54" s="194"/>
      <c r="K54" s="194"/>
      <c r="L54" s="194"/>
      <c r="M54" s="194"/>
      <c r="N54" s="194"/>
      <c r="O54" s="194"/>
      <c r="P54" s="194"/>
      <c r="Q54" s="194"/>
      <c r="R54" s="194"/>
      <c r="S54" s="194"/>
      <c r="T54" s="194"/>
      <c r="U54" s="194"/>
    </row>
    <row r="55" spans="2:21" x14ac:dyDescent="0.25">
      <c r="B55" s="194"/>
      <c r="C55" s="194"/>
      <c r="D55" s="194"/>
      <c r="E55" s="194"/>
      <c r="F55" s="194"/>
      <c r="G55" s="194"/>
      <c r="H55" s="194"/>
      <c r="I55" s="194"/>
      <c r="J55" s="194"/>
      <c r="K55" s="194"/>
      <c r="L55" s="194"/>
      <c r="M55" s="194"/>
      <c r="N55" s="194"/>
      <c r="O55" s="194"/>
      <c r="P55" s="194"/>
      <c r="Q55" s="194"/>
      <c r="R55" s="194"/>
      <c r="S55" s="194"/>
      <c r="T55" s="194"/>
      <c r="U55" s="194"/>
    </row>
    <row r="56" spans="2:21" x14ac:dyDescent="0.25">
      <c r="B56" s="194"/>
      <c r="C56" s="194"/>
      <c r="D56" s="194"/>
      <c r="E56" s="194"/>
      <c r="F56" s="194"/>
      <c r="G56" s="194"/>
      <c r="H56" s="194"/>
      <c r="I56" s="194"/>
      <c r="J56" s="194"/>
      <c r="K56" s="194"/>
      <c r="L56" s="194"/>
      <c r="M56" s="194"/>
      <c r="N56" s="194"/>
      <c r="O56" s="194"/>
      <c r="P56" s="194"/>
      <c r="Q56" s="194"/>
      <c r="R56" s="194"/>
      <c r="S56" s="194"/>
      <c r="T56" s="194"/>
      <c r="U56" s="194"/>
    </row>
    <row r="57" spans="2:21" x14ac:dyDescent="0.25">
      <c r="B57" s="194"/>
      <c r="C57" s="194"/>
      <c r="D57" s="194"/>
      <c r="E57" s="194"/>
      <c r="F57" s="194"/>
      <c r="G57" s="194"/>
      <c r="H57" s="194"/>
      <c r="I57" s="194"/>
      <c r="J57" s="194"/>
      <c r="K57" s="194"/>
      <c r="L57" s="194"/>
      <c r="M57" s="194"/>
      <c r="N57" s="194"/>
      <c r="O57" s="194"/>
      <c r="P57" s="194"/>
      <c r="Q57" s="194"/>
      <c r="R57" s="194"/>
      <c r="S57" s="194"/>
      <c r="T57" s="194"/>
      <c r="U57" s="194"/>
    </row>
    <row r="58" spans="2:21" x14ac:dyDescent="0.25">
      <c r="B58" s="194"/>
      <c r="C58" s="194"/>
      <c r="D58" s="194"/>
      <c r="E58" s="194"/>
      <c r="F58" s="194"/>
      <c r="G58" s="194"/>
      <c r="H58" s="194"/>
      <c r="I58" s="194"/>
      <c r="J58" s="194"/>
      <c r="K58" s="194"/>
      <c r="L58" s="194"/>
      <c r="M58" s="194"/>
      <c r="N58" s="194"/>
      <c r="O58" s="194"/>
      <c r="P58" s="194"/>
      <c r="Q58" s="194"/>
      <c r="R58" s="194"/>
      <c r="S58" s="194"/>
      <c r="T58" s="194"/>
      <c r="U58" s="194"/>
    </row>
    <row r="59" spans="2:21" x14ac:dyDescent="0.25">
      <c r="B59" s="194"/>
      <c r="C59" s="194"/>
      <c r="D59" s="194"/>
      <c r="E59" s="194"/>
      <c r="F59" s="194"/>
      <c r="G59" s="194"/>
      <c r="H59" s="194"/>
      <c r="I59" s="194"/>
      <c r="J59" s="194"/>
      <c r="K59" s="194"/>
      <c r="L59" s="194"/>
      <c r="M59" s="194"/>
      <c r="N59" s="194"/>
      <c r="O59" s="194"/>
      <c r="P59" s="194"/>
      <c r="Q59" s="194"/>
      <c r="R59" s="194"/>
      <c r="S59" s="194"/>
      <c r="T59" s="194"/>
      <c r="U59" s="194"/>
    </row>
    <row r="60" spans="2:21" x14ac:dyDescent="0.25">
      <c r="B60" s="194"/>
      <c r="C60" s="194"/>
      <c r="D60" s="194"/>
      <c r="E60" s="194"/>
      <c r="F60" s="194"/>
      <c r="G60" s="194"/>
      <c r="H60" s="194"/>
      <c r="I60" s="194"/>
      <c r="J60" s="194"/>
      <c r="K60" s="194"/>
      <c r="L60" s="194"/>
      <c r="M60" s="194"/>
      <c r="N60" s="194"/>
      <c r="O60" s="194"/>
      <c r="P60" s="194"/>
      <c r="Q60" s="194"/>
      <c r="R60" s="194"/>
      <c r="S60" s="194"/>
      <c r="T60" s="194"/>
      <c r="U60" s="194"/>
    </row>
    <row r="61" spans="2:21" x14ac:dyDescent="0.25">
      <c r="B61" s="194"/>
      <c r="C61" s="194"/>
      <c r="D61" s="194"/>
      <c r="E61" s="194"/>
      <c r="F61" s="194"/>
      <c r="G61" s="194"/>
      <c r="H61" s="194"/>
      <c r="I61" s="194"/>
      <c r="J61" s="194"/>
      <c r="K61" s="194"/>
      <c r="L61" s="194"/>
      <c r="M61" s="194"/>
      <c r="N61" s="194"/>
      <c r="O61" s="194"/>
      <c r="P61" s="194"/>
      <c r="Q61" s="194"/>
      <c r="R61" s="194"/>
      <c r="S61" s="194"/>
      <c r="T61" s="194"/>
      <c r="U61" s="194"/>
    </row>
    <row r="62" spans="2:21" x14ac:dyDescent="0.25">
      <c r="B62" s="194"/>
      <c r="C62" s="194"/>
      <c r="D62" s="194"/>
      <c r="E62" s="194"/>
      <c r="F62" s="194"/>
      <c r="G62" s="194"/>
      <c r="H62" s="194"/>
      <c r="I62" s="194"/>
      <c r="J62" s="194"/>
      <c r="K62" s="194"/>
      <c r="L62" s="194"/>
      <c r="M62" s="194"/>
      <c r="N62" s="194"/>
      <c r="O62" s="194"/>
      <c r="P62" s="194"/>
      <c r="Q62" s="194"/>
      <c r="R62" s="194"/>
      <c r="S62" s="194"/>
      <c r="T62" s="194"/>
      <c r="U62" s="194"/>
    </row>
    <row r="63" spans="2:21" x14ac:dyDescent="0.25">
      <c r="B63" s="194"/>
      <c r="C63" s="194"/>
      <c r="D63" s="194"/>
      <c r="E63" s="194"/>
      <c r="F63" s="194"/>
      <c r="G63" s="194"/>
      <c r="H63" s="194"/>
      <c r="I63" s="194"/>
      <c r="J63" s="194"/>
      <c r="K63" s="194"/>
      <c r="L63" s="194"/>
      <c r="M63" s="194"/>
      <c r="N63" s="194"/>
      <c r="O63" s="194"/>
      <c r="P63" s="194"/>
      <c r="Q63" s="194"/>
      <c r="R63" s="194"/>
      <c r="S63" s="194"/>
      <c r="T63" s="194"/>
      <c r="U63" s="194"/>
    </row>
    <row r="64" spans="2:21" x14ac:dyDescent="0.25">
      <c r="B64" s="194"/>
      <c r="C64" s="194"/>
      <c r="D64" s="194"/>
      <c r="E64" s="194"/>
      <c r="F64" s="194"/>
      <c r="G64" s="194"/>
      <c r="H64" s="194"/>
      <c r="I64" s="194"/>
      <c r="J64" s="194"/>
      <c r="K64" s="194"/>
      <c r="L64" s="194"/>
      <c r="M64" s="194"/>
      <c r="N64" s="194"/>
      <c r="O64" s="194"/>
      <c r="P64" s="194"/>
      <c r="Q64" s="194"/>
      <c r="R64" s="194"/>
      <c r="S64" s="194"/>
      <c r="T64" s="194"/>
      <c r="U64" s="194"/>
    </row>
    <row r="65" spans="2:21" x14ac:dyDescent="0.25">
      <c r="B65" s="194"/>
      <c r="C65" s="194"/>
      <c r="D65" s="194"/>
      <c r="E65" s="194"/>
      <c r="F65" s="194"/>
      <c r="G65" s="194"/>
      <c r="H65" s="194"/>
      <c r="I65" s="194"/>
      <c r="J65" s="194"/>
      <c r="K65" s="194"/>
      <c r="L65" s="194"/>
      <c r="M65" s="194"/>
      <c r="N65" s="194"/>
      <c r="O65" s="194"/>
      <c r="P65" s="194"/>
      <c r="Q65" s="194"/>
      <c r="R65" s="194"/>
      <c r="S65" s="194"/>
      <c r="T65" s="194"/>
      <c r="U65" s="194"/>
    </row>
    <row r="66" spans="2:21" x14ac:dyDescent="0.25">
      <c r="B66" s="194"/>
      <c r="C66" s="194"/>
      <c r="D66" s="194"/>
      <c r="E66" s="194"/>
      <c r="F66" s="194"/>
      <c r="G66" s="194"/>
      <c r="H66" s="194"/>
      <c r="I66" s="194"/>
      <c r="J66" s="194"/>
      <c r="K66" s="194"/>
      <c r="L66" s="194"/>
      <c r="M66" s="194"/>
      <c r="N66" s="194"/>
      <c r="O66" s="194"/>
      <c r="P66" s="194"/>
      <c r="Q66" s="194"/>
      <c r="R66" s="194"/>
      <c r="S66" s="194"/>
      <c r="T66" s="194"/>
      <c r="U66" s="194"/>
    </row>
    <row r="67" spans="2:21" x14ac:dyDescent="0.25">
      <c r="B67" s="194"/>
      <c r="C67" s="194"/>
      <c r="D67" s="194"/>
      <c r="E67" s="194"/>
      <c r="F67" s="194"/>
      <c r="G67" s="194"/>
      <c r="H67" s="194"/>
      <c r="I67" s="194"/>
      <c r="J67" s="194"/>
      <c r="K67" s="194"/>
      <c r="L67" s="194"/>
      <c r="M67" s="194"/>
      <c r="N67" s="194"/>
      <c r="O67" s="194"/>
      <c r="P67" s="194"/>
      <c r="Q67" s="194"/>
      <c r="R67" s="194"/>
      <c r="S67" s="194"/>
      <c r="T67" s="194"/>
      <c r="U67" s="194"/>
    </row>
    <row r="68" spans="2:21" x14ac:dyDescent="0.25">
      <c r="B68" s="194"/>
      <c r="C68" s="194"/>
      <c r="D68" s="194"/>
      <c r="E68" s="194"/>
      <c r="F68" s="194"/>
      <c r="G68" s="194"/>
      <c r="H68" s="194"/>
      <c r="I68" s="194"/>
      <c r="J68" s="194"/>
      <c r="K68" s="194"/>
      <c r="L68" s="194"/>
      <c r="M68" s="194"/>
      <c r="N68" s="194"/>
      <c r="O68" s="194"/>
      <c r="P68" s="194"/>
      <c r="Q68" s="194"/>
      <c r="R68" s="194"/>
      <c r="S68" s="194"/>
      <c r="T68" s="194"/>
      <c r="U68" s="194"/>
    </row>
    <row r="69" spans="2:21" x14ac:dyDescent="0.25">
      <c r="B69" s="194"/>
      <c r="C69" s="194"/>
      <c r="D69" s="194"/>
      <c r="E69" s="194"/>
      <c r="F69" s="194"/>
      <c r="G69" s="194"/>
      <c r="H69" s="194"/>
      <c r="I69" s="194"/>
      <c r="J69" s="194"/>
      <c r="K69" s="194"/>
      <c r="L69" s="194"/>
      <c r="M69" s="194"/>
      <c r="N69" s="194"/>
      <c r="O69" s="194"/>
      <c r="P69" s="194"/>
      <c r="Q69" s="194"/>
      <c r="R69" s="194"/>
      <c r="S69" s="194"/>
      <c r="T69" s="194"/>
      <c r="U69" s="194"/>
    </row>
    <row r="70" spans="2:21" x14ac:dyDescent="0.25">
      <c r="B70" s="194"/>
      <c r="C70" s="194"/>
      <c r="D70" s="194"/>
      <c r="E70" s="194"/>
      <c r="F70" s="194"/>
      <c r="G70" s="194"/>
      <c r="H70" s="194"/>
      <c r="I70" s="194"/>
      <c r="J70" s="194"/>
      <c r="K70" s="194"/>
      <c r="L70" s="194"/>
      <c r="M70" s="194"/>
      <c r="N70" s="194"/>
      <c r="O70" s="194"/>
      <c r="P70" s="194"/>
      <c r="Q70" s="194"/>
      <c r="R70" s="194"/>
      <c r="S70" s="194"/>
      <c r="T70" s="194"/>
      <c r="U70" s="194"/>
    </row>
    <row r="71" spans="2:21" x14ac:dyDescent="0.25">
      <c r="B71" s="194"/>
      <c r="C71" s="194"/>
      <c r="D71" s="194"/>
      <c r="E71" s="194"/>
      <c r="F71" s="194"/>
      <c r="G71" s="194"/>
      <c r="H71" s="194"/>
      <c r="I71" s="194"/>
      <c r="J71" s="194"/>
      <c r="K71" s="194"/>
      <c r="L71" s="194"/>
      <c r="M71" s="194"/>
      <c r="N71" s="194"/>
      <c r="O71" s="194"/>
      <c r="P71" s="194"/>
      <c r="Q71" s="194"/>
      <c r="R71" s="194"/>
      <c r="S71" s="194"/>
      <c r="T71" s="194"/>
      <c r="U71" s="194"/>
    </row>
    <row r="72" spans="2:21" x14ac:dyDescent="0.25">
      <c r="B72" s="194"/>
      <c r="C72" s="194"/>
      <c r="D72" s="194"/>
      <c r="E72" s="194"/>
      <c r="F72" s="194"/>
      <c r="G72" s="194"/>
      <c r="H72" s="194"/>
      <c r="I72" s="194"/>
      <c r="J72" s="194"/>
      <c r="K72" s="194"/>
      <c r="L72" s="194"/>
      <c r="M72" s="194"/>
      <c r="N72" s="194"/>
      <c r="O72" s="194"/>
      <c r="P72" s="194"/>
      <c r="Q72" s="194"/>
      <c r="R72" s="194"/>
      <c r="S72" s="194"/>
      <c r="T72" s="194"/>
      <c r="U72" s="194"/>
    </row>
    <row r="73" spans="2:21" x14ac:dyDescent="0.25">
      <c r="B73" s="194"/>
      <c r="C73" s="194"/>
      <c r="D73" s="194"/>
      <c r="E73" s="194"/>
      <c r="F73" s="194"/>
      <c r="G73" s="194"/>
      <c r="H73" s="194"/>
      <c r="I73" s="194"/>
      <c r="J73" s="194"/>
      <c r="K73" s="194"/>
      <c r="L73" s="194"/>
      <c r="M73" s="194"/>
      <c r="N73" s="194"/>
      <c r="O73" s="194"/>
      <c r="P73" s="194"/>
      <c r="Q73" s="194"/>
      <c r="R73" s="194"/>
      <c r="S73" s="194"/>
      <c r="T73" s="194"/>
      <c r="U73" s="194"/>
    </row>
    <row r="74" spans="2:21" x14ac:dyDescent="0.25">
      <c r="B74" s="194"/>
      <c r="C74" s="194"/>
      <c r="D74" s="194"/>
      <c r="E74" s="194"/>
      <c r="F74" s="194"/>
      <c r="G74" s="194"/>
      <c r="H74" s="194"/>
      <c r="I74" s="194"/>
      <c r="J74" s="194"/>
      <c r="K74" s="194"/>
      <c r="L74" s="194"/>
      <c r="M74" s="194"/>
      <c r="N74" s="194"/>
      <c r="O74" s="194"/>
      <c r="P74" s="194"/>
      <c r="Q74" s="194"/>
      <c r="R74" s="194"/>
      <c r="S74" s="194"/>
      <c r="T74" s="194"/>
      <c r="U74" s="194"/>
    </row>
    <row r="75" spans="2:21" x14ac:dyDescent="0.25">
      <c r="B75" s="194"/>
      <c r="C75" s="194"/>
      <c r="D75" s="194"/>
      <c r="E75" s="194"/>
      <c r="F75" s="194"/>
      <c r="G75" s="194"/>
      <c r="H75" s="194"/>
      <c r="I75" s="194"/>
      <c r="J75" s="194"/>
      <c r="K75" s="194"/>
      <c r="L75" s="194"/>
      <c r="M75" s="194"/>
      <c r="N75" s="194"/>
      <c r="O75" s="194"/>
      <c r="P75" s="194"/>
      <c r="Q75" s="194"/>
      <c r="R75" s="194"/>
      <c r="S75" s="194"/>
      <c r="T75" s="194"/>
      <c r="U75" s="194"/>
    </row>
    <row r="76" spans="2:21" x14ac:dyDescent="0.25">
      <c r="B76" s="194"/>
      <c r="C76" s="194"/>
      <c r="D76" s="194"/>
      <c r="E76" s="194"/>
      <c r="F76" s="194"/>
      <c r="G76" s="194"/>
      <c r="H76" s="194"/>
      <c r="I76" s="194"/>
      <c r="J76" s="194"/>
      <c r="K76" s="194"/>
      <c r="L76" s="194"/>
      <c r="M76" s="194"/>
      <c r="N76" s="194"/>
      <c r="O76" s="194"/>
      <c r="P76" s="194"/>
      <c r="Q76" s="194"/>
      <c r="R76" s="194"/>
      <c r="S76" s="194"/>
      <c r="T76" s="194"/>
      <c r="U76" s="194"/>
    </row>
    <row r="77" spans="2:21" x14ac:dyDescent="0.25">
      <c r="B77" s="194"/>
      <c r="C77" s="194"/>
      <c r="D77" s="194"/>
      <c r="E77" s="194"/>
      <c r="F77" s="194"/>
      <c r="G77" s="194"/>
      <c r="H77" s="194"/>
      <c r="I77" s="194"/>
      <c r="J77" s="194"/>
      <c r="K77" s="194"/>
      <c r="L77" s="194"/>
      <c r="M77" s="194"/>
      <c r="N77" s="194"/>
      <c r="O77" s="194"/>
      <c r="P77" s="194"/>
      <c r="Q77" s="194"/>
      <c r="R77" s="194"/>
      <c r="S77" s="194"/>
      <c r="T77" s="194"/>
      <c r="U77" s="194"/>
    </row>
    <row r="78" spans="2:21" x14ac:dyDescent="0.25">
      <c r="B78" s="194"/>
      <c r="C78" s="194"/>
      <c r="D78" s="194"/>
      <c r="E78" s="194"/>
      <c r="F78" s="194"/>
      <c r="G78" s="194"/>
      <c r="H78" s="194"/>
      <c r="I78" s="194"/>
      <c r="J78" s="194"/>
      <c r="K78" s="194"/>
      <c r="L78" s="194"/>
      <c r="M78" s="194"/>
      <c r="N78" s="194"/>
      <c r="O78" s="194"/>
      <c r="P78" s="194"/>
      <c r="Q78" s="194"/>
      <c r="R78" s="194"/>
      <c r="S78" s="194"/>
      <c r="T78" s="194"/>
      <c r="U78" s="194"/>
    </row>
    <row r="79" spans="2:21" x14ac:dyDescent="0.25">
      <c r="B79" s="194"/>
      <c r="C79" s="194"/>
      <c r="D79" s="194"/>
      <c r="E79" s="194"/>
      <c r="F79" s="194"/>
      <c r="G79" s="194"/>
      <c r="H79" s="194"/>
      <c r="I79" s="194"/>
      <c r="J79" s="194"/>
      <c r="K79" s="194"/>
      <c r="L79" s="194"/>
      <c r="M79" s="194"/>
      <c r="N79" s="194"/>
      <c r="O79" s="194"/>
      <c r="P79" s="194"/>
      <c r="Q79" s="194"/>
      <c r="R79" s="194"/>
      <c r="S79" s="194"/>
      <c r="T79" s="194"/>
      <c r="U79" s="194"/>
    </row>
    <row r="80" spans="2:21" x14ac:dyDescent="0.25">
      <c r="B80" s="194"/>
      <c r="C80" s="194"/>
      <c r="D80" s="194"/>
      <c r="E80" s="194"/>
      <c r="F80" s="194"/>
      <c r="G80" s="194"/>
      <c r="H80" s="194"/>
      <c r="I80" s="194"/>
      <c r="J80" s="194"/>
      <c r="K80" s="194"/>
      <c r="L80" s="194"/>
      <c r="M80" s="194"/>
      <c r="N80" s="194"/>
      <c r="O80" s="194"/>
      <c r="P80" s="194"/>
      <c r="Q80" s="194"/>
      <c r="R80" s="194"/>
      <c r="S80" s="194"/>
      <c r="T80" s="194"/>
      <c r="U80" s="194"/>
    </row>
    <row r="81" spans="2:21" x14ac:dyDescent="0.25">
      <c r="B81" s="194"/>
      <c r="C81" s="194"/>
      <c r="D81" s="194"/>
      <c r="E81" s="194"/>
      <c r="F81" s="194"/>
      <c r="G81" s="194"/>
      <c r="H81" s="194"/>
      <c r="I81" s="194"/>
      <c r="J81" s="194"/>
      <c r="K81" s="194"/>
      <c r="L81" s="194"/>
      <c r="M81" s="194"/>
      <c r="N81" s="194"/>
      <c r="O81" s="194"/>
      <c r="P81" s="194"/>
      <c r="Q81" s="194"/>
      <c r="R81" s="194"/>
      <c r="S81" s="194"/>
      <c r="T81" s="194"/>
      <c r="U81" s="194"/>
    </row>
    <row r="82" spans="2:21" x14ac:dyDescent="0.25">
      <c r="B82" s="194"/>
      <c r="C82" s="194"/>
      <c r="D82" s="194"/>
      <c r="E82" s="194"/>
      <c r="F82" s="194"/>
      <c r="G82" s="194"/>
      <c r="H82" s="194"/>
      <c r="I82" s="194"/>
      <c r="J82" s="194"/>
      <c r="K82" s="194"/>
      <c r="L82" s="194"/>
      <c r="M82" s="194"/>
      <c r="N82" s="194"/>
      <c r="O82" s="194"/>
      <c r="P82" s="194"/>
      <c r="Q82" s="194"/>
      <c r="R82" s="194"/>
      <c r="S82" s="194"/>
      <c r="T82" s="194"/>
      <c r="U82" s="194"/>
    </row>
    <row r="83" spans="2:21" x14ac:dyDescent="0.25">
      <c r="B83" s="194"/>
      <c r="C83" s="194"/>
      <c r="D83" s="194"/>
      <c r="E83" s="194"/>
      <c r="F83" s="194"/>
      <c r="G83" s="194"/>
      <c r="H83" s="194"/>
      <c r="I83" s="194"/>
      <c r="J83" s="194"/>
      <c r="K83" s="194"/>
      <c r="L83" s="194"/>
      <c r="M83" s="194"/>
      <c r="N83" s="194"/>
      <c r="O83" s="194"/>
      <c r="P83" s="194"/>
      <c r="Q83" s="194"/>
      <c r="R83" s="194"/>
      <c r="S83" s="194"/>
      <c r="T83" s="194"/>
      <c r="U83" s="194"/>
    </row>
    <row r="84" spans="2:21" x14ac:dyDescent="0.25">
      <c r="B84" s="194"/>
      <c r="C84" s="194"/>
      <c r="D84" s="194"/>
      <c r="E84" s="194"/>
      <c r="F84" s="194"/>
      <c r="G84" s="194"/>
      <c r="H84" s="194"/>
      <c r="I84" s="194"/>
      <c r="J84" s="194"/>
      <c r="K84" s="194"/>
      <c r="L84" s="194"/>
      <c r="M84" s="194"/>
      <c r="N84" s="194"/>
      <c r="O84" s="194"/>
      <c r="P84" s="194"/>
      <c r="Q84" s="194"/>
      <c r="R84" s="194"/>
      <c r="S84" s="194"/>
      <c r="T84" s="194"/>
      <c r="U84" s="194"/>
    </row>
    <row r="85" spans="2:21" x14ac:dyDescent="0.25">
      <c r="B85" s="194"/>
      <c r="C85" s="194"/>
      <c r="D85" s="194"/>
      <c r="E85" s="194"/>
      <c r="F85" s="194"/>
      <c r="G85" s="194"/>
      <c r="H85" s="194"/>
      <c r="I85" s="194"/>
      <c r="J85" s="194"/>
      <c r="K85" s="194"/>
      <c r="L85" s="194"/>
      <c r="M85" s="194"/>
      <c r="N85" s="194"/>
      <c r="O85" s="194"/>
      <c r="P85" s="194"/>
      <c r="Q85" s="194"/>
      <c r="R85" s="194"/>
      <c r="S85" s="194"/>
      <c r="T85" s="194"/>
      <c r="U85" s="194"/>
    </row>
    <row r="86" spans="2:21" x14ac:dyDescent="0.25">
      <c r="B86" s="194"/>
      <c r="C86" s="194"/>
      <c r="D86" s="194"/>
      <c r="E86" s="194"/>
      <c r="F86" s="194"/>
      <c r="G86" s="194"/>
      <c r="H86" s="194"/>
      <c r="I86" s="194"/>
      <c r="J86" s="194"/>
      <c r="K86" s="194"/>
      <c r="L86" s="194"/>
      <c r="M86" s="194"/>
      <c r="N86" s="194"/>
      <c r="O86" s="194"/>
      <c r="P86" s="194"/>
      <c r="Q86" s="194"/>
      <c r="R86" s="194"/>
      <c r="S86" s="194"/>
      <c r="T86" s="194"/>
      <c r="U86" s="194"/>
    </row>
    <row r="87" spans="2:21" x14ac:dyDescent="0.25">
      <c r="B87" s="194"/>
      <c r="C87" s="194"/>
      <c r="D87" s="194"/>
      <c r="E87" s="194"/>
      <c r="F87" s="194"/>
      <c r="G87" s="194"/>
      <c r="H87" s="194"/>
      <c r="I87" s="194"/>
      <c r="J87" s="194"/>
      <c r="K87" s="194"/>
      <c r="L87" s="194"/>
      <c r="M87" s="194"/>
      <c r="N87" s="194"/>
      <c r="O87" s="194"/>
      <c r="P87" s="194"/>
      <c r="Q87" s="194"/>
      <c r="R87" s="194"/>
      <c r="S87" s="194"/>
      <c r="T87" s="194"/>
      <c r="U87" s="194"/>
    </row>
    <row r="88" spans="2:21" x14ac:dyDescent="0.25">
      <c r="B88" s="194"/>
      <c r="C88" s="194"/>
      <c r="D88" s="194"/>
      <c r="E88" s="194"/>
      <c r="F88" s="194"/>
      <c r="G88" s="194"/>
      <c r="H88" s="194"/>
      <c r="I88" s="194"/>
      <c r="J88" s="194"/>
      <c r="K88" s="194"/>
      <c r="L88" s="194"/>
      <c r="M88" s="194"/>
      <c r="N88" s="194"/>
      <c r="O88" s="194"/>
      <c r="P88" s="194"/>
      <c r="Q88" s="194"/>
      <c r="R88" s="194"/>
      <c r="S88" s="194"/>
      <c r="T88" s="194"/>
      <c r="U88" s="194"/>
    </row>
    <row r="89" spans="2:21" x14ac:dyDescent="0.25">
      <c r="B89" s="194"/>
      <c r="C89" s="194"/>
      <c r="D89" s="194"/>
      <c r="E89" s="194"/>
      <c r="F89" s="194"/>
      <c r="G89" s="194"/>
      <c r="H89" s="194"/>
      <c r="I89" s="194"/>
      <c r="J89" s="194"/>
      <c r="K89" s="194"/>
      <c r="L89" s="194"/>
      <c r="M89" s="194"/>
      <c r="N89" s="194"/>
      <c r="O89" s="194"/>
      <c r="P89" s="194"/>
      <c r="Q89" s="194"/>
      <c r="R89" s="194"/>
      <c r="S89" s="194"/>
      <c r="T89" s="194"/>
      <c r="U89" s="194"/>
    </row>
    <row r="90" spans="2:21" x14ac:dyDescent="0.25">
      <c r="B90" s="194"/>
      <c r="C90" s="194"/>
      <c r="D90" s="194"/>
      <c r="E90" s="194"/>
      <c r="F90" s="194"/>
      <c r="G90" s="194"/>
      <c r="H90" s="194"/>
      <c r="I90" s="194"/>
      <c r="J90" s="194"/>
      <c r="K90" s="194"/>
      <c r="L90" s="194"/>
      <c r="M90" s="194"/>
      <c r="N90" s="194"/>
      <c r="O90" s="194"/>
      <c r="P90" s="194"/>
      <c r="Q90" s="194"/>
      <c r="R90" s="194"/>
      <c r="S90" s="194"/>
      <c r="T90" s="194"/>
      <c r="U90" s="194"/>
    </row>
    <row r="91" spans="2:21" x14ac:dyDescent="0.25">
      <c r="B91" s="194"/>
      <c r="C91" s="194"/>
      <c r="D91" s="194"/>
      <c r="E91" s="194"/>
      <c r="F91" s="194"/>
      <c r="G91" s="194"/>
      <c r="H91" s="194"/>
      <c r="I91" s="194"/>
      <c r="J91" s="194"/>
      <c r="K91" s="194"/>
      <c r="L91" s="194"/>
      <c r="M91" s="194"/>
      <c r="N91" s="194"/>
      <c r="O91" s="194"/>
      <c r="P91" s="194"/>
      <c r="Q91" s="194"/>
      <c r="R91" s="194"/>
      <c r="S91" s="194"/>
      <c r="T91" s="194"/>
      <c r="U91" s="194"/>
    </row>
    <row r="92" spans="2:21" x14ac:dyDescent="0.25">
      <c r="B92" s="194"/>
      <c r="C92" s="194"/>
      <c r="D92" s="194"/>
      <c r="E92" s="194"/>
      <c r="F92" s="194"/>
      <c r="G92" s="194"/>
      <c r="H92" s="194"/>
      <c r="I92" s="194"/>
      <c r="J92" s="194"/>
      <c r="K92" s="194"/>
      <c r="L92" s="194"/>
      <c r="M92" s="194"/>
      <c r="N92" s="194"/>
      <c r="O92" s="194"/>
      <c r="P92" s="194"/>
      <c r="Q92" s="194"/>
      <c r="R92" s="194"/>
      <c r="S92" s="194"/>
      <c r="T92" s="194"/>
      <c r="U92" s="194"/>
    </row>
    <row r="93" spans="2:21" x14ac:dyDescent="0.25">
      <c r="B93" s="194"/>
      <c r="C93" s="194"/>
      <c r="D93" s="194"/>
      <c r="E93" s="194"/>
      <c r="F93" s="194"/>
      <c r="G93" s="194"/>
      <c r="H93" s="194"/>
      <c r="I93" s="194"/>
      <c r="J93" s="194"/>
      <c r="K93" s="194"/>
      <c r="L93" s="194"/>
      <c r="M93" s="194"/>
      <c r="N93" s="194"/>
      <c r="O93" s="194"/>
      <c r="P93" s="194"/>
      <c r="Q93" s="194"/>
      <c r="R93" s="194"/>
      <c r="S93" s="194"/>
      <c r="T93" s="194"/>
      <c r="U93" s="194"/>
    </row>
    <row r="94" spans="2:21" x14ac:dyDescent="0.25">
      <c r="B94" s="194"/>
      <c r="C94" s="194"/>
      <c r="D94" s="194"/>
      <c r="E94" s="194"/>
      <c r="F94" s="194"/>
      <c r="G94" s="194"/>
      <c r="H94" s="194"/>
      <c r="I94" s="194"/>
      <c r="J94" s="194"/>
      <c r="K94" s="194"/>
      <c r="L94" s="194"/>
      <c r="M94" s="194"/>
      <c r="N94" s="194"/>
      <c r="O94" s="194"/>
      <c r="P94" s="194"/>
      <c r="Q94" s="194"/>
      <c r="R94" s="194"/>
      <c r="S94" s="194"/>
      <c r="T94" s="194"/>
      <c r="U94" s="194"/>
    </row>
    <row r="95" spans="2:21" x14ac:dyDescent="0.25">
      <c r="B95" s="194"/>
      <c r="C95" s="194"/>
      <c r="D95" s="194"/>
      <c r="E95" s="194"/>
      <c r="F95" s="194"/>
      <c r="G95" s="194"/>
      <c r="H95" s="194"/>
      <c r="I95" s="194"/>
      <c r="J95" s="194"/>
      <c r="K95" s="194"/>
      <c r="L95" s="194"/>
      <c r="M95" s="194"/>
      <c r="N95" s="194"/>
      <c r="O95" s="194"/>
      <c r="P95" s="194"/>
      <c r="Q95" s="194"/>
      <c r="R95" s="194"/>
      <c r="S95" s="194"/>
      <c r="T95" s="194"/>
      <c r="U95" s="194"/>
    </row>
    <row r="96" spans="2:21" x14ac:dyDescent="0.25">
      <c r="B96" s="194"/>
      <c r="C96" s="194"/>
      <c r="D96" s="194"/>
      <c r="E96" s="194"/>
      <c r="F96" s="194"/>
      <c r="G96" s="194"/>
      <c r="H96" s="194"/>
      <c r="I96" s="194"/>
      <c r="J96" s="194"/>
      <c r="K96" s="194"/>
      <c r="L96" s="194"/>
      <c r="M96" s="194"/>
      <c r="N96" s="194"/>
      <c r="O96" s="194"/>
      <c r="P96" s="194"/>
      <c r="Q96" s="194"/>
      <c r="R96" s="194"/>
      <c r="S96" s="194"/>
      <c r="T96" s="194"/>
      <c r="U96" s="194"/>
    </row>
    <row r="97" spans="2:21" x14ac:dyDescent="0.25">
      <c r="B97" s="194"/>
      <c r="C97" s="194"/>
      <c r="D97" s="194"/>
      <c r="E97" s="194"/>
      <c r="F97" s="194"/>
      <c r="G97" s="194"/>
      <c r="H97" s="194"/>
      <c r="I97" s="194"/>
      <c r="J97" s="194"/>
      <c r="K97" s="194"/>
      <c r="L97" s="194"/>
      <c r="M97" s="194"/>
      <c r="N97" s="194"/>
      <c r="O97" s="194"/>
      <c r="P97" s="194"/>
      <c r="Q97" s="194"/>
      <c r="R97" s="194"/>
      <c r="S97" s="194"/>
      <c r="T97" s="194"/>
      <c r="U97" s="194"/>
    </row>
    <row r="98" spans="2:21" x14ac:dyDescent="0.25">
      <c r="B98" s="194"/>
      <c r="C98" s="194"/>
      <c r="D98" s="194"/>
      <c r="E98" s="194"/>
      <c r="F98" s="194"/>
      <c r="G98" s="194"/>
      <c r="H98" s="194"/>
      <c r="I98" s="194"/>
      <c r="J98" s="194"/>
      <c r="K98" s="194"/>
      <c r="L98" s="194"/>
      <c r="M98" s="194"/>
      <c r="N98" s="194"/>
      <c r="O98" s="194"/>
      <c r="P98" s="194"/>
      <c r="Q98" s="194"/>
      <c r="R98" s="194"/>
      <c r="S98" s="194"/>
      <c r="T98" s="194"/>
      <c r="U98" s="194"/>
    </row>
    <row r="99" spans="2:21" x14ac:dyDescent="0.25">
      <c r="B99" s="194"/>
      <c r="C99" s="194"/>
      <c r="D99" s="194"/>
      <c r="E99" s="194"/>
      <c r="F99" s="194"/>
      <c r="G99" s="194"/>
      <c r="H99" s="194"/>
      <c r="I99" s="194"/>
      <c r="J99" s="194"/>
      <c r="K99" s="194"/>
      <c r="L99" s="194"/>
      <c r="M99" s="194"/>
      <c r="N99" s="194"/>
      <c r="O99" s="194"/>
      <c r="P99" s="194"/>
      <c r="Q99" s="194"/>
      <c r="R99" s="194"/>
      <c r="S99" s="194"/>
      <c r="T99" s="194"/>
      <c r="U99" s="194"/>
    </row>
    <row r="100" spans="2:21" x14ac:dyDescent="0.25">
      <c r="B100" s="194"/>
      <c r="C100" s="194"/>
      <c r="D100" s="194"/>
      <c r="E100" s="194"/>
      <c r="F100" s="194"/>
      <c r="G100" s="194"/>
      <c r="H100" s="194"/>
      <c r="I100" s="194"/>
      <c r="J100" s="194"/>
      <c r="K100" s="194"/>
      <c r="L100" s="194"/>
      <c r="M100" s="194"/>
      <c r="N100" s="194"/>
      <c r="O100" s="194"/>
      <c r="P100" s="194"/>
      <c r="Q100" s="194"/>
      <c r="R100" s="194"/>
      <c r="S100" s="194"/>
      <c r="T100" s="194"/>
      <c r="U100" s="194"/>
    </row>
    <row r="101" spans="2:21" x14ac:dyDescent="0.25">
      <c r="B101" s="194"/>
      <c r="C101" s="194"/>
      <c r="D101" s="194"/>
      <c r="E101" s="194"/>
      <c r="F101" s="194"/>
      <c r="G101" s="194"/>
      <c r="H101" s="194"/>
      <c r="I101" s="194"/>
      <c r="J101" s="194"/>
      <c r="K101" s="194"/>
      <c r="L101" s="194"/>
      <c r="M101" s="194"/>
      <c r="N101" s="194"/>
      <c r="O101" s="194"/>
      <c r="P101" s="194"/>
      <c r="Q101" s="194"/>
      <c r="R101" s="194"/>
      <c r="S101" s="194"/>
      <c r="T101" s="194"/>
      <c r="U101" s="194"/>
    </row>
    <row r="102" spans="2:21" x14ac:dyDescent="0.25">
      <c r="B102" s="194"/>
      <c r="C102" s="194"/>
      <c r="D102" s="194"/>
      <c r="E102" s="194"/>
      <c r="F102" s="194"/>
      <c r="G102" s="194"/>
      <c r="H102" s="194"/>
      <c r="I102" s="194"/>
      <c r="J102" s="194"/>
      <c r="K102" s="194"/>
      <c r="L102" s="194"/>
      <c r="M102" s="194"/>
      <c r="N102" s="194"/>
      <c r="O102" s="194"/>
      <c r="P102" s="194"/>
      <c r="Q102" s="194"/>
      <c r="R102" s="194"/>
      <c r="S102" s="194"/>
      <c r="T102" s="194"/>
      <c r="U102" s="194"/>
    </row>
    <row r="103" spans="2:21" x14ac:dyDescent="0.25">
      <c r="B103" s="194"/>
      <c r="C103" s="194"/>
      <c r="D103" s="194"/>
      <c r="E103" s="194"/>
      <c r="F103" s="194"/>
      <c r="G103" s="194"/>
      <c r="H103" s="194"/>
      <c r="I103" s="194"/>
      <c r="J103" s="194"/>
      <c r="K103" s="194"/>
      <c r="L103" s="194"/>
      <c r="M103" s="194"/>
      <c r="N103" s="194"/>
      <c r="O103" s="194"/>
      <c r="P103" s="194"/>
      <c r="Q103" s="194"/>
      <c r="R103" s="194"/>
      <c r="S103" s="194"/>
      <c r="T103" s="194"/>
      <c r="U103" s="194"/>
    </row>
    <row r="104" spans="2:21" x14ac:dyDescent="0.25">
      <c r="B104" s="194"/>
      <c r="C104" s="194"/>
      <c r="D104" s="194"/>
      <c r="E104" s="194"/>
      <c r="F104" s="194"/>
      <c r="G104" s="194"/>
      <c r="H104" s="194"/>
      <c r="I104" s="194"/>
      <c r="J104" s="194"/>
      <c r="K104" s="194"/>
      <c r="L104" s="194"/>
      <c r="M104" s="194"/>
      <c r="N104" s="194"/>
      <c r="O104" s="194"/>
      <c r="P104" s="194"/>
      <c r="Q104" s="194"/>
      <c r="R104" s="194"/>
      <c r="S104" s="194"/>
      <c r="T104" s="194"/>
      <c r="U104" s="194"/>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9"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B17" sqref="B17"/>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283</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195"/>
      <c r="C5" s="196"/>
      <c r="D5" s="196"/>
      <c r="E5" s="196"/>
      <c r="F5" s="196"/>
      <c r="G5" s="197"/>
    </row>
    <row r="6" spans="1:19" ht="15.75" thickBot="1" x14ac:dyDescent="0.3"/>
    <row r="7" spans="1:19" ht="15.75" thickBot="1" x14ac:dyDescent="0.3">
      <c r="A7" s="56" t="s">
        <v>1</v>
      </c>
      <c r="B7" s="195"/>
      <c r="C7" s="196"/>
      <c r="D7" s="196"/>
      <c r="E7" s="196"/>
      <c r="F7" s="196"/>
      <c r="G7" s="197"/>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3</v>
      </c>
    </row>
    <row r="18" spans="1:2" ht="15.75" thickBot="1" x14ac:dyDescent="0.3"/>
    <row r="19" spans="1:2" ht="15.75" thickBot="1" x14ac:dyDescent="0.3">
      <c r="A19" s="56" t="str">
        <f>B15&amp;" Names:"</f>
        <v>Clusters Names:</v>
      </c>
      <c r="B19" s="56" t="str">
        <f>B15&amp;" Description:"</f>
        <v>Clusters Description:</v>
      </c>
    </row>
    <row r="20" spans="1:2" x14ac:dyDescent="0.25">
      <c r="A20" s="120" t="s">
        <v>277</v>
      </c>
      <c r="B20" s="120"/>
    </row>
    <row r="21" spans="1:2" x14ac:dyDescent="0.25">
      <c r="A21" s="121" t="s">
        <v>278</v>
      </c>
      <c r="B21" s="121"/>
    </row>
    <row r="22" spans="1:2" x14ac:dyDescent="0.25">
      <c r="A22" s="121" t="s">
        <v>279</v>
      </c>
      <c r="B22" s="121"/>
    </row>
    <row r="23" spans="1:2" hidden="1" x14ac:dyDescent="0.25">
      <c r="A23" s="121" t="s">
        <v>280</v>
      </c>
      <c r="B23" s="121"/>
    </row>
    <row r="24" spans="1:2" hidden="1" x14ac:dyDescent="0.25">
      <c r="A24" s="121" t="s">
        <v>281</v>
      </c>
      <c r="B24" s="121"/>
    </row>
    <row r="25" spans="1:2" hidden="1" x14ac:dyDescent="0.25">
      <c r="A25" s="121" t="s">
        <v>192</v>
      </c>
      <c r="B25" s="121"/>
    </row>
    <row r="26" spans="1:2" hidden="1" x14ac:dyDescent="0.25">
      <c r="A26" s="121" t="s">
        <v>2</v>
      </c>
      <c r="B26" s="121"/>
    </row>
    <row r="27" spans="1:2" hidden="1" x14ac:dyDescent="0.25">
      <c r="A27" s="121" t="s">
        <v>3</v>
      </c>
      <c r="B27" s="121"/>
    </row>
    <row r="28" spans="1:2" hidden="1" x14ac:dyDescent="0.25">
      <c r="A28" s="121" t="s">
        <v>4</v>
      </c>
      <c r="B28" s="121"/>
    </row>
    <row r="29" spans="1:2" hidden="1" x14ac:dyDescent="0.25">
      <c r="A29" s="121" t="s">
        <v>5</v>
      </c>
      <c r="B29" s="121"/>
    </row>
    <row r="30" spans="1:2" hidden="1" x14ac:dyDescent="0.25">
      <c r="A30" s="121" t="s">
        <v>6</v>
      </c>
      <c r="B30" s="121"/>
    </row>
    <row r="31" spans="1:2" hidden="1" x14ac:dyDescent="0.25">
      <c r="A31" s="121" t="s">
        <v>7</v>
      </c>
      <c r="B31" s="121"/>
    </row>
    <row r="32" spans="1:2" ht="15.75" hidden="1" thickBot="1" x14ac:dyDescent="0.3">
      <c r="A32" s="121" t="s">
        <v>8</v>
      </c>
      <c r="B32" s="121"/>
    </row>
    <row r="33" spans="1:19" hidden="1" x14ac:dyDescent="0.25">
      <c r="A33" s="121" t="s">
        <v>9</v>
      </c>
      <c r="B33" s="121"/>
    </row>
    <row r="34" spans="1:19" ht="15.75" hidden="1" thickBot="1" x14ac:dyDescent="0.3">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lkqxfU8NCg9YypSZFA/DKQ1FnhnXEqs2pSNF8ruVmZp9NvQ1k5HZNNpBDDTEcNBvQPFTtRIKRDzJ+m9582ar7g==" saltValue="dBkXxXU1JQsB6xqt5yiDOA=="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25" sqref="F25"/>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8" width="8.7109375" customWidth="1"/>
    <col min="9" max="20" width="8.7109375" hidden="1" customWidth="1"/>
    <col min="21"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G9gQ8GVdJIgegMywgosbv3uJdnEs/nRY8WYwz6INTe+3gvfWqDRVPQDvUwh4VgMPncej0T97iQRd/4yodKFVLQ==" saltValue="/ec4DiLUs+JEOnN5j+Tyj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C8" sqref="C8"/>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277</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294</v>
      </c>
    </row>
    <row r="14" spans="1:4" ht="15.75" thickBot="1" x14ac:dyDescent="0.3">
      <c r="A14" s="48" t="s">
        <v>92</v>
      </c>
      <c r="B14" s="122" t="s">
        <v>294</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18" priority="3">
      <formula>IF($B$8="No",TRUE,FALSE)</formula>
    </cfRule>
  </conditionalFormatting>
  <conditionalFormatting sqref="B13">
    <cfRule type="expression" dxfId="17" priority="2">
      <formula>IF($B$12="Yes",TRUE,FALSE)</formula>
    </cfRule>
  </conditionalFormatting>
  <conditionalFormatting sqref="B14">
    <cfRule type="expression" dxfId="16"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Caseload 1</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5" sqref="C5"/>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ht="15.75" thickBot="1" x14ac:dyDescent="0.3">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hidden="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hidden="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hidden="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hidden="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hidden="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hidden="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hidden="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ht="15.75" hidden="1" thickBot="1" x14ac:dyDescent="0.3">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hidden="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ht="15.75" hidden="1" thickBot="1" x14ac:dyDescent="0.3">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hidden="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hidden="1"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l1jNCh4eRAteWzDuIaC0KTuQtZECWFD0x6WshB+ry7V6l89DLnTll+qVRVwU0K+ZCd6MM/VUiDq0CwO22JBwew==" saltValue="dhxlNsYDf8EJGf97Qtds9g=="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D6" sqref="D6:D10"/>
    </sheetView>
  </sheetViews>
  <sheetFormatPr defaultColWidth="0" defaultRowHeight="15" zeroHeight="1" x14ac:dyDescent="0.25"/>
  <cols>
    <col min="1" max="1" width="8.7109375" customWidth="1"/>
    <col min="2" max="2" width="18.5703125" bestFit="1" customWidth="1"/>
    <col min="3" max="3" width="23.28515625" customWidth="1"/>
    <col min="4" max="4" width="20.7109375" bestFit="1" customWidth="1"/>
    <col min="5" max="5" width="9.7109375" bestFit="1" customWidth="1"/>
    <col min="6" max="6" width="16.425781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25"/>
      <c r="B3" s="50" t="s">
        <v>184</v>
      </c>
      <c r="C3" s="134" t="s">
        <v>131</v>
      </c>
    </row>
    <row r="4" spans="1:10" ht="15.75" thickBot="1" x14ac:dyDescent="0.3"/>
    <row r="5" spans="1:10" ht="39" customHeight="1" thickBot="1" x14ac:dyDescent="0.3">
      <c r="B5" s="50" t="str">
        <f>Setup!B15</f>
        <v>Clusters</v>
      </c>
      <c r="C5" s="51" t="s">
        <v>43</v>
      </c>
      <c r="D5" s="51" t="s">
        <v>152</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c r="D6" s="136"/>
      <c r="E6" s="136"/>
      <c r="F6" s="137"/>
      <c r="G6" s="4" t="e">
        <f>INDEX('Data Validation (Hide)'!$K$2:$L$9,MATCH(Service!F6,'Data Validation (Hide)'!$K$2:$K$9,0),2)</f>
        <v>#N/A</v>
      </c>
      <c r="H6" s="70" t="str">
        <f>IFERROR((G6*D6)/E6,"")</f>
        <v/>
      </c>
      <c r="I6" s="201">
        <f>SUMIF($E$6:$E$10,1,$H$6:$H$10)</f>
        <v>0</v>
      </c>
      <c r="J6" s="204">
        <f>SUMIF($E$6:$E$10,"&gt;"&amp;1,$H$6:$H$10)</f>
        <v>0</v>
      </c>
    </row>
    <row r="7" spans="1:10" x14ac:dyDescent="0.25">
      <c r="B7" s="95" t="str" cm="1">
        <f t="array" ref="B7">INDEX('Data Validation (Hide)'!$B$2:$B$16,ROUNDUP(ROW(A2)/5,0),1)</f>
        <v>Caseload 1</v>
      </c>
      <c r="C7" s="138"/>
      <c r="D7" s="139"/>
      <c r="E7" s="139"/>
      <c r="F7" s="140"/>
      <c r="G7" s="18" t="e">
        <f>INDEX('Data Validation (Hide)'!$K$2:$L$9,MATCH(Service!F7,'Data Validation (Hide)'!$K$2:$K$9,0),2)</f>
        <v>#N/A</v>
      </c>
      <c r="H7" s="71" t="str">
        <f t="shared" ref="H7:H37" si="0">IFERROR((G7*D7)/E7,"")</f>
        <v/>
      </c>
      <c r="I7" s="202"/>
      <c r="J7" s="205"/>
    </row>
    <row r="8" spans="1:10" x14ac:dyDescent="0.25">
      <c r="B8" s="93" t="str" cm="1">
        <f t="array" ref="B8">INDEX('Data Validation (Hide)'!$B$2:$B$16,ROUNDUP(ROW(A3)/5,0),1)</f>
        <v>Caseload 1</v>
      </c>
      <c r="C8" s="138"/>
      <c r="D8" s="139"/>
      <c r="E8" s="139"/>
      <c r="F8" s="140"/>
      <c r="G8" s="5" t="e">
        <f>INDEX('Data Validation (Hide)'!$K$2:$L$9,MATCH(Service!F8,'Data Validation (Hide)'!$K$2:$K$9,0),2)</f>
        <v>#N/A</v>
      </c>
      <c r="H8" s="71" t="str">
        <f t="shared" si="0"/>
        <v/>
      </c>
      <c r="I8" s="202"/>
      <c r="J8" s="205"/>
    </row>
    <row r="9" spans="1:10" x14ac:dyDescent="0.25">
      <c r="B9" s="95" t="str" cm="1">
        <f t="array" ref="B9">INDEX('Data Validation (Hide)'!$B$2:$B$16,ROUNDUP(ROW(A4)/5,0),1)</f>
        <v>Caseload 1</v>
      </c>
      <c r="C9" s="138"/>
      <c r="D9" s="139"/>
      <c r="E9" s="139"/>
      <c r="F9" s="140"/>
      <c r="G9" s="5" t="e">
        <f>INDEX('Data Validation (Hide)'!$K$2:$L$9,MATCH(Service!F9,'Data Validation (Hide)'!$K$2:$K$9,0),2)</f>
        <v>#N/A</v>
      </c>
      <c r="H9" s="71" t="str">
        <f t="shared" si="0"/>
        <v/>
      </c>
      <c r="I9" s="202"/>
      <c r="J9" s="205"/>
    </row>
    <row r="10" spans="1:10" ht="15.75" thickBot="1" x14ac:dyDescent="0.3">
      <c r="B10" s="96" t="str" cm="1">
        <f t="array" ref="B10">INDEX('Data Validation (Hide)'!$B$2:$B$16,ROUNDUP(ROW(A5)/5,0),1)</f>
        <v>Caseload 1</v>
      </c>
      <c r="C10" s="141"/>
      <c r="D10" s="142"/>
      <c r="E10" s="142"/>
      <c r="F10" s="143"/>
      <c r="G10" s="9" t="e">
        <f>INDEX('Data Validation (Hide)'!$K$2:$L$9,MATCH(Service!F10,'Data Validation (Hide)'!$K$2:$K$9,0),2)</f>
        <v>#N/A</v>
      </c>
      <c r="H10" s="72" t="str">
        <f t="shared" si="0"/>
        <v/>
      </c>
      <c r="I10" s="203"/>
      <c r="J10" s="206"/>
    </row>
    <row r="11" spans="1:10" x14ac:dyDescent="0.25">
      <c r="B11" s="94" t="str" cm="1">
        <f t="array" ref="B11">INDEX('Data Validation (Hide)'!$B$2:$B$16,ROUNDUP(ROW(A6)/5,0),1)</f>
        <v>Caseload 2</v>
      </c>
      <c r="C11" s="135"/>
      <c r="D11" s="136"/>
      <c r="E11" s="136"/>
      <c r="F11" s="137"/>
      <c r="G11" s="4" t="e">
        <f>INDEX('Data Validation (Hide)'!$K$2:$L$9,MATCH(Service!F11,'Data Validation (Hide)'!$K$2:$K$9,0),2)</f>
        <v>#N/A</v>
      </c>
      <c r="H11" s="70" t="str">
        <f t="shared" si="0"/>
        <v/>
      </c>
      <c r="I11" s="201">
        <f>SUMIF($E$11:$E$15,1,$H$11:$H$15)</f>
        <v>0</v>
      </c>
      <c r="J11" s="201">
        <f>SUMIF($E$11:$E$15,"&gt;"&amp;1,$H$11:$H$15)</f>
        <v>0</v>
      </c>
    </row>
    <row r="12" spans="1:10" x14ac:dyDescent="0.25">
      <c r="B12" s="95" t="str" cm="1">
        <f t="array" ref="B12">INDEX('Data Validation (Hide)'!$B$2:$B$16,ROUNDUP(ROW(A7)/5,0),1)</f>
        <v>Caseload 2</v>
      </c>
      <c r="C12" s="138"/>
      <c r="D12" s="139"/>
      <c r="E12" s="139"/>
      <c r="F12" s="140"/>
      <c r="G12" s="5" t="e">
        <f>INDEX('Data Validation (Hide)'!$K$2:$L$9,MATCH(Service!F12,'Data Validation (Hide)'!$K$2:$K$9,0),2)</f>
        <v>#N/A</v>
      </c>
      <c r="H12" s="71" t="str">
        <f t="shared" si="0"/>
        <v/>
      </c>
      <c r="I12" s="202"/>
      <c r="J12" s="202"/>
    </row>
    <row r="13" spans="1:10" x14ac:dyDescent="0.25">
      <c r="B13" s="93" t="str" cm="1">
        <f t="array" ref="B13">INDEX('Data Validation (Hide)'!$B$2:$B$16,ROUNDUP(ROW(A8)/5,0),1)</f>
        <v>Caseload 2</v>
      </c>
      <c r="C13" s="138"/>
      <c r="D13" s="139"/>
      <c r="E13" s="139"/>
      <c r="F13" s="140"/>
      <c r="G13" s="5" t="e">
        <f>INDEX('Data Validation (Hide)'!$K$2:$L$9,MATCH(Service!F13,'Data Validation (Hide)'!$K$2:$K$9,0),2)</f>
        <v>#N/A</v>
      </c>
      <c r="H13" s="71" t="str">
        <f t="shared" si="0"/>
        <v/>
      </c>
      <c r="I13" s="202"/>
      <c r="J13" s="202"/>
    </row>
    <row r="14" spans="1:10" x14ac:dyDescent="0.25">
      <c r="B14" s="95" t="str" cm="1">
        <f t="array" ref="B14">INDEX('Data Validation (Hide)'!$B$2:$B$16,ROUNDUP(ROW(A9)/5,0),1)</f>
        <v>Caseload 2</v>
      </c>
      <c r="C14" s="138"/>
      <c r="D14" s="139"/>
      <c r="E14" s="139"/>
      <c r="F14" s="140"/>
      <c r="G14" s="5" t="e">
        <f>INDEX('Data Validation (Hide)'!$K$2:$L$9,MATCH(Service!F14,'Data Validation (Hide)'!$K$2:$K$9,0),2)</f>
        <v>#N/A</v>
      </c>
      <c r="H14" s="71" t="str">
        <f t="shared" si="0"/>
        <v/>
      </c>
      <c r="I14" s="202"/>
      <c r="J14" s="202"/>
    </row>
    <row r="15" spans="1:10" ht="15.75" thickBot="1" x14ac:dyDescent="0.3">
      <c r="B15" s="96" t="str" cm="1">
        <f t="array" ref="B15">INDEX('Data Validation (Hide)'!$B$2:$B$16,ROUNDUP(ROW(A10)/5,0),1)</f>
        <v>Caseload 2</v>
      </c>
      <c r="C15" s="141"/>
      <c r="D15" s="142"/>
      <c r="E15" s="142"/>
      <c r="F15" s="143"/>
      <c r="G15" s="9" t="e">
        <f>INDEX('Data Validation (Hide)'!$K$2:$L$9,MATCH(Service!F15,'Data Validation (Hide)'!$K$2:$K$9,0),2)</f>
        <v>#N/A</v>
      </c>
      <c r="H15" s="72" t="str">
        <f t="shared" si="0"/>
        <v/>
      </c>
      <c r="I15" s="203"/>
      <c r="J15" s="203"/>
    </row>
    <row r="16" spans="1:10" x14ac:dyDescent="0.25">
      <c r="B16" s="94" t="str" cm="1">
        <f t="array" ref="B16">INDEX('Data Validation (Hide)'!$B$2:$B$16,ROUNDUP(ROW(A11)/5,0),1)</f>
        <v>Caseload 3</v>
      </c>
      <c r="C16" s="135"/>
      <c r="D16" s="136"/>
      <c r="E16" s="136"/>
      <c r="F16" s="137"/>
      <c r="G16" s="4" t="e">
        <f>INDEX('Data Validation (Hide)'!$K$2:$L$9,MATCH(Service!F16,'Data Validation (Hide)'!$K$2:$K$9,0),2)</f>
        <v>#N/A</v>
      </c>
      <c r="H16" s="70" t="str">
        <f t="shared" si="0"/>
        <v/>
      </c>
      <c r="I16" s="201">
        <f>SUMIF($E$16:$E$20,1,$H$16:$H$20)</f>
        <v>0</v>
      </c>
      <c r="J16" s="201">
        <f>SUMIF($E$16:$E$20,"&gt;"&amp;1,$H$16:$H$20)</f>
        <v>0</v>
      </c>
    </row>
    <row r="17" spans="2:10" x14ac:dyDescent="0.25">
      <c r="B17" s="95" t="str" cm="1">
        <f t="array" ref="B17">INDEX('Data Validation (Hide)'!$B$2:$B$16,ROUNDUP(ROW(A12)/5,0),1)</f>
        <v>Caseload 3</v>
      </c>
      <c r="C17" s="138"/>
      <c r="D17" s="139"/>
      <c r="E17" s="139"/>
      <c r="F17" s="140"/>
      <c r="G17" s="5" t="e">
        <f>INDEX('Data Validation (Hide)'!$K$2:$L$9,MATCH(Service!F17,'Data Validation (Hide)'!$K$2:$K$9,0),2)</f>
        <v>#N/A</v>
      </c>
      <c r="H17" s="71" t="str">
        <f t="shared" si="0"/>
        <v/>
      </c>
      <c r="I17" s="202"/>
      <c r="J17" s="202"/>
    </row>
    <row r="18" spans="2:10" x14ac:dyDescent="0.25">
      <c r="B18" s="93" t="str" cm="1">
        <f t="array" ref="B18">INDEX('Data Validation (Hide)'!$B$2:$B$16,ROUNDUP(ROW(A13)/5,0),1)</f>
        <v>Caseload 3</v>
      </c>
      <c r="C18" s="138"/>
      <c r="D18" s="139"/>
      <c r="E18" s="139"/>
      <c r="F18" s="140"/>
      <c r="G18" s="5" t="e">
        <f>INDEX('Data Validation (Hide)'!$K$2:$L$9,MATCH(Service!F18,'Data Validation (Hide)'!$K$2:$K$9,0),2)</f>
        <v>#N/A</v>
      </c>
      <c r="H18" s="71" t="str">
        <f t="shared" si="0"/>
        <v/>
      </c>
      <c r="I18" s="202"/>
      <c r="J18" s="202"/>
    </row>
    <row r="19" spans="2:10" x14ac:dyDescent="0.25">
      <c r="B19" s="95" t="str" cm="1">
        <f t="array" ref="B19">INDEX('Data Validation (Hide)'!$B$2:$B$16,ROUNDUP(ROW(A14)/5,0),1)</f>
        <v>Caseload 3</v>
      </c>
      <c r="C19" s="138"/>
      <c r="D19" s="139"/>
      <c r="E19" s="139"/>
      <c r="F19" s="140"/>
      <c r="G19" s="5" t="e">
        <f>INDEX('Data Validation (Hide)'!$K$2:$L$9,MATCH(Service!F19,'Data Validation (Hide)'!$K$2:$K$9,0),2)</f>
        <v>#N/A</v>
      </c>
      <c r="H19" s="71" t="str">
        <f t="shared" si="0"/>
        <v/>
      </c>
      <c r="I19" s="202"/>
      <c r="J19" s="202"/>
    </row>
    <row r="20" spans="2:10" ht="15.75" thickBot="1" x14ac:dyDescent="0.3">
      <c r="B20" s="96" t="str" cm="1">
        <f t="array" ref="B20">INDEX('Data Validation (Hide)'!$B$2:$B$16,ROUNDUP(ROW(A15)/5,0),1)</f>
        <v>Caseload 3</v>
      </c>
      <c r="C20" s="141"/>
      <c r="D20" s="142"/>
      <c r="E20" s="142"/>
      <c r="F20" s="143"/>
      <c r="G20" s="9" t="e">
        <f>INDEX('Data Validation (Hide)'!$K$2:$L$9,MATCH(Service!F20,'Data Validation (Hide)'!$K$2:$K$9,0),2)</f>
        <v>#N/A</v>
      </c>
      <c r="H20" s="72" t="str">
        <f t="shared" si="0"/>
        <v/>
      </c>
      <c r="I20" s="203"/>
      <c r="J20" s="203"/>
    </row>
    <row r="21" spans="2:10" hidden="1" x14ac:dyDescent="0.25">
      <c r="B21" s="94" t="str" cm="1">
        <f t="array" ref="B21">INDEX('Data Validation (Hide)'!$B$2:$B$16,ROUNDUP(ROW(A16)/5,0),1)</f>
        <v>Caseload 4</v>
      </c>
      <c r="C21" s="135"/>
      <c r="D21" s="136"/>
      <c r="E21" s="136"/>
      <c r="F21" s="137"/>
      <c r="G21" s="4" t="e">
        <f>INDEX('Data Validation (Hide)'!$K$2:$L$9,MATCH(Service!F21,'Data Validation (Hide)'!$K$2:$K$9,0),2)</f>
        <v>#N/A</v>
      </c>
      <c r="H21" s="70" t="str">
        <f t="shared" si="0"/>
        <v/>
      </c>
      <c r="I21" s="201">
        <f>SUMIF($E$21:$E$25,1,$H$21:$H$25)</f>
        <v>0</v>
      </c>
      <c r="J21" s="201">
        <f>SUMIF($E$21:$E$25,"&gt;"&amp;1,$H$21:$H$25)</f>
        <v>0</v>
      </c>
    </row>
    <row r="22" spans="2:10" hidden="1" x14ac:dyDescent="0.25">
      <c r="B22" s="95" t="str" cm="1">
        <f t="array" ref="B22">INDEX('Data Validation (Hide)'!$B$2:$B$16,ROUNDUP(ROW(A17)/5,0),1)</f>
        <v>Caseload 4</v>
      </c>
      <c r="C22" s="138"/>
      <c r="D22" s="139"/>
      <c r="E22" s="139"/>
      <c r="F22" s="140"/>
      <c r="G22" s="5" t="e">
        <f>INDEX('Data Validation (Hide)'!$K$2:$L$9,MATCH(Service!F22,'Data Validation (Hide)'!$K$2:$K$9,0),2)</f>
        <v>#N/A</v>
      </c>
      <c r="H22" s="71" t="str">
        <f t="shared" si="0"/>
        <v/>
      </c>
      <c r="I22" s="202"/>
      <c r="J22" s="202"/>
    </row>
    <row r="23" spans="2:10" hidden="1" x14ac:dyDescent="0.25">
      <c r="B23" s="93" t="str" cm="1">
        <f t="array" ref="B23">INDEX('Data Validation (Hide)'!$B$2:$B$16,ROUNDUP(ROW(A18)/5,0),1)</f>
        <v>Caseload 4</v>
      </c>
      <c r="C23" s="138"/>
      <c r="D23" s="139"/>
      <c r="E23" s="139"/>
      <c r="F23" s="140"/>
      <c r="G23" s="5" t="e">
        <f>INDEX('Data Validation (Hide)'!$K$2:$L$9,MATCH(Service!F23,'Data Validation (Hide)'!$K$2:$K$9,0),2)</f>
        <v>#N/A</v>
      </c>
      <c r="H23" s="71" t="str">
        <f t="shared" si="0"/>
        <v/>
      </c>
      <c r="I23" s="202"/>
      <c r="J23" s="202"/>
    </row>
    <row r="24" spans="2:10" hidden="1" x14ac:dyDescent="0.25">
      <c r="B24" s="95" t="str" cm="1">
        <f t="array" ref="B24">INDEX('Data Validation (Hide)'!$B$2:$B$16,ROUNDUP(ROW(A19)/5,0),1)</f>
        <v>Caseload 4</v>
      </c>
      <c r="C24" s="138"/>
      <c r="D24" s="139"/>
      <c r="E24" s="139"/>
      <c r="F24" s="140"/>
      <c r="G24" s="5" t="e">
        <f>INDEX('Data Validation (Hide)'!$K$2:$L$9,MATCH(Service!F24,'Data Validation (Hide)'!$K$2:$K$9,0),2)</f>
        <v>#N/A</v>
      </c>
      <c r="H24" s="71" t="str">
        <f t="shared" si="0"/>
        <v/>
      </c>
      <c r="I24" s="202"/>
      <c r="J24" s="202"/>
    </row>
    <row r="25" spans="2:10" ht="15.75" hidden="1" thickBot="1" x14ac:dyDescent="0.3">
      <c r="B25" s="96" t="str" cm="1">
        <f t="array" ref="B25">INDEX('Data Validation (Hide)'!$B$2:$B$16,ROUNDUP(ROW(A20)/5,0),1)</f>
        <v>Caseload 4</v>
      </c>
      <c r="C25" s="141"/>
      <c r="D25" s="142"/>
      <c r="E25" s="142"/>
      <c r="F25" s="143"/>
      <c r="G25" s="9" t="e">
        <f>INDEX('Data Validation (Hide)'!$K$2:$L$9,MATCH(Service!F25,'Data Validation (Hide)'!$K$2:$K$9,0),2)</f>
        <v>#N/A</v>
      </c>
      <c r="H25" s="72" t="str">
        <f t="shared" si="0"/>
        <v/>
      </c>
      <c r="I25" s="203"/>
      <c r="J25" s="203"/>
    </row>
    <row r="26" spans="2:10" hidden="1" x14ac:dyDescent="0.25">
      <c r="B26" s="94" t="str" cm="1">
        <f t="array" ref="B26">INDEX('Data Validation (Hide)'!$B$2:$B$16,ROUNDUP(ROW(A21)/5,0),1)</f>
        <v>Caseload 5</v>
      </c>
      <c r="C26" s="135"/>
      <c r="D26" s="136"/>
      <c r="E26" s="136"/>
      <c r="F26" s="137"/>
      <c r="G26" s="4" t="e">
        <f>INDEX('Data Validation (Hide)'!$K$2:$L$9,MATCH(Service!F26,'Data Validation (Hide)'!$K$2:$K$9,0),2)</f>
        <v>#N/A</v>
      </c>
      <c r="H26" s="70" t="str">
        <f t="shared" si="0"/>
        <v/>
      </c>
      <c r="I26" s="201">
        <f>SUMIF($E$26:$E$30,1,$H$26:$H$30)</f>
        <v>0</v>
      </c>
      <c r="J26" s="201">
        <f>SUMIF($E$26:$E$30,"&gt;"&amp;1,$H$26:$H$30)</f>
        <v>0</v>
      </c>
    </row>
    <row r="27" spans="2:10" hidden="1" x14ac:dyDescent="0.25">
      <c r="B27" s="95" t="str" cm="1">
        <f t="array" ref="B27">INDEX('Data Validation (Hide)'!$B$2:$B$16,ROUNDUP(ROW(A22)/5,0),1)</f>
        <v>Caseload 5</v>
      </c>
      <c r="C27" s="138"/>
      <c r="D27" s="139"/>
      <c r="E27" s="139"/>
      <c r="F27" s="140"/>
      <c r="G27" s="5" t="e">
        <f>INDEX('Data Validation (Hide)'!$K$2:$L$9,MATCH(Service!F27,'Data Validation (Hide)'!$K$2:$K$9,0),2)</f>
        <v>#N/A</v>
      </c>
      <c r="H27" s="71" t="str">
        <f t="shared" si="0"/>
        <v/>
      </c>
      <c r="I27" s="202"/>
      <c r="J27" s="202"/>
    </row>
    <row r="28" spans="2:10" hidden="1" x14ac:dyDescent="0.25">
      <c r="B28" s="93" t="str" cm="1">
        <f t="array" ref="B28">INDEX('Data Validation (Hide)'!$B$2:$B$16,ROUNDUP(ROW(A23)/5,0),1)</f>
        <v>Caseload 5</v>
      </c>
      <c r="C28" s="138"/>
      <c r="D28" s="139"/>
      <c r="E28" s="139"/>
      <c r="F28" s="140"/>
      <c r="G28" s="5" t="e">
        <f>INDEX('Data Validation (Hide)'!$K$2:$L$9,MATCH(Service!F28,'Data Validation (Hide)'!$K$2:$K$9,0),2)</f>
        <v>#N/A</v>
      </c>
      <c r="H28" s="71" t="str">
        <f t="shared" si="0"/>
        <v/>
      </c>
      <c r="I28" s="202"/>
      <c r="J28" s="202"/>
    </row>
    <row r="29" spans="2:10" hidden="1" x14ac:dyDescent="0.25">
      <c r="B29" s="95" t="str" cm="1">
        <f t="array" ref="B29">INDEX('Data Validation (Hide)'!$B$2:$B$16,ROUNDUP(ROW(A24)/5,0),1)</f>
        <v>Caseload 5</v>
      </c>
      <c r="C29" s="138"/>
      <c r="D29" s="139"/>
      <c r="E29" s="139"/>
      <c r="F29" s="140"/>
      <c r="G29" s="5" t="e">
        <f>INDEX('Data Validation (Hide)'!$K$2:$L$9,MATCH(Service!F29,'Data Validation (Hide)'!$K$2:$K$9,0),2)</f>
        <v>#N/A</v>
      </c>
      <c r="H29" s="71" t="str">
        <f t="shared" si="0"/>
        <v/>
      </c>
      <c r="I29" s="202"/>
      <c r="J29" s="202"/>
    </row>
    <row r="30" spans="2:10" ht="15.75" hidden="1" thickBot="1" x14ac:dyDescent="0.3">
      <c r="B30" s="96" t="str" cm="1">
        <f t="array" ref="B30">INDEX('Data Validation (Hide)'!$B$2:$B$16,ROUNDUP(ROW(A25)/5,0),1)</f>
        <v>Caseload 5</v>
      </c>
      <c r="C30" s="141"/>
      <c r="D30" s="142"/>
      <c r="E30" s="142"/>
      <c r="F30" s="143"/>
      <c r="G30" s="9" t="e">
        <f>INDEX('Data Validation (Hide)'!$K$2:$L$9,MATCH(Service!F30,'Data Validation (Hide)'!$K$2:$K$9,0),2)</f>
        <v>#N/A</v>
      </c>
      <c r="H30" s="72" t="str">
        <f t="shared" si="0"/>
        <v/>
      </c>
      <c r="I30" s="203"/>
      <c r="J30" s="203"/>
    </row>
    <row r="31" spans="2:10" hidden="1" x14ac:dyDescent="0.25">
      <c r="B31" s="94" t="str" cm="1">
        <f t="array" ref="B31">INDEX('Data Validation (Hide)'!$B$2:$B$16,ROUNDUP(ROW(A26)/5,0),1)</f>
        <v>Caseload 6</v>
      </c>
      <c r="C31" s="135"/>
      <c r="D31" s="136"/>
      <c r="E31" s="136"/>
      <c r="F31" s="137"/>
      <c r="G31" s="4" t="e">
        <f>INDEX('Data Validation (Hide)'!$K$2:$L$9,MATCH(Service!F31,'Data Validation (Hide)'!$K$2:$K$8,0),2)</f>
        <v>#N/A</v>
      </c>
      <c r="H31" s="52" t="str">
        <f t="shared" si="0"/>
        <v/>
      </c>
      <c r="I31" s="198">
        <f>SUMIF($E$31:$E$35,1,$H$31:$H$35)</f>
        <v>0</v>
      </c>
      <c r="J31" s="198">
        <f>SUMIF($E$31:$E$35,"&gt;"&amp;1,$H$31:$H$35)</f>
        <v>0</v>
      </c>
    </row>
    <row r="32" spans="2:10" hidden="1" x14ac:dyDescent="0.25">
      <c r="B32" s="95" t="str" cm="1">
        <f t="array" ref="B32">INDEX('Data Validation (Hide)'!$B$2:$B$16,ROUNDUP(ROW(A27)/5,0),1)</f>
        <v>Caseload 6</v>
      </c>
      <c r="C32" s="138"/>
      <c r="D32" s="139"/>
      <c r="E32" s="139"/>
      <c r="F32" s="140"/>
      <c r="G32" s="5" t="e">
        <f>INDEX('Data Validation (Hide)'!$K$2:$L$9,MATCH(Service!F32,'Data Validation (Hide)'!$K$2:$K$8,0),2)</f>
        <v>#N/A</v>
      </c>
      <c r="H32" s="53" t="str">
        <f t="shared" si="0"/>
        <v/>
      </c>
      <c r="I32" s="199"/>
      <c r="J32" s="199"/>
    </row>
    <row r="33" spans="2:10" hidden="1" x14ac:dyDescent="0.25">
      <c r="B33" s="93" t="str" cm="1">
        <f t="array" ref="B33">INDEX('Data Validation (Hide)'!$B$2:$B$16,ROUNDUP(ROW(A28)/5,0),1)</f>
        <v>Caseload 6</v>
      </c>
      <c r="C33" s="138"/>
      <c r="D33" s="139"/>
      <c r="E33" s="139"/>
      <c r="F33" s="140"/>
      <c r="G33" s="5" t="e">
        <f>INDEX('Data Validation (Hide)'!$K$2:$L$9,MATCH(Service!F33,'Data Validation (Hide)'!$K$2:$K$8,0),2)</f>
        <v>#N/A</v>
      </c>
      <c r="H33" s="53" t="str">
        <f t="shared" si="0"/>
        <v/>
      </c>
      <c r="I33" s="199"/>
      <c r="J33" s="199"/>
    </row>
    <row r="34" spans="2:10" hidden="1" x14ac:dyDescent="0.25">
      <c r="B34" s="95" t="str" cm="1">
        <f t="array" ref="B34">INDEX('Data Validation (Hide)'!$B$2:$B$16,ROUNDUP(ROW(A29)/5,0),1)</f>
        <v>Caseload 6</v>
      </c>
      <c r="C34" s="138"/>
      <c r="D34" s="139"/>
      <c r="E34" s="139"/>
      <c r="F34" s="140"/>
      <c r="G34" s="5" t="e">
        <f>INDEX('Data Validation (Hide)'!$K$2:$L$9,MATCH(Service!F34,'Data Validation (Hide)'!$K$2:$K$8,0),2)</f>
        <v>#N/A</v>
      </c>
      <c r="H34" s="53" t="str">
        <f t="shared" si="0"/>
        <v/>
      </c>
      <c r="I34" s="199"/>
      <c r="J34" s="199"/>
    </row>
    <row r="35" spans="2:10" ht="15.75" hidden="1" thickBot="1" x14ac:dyDescent="0.3">
      <c r="B35" s="96" t="str" cm="1">
        <f t="array" ref="B35">INDEX('Data Validation (Hide)'!$B$2:$B$16,ROUNDUP(ROW(A30)/5,0),1)</f>
        <v>Caseload 6</v>
      </c>
      <c r="C35" s="141"/>
      <c r="D35" s="142"/>
      <c r="E35" s="142"/>
      <c r="F35" s="143"/>
      <c r="G35" s="9" t="e">
        <f>INDEX('Data Validation (Hide)'!$K$2:$L$9,MATCH(Service!F35,'Data Validation (Hide)'!$K$2:$K$8,0),2)</f>
        <v>#N/A</v>
      </c>
      <c r="H35" s="54" t="str">
        <f t="shared" si="0"/>
        <v/>
      </c>
      <c r="I35" s="200"/>
      <c r="J35" s="200"/>
    </row>
    <row r="36" spans="2:10" hidden="1" x14ac:dyDescent="0.25">
      <c r="B36" s="94" t="str" cm="1">
        <f t="array" ref="B36">INDEX('Data Validation (Hide)'!$B$2:$B$16,ROUNDUP(ROW(A31)/5,0),1)</f>
        <v>Caseload 7</v>
      </c>
      <c r="C36" s="135"/>
      <c r="D36" s="136"/>
      <c r="E36" s="136"/>
      <c r="F36" s="137"/>
      <c r="G36" s="4" t="e">
        <f>INDEX('Data Validation (Hide)'!$K$2:$L$9,MATCH(Service!F36,'Data Validation (Hide)'!$K$2:$K$8,0),2)</f>
        <v>#N/A</v>
      </c>
      <c r="H36" s="52" t="str">
        <f t="shared" si="0"/>
        <v/>
      </c>
      <c r="I36" s="198">
        <f>SUMIF($E$36:$E$40,1,$H$36:$H$40)</f>
        <v>0</v>
      </c>
      <c r="J36" s="198">
        <f>SUMIF($E$36:$E$40,"&gt;"&amp;1,$H$36:$H$40)</f>
        <v>0</v>
      </c>
    </row>
    <row r="37" spans="2:10" hidden="1" x14ac:dyDescent="0.25">
      <c r="B37" s="95" t="str" cm="1">
        <f t="array" ref="B37">INDEX('Data Validation (Hide)'!$B$2:$B$16,ROUNDUP(ROW(A32)/5,0),1)</f>
        <v>Caseload 7</v>
      </c>
      <c r="C37" s="138"/>
      <c r="D37" s="139"/>
      <c r="E37" s="139"/>
      <c r="F37" s="140"/>
      <c r="G37" s="5" t="e">
        <f>INDEX('Data Validation (Hide)'!$K$2:$L$9,MATCH(Service!F37,'Data Validation (Hide)'!$K$2:$K$8,0),2)</f>
        <v>#N/A</v>
      </c>
      <c r="H37" s="53" t="str">
        <f t="shared" si="0"/>
        <v/>
      </c>
      <c r="I37" s="199"/>
      <c r="J37" s="199"/>
    </row>
    <row r="38" spans="2:10" hidden="1" x14ac:dyDescent="0.25">
      <c r="B38" s="93" t="str" cm="1">
        <f t="array" ref="B38">INDEX('Data Validation (Hide)'!$B$2:$B$16,ROUNDUP(ROW(A33)/5,0),1)</f>
        <v>Caseload 7</v>
      </c>
      <c r="C38" s="138"/>
      <c r="D38" s="139"/>
      <c r="E38" s="139"/>
      <c r="F38" s="140"/>
      <c r="G38" s="5" t="e">
        <f>INDEX('Data Validation (Hide)'!$K$2:$L$9,MATCH(Service!F38,'Data Validation (Hide)'!$K$2:$K$8,0),2)</f>
        <v>#N/A</v>
      </c>
      <c r="H38" s="53" t="str">
        <f t="shared" ref="H38:H69" si="1">IFERROR((G38*D38)/E38,"")</f>
        <v/>
      </c>
      <c r="I38" s="199"/>
      <c r="J38" s="199"/>
    </row>
    <row r="39" spans="2:10" hidden="1" x14ac:dyDescent="0.25">
      <c r="B39" s="95" t="str" cm="1">
        <f t="array" ref="B39">INDEX('Data Validation (Hide)'!$B$2:$B$16,ROUNDUP(ROW(A34)/5,0),1)</f>
        <v>Caseload 7</v>
      </c>
      <c r="C39" s="138"/>
      <c r="D39" s="139"/>
      <c r="E39" s="139"/>
      <c r="F39" s="140"/>
      <c r="G39" s="5" t="e">
        <f>INDEX('Data Validation (Hide)'!$K$2:$L$9,MATCH(Service!F39,'Data Validation (Hide)'!$K$2:$K$8,0),2)</f>
        <v>#N/A</v>
      </c>
      <c r="H39" s="53" t="str">
        <f t="shared" si="1"/>
        <v/>
      </c>
      <c r="I39" s="199"/>
      <c r="J39" s="199"/>
    </row>
    <row r="40" spans="2:10" ht="15.75" hidden="1" thickBot="1" x14ac:dyDescent="0.3">
      <c r="B40" s="96" t="str" cm="1">
        <f t="array" ref="B40">INDEX('Data Validation (Hide)'!$B$2:$B$16,ROUNDUP(ROW(A35)/5,0),1)</f>
        <v>Caseload 7</v>
      </c>
      <c r="C40" s="141"/>
      <c r="D40" s="142"/>
      <c r="E40" s="142"/>
      <c r="F40" s="143"/>
      <c r="G40" s="9" t="e">
        <f>INDEX('Data Validation (Hide)'!$K$2:$L$9,MATCH(Service!F40,'Data Validation (Hide)'!$K$2:$K$8,0),2)</f>
        <v>#N/A</v>
      </c>
      <c r="H40" s="54" t="str">
        <f t="shared" si="1"/>
        <v/>
      </c>
      <c r="I40" s="200"/>
      <c r="J40" s="200"/>
    </row>
    <row r="41" spans="2:10" hidden="1" x14ac:dyDescent="0.25">
      <c r="B41" s="94" t="str" cm="1">
        <f t="array" ref="B41">INDEX('Data Validation (Hide)'!$B$2:$B$16,ROUNDUP(ROW(A36)/5,0),1)</f>
        <v>Caseload 8</v>
      </c>
      <c r="C41" s="135"/>
      <c r="D41" s="136"/>
      <c r="E41" s="136"/>
      <c r="F41" s="137"/>
      <c r="G41" s="4" t="e">
        <f>INDEX('Data Validation (Hide)'!$K$2:$L$9,MATCH(Service!F41,'Data Validation (Hide)'!$K$2:$K$8,0),2)</f>
        <v>#N/A</v>
      </c>
      <c r="H41" s="52" t="str">
        <f t="shared" si="1"/>
        <v/>
      </c>
      <c r="I41" s="198">
        <f>SUMIF($E$41:$E$45,1,$H$41:$H$45)</f>
        <v>0</v>
      </c>
      <c r="J41" s="198">
        <f>SUMIF($E$41:$E$45,"&gt;"&amp;1,$H$41:$H$45)</f>
        <v>0</v>
      </c>
    </row>
    <row r="42" spans="2:10" hidden="1" x14ac:dyDescent="0.25">
      <c r="B42" s="95" t="str" cm="1">
        <f t="array" ref="B42">INDEX('Data Validation (Hide)'!$B$2:$B$16,ROUNDUP(ROW(A37)/5,0),1)</f>
        <v>Caseload 8</v>
      </c>
      <c r="C42" s="138"/>
      <c r="D42" s="139"/>
      <c r="E42" s="139"/>
      <c r="F42" s="140"/>
      <c r="G42" s="5" t="e">
        <f>INDEX('Data Validation (Hide)'!$K$2:$L$9,MATCH(Service!F42,'Data Validation (Hide)'!$K$2:$K$8,0),2)</f>
        <v>#N/A</v>
      </c>
      <c r="H42" s="53" t="str">
        <f t="shared" si="1"/>
        <v/>
      </c>
      <c r="I42" s="199"/>
      <c r="J42" s="199"/>
    </row>
    <row r="43" spans="2:10" hidden="1" x14ac:dyDescent="0.25">
      <c r="B43" s="93" t="str" cm="1">
        <f t="array" ref="B43">INDEX('Data Validation (Hide)'!$B$2:$B$16,ROUNDUP(ROW(A38)/5,0),1)</f>
        <v>Caseload 8</v>
      </c>
      <c r="C43" s="138"/>
      <c r="D43" s="139"/>
      <c r="E43" s="139"/>
      <c r="F43" s="140"/>
      <c r="G43" s="5" t="e">
        <f>INDEX('Data Validation (Hide)'!$K$2:$L$9,MATCH(Service!F43,'Data Validation (Hide)'!$K$2:$K$8,0),2)</f>
        <v>#N/A</v>
      </c>
      <c r="H43" s="53" t="str">
        <f t="shared" si="1"/>
        <v/>
      </c>
      <c r="I43" s="199"/>
      <c r="J43" s="199"/>
    </row>
    <row r="44" spans="2:10" hidden="1" x14ac:dyDescent="0.25">
      <c r="B44" s="95" t="str" cm="1">
        <f t="array" ref="B44">INDEX('Data Validation (Hide)'!$B$2:$B$16,ROUNDUP(ROW(A39)/5,0),1)</f>
        <v>Caseload 8</v>
      </c>
      <c r="C44" s="138"/>
      <c r="D44" s="139"/>
      <c r="E44" s="139"/>
      <c r="F44" s="140"/>
      <c r="G44" s="5" t="e">
        <f>INDEX('Data Validation (Hide)'!$K$2:$L$9,MATCH(Service!F44,'Data Validation (Hide)'!$K$2:$K$8,0),2)</f>
        <v>#N/A</v>
      </c>
      <c r="H44" s="53" t="str">
        <f t="shared" si="1"/>
        <v/>
      </c>
      <c r="I44" s="199"/>
      <c r="J44" s="199"/>
    </row>
    <row r="45" spans="2:10" ht="15.75" hidden="1" thickBot="1" x14ac:dyDescent="0.3">
      <c r="B45" s="96" t="str" cm="1">
        <f t="array" ref="B45">INDEX('Data Validation (Hide)'!$B$2:$B$16,ROUNDUP(ROW(A40)/5,0),1)</f>
        <v>Caseload 8</v>
      </c>
      <c r="C45" s="141"/>
      <c r="D45" s="142"/>
      <c r="E45" s="142"/>
      <c r="F45" s="143"/>
      <c r="G45" s="9" t="e">
        <f>INDEX('Data Validation (Hide)'!$K$2:$L$9,MATCH(Service!F45,'Data Validation (Hide)'!$K$2:$K$8,0),2)</f>
        <v>#N/A</v>
      </c>
      <c r="H45" s="54" t="str">
        <f t="shared" si="1"/>
        <v/>
      </c>
      <c r="I45" s="200"/>
      <c r="J45" s="200"/>
    </row>
    <row r="46" spans="2:10" hidden="1" x14ac:dyDescent="0.25">
      <c r="B46" s="94" t="str" cm="1">
        <f t="array" ref="B46">INDEX('Data Validation (Hide)'!$B$2:$B$16,ROUNDUP(ROW(A41)/5,0),1)</f>
        <v>Caseload 9</v>
      </c>
      <c r="C46" s="135"/>
      <c r="D46" s="136"/>
      <c r="E46" s="136"/>
      <c r="F46" s="137"/>
      <c r="G46" s="4" t="e">
        <f>INDEX('Data Validation (Hide)'!$K$2:$L$9,MATCH(Service!F46,'Data Validation (Hide)'!$K$2:$K$8,0),2)</f>
        <v>#N/A</v>
      </c>
      <c r="H46" s="52" t="str">
        <f t="shared" si="1"/>
        <v/>
      </c>
      <c r="I46" s="198">
        <f>SUMIF($E$46:$E$50,1,$H$46:$H$50)</f>
        <v>0</v>
      </c>
      <c r="J46" s="198">
        <f>SUMIF($E$46:$E$50,"&gt;"&amp;1,$H$46:$H$50)</f>
        <v>0</v>
      </c>
    </row>
    <row r="47" spans="2:10" hidden="1" x14ac:dyDescent="0.25">
      <c r="B47" s="95" t="str" cm="1">
        <f t="array" ref="B47">INDEX('Data Validation (Hide)'!$B$2:$B$16,ROUNDUP(ROW(A42)/5,0),1)</f>
        <v>Caseload 9</v>
      </c>
      <c r="C47" s="138"/>
      <c r="D47" s="139"/>
      <c r="E47" s="139"/>
      <c r="F47" s="140"/>
      <c r="G47" s="5" t="e">
        <f>INDEX('Data Validation (Hide)'!$K$2:$L$9,MATCH(Service!F47,'Data Validation (Hide)'!$K$2:$K$8,0),2)</f>
        <v>#N/A</v>
      </c>
      <c r="H47" s="53" t="str">
        <f t="shared" si="1"/>
        <v/>
      </c>
      <c r="I47" s="199"/>
      <c r="J47" s="199"/>
    </row>
    <row r="48" spans="2:10" hidden="1" x14ac:dyDescent="0.25">
      <c r="B48" s="93" t="str" cm="1">
        <f t="array" ref="B48">INDEX('Data Validation (Hide)'!$B$2:$B$16,ROUNDUP(ROW(A43)/5,0),1)</f>
        <v>Caseload 9</v>
      </c>
      <c r="C48" s="138"/>
      <c r="D48" s="139"/>
      <c r="E48" s="139"/>
      <c r="F48" s="140"/>
      <c r="G48" s="5" t="e">
        <f>INDEX('Data Validation (Hide)'!$K$2:$L$9,MATCH(Service!F48,'Data Validation (Hide)'!$K$2:$K$8,0),2)</f>
        <v>#N/A</v>
      </c>
      <c r="H48" s="53" t="str">
        <f t="shared" si="1"/>
        <v/>
      </c>
      <c r="I48" s="199"/>
      <c r="J48" s="199"/>
    </row>
    <row r="49" spans="2:10" hidden="1" x14ac:dyDescent="0.25">
      <c r="B49" s="95" t="str" cm="1">
        <f t="array" ref="B49">INDEX('Data Validation (Hide)'!$B$2:$B$16,ROUNDUP(ROW(A44)/5,0),1)</f>
        <v>Caseload 9</v>
      </c>
      <c r="C49" s="138"/>
      <c r="D49" s="139"/>
      <c r="E49" s="139"/>
      <c r="F49" s="140"/>
      <c r="G49" s="5" t="e">
        <f>INDEX('Data Validation (Hide)'!$K$2:$L$9,MATCH(Service!F49,'Data Validation (Hide)'!$K$2:$K$8,0),2)</f>
        <v>#N/A</v>
      </c>
      <c r="H49" s="53" t="str">
        <f t="shared" si="1"/>
        <v/>
      </c>
      <c r="I49" s="199"/>
      <c r="J49" s="199"/>
    </row>
    <row r="50" spans="2:10" ht="15.75" hidden="1" thickBot="1" x14ac:dyDescent="0.3">
      <c r="B50" s="96" t="str" cm="1">
        <f t="array" ref="B50">INDEX('Data Validation (Hide)'!$B$2:$B$16,ROUNDUP(ROW(A45)/5,0),1)</f>
        <v>Caseload 9</v>
      </c>
      <c r="C50" s="141"/>
      <c r="D50" s="142"/>
      <c r="E50" s="142"/>
      <c r="F50" s="143"/>
      <c r="G50" s="9" t="e">
        <f>INDEX('Data Validation (Hide)'!$K$2:$L$9,MATCH(Service!F50,'Data Validation (Hide)'!$K$2:$K$8,0),2)</f>
        <v>#N/A</v>
      </c>
      <c r="H50" s="54" t="str">
        <f t="shared" si="1"/>
        <v/>
      </c>
      <c r="I50" s="200"/>
      <c r="J50" s="200"/>
    </row>
    <row r="51" spans="2:10" hidden="1" x14ac:dyDescent="0.25">
      <c r="B51" s="94" t="str" cm="1">
        <f t="array" ref="B51">INDEX('Data Validation (Hide)'!$B$2:$B$16,ROUNDUP(ROW(A46)/5,0),1)</f>
        <v>Caseload 10</v>
      </c>
      <c r="C51" s="135"/>
      <c r="D51" s="136"/>
      <c r="E51" s="136"/>
      <c r="F51" s="137"/>
      <c r="G51" s="4" t="e">
        <f>INDEX('Data Validation (Hide)'!$K$2:$L$9,MATCH(Service!F51,'Data Validation (Hide)'!$K$2:$K$8,0),2)</f>
        <v>#N/A</v>
      </c>
      <c r="H51" s="52" t="str">
        <f t="shared" si="1"/>
        <v/>
      </c>
      <c r="I51" s="198">
        <f>SUMIF($E$51:$E$55,1,$H$51:$H$55)</f>
        <v>0</v>
      </c>
      <c r="J51" s="198">
        <f>SUMIF($E$51:$E$55,"&gt;"&amp;1,$H$51:$H$55)</f>
        <v>0</v>
      </c>
    </row>
    <row r="52" spans="2:10" hidden="1" x14ac:dyDescent="0.25">
      <c r="B52" s="95" t="str" cm="1">
        <f t="array" ref="B52">INDEX('Data Validation (Hide)'!$B$2:$B$16,ROUNDUP(ROW(A47)/5,0),1)</f>
        <v>Caseload 10</v>
      </c>
      <c r="C52" s="138"/>
      <c r="D52" s="139"/>
      <c r="E52" s="139"/>
      <c r="F52" s="140"/>
      <c r="G52" s="5" t="e">
        <f>INDEX('Data Validation (Hide)'!$K$2:$L$9,MATCH(Service!F52,'Data Validation (Hide)'!$K$2:$K$8,0),2)</f>
        <v>#N/A</v>
      </c>
      <c r="H52" s="53" t="str">
        <f t="shared" si="1"/>
        <v/>
      </c>
      <c r="I52" s="199"/>
      <c r="J52" s="199"/>
    </row>
    <row r="53" spans="2:10" hidden="1" x14ac:dyDescent="0.25">
      <c r="B53" s="93" t="str" cm="1">
        <f t="array" ref="B53">INDEX('Data Validation (Hide)'!$B$2:$B$16,ROUNDUP(ROW(A48)/5,0),1)</f>
        <v>Caseload 10</v>
      </c>
      <c r="C53" s="138"/>
      <c r="D53" s="139"/>
      <c r="E53" s="139"/>
      <c r="F53" s="140"/>
      <c r="G53" s="5" t="e">
        <f>INDEX('Data Validation (Hide)'!$K$2:$L$9,MATCH(Service!F53,'Data Validation (Hide)'!$K$2:$K$8,0),2)</f>
        <v>#N/A</v>
      </c>
      <c r="H53" s="53" t="str">
        <f t="shared" si="1"/>
        <v/>
      </c>
      <c r="I53" s="199"/>
      <c r="J53" s="199"/>
    </row>
    <row r="54" spans="2:10" hidden="1" x14ac:dyDescent="0.25">
      <c r="B54" s="95" t="str" cm="1">
        <f t="array" ref="B54">INDEX('Data Validation (Hide)'!$B$2:$B$16,ROUNDUP(ROW(A49)/5,0),1)</f>
        <v>Caseload 10</v>
      </c>
      <c r="C54" s="138"/>
      <c r="D54" s="139"/>
      <c r="E54" s="139"/>
      <c r="F54" s="140"/>
      <c r="G54" s="5" t="e">
        <f>INDEX('Data Validation (Hide)'!$K$2:$L$9,MATCH(Service!F54,'Data Validation (Hide)'!$K$2:$K$8,0),2)</f>
        <v>#N/A</v>
      </c>
      <c r="H54" s="53" t="str">
        <f t="shared" si="1"/>
        <v/>
      </c>
      <c r="I54" s="199"/>
      <c r="J54" s="199"/>
    </row>
    <row r="55" spans="2:10" ht="15.75" hidden="1" thickBot="1" x14ac:dyDescent="0.3">
      <c r="B55" s="96" t="str" cm="1">
        <f t="array" ref="B55">INDEX('Data Validation (Hide)'!$B$2:$B$16,ROUNDUP(ROW(A50)/5,0),1)</f>
        <v>Caseload 10</v>
      </c>
      <c r="C55" s="141"/>
      <c r="D55" s="142"/>
      <c r="E55" s="142"/>
      <c r="F55" s="143"/>
      <c r="G55" s="9" t="e">
        <f>INDEX('Data Validation (Hide)'!$K$2:$L$9,MATCH(Service!F55,'Data Validation (Hide)'!$K$2:$K$8,0),2)</f>
        <v>#N/A</v>
      </c>
      <c r="H55" s="54" t="str">
        <f t="shared" si="1"/>
        <v/>
      </c>
      <c r="I55" s="200"/>
      <c r="J55" s="200"/>
    </row>
    <row r="56" spans="2:10" hidden="1" x14ac:dyDescent="0.25">
      <c r="B56" s="94" t="str" cm="1">
        <f t="array" ref="B56">INDEX('Data Validation (Hide)'!$B$2:$B$16,ROUNDUP(ROW(A51)/5,0),1)</f>
        <v>Caseload 11</v>
      </c>
      <c r="C56" s="135"/>
      <c r="D56" s="136"/>
      <c r="E56" s="136"/>
      <c r="F56" s="137"/>
      <c r="G56" s="4" t="e">
        <f>INDEX('Data Validation (Hide)'!$K$2:$L$9,MATCH(Service!F56,'Data Validation (Hide)'!$K$2:$K$8,0),2)</f>
        <v>#N/A</v>
      </c>
      <c r="H56" s="52" t="str">
        <f t="shared" si="1"/>
        <v/>
      </c>
      <c r="I56" s="198">
        <f>SUMIF($E$56:$E$60,1,$H$56:$H$60)</f>
        <v>0</v>
      </c>
      <c r="J56" s="198">
        <f>SUMIF($E$56:$E$60,"&gt;"&amp;1,$H$56:$H$60)</f>
        <v>0</v>
      </c>
    </row>
    <row r="57" spans="2:10" hidden="1" x14ac:dyDescent="0.25">
      <c r="B57" s="95" t="str" cm="1">
        <f t="array" ref="B57">INDEX('Data Validation (Hide)'!$B$2:$B$16,ROUNDUP(ROW(A52)/5,0),1)</f>
        <v>Caseload 11</v>
      </c>
      <c r="C57" s="138"/>
      <c r="D57" s="139"/>
      <c r="E57" s="139"/>
      <c r="F57" s="140"/>
      <c r="G57" s="5" t="e">
        <f>INDEX('Data Validation (Hide)'!$K$2:$L$9,MATCH(Service!F57,'Data Validation (Hide)'!$K$2:$K$8,0),2)</f>
        <v>#N/A</v>
      </c>
      <c r="H57" s="53" t="str">
        <f t="shared" si="1"/>
        <v/>
      </c>
      <c r="I57" s="199"/>
      <c r="J57" s="199"/>
    </row>
    <row r="58" spans="2:10" hidden="1" x14ac:dyDescent="0.25">
      <c r="B58" s="93" t="str" cm="1">
        <f t="array" ref="B58">INDEX('Data Validation (Hide)'!$B$2:$B$16,ROUNDUP(ROW(A53)/5,0),1)</f>
        <v>Caseload 11</v>
      </c>
      <c r="C58" s="138"/>
      <c r="D58" s="139"/>
      <c r="E58" s="139"/>
      <c r="F58" s="140"/>
      <c r="G58" s="5" t="e">
        <f>INDEX('Data Validation (Hide)'!$K$2:$L$9,MATCH(Service!F58,'Data Validation (Hide)'!$K$2:$K$8,0),2)</f>
        <v>#N/A</v>
      </c>
      <c r="H58" s="53" t="str">
        <f t="shared" si="1"/>
        <v/>
      </c>
      <c r="I58" s="199"/>
      <c r="J58" s="199"/>
    </row>
    <row r="59" spans="2:10" hidden="1" x14ac:dyDescent="0.25">
      <c r="B59" s="95" t="str" cm="1">
        <f t="array" ref="B59">INDEX('Data Validation (Hide)'!$B$2:$B$16,ROUNDUP(ROW(A54)/5,0),1)</f>
        <v>Caseload 11</v>
      </c>
      <c r="C59" s="138"/>
      <c r="D59" s="139"/>
      <c r="E59" s="139"/>
      <c r="F59" s="140"/>
      <c r="G59" s="5" t="e">
        <f>INDEX('Data Validation (Hide)'!$K$2:$L$9,MATCH(Service!F59,'Data Validation (Hide)'!$K$2:$K$8,0),2)</f>
        <v>#N/A</v>
      </c>
      <c r="H59" s="53" t="str">
        <f t="shared" si="1"/>
        <v/>
      </c>
      <c r="I59" s="199"/>
      <c r="J59" s="199"/>
    </row>
    <row r="60" spans="2:10" ht="15.75" hidden="1" thickBot="1" x14ac:dyDescent="0.3">
      <c r="B60" s="96" t="str" cm="1">
        <f t="array" ref="B60">INDEX('Data Validation (Hide)'!$B$2:$B$16,ROUNDUP(ROW(A55)/5,0),1)</f>
        <v>Caseload 11</v>
      </c>
      <c r="C60" s="141"/>
      <c r="D60" s="142"/>
      <c r="E60" s="142"/>
      <c r="F60" s="143"/>
      <c r="G60" s="9" t="e">
        <f>INDEX('Data Validation (Hide)'!$K$2:$L$9,MATCH(Service!F60,'Data Validation (Hide)'!$K$2:$K$8,0),2)</f>
        <v>#N/A</v>
      </c>
      <c r="H60" s="54" t="str">
        <f t="shared" si="1"/>
        <v/>
      </c>
      <c r="I60" s="200"/>
      <c r="J60" s="200"/>
    </row>
    <row r="61" spans="2:10" hidden="1" x14ac:dyDescent="0.25">
      <c r="B61" s="94" t="str" cm="1">
        <f t="array" ref="B61">INDEX('Data Validation (Hide)'!$B$2:$B$16,ROUNDUP(ROW(A56)/5,0),1)</f>
        <v>Caseload 12</v>
      </c>
      <c r="C61" s="135"/>
      <c r="D61" s="136"/>
      <c r="E61" s="136"/>
      <c r="F61" s="137"/>
      <c r="G61" s="4" t="e">
        <f>INDEX('Data Validation (Hide)'!$K$2:$L$9,MATCH(Service!F61,'Data Validation (Hide)'!$K$2:$K$8,0),2)</f>
        <v>#N/A</v>
      </c>
      <c r="H61" s="52" t="str">
        <f t="shared" si="1"/>
        <v/>
      </c>
      <c r="I61" s="198">
        <f>SUMIF($E$61:$E$65,1,$H$61:$H$65)</f>
        <v>0</v>
      </c>
      <c r="J61" s="198">
        <f>SUMIF($E$61:$E$65,"&gt;"&amp;1,$H$61:$H$65)</f>
        <v>0</v>
      </c>
    </row>
    <row r="62" spans="2:10" hidden="1" x14ac:dyDescent="0.25">
      <c r="B62" s="95" t="str" cm="1">
        <f t="array" ref="B62">INDEX('Data Validation (Hide)'!$B$2:$B$16,ROUNDUP(ROW(A57)/5,0),1)</f>
        <v>Caseload 12</v>
      </c>
      <c r="C62" s="138"/>
      <c r="D62" s="139"/>
      <c r="E62" s="139"/>
      <c r="F62" s="140"/>
      <c r="G62" s="5" t="e">
        <f>INDEX('Data Validation (Hide)'!$K$2:$L$9,MATCH(Service!F62,'Data Validation (Hide)'!$K$2:$K$8,0),2)</f>
        <v>#N/A</v>
      </c>
      <c r="H62" s="53" t="str">
        <f t="shared" si="1"/>
        <v/>
      </c>
      <c r="I62" s="199"/>
      <c r="J62" s="199"/>
    </row>
    <row r="63" spans="2:10" hidden="1" x14ac:dyDescent="0.25">
      <c r="B63" s="93" t="str" cm="1">
        <f t="array" ref="B63">INDEX('Data Validation (Hide)'!$B$2:$B$16,ROUNDUP(ROW(A58)/5,0),1)</f>
        <v>Caseload 12</v>
      </c>
      <c r="C63" s="138"/>
      <c r="D63" s="139"/>
      <c r="E63" s="139"/>
      <c r="F63" s="140"/>
      <c r="G63" s="5" t="e">
        <f>INDEX('Data Validation (Hide)'!$K$2:$L$9,MATCH(Service!F63,'Data Validation (Hide)'!$K$2:$K$8,0),2)</f>
        <v>#N/A</v>
      </c>
      <c r="H63" s="53" t="str">
        <f t="shared" si="1"/>
        <v/>
      </c>
      <c r="I63" s="199"/>
      <c r="J63" s="199"/>
    </row>
    <row r="64" spans="2:10" hidden="1" x14ac:dyDescent="0.25">
      <c r="B64" s="95" t="str" cm="1">
        <f t="array" ref="B64">INDEX('Data Validation (Hide)'!$B$2:$B$16,ROUNDUP(ROW(A59)/5,0),1)</f>
        <v>Caseload 12</v>
      </c>
      <c r="C64" s="138"/>
      <c r="D64" s="139"/>
      <c r="E64" s="139"/>
      <c r="F64" s="140"/>
      <c r="G64" s="5" t="e">
        <f>INDEX('Data Validation (Hide)'!$K$2:$L$9,MATCH(Service!F64,'Data Validation (Hide)'!$K$2:$K$8,0),2)</f>
        <v>#N/A</v>
      </c>
      <c r="H64" s="53" t="str">
        <f t="shared" si="1"/>
        <v/>
      </c>
      <c r="I64" s="199"/>
      <c r="J64" s="199"/>
    </row>
    <row r="65" spans="2:10" ht="15.75" hidden="1" thickBot="1" x14ac:dyDescent="0.3">
      <c r="B65" s="96" t="str" cm="1">
        <f t="array" ref="B65">INDEX('Data Validation (Hide)'!$B$2:$B$16,ROUNDUP(ROW(A60)/5,0),1)</f>
        <v>Caseload 12</v>
      </c>
      <c r="C65" s="141"/>
      <c r="D65" s="142"/>
      <c r="E65" s="142"/>
      <c r="F65" s="143"/>
      <c r="G65" s="9" t="e">
        <f>INDEX('Data Validation (Hide)'!$K$2:$L$9,MATCH(Service!F65,'Data Validation (Hide)'!$K$2:$K$8,0),2)</f>
        <v>#N/A</v>
      </c>
      <c r="H65" s="54" t="str">
        <f t="shared" si="1"/>
        <v/>
      </c>
      <c r="I65" s="200"/>
      <c r="J65" s="200"/>
    </row>
    <row r="66" spans="2:10" hidden="1" x14ac:dyDescent="0.25">
      <c r="B66" s="94" t="str" cm="1">
        <f t="array" ref="B66">INDEX('Data Validation (Hide)'!$B$2:$B$16,ROUNDUP(ROW(A61)/5,0),1)</f>
        <v>Caseload 13</v>
      </c>
      <c r="C66" s="135"/>
      <c r="D66" s="136"/>
      <c r="E66" s="136"/>
      <c r="F66" s="137"/>
      <c r="G66" s="4" t="e">
        <f>INDEX('Data Validation (Hide)'!$K$2:$L$9,MATCH(Service!F66,'Data Validation (Hide)'!$K$2:$K$8,0),2)</f>
        <v>#N/A</v>
      </c>
      <c r="H66" s="52" t="str">
        <f t="shared" si="1"/>
        <v/>
      </c>
      <c r="I66" s="198">
        <f>SUMIF($E$66:$E$70,1,$H$66:$H$70)</f>
        <v>0</v>
      </c>
      <c r="J66" s="198">
        <f>SUMIF($E$66:$E$70,"&gt;"&amp;1,$H$66:$H$70)</f>
        <v>0</v>
      </c>
    </row>
    <row r="67" spans="2:10" hidden="1" x14ac:dyDescent="0.25">
      <c r="B67" s="95" t="str" cm="1">
        <f t="array" ref="B67">INDEX('Data Validation (Hide)'!$B$2:$B$16,ROUNDUP(ROW(A62)/5,0),1)</f>
        <v>Caseload 13</v>
      </c>
      <c r="C67" s="138"/>
      <c r="D67" s="139"/>
      <c r="E67" s="139"/>
      <c r="F67" s="140"/>
      <c r="G67" s="5" t="e">
        <f>INDEX('Data Validation (Hide)'!$K$2:$L$9,MATCH(Service!F67,'Data Validation (Hide)'!$K$2:$K$8,0),2)</f>
        <v>#N/A</v>
      </c>
      <c r="H67" s="53" t="str">
        <f t="shared" si="1"/>
        <v/>
      </c>
      <c r="I67" s="199"/>
      <c r="J67" s="199"/>
    </row>
    <row r="68" spans="2:10" hidden="1" x14ac:dyDescent="0.25">
      <c r="B68" s="93" t="str" cm="1">
        <f t="array" ref="B68">INDEX('Data Validation (Hide)'!$B$2:$B$16,ROUNDUP(ROW(A63)/5,0),1)</f>
        <v>Caseload 13</v>
      </c>
      <c r="C68" s="138"/>
      <c r="D68" s="139"/>
      <c r="E68" s="139"/>
      <c r="F68" s="140"/>
      <c r="G68" s="5" t="e">
        <f>INDEX('Data Validation (Hide)'!$K$2:$L$9,MATCH(Service!F68,'Data Validation (Hide)'!$K$2:$K$8,0),2)</f>
        <v>#N/A</v>
      </c>
      <c r="H68" s="53" t="str">
        <f t="shared" si="1"/>
        <v/>
      </c>
      <c r="I68" s="199"/>
      <c r="J68" s="199"/>
    </row>
    <row r="69" spans="2:10" hidden="1" x14ac:dyDescent="0.25">
      <c r="B69" s="95" t="str" cm="1">
        <f t="array" ref="B69">INDEX('Data Validation (Hide)'!$B$2:$B$16,ROUNDUP(ROW(A64)/5,0),1)</f>
        <v>Caseload 13</v>
      </c>
      <c r="C69" s="138"/>
      <c r="D69" s="139"/>
      <c r="E69" s="139"/>
      <c r="F69" s="140"/>
      <c r="G69" s="5" t="e">
        <f>INDEX('Data Validation (Hide)'!$K$2:$L$9,MATCH(Service!F69,'Data Validation (Hide)'!$K$2:$K$8,0),2)</f>
        <v>#N/A</v>
      </c>
      <c r="H69" s="53" t="str">
        <f t="shared" si="1"/>
        <v/>
      </c>
      <c r="I69" s="199"/>
      <c r="J69" s="199"/>
    </row>
    <row r="70" spans="2:10" ht="15.75" hidden="1" thickBot="1" x14ac:dyDescent="0.3">
      <c r="B70" s="96" t="str" cm="1">
        <f t="array" ref="B70">INDEX('Data Validation (Hide)'!$B$2:$B$16,ROUNDUP(ROW(A65)/5,0),1)</f>
        <v>Caseload 13</v>
      </c>
      <c r="C70" s="141"/>
      <c r="D70" s="142"/>
      <c r="E70" s="142"/>
      <c r="F70" s="143"/>
      <c r="G70" s="9" t="e">
        <f>INDEX('Data Validation (Hide)'!$K$2:$L$9,MATCH(Service!F70,'Data Validation (Hide)'!$K$2:$K$8,0),2)</f>
        <v>#N/A</v>
      </c>
      <c r="H70" s="54" t="str">
        <f t="shared" ref="H70:H80" si="2">IFERROR((G70*D70)/E70,"")</f>
        <v/>
      </c>
      <c r="I70" s="200"/>
      <c r="J70" s="200"/>
    </row>
    <row r="71" spans="2:10" hidden="1" x14ac:dyDescent="0.25">
      <c r="B71" s="94" t="str" cm="1">
        <f t="array" ref="B71">INDEX('Data Validation (Hide)'!$B$2:$B$16,ROUNDUP(ROW(A66)/5,0),1)</f>
        <v>Caseload 14</v>
      </c>
      <c r="C71" s="135"/>
      <c r="D71" s="136"/>
      <c r="E71" s="136"/>
      <c r="F71" s="137"/>
      <c r="G71" s="4" t="e">
        <f>INDEX('Data Validation (Hide)'!$K$2:$L$9,MATCH(Service!F71,'Data Validation (Hide)'!$K$2:$K$8,0),2)</f>
        <v>#N/A</v>
      </c>
      <c r="H71" s="52" t="str">
        <f t="shared" si="2"/>
        <v/>
      </c>
      <c r="I71" s="198">
        <f>SUMIF($E$71:$E$75,1,$H$71:$H$75)</f>
        <v>0</v>
      </c>
      <c r="J71" s="198">
        <f>SUMIF($E$71:$E$75,"&gt;"&amp;1,$H$71:$H$75)</f>
        <v>0</v>
      </c>
    </row>
    <row r="72" spans="2:10" hidden="1" x14ac:dyDescent="0.25">
      <c r="B72" s="95" t="str" cm="1">
        <f t="array" ref="B72">INDEX('Data Validation (Hide)'!$B$2:$B$16,ROUNDUP(ROW(A67)/5,0),1)</f>
        <v>Caseload 14</v>
      </c>
      <c r="C72" s="138"/>
      <c r="D72" s="139"/>
      <c r="E72" s="139"/>
      <c r="F72" s="140"/>
      <c r="G72" s="5" t="e">
        <f>INDEX('Data Validation (Hide)'!$K$2:$L$9,MATCH(Service!F72,'Data Validation (Hide)'!$K$2:$K$8,0),2)</f>
        <v>#N/A</v>
      </c>
      <c r="H72" s="53" t="str">
        <f t="shared" si="2"/>
        <v/>
      </c>
      <c r="I72" s="199"/>
      <c r="J72" s="199"/>
    </row>
    <row r="73" spans="2:10" hidden="1" x14ac:dyDescent="0.25">
      <c r="B73" s="93" t="str" cm="1">
        <f t="array" ref="B73">INDEX('Data Validation (Hide)'!$B$2:$B$16,ROUNDUP(ROW(A68)/5,0),1)</f>
        <v>Caseload 14</v>
      </c>
      <c r="C73" s="138"/>
      <c r="D73" s="139"/>
      <c r="E73" s="139"/>
      <c r="F73" s="140"/>
      <c r="G73" s="5" t="e">
        <f>INDEX('Data Validation (Hide)'!$K$2:$L$9,MATCH(Service!F73,'Data Validation (Hide)'!$K$2:$K$8,0),2)</f>
        <v>#N/A</v>
      </c>
      <c r="H73" s="53" t="str">
        <f t="shared" si="2"/>
        <v/>
      </c>
      <c r="I73" s="199"/>
      <c r="J73" s="199"/>
    </row>
    <row r="74" spans="2:10" hidden="1" x14ac:dyDescent="0.25">
      <c r="B74" s="95" t="str" cm="1">
        <f t="array" ref="B74">INDEX('Data Validation (Hide)'!$B$2:$B$16,ROUNDUP(ROW(A69)/5,0),1)</f>
        <v>Caseload 14</v>
      </c>
      <c r="C74" s="138"/>
      <c r="D74" s="139"/>
      <c r="E74" s="139"/>
      <c r="F74" s="140"/>
      <c r="G74" s="5" t="e">
        <f>INDEX('Data Validation (Hide)'!$K$2:$L$9,MATCH(Service!F74,'Data Validation (Hide)'!$K$2:$K$8,0),2)</f>
        <v>#N/A</v>
      </c>
      <c r="H74" s="53" t="str">
        <f t="shared" si="2"/>
        <v/>
      </c>
      <c r="I74" s="199"/>
      <c r="J74" s="199"/>
    </row>
    <row r="75" spans="2:10" ht="15.75" hidden="1" thickBot="1" x14ac:dyDescent="0.3">
      <c r="B75" s="96" t="str" cm="1">
        <f t="array" ref="B75">INDEX('Data Validation (Hide)'!$B$2:$B$16,ROUNDUP(ROW(A70)/5,0),1)</f>
        <v>Caseload 14</v>
      </c>
      <c r="C75" s="141"/>
      <c r="D75" s="142"/>
      <c r="E75" s="142"/>
      <c r="F75" s="143"/>
      <c r="G75" s="9" t="e">
        <f>INDEX('Data Validation (Hide)'!$K$2:$L$9,MATCH(Service!F75,'Data Validation (Hide)'!$K$2:$K$8,0),2)</f>
        <v>#N/A</v>
      </c>
      <c r="H75" s="54" t="str">
        <f t="shared" si="2"/>
        <v/>
      </c>
      <c r="I75" s="200"/>
      <c r="J75" s="200"/>
    </row>
    <row r="76" spans="2:10" hidden="1" x14ac:dyDescent="0.25">
      <c r="B76" s="94" t="str" cm="1">
        <f t="array" ref="B76">INDEX('Data Validation (Hide)'!$B$2:$B$16,ROUNDUP(ROW(A71)/5,0),1)</f>
        <v>Caseload 15</v>
      </c>
      <c r="C76" s="135"/>
      <c r="D76" s="136"/>
      <c r="E76" s="136"/>
      <c r="F76" s="137"/>
      <c r="G76" s="4" t="e">
        <f>INDEX('Data Validation (Hide)'!$K$2:$L$9,MATCH(Service!F76,'Data Validation (Hide)'!$K$2:$K$8,0),2)</f>
        <v>#N/A</v>
      </c>
      <c r="H76" s="52" t="str">
        <f t="shared" si="2"/>
        <v/>
      </c>
      <c r="I76" s="198">
        <f>SUMIF($E$76:$E$80,1,$H$76:$H$80)</f>
        <v>0</v>
      </c>
      <c r="J76" s="198">
        <f>SUMIF($E$76:$E$80,"&gt;"&amp;1,$H$76:$H$80)</f>
        <v>0</v>
      </c>
    </row>
    <row r="77" spans="2:10" hidden="1" x14ac:dyDescent="0.25">
      <c r="B77" s="95" t="str" cm="1">
        <f t="array" ref="B77">INDEX('Data Validation (Hide)'!$B$2:$B$16,ROUNDUP(ROW(A72)/5,0),1)</f>
        <v>Caseload 15</v>
      </c>
      <c r="C77" s="138"/>
      <c r="D77" s="139"/>
      <c r="E77" s="139"/>
      <c r="F77" s="140"/>
      <c r="G77" s="5" t="e">
        <f>INDEX('Data Validation (Hide)'!$K$2:$L$9,MATCH(Service!F77,'Data Validation (Hide)'!$K$2:$K$8,0),2)</f>
        <v>#N/A</v>
      </c>
      <c r="H77" s="53" t="str">
        <f t="shared" si="2"/>
        <v/>
      </c>
      <c r="I77" s="199"/>
      <c r="J77" s="199"/>
    </row>
    <row r="78" spans="2:10" hidden="1" x14ac:dyDescent="0.25">
      <c r="B78" s="93" t="str" cm="1">
        <f t="array" ref="B78">INDEX('Data Validation (Hide)'!$B$2:$B$16,ROUNDUP(ROW(A73)/5,0),1)</f>
        <v>Caseload 15</v>
      </c>
      <c r="C78" s="138"/>
      <c r="D78" s="139"/>
      <c r="E78" s="139"/>
      <c r="F78" s="140"/>
      <c r="G78" s="5" t="e">
        <f>INDEX('Data Validation (Hide)'!$K$2:$L$9,MATCH(Service!F78,'Data Validation (Hide)'!$K$2:$K$8,0),2)</f>
        <v>#N/A</v>
      </c>
      <c r="H78" s="53" t="str">
        <f t="shared" si="2"/>
        <v/>
      </c>
      <c r="I78" s="199"/>
      <c r="J78" s="199"/>
    </row>
    <row r="79" spans="2:10" hidden="1" x14ac:dyDescent="0.25">
      <c r="B79" s="95" t="str" cm="1">
        <f t="array" ref="B79">INDEX('Data Validation (Hide)'!$B$2:$B$16,ROUNDUP(ROW(A74)/5,0),1)</f>
        <v>Caseload 15</v>
      </c>
      <c r="C79" s="138"/>
      <c r="D79" s="139"/>
      <c r="E79" s="139"/>
      <c r="F79" s="140"/>
      <c r="G79" s="5" t="e">
        <f>INDEX('Data Validation (Hide)'!$K$2:$L$9,MATCH(Service!F79,'Data Validation (Hide)'!$K$2:$K$8,0),2)</f>
        <v>#N/A</v>
      </c>
      <c r="H79" s="53" t="str">
        <f t="shared" si="2"/>
        <v/>
      </c>
      <c r="I79" s="199"/>
      <c r="J79" s="199"/>
    </row>
    <row r="80" spans="2:10" ht="15.75" hidden="1" thickBot="1" x14ac:dyDescent="0.3">
      <c r="B80" s="96" t="str" cm="1">
        <f t="array" ref="B80">INDEX('Data Validation (Hide)'!$B$2:$B$16,ROUNDUP(ROW(A75)/5,0),1)</f>
        <v>Caseload 15</v>
      </c>
      <c r="C80" s="141"/>
      <c r="D80" s="142"/>
      <c r="E80" s="142"/>
      <c r="F80" s="143"/>
      <c r="G80" s="9" t="e">
        <f>INDEX('Data Validation (Hide)'!$K$2:$L$9,MATCH(Service!F80,'Data Validation (Hide)'!$K$2:$K$8,0),2)</f>
        <v>#N/A</v>
      </c>
      <c r="H80" s="54" t="str">
        <f t="shared" si="2"/>
        <v/>
      </c>
      <c r="I80" s="200"/>
      <c r="J80" s="200"/>
    </row>
    <row r="81" spans="5:10" x14ac:dyDescent="0.25">
      <c r="E81" s="29"/>
      <c r="H81" s="29"/>
      <c r="I81" s="29"/>
      <c r="J81" s="29"/>
    </row>
  </sheetData>
  <sheetProtection algorithmName="SHA-512" hashValue="JOmgbrS/kafkiyuGx43kErwxVQ1BWnarFWAhMeeaJpfFbqZnbf5vVLoeCUNAH6NY8bXKEvmkviBeJUCL7JfyyA==" saltValue="VLJWJJK12TPoTXRCR6uvSA==" spinCount="100000" sheet="1" objects="1" scenarios="1"/>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0</v>
      </c>
      <c r="H5" s="3">
        <f>INDEX($B$5:$C$19,MATCH(F$1,$A$5:$A$19,0),1)*H$3</f>
        <v>0</v>
      </c>
      <c r="I5" s="15">
        <f>INDEX($B$5:$C$19,MATCH(F$1,$A$5:$A$19,0),2)*I$3</f>
        <v>0</v>
      </c>
      <c r="J5" s="5">
        <f>SUMIF(F$4:I$4,J$4,F5:I5)</f>
        <v>0</v>
      </c>
      <c r="K5" s="6">
        <f>SUMIF(F$4:I$4,K$4,F5:I5)</f>
        <v>0</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0</v>
      </c>
      <c r="CT5" s="7">
        <f>SUMIFS($F5:$CQ5,$F$2:$CQ$2,CT$2,$F$4:$CQ$4,CT$4)</f>
        <v>0</v>
      </c>
      <c r="CU5" s="7">
        <f>SUMIFS($F5:$CQ5,$F$2:$CQ$2,CU$2,$F$4:$CQ$4,CU$4)</f>
        <v>0</v>
      </c>
      <c r="CV5" s="5">
        <f>SUM(CR5,CT5)</f>
        <v>0</v>
      </c>
      <c r="CW5" s="6">
        <f>SUM(CS5,CU5)</f>
        <v>0</v>
      </c>
      <c r="CY5" s="7">
        <f t="array" ref="CY5:CY56">Summary_LowerBound</f>
        <v>0</v>
      </c>
      <c r="CZ5" s="5">
        <f t="array" ref="CZ5">Summary_UpperBound</f>
        <v>0</v>
      </c>
      <c r="DA5" s="6">
        <f>IF(ROUND(CZ5-CY5,0)=0,1/IF(Summary!$B$7="minutes",1,60),CZ5-CY5)</f>
        <v>1.6666666666666666E-2</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0</v>
      </c>
      <c r="H6" s="7">
        <f t="shared" ref="H6:H56" si="2">INDEX($B$5:$C$19,MATCH(F$1,$A$5:$A$19,0),1)*H$3</f>
        <v>0</v>
      </c>
      <c r="I6" s="6">
        <f t="shared" ref="I6:I56" si="3">INDEX($B$5:$C$19,MATCH(F$1,$A$5:$A$19,0),2)*I$3</f>
        <v>0</v>
      </c>
      <c r="J6" s="5">
        <f t="shared" ref="J6:J56" si="4">SUMIF(F$4:I$4,J$4,F6:I6)</f>
        <v>0</v>
      </c>
      <c r="K6" s="6">
        <f t="shared" ref="K6:K56" si="5">SUMIF(F$4:I$4,K$4,F6:I6)</f>
        <v>0</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0</v>
      </c>
      <c r="CT6" s="7">
        <f t="shared" si="90"/>
        <v>0</v>
      </c>
      <c r="CU6" s="7">
        <f t="shared" si="90"/>
        <v>0</v>
      </c>
      <c r="CV6" s="5">
        <f t="shared" ref="CV6:CV56" si="91">SUM(CR6,CT6)</f>
        <v>0</v>
      </c>
      <c r="CW6" s="6">
        <f t="shared" ref="CW6:CW56" si="92">SUM(CS6,CU6)</f>
        <v>0</v>
      </c>
      <c r="CY6" s="7">
        <v>0</v>
      </c>
      <c r="CZ6" s="5">
        <f t="array" ref="CZ6">Summary_UpperBound</f>
        <v>0</v>
      </c>
      <c r="DA6" s="6">
        <f>IF(ROUND(CZ6-CY6,0)=0,1/IF(Summary!$B$7="minutes",1,60),CZ6-CY6)</f>
        <v>1.6666666666666666E-2</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0</v>
      </c>
      <c r="H7" s="7">
        <f t="shared" si="2"/>
        <v>0</v>
      </c>
      <c r="I7" s="6">
        <f t="shared" si="3"/>
        <v>0</v>
      </c>
      <c r="J7" s="5">
        <f t="shared" si="4"/>
        <v>0</v>
      </c>
      <c r="K7" s="6">
        <f t="shared" si="5"/>
        <v>0</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0</v>
      </c>
      <c r="CT7" s="7">
        <f t="shared" si="90"/>
        <v>0</v>
      </c>
      <c r="CU7" s="7">
        <f t="shared" si="90"/>
        <v>0</v>
      </c>
      <c r="CV7" s="5">
        <f t="shared" si="91"/>
        <v>0</v>
      </c>
      <c r="CW7" s="6">
        <f t="shared" si="92"/>
        <v>0</v>
      </c>
      <c r="CY7" s="7">
        <v>0</v>
      </c>
      <c r="CZ7" s="5">
        <f t="array" ref="CZ7">Summary_UpperBound</f>
        <v>0</v>
      </c>
      <c r="DA7" s="6">
        <f>IF(ROUND(CZ7-CY7,0)=0,1/IF(Summary!$B$7="minutes",1,60),CZ7-CY7)</f>
        <v>1.6666666666666666E-2</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0</v>
      </c>
      <c r="H8" s="7">
        <f t="shared" si="2"/>
        <v>0</v>
      </c>
      <c r="I8" s="6">
        <f t="shared" si="3"/>
        <v>0</v>
      </c>
      <c r="J8" s="5">
        <f t="shared" si="4"/>
        <v>0</v>
      </c>
      <c r="K8" s="6">
        <f t="shared" si="5"/>
        <v>0</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0</v>
      </c>
      <c r="CT8" s="7">
        <f t="shared" si="90"/>
        <v>0</v>
      </c>
      <c r="CU8" s="7">
        <f t="shared" si="90"/>
        <v>0</v>
      </c>
      <c r="CV8" s="5">
        <f t="shared" si="91"/>
        <v>0</v>
      </c>
      <c r="CW8" s="6">
        <f t="shared" si="92"/>
        <v>0</v>
      </c>
      <c r="CY8" s="7">
        <v>0</v>
      </c>
      <c r="CZ8" s="5">
        <f t="array" ref="CZ8">Summary_UpperBound</f>
        <v>0</v>
      </c>
      <c r="DA8" s="6">
        <f>IF(ROUND(CZ8-CY8,0)=0,1/IF(Summary!$B$7="minutes",1,60),CZ8-CY8)</f>
        <v>1.6666666666666666E-2</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0</v>
      </c>
      <c r="H9" s="7">
        <f t="shared" si="2"/>
        <v>0</v>
      </c>
      <c r="I9" s="6">
        <f t="shared" si="3"/>
        <v>0</v>
      </c>
      <c r="J9" s="5">
        <f t="shared" si="4"/>
        <v>0</v>
      </c>
      <c r="K9" s="6">
        <f t="shared" si="5"/>
        <v>0</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0</v>
      </c>
      <c r="CT9" s="7">
        <f t="shared" si="90"/>
        <v>0</v>
      </c>
      <c r="CU9" s="7">
        <f t="shared" si="90"/>
        <v>0</v>
      </c>
      <c r="CV9" s="5">
        <f t="shared" si="91"/>
        <v>0</v>
      </c>
      <c r="CW9" s="6">
        <f t="shared" si="92"/>
        <v>0</v>
      </c>
      <c r="CY9" s="7">
        <v>0</v>
      </c>
      <c r="CZ9" s="5">
        <f t="array" ref="CZ9">Summary_UpperBound</f>
        <v>0</v>
      </c>
      <c r="DA9" s="6">
        <f>IF(ROUND(CZ9-CY9,0)=0,1/IF(Summary!$B$7="minutes",1,60),CZ9-CY9)</f>
        <v>1.6666666666666666E-2</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0</v>
      </c>
      <c r="H10" s="7">
        <f t="shared" si="2"/>
        <v>0</v>
      </c>
      <c r="I10" s="6">
        <f t="shared" si="3"/>
        <v>0</v>
      </c>
      <c r="J10" s="5">
        <f t="shared" si="4"/>
        <v>0</v>
      </c>
      <c r="K10" s="6">
        <f t="shared" si="5"/>
        <v>0</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0</v>
      </c>
      <c r="CT10" s="7">
        <f t="shared" si="90"/>
        <v>0</v>
      </c>
      <c r="CU10" s="7">
        <f t="shared" si="90"/>
        <v>0</v>
      </c>
      <c r="CV10" s="5">
        <f t="shared" si="91"/>
        <v>0</v>
      </c>
      <c r="CW10" s="6">
        <f t="shared" si="92"/>
        <v>0</v>
      </c>
      <c r="CY10" s="7">
        <v>0</v>
      </c>
      <c r="CZ10" s="5">
        <f t="array" ref="CZ10">Summary_UpperBound</f>
        <v>0</v>
      </c>
      <c r="DA10" s="6">
        <f>IF(ROUND(CZ10-CY10,0)=0,1/IF(Summary!$B$7="minutes",1,60),CZ10-CY10)</f>
        <v>1.6666666666666666E-2</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0</v>
      </c>
      <c r="H11" s="7">
        <f t="shared" si="2"/>
        <v>0</v>
      </c>
      <c r="I11" s="6">
        <f t="shared" si="3"/>
        <v>0</v>
      </c>
      <c r="J11" s="5">
        <f t="shared" si="4"/>
        <v>0</v>
      </c>
      <c r="K11" s="6">
        <f t="shared" si="5"/>
        <v>0</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0</v>
      </c>
      <c r="CT11" s="7">
        <f t="shared" si="90"/>
        <v>0</v>
      </c>
      <c r="CU11" s="7">
        <f t="shared" si="90"/>
        <v>0</v>
      </c>
      <c r="CV11" s="5">
        <f t="shared" si="91"/>
        <v>0</v>
      </c>
      <c r="CW11" s="6">
        <f t="shared" si="92"/>
        <v>0</v>
      </c>
      <c r="CY11" s="7">
        <v>0</v>
      </c>
      <c r="CZ11" s="5">
        <f t="array" ref="CZ11">Summary_UpperBound</f>
        <v>0</v>
      </c>
      <c r="DA11" s="6">
        <f>IF(ROUND(CZ11-CY11,0)=0,1/IF(Summary!$B$7="minutes",1,60),CZ11-CY11)</f>
        <v>1.6666666666666666E-2</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0</v>
      </c>
      <c r="H12" s="7">
        <f t="shared" si="2"/>
        <v>0</v>
      </c>
      <c r="I12" s="6">
        <f t="shared" si="3"/>
        <v>0</v>
      </c>
      <c r="J12" s="5">
        <f t="shared" si="4"/>
        <v>0</v>
      </c>
      <c r="K12" s="6">
        <f t="shared" si="5"/>
        <v>0</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0</v>
      </c>
      <c r="CT12" s="7">
        <f t="shared" si="90"/>
        <v>0</v>
      </c>
      <c r="CU12" s="7">
        <f t="shared" si="90"/>
        <v>0</v>
      </c>
      <c r="CV12" s="5">
        <f t="shared" si="91"/>
        <v>0</v>
      </c>
      <c r="CW12" s="6">
        <f t="shared" si="92"/>
        <v>0</v>
      </c>
      <c r="CY12" s="7">
        <v>0</v>
      </c>
      <c r="CZ12" s="5">
        <f t="array" ref="CZ12">Summary_UpperBound</f>
        <v>0</v>
      </c>
      <c r="DA12" s="6">
        <f>IF(ROUND(CZ12-CY12,0)=0,1/IF(Summary!$B$7="minutes",1,60),CZ12-CY12)</f>
        <v>1.6666666666666666E-2</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0</v>
      </c>
      <c r="H13" s="7">
        <f t="shared" si="2"/>
        <v>0</v>
      </c>
      <c r="I13" s="6">
        <f t="shared" si="3"/>
        <v>0</v>
      </c>
      <c r="J13" s="5">
        <f t="shared" si="4"/>
        <v>0</v>
      </c>
      <c r="K13" s="6">
        <f t="shared" si="5"/>
        <v>0</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0</v>
      </c>
      <c r="CT13" s="7">
        <f t="shared" si="90"/>
        <v>0</v>
      </c>
      <c r="CU13" s="7">
        <f t="shared" si="90"/>
        <v>0</v>
      </c>
      <c r="CV13" s="5">
        <f t="shared" si="91"/>
        <v>0</v>
      </c>
      <c r="CW13" s="6">
        <f t="shared" si="92"/>
        <v>0</v>
      </c>
      <c r="CY13" s="7">
        <v>0</v>
      </c>
      <c r="CZ13" s="5">
        <f t="array" ref="CZ13">Summary_UpperBound</f>
        <v>0</v>
      </c>
      <c r="DA13" s="6">
        <f>IF(ROUND(CZ13-CY13,0)=0,1/IF(Summary!$B$7="minutes",1,60),CZ13-CY13)</f>
        <v>1.6666666666666666E-2</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0</v>
      </c>
      <c r="H14" s="7">
        <f t="shared" si="2"/>
        <v>0</v>
      </c>
      <c r="I14" s="6">
        <f t="shared" si="3"/>
        <v>0</v>
      </c>
      <c r="J14" s="5">
        <f t="shared" si="4"/>
        <v>0</v>
      </c>
      <c r="K14" s="6">
        <f t="shared" si="5"/>
        <v>0</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0</v>
      </c>
      <c r="CT14" s="7">
        <f t="shared" si="90"/>
        <v>0</v>
      </c>
      <c r="CU14" s="7">
        <f t="shared" si="90"/>
        <v>0</v>
      </c>
      <c r="CV14" s="5">
        <f t="shared" si="91"/>
        <v>0</v>
      </c>
      <c r="CW14" s="6">
        <f t="shared" si="92"/>
        <v>0</v>
      </c>
      <c r="CY14" s="7">
        <v>0</v>
      </c>
      <c r="CZ14" s="5">
        <f t="array" ref="CZ14">Summary_UpperBound</f>
        <v>0</v>
      </c>
      <c r="DA14" s="6">
        <f>IF(ROUND(CZ14-CY14,0)=0,1/IF(Summary!$B$7="minutes",1,60),CZ14-CY14)</f>
        <v>1.6666666666666666E-2</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0</v>
      </c>
      <c r="H15" s="7">
        <f t="shared" si="2"/>
        <v>0</v>
      </c>
      <c r="I15" s="6">
        <f t="shared" si="3"/>
        <v>0</v>
      </c>
      <c r="J15" s="5">
        <f t="shared" si="4"/>
        <v>0</v>
      </c>
      <c r="K15" s="6">
        <f t="shared" si="5"/>
        <v>0</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0</v>
      </c>
      <c r="CT15" s="7">
        <f t="shared" si="90"/>
        <v>0</v>
      </c>
      <c r="CU15" s="7">
        <f t="shared" si="90"/>
        <v>0</v>
      </c>
      <c r="CV15" s="5">
        <f t="shared" si="91"/>
        <v>0</v>
      </c>
      <c r="CW15" s="6">
        <f t="shared" si="92"/>
        <v>0</v>
      </c>
      <c r="CY15" s="7">
        <v>0</v>
      </c>
      <c r="CZ15" s="5">
        <f t="array" ref="CZ15">Summary_UpperBound</f>
        <v>0</v>
      </c>
      <c r="DA15" s="6">
        <f>IF(ROUND(CZ15-CY15,0)=0,1/IF(Summary!$B$7="minutes",1,60),CZ15-CY15)</f>
        <v>1.6666666666666666E-2</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0</v>
      </c>
      <c r="H16" s="7">
        <f t="shared" si="2"/>
        <v>0</v>
      </c>
      <c r="I16" s="6">
        <f t="shared" si="3"/>
        <v>0</v>
      </c>
      <c r="J16" s="5">
        <f t="shared" si="4"/>
        <v>0</v>
      </c>
      <c r="K16" s="6">
        <f t="shared" si="5"/>
        <v>0</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0</v>
      </c>
      <c r="CT16" s="7">
        <f t="shared" si="90"/>
        <v>0</v>
      </c>
      <c r="CU16" s="7">
        <f t="shared" si="90"/>
        <v>0</v>
      </c>
      <c r="CV16" s="5">
        <f t="shared" si="91"/>
        <v>0</v>
      </c>
      <c r="CW16" s="6">
        <f t="shared" si="92"/>
        <v>0</v>
      </c>
      <c r="CY16" s="7">
        <v>0</v>
      </c>
      <c r="CZ16" s="5">
        <f t="array" ref="CZ16">Summary_UpperBound</f>
        <v>0</v>
      </c>
      <c r="DA16" s="6">
        <f>IF(ROUND(CZ16-CY16,0)=0,1/IF(Summary!$B$7="minutes",1,60),CZ16-CY16)</f>
        <v>1.6666666666666666E-2</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0</v>
      </c>
      <c r="H17" s="7">
        <f t="shared" si="2"/>
        <v>0</v>
      </c>
      <c r="I17" s="6">
        <f t="shared" si="3"/>
        <v>0</v>
      </c>
      <c r="J17" s="5">
        <f t="shared" si="4"/>
        <v>0</v>
      </c>
      <c r="K17" s="6">
        <f t="shared" si="5"/>
        <v>0</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0</v>
      </c>
      <c r="CT17" s="7">
        <f t="shared" si="90"/>
        <v>0</v>
      </c>
      <c r="CU17" s="7">
        <f t="shared" si="90"/>
        <v>0</v>
      </c>
      <c r="CV17" s="5">
        <f t="shared" si="91"/>
        <v>0</v>
      </c>
      <c r="CW17" s="6">
        <f t="shared" si="92"/>
        <v>0</v>
      </c>
      <c r="CY17" s="7">
        <v>0</v>
      </c>
      <c r="CZ17" s="5">
        <f t="array" ref="CZ17">Summary_UpperBound</f>
        <v>0</v>
      </c>
      <c r="DA17" s="6">
        <f>IF(ROUND(CZ17-CY17,0)=0,1/IF(Summary!$B$7="minutes",1,60),CZ17-CY17)</f>
        <v>1.6666666666666666E-2</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0</v>
      </c>
      <c r="H18" s="7">
        <f t="shared" si="2"/>
        <v>0</v>
      </c>
      <c r="I18" s="6">
        <f t="shared" si="3"/>
        <v>0</v>
      </c>
      <c r="J18" s="5">
        <f t="shared" si="4"/>
        <v>0</v>
      </c>
      <c r="K18" s="6">
        <f t="shared" si="5"/>
        <v>0</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0</v>
      </c>
      <c r="CT18" s="7">
        <f t="shared" si="90"/>
        <v>0</v>
      </c>
      <c r="CU18" s="7">
        <f t="shared" si="90"/>
        <v>0</v>
      </c>
      <c r="CV18" s="5">
        <f t="shared" si="91"/>
        <v>0</v>
      </c>
      <c r="CW18" s="6">
        <f t="shared" si="92"/>
        <v>0</v>
      </c>
      <c r="CY18" s="7">
        <v>0</v>
      </c>
      <c r="CZ18" s="5">
        <f t="array" ref="CZ18">Summary_UpperBound</f>
        <v>0</v>
      </c>
      <c r="DA18" s="6">
        <f>IF(ROUND(CZ18-CY18,0)=0,1/IF(Summary!$B$7="minutes",1,60),CZ18-CY18)</f>
        <v>1.6666666666666666E-2</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0</v>
      </c>
      <c r="H19" s="7">
        <f t="shared" si="2"/>
        <v>0</v>
      </c>
      <c r="I19" s="6">
        <f t="shared" si="3"/>
        <v>0</v>
      </c>
      <c r="J19" s="5">
        <f t="shared" si="4"/>
        <v>0</v>
      </c>
      <c r="K19" s="6">
        <f t="shared" si="5"/>
        <v>0</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0</v>
      </c>
      <c r="CT19" s="7">
        <f t="shared" si="90"/>
        <v>0</v>
      </c>
      <c r="CU19" s="7">
        <f t="shared" si="90"/>
        <v>0</v>
      </c>
      <c r="CV19" s="5">
        <f t="shared" si="91"/>
        <v>0</v>
      </c>
      <c r="CW19" s="6">
        <f t="shared" si="92"/>
        <v>0</v>
      </c>
      <c r="CY19" s="7">
        <v>0</v>
      </c>
      <c r="CZ19" s="5">
        <f t="array" ref="CZ19">Summary_UpperBound</f>
        <v>0</v>
      </c>
      <c r="DA19" s="6">
        <f>IF(ROUND(CZ19-CY19,0)=0,1/IF(Summary!$B$7="minutes",1,60),CZ19-CY19)</f>
        <v>1.6666666666666666E-2</v>
      </c>
    </row>
    <row r="20" spans="1:105" x14ac:dyDescent="0.25">
      <c r="B20" s="14"/>
      <c r="E20" s="12">
        <f t="shared" ca="1" si="93"/>
        <v>44333</v>
      </c>
      <c r="F20" s="7">
        <f t="shared" si="0"/>
        <v>0</v>
      </c>
      <c r="G20" s="6">
        <f t="shared" si="1"/>
        <v>0</v>
      </c>
      <c r="H20" s="7">
        <f t="shared" si="2"/>
        <v>0</v>
      </c>
      <c r="I20" s="6">
        <f t="shared" si="3"/>
        <v>0</v>
      </c>
      <c r="J20" s="5">
        <f t="shared" si="4"/>
        <v>0</v>
      </c>
      <c r="K20" s="6">
        <f t="shared" si="5"/>
        <v>0</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0</v>
      </c>
      <c r="CT20" s="7">
        <f t="shared" si="90"/>
        <v>0</v>
      </c>
      <c r="CU20" s="7">
        <f t="shared" si="90"/>
        <v>0</v>
      </c>
      <c r="CV20" s="5">
        <f t="shared" si="91"/>
        <v>0</v>
      </c>
      <c r="CW20" s="6">
        <f t="shared" si="92"/>
        <v>0</v>
      </c>
      <c r="CY20" s="7">
        <v>0</v>
      </c>
      <c r="CZ20" s="5">
        <f t="array" ref="CZ20">Summary_UpperBound</f>
        <v>0</v>
      </c>
      <c r="DA20" s="6">
        <f>IF(ROUND(CZ20-CY20,0)=0,1/IF(Summary!$B$7="minutes",1,60),CZ20-CY20)</f>
        <v>1.6666666666666666E-2</v>
      </c>
    </row>
    <row r="21" spans="1:105" x14ac:dyDescent="0.25">
      <c r="B21" s="14"/>
      <c r="E21" s="12">
        <f t="shared" ca="1" si="93"/>
        <v>44340</v>
      </c>
      <c r="F21" s="7">
        <f t="shared" si="0"/>
        <v>0</v>
      </c>
      <c r="G21" s="6">
        <f t="shared" si="1"/>
        <v>0</v>
      </c>
      <c r="H21" s="7">
        <f t="shared" si="2"/>
        <v>0</v>
      </c>
      <c r="I21" s="6">
        <f t="shared" si="3"/>
        <v>0</v>
      </c>
      <c r="J21" s="5">
        <f t="shared" si="4"/>
        <v>0</v>
      </c>
      <c r="K21" s="6">
        <f t="shared" si="5"/>
        <v>0</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0</v>
      </c>
      <c r="CT21" s="7">
        <f t="shared" si="90"/>
        <v>0</v>
      </c>
      <c r="CU21" s="7">
        <f t="shared" si="90"/>
        <v>0</v>
      </c>
      <c r="CV21" s="5">
        <f t="shared" si="91"/>
        <v>0</v>
      </c>
      <c r="CW21" s="6">
        <f t="shared" si="92"/>
        <v>0</v>
      </c>
      <c r="CY21" s="7">
        <v>0</v>
      </c>
      <c r="CZ21" s="5">
        <f t="array" ref="CZ21">Summary_UpperBound</f>
        <v>0</v>
      </c>
      <c r="DA21" s="6">
        <f>IF(ROUND(CZ21-CY21,0)=0,1/IF(Summary!$B$7="minutes",1,60),CZ21-CY21)</f>
        <v>1.6666666666666666E-2</v>
      </c>
    </row>
    <row r="22" spans="1:105" x14ac:dyDescent="0.25">
      <c r="B22" s="14"/>
      <c r="E22" s="12">
        <f t="shared" ca="1" si="93"/>
        <v>44347</v>
      </c>
      <c r="F22" s="7">
        <f t="shared" si="0"/>
        <v>0</v>
      </c>
      <c r="G22" s="6">
        <f t="shared" si="1"/>
        <v>0</v>
      </c>
      <c r="H22" s="7">
        <f t="shared" si="2"/>
        <v>0</v>
      </c>
      <c r="I22" s="6">
        <f t="shared" si="3"/>
        <v>0</v>
      </c>
      <c r="J22" s="5">
        <f t="shared" si="4"/>
        <v>0</v>
      </c>
      <c r="K22" s="6">
        <f t="shared" si="5"/>
        <v>0</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0</v>
      </c>
      <c r="CT22" s="7">
        <f t="shared" si="90"/>
        <v>0</v>
      </c>
      <c r="CU22" s="7">
        <f t="shared" si="90"/>
        <v>0</v>
      </c>
      <c r="CV22" s="5">
        <f t="shared" si="91"/>
        <v>0</v>
      </c>
      <c r="CW22" s="6">
        <f t="shared" si="92"/>
        <v>0</v>
      </c>
      <c r="CY22" s="7">
        <v>0</v>
      </c>
      <c r="CZ22" s="5">
        <f t="array" ref="CZ22">Summary_UpperBound</f>
        <v>0</v>
      </c>
      <c r="DA22" s="6">
        <f>IF(ROUND(CZ22-CY22,0)=0,1/IF(Summary!$B$7="minutes",1,60),CZ22-CY22)</f>
        <v>1.6666666666666666E-2</v>
      </c>
    </row>
    <row r="23" spans="1:105" x14ac:dyDescent="0.25">
      <c r="B23" s="14"/>
      <c r="E23" s="12">
        <f t="shared" ca="1" si="93"/>
        <v>44354</v>
      </c>
      <c r="F23" s="7">
        <f t="shared" si="0"/>
        <v>0</v>
      </c>
      <c r="G23" s="6">
        <f t="shared" si="1"/>
        <v>0</v>
      </c>
      <c r="H23" s="7">
        <f t="shared" si="2"/>
        <v>0</v>
      </c>
      <c r="I23" s="6">
        <f t="shared" si="3"/>
        <v>0</v>
      </c>
      <c r="J23" s="5">
        <f t="shared" si="4"/>
        <v>0</v>
      </c>
      <c r="K23" s="6">
        <f t="shared" si="5"/>
        <v>0</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0</v>
      </c>
      <c r="CT23" s="7">
        <f t="shared" si="90"/>
        <v>0</v>
      </c>
      <c r="CU23" s="7">
        <f t="shared" si="90"/>
        <v>0</v>
      </c>
      <c r="CV23" s="5">
        <f t="shared" si="91"/>
        <v>0</v>
      </c>
      <c r="CW23" s="6">
        <f t="shared" si="92"/>
        <v>0</v>
      </c>
      <c r="CY23" s="7">
        <v>0</v>
      </c>
      <c r="CZ23" s="5">
        <f t="array" ref="CZ23">Summary_UpperBound</f>
        <v>0</v>
      </c>
      <c r="DA23" s="6">
        <f>IF(ROUND(CZ23-CY23,0)=0,1/IF(Summary!$B$7="minutes",1,60),CZ23-CY23)</f>
        <v>1.6666666666666666E-2</v>
      </c>
    </row>
    <row r="24" spans="1:105" x14ac:dyDescent="0.25">
      <c r="B24" s="14"/>
      <c r="E24" s="12">
        <f t="shared" ca="1" si="93"/>
        <v>44361</v>
      </c>
      <c r="F24" s="7">
        <f t="shared" si="0"/>
        <v>0</v>
      </c>
      <c r="G24" s="6">
        <f t="shared" si="1"/>
        <v>0</v>
      </c>
      <c r="H24" s="7">
        <f t="shared" si="2"/>
        <v>0</v>
      </c>
      <c r="I24" s="6">
        <f t="shared" si="3"/>
        <v>0</v>
      </c>
      <c r="J24" s="5">
        <f t="shared" si="4"/>
        <v>0</v>
      </c>
      <c r="K24" s="6">
        <f t="shared" si="5"/>
        <v>0</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0</v>
      </c>
      <c r="CT24" s="7">
        <f t="shared" si="90"/>
        <v>0</v>
      </c>
      <c r="CU24" s="7">
        <f t="shared" si="90"/>
        <v>0</v>
      </c>
      <c r="CV24" s="5">
        <f t="shared" si="91"/>
        <v>0</v>
      </c>
      <c r="CW24" s="6">
        <f t="shared" si="92"/>
        <v>0</v>
      </c>
      <c r="CY24" s="7">
        <v>0</v>
      </c>
      <c r="CZ24" s="5">
        <f t="array" ref="CZ24">Summary_UpperBound</f>
        <v>0</v>
      </c>
      <c r="DA24" s="6">
        <f>IF(ROUND(CZ24-CY24,0)=0,1/IF(Summary!$B$7="minutes",1,60),CZ24-CY24)</f>
        <v>1.6666666666666666E-2</v>
      </c>
    </row>
    <row r="25" spans="1:105" x14ac:dyDescent="0.25">
      <c r="B25" s="14"/>
      <c r="E25" s="12">
        <f t="shared" ca="1" si="93"/>
        <v>44368</v>
      </c>
      <c r="F25" s="7">
        <f t="shared" si="0"/>
        <v>0</v>
      </c>
      <c r="G25" s="6">
        <f t="shared" si="1"/>
        <v>0</v>
      </c>
      <c r="H25" s="7">
        <f t="shared" si="2"/>
        <v>0</v>
      </c>
      <c r="I25" s="6">
        <f t="shared" si="3"/>
        <v>0</v>
      </c>
      <c r="J25" s="5">
        <f t="shared" si="4"/>
        <v>0</v>
      </c>
      <c r="K25" s="6">
        <f t="shared" si="5"/>
        <v>0</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0</v>
      </c>
      <c r="CT25" s="7">
        <f t="shared" si="90"/>
        <v>0</v>
      </c>
      <c r="CU25" s="7">
        <f t="shared" si="90"/>
        <v>0</v>
      </c>
      <c r="CV25" s="5">
        <f t="shared" si="91"/>
        <v>0</v>
      </c>
      <c r="CW25" s="6">
        <f t="shared" si="92"/>
        <v>0</v>
      </c>
      <c r="CY25" s="7">
        <v>0</v>
      </c>
      <c r="CZ25" s="5">
        <f t="array" ref="CZ25">Summary_UpperBound</f>
        <v>0</v>
      </c>
      <c r="DA25" s="6">
        <f>IF(ROUND(CZ25-CY25,0)=0,1/IF(Summary!$B$7="minutes",1,60),CZ25-CY25)</f>
        <v>1.6666666666666666E-2</v>
      </c>
    </row>
    <row r="26" spans="1:105" x14ac:dyDescent="0.25">
      <c r="B26" s="14"/>
      <c r="E26" s="12">
        <f t="shared" ca="1" si="93"/>
        <v>44375</v>
      </c>
      <c r="F26" s="7">
        <f t="shared" si="0"/>
        <v>0</v>
      </c>
      <c r="G26" s="6">
        <f t="shared" si="1"/>
        <v>0</v>
      </c>
      <c r="H26" s="7">
        <f t="shared" si="2"/>
        <v>0</v>
      </c>
      <c r="I26" s="6">
        <f t="shared" si="3"/>
        <v>0</v>
      </c>
      <c r="J26" s="5">
        <f t="shared" si="4"/>
        <v>0</v>
      </c>
      <c r="K26" s="6">
        <f t="shared" si="5"/>
        <v>0</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0</v>
      </c>
      <c r="CT26" s="7">
        <f t="shared" si="90"/>
        <v>0</v>
      </c>
      <c r="CU26" s="7">
        <f t="shared" si="90"/>
        <v>0</v>
      </c>
      <c r="CV26" s="5">
        <f t="shared" si="91"/>
        <v>0</v>
      </c>
      <c r="CW26" s="6">
        <f t="shared" si="92"/>
        <v>0</v>
      </c>
      <c r="CY26" s="7">
        <v>0</v>
      </c>
      <c r="CZ26" s="5">
        <f t="array" ref="CZ26">Summary_UpperBound</f>
        <v>0</v>
      </c>
      <c r="DA26" s="6">
        <f>IF(ROUND(CZ26-CY26,0)=0,1/IF(Summary!$B$7="minutes",1,60),CZ26-CY26)</f>
        <v>1.6666666666666666E-2</v>
      </c>
    </row>
    <row r="27" spans="1:105" x14ac:dyDescent="0.25">
      <c r="B27" s="14"/>
      <c r="E27" s="12">
        <f t="shared" ca="1" si="93"/>
        <v>44382</v>
      </c>
      <c r="F27" s="7">
        <f t="shared" si="0"/>
        <v>0</v>
      </c>
      <c r="G27" s="6">
        <f t="shared" si="1"/>
        <v>0</v>
      </c>
      <c r="H27" s="7">
        <f t="shared" si="2"/>
        <v>0</v>
      </c>
      <c r="I27" s="6">
        <f t="shared" si="3"/>
        <v>0</v>
      </c>
      <c r="J27" s="5">
        <f t="shared" si="4"/>
        <v>0</v>
      </c>
      <c r="K27" s="6">
        <f t="shared" si="5"/>
        <v>0</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0</v>
      </c>
      <c r="CT27" s="7">
        <f t="shared" si="90"/>
        <v>0</v>
      </c>
      <c r="CU27" s="7">
        <f t="shared" si="90"/>
        <v>0</v>
      </c>
      <c r="CV27" s="5">
        <f t="shared" si="91"/>
        <v>0</v>
      </c>
      <c r="CW27" s="6">
        <f t="shared" si="92"/>
        <v>0</v>
      </c>
      <c r="CY27" s="7">
        <v>0</v>
      </c>
      <c r="CZ27" s="5">
        <f t="array" ref="CZ27">Summary_UpperBound</f>
        <v>0</v>
      </c>
      <c r="DA27" s="6">
        <f>IF(ROUND(CZ27-CY27,0)=0,1/IF(Summary!$B$7="minutes",1,60),CZ27-CY27)</f>
        <v>1.6666666666666666E-2</v>
      </c>
    </row>
    <row r="28" spans="1:105" x14ac:dyDescent="0.25">
      <c r="B28" s="14"/>
      <c r="E28" s="12">
        <f t="shared" ca="1" si="93"/>
        <v>44389</v>
      </c>
      <c r="F28" s="7">
        <f t="shared" si="0"/>
        <v>0</v>
      </c>
      <c r="G28" s="6">
        <f t="shared" si="1"/>
        <v>0</v>
      </c>
      <c r="H28" s="7">
        <f t="shared" si="2"/>
        <v>0</v>
      </c>
      <c r="I28" s="6">
        <f t="shared" si="3"/>
        <v>0</v>
      </c>
      <c r="J28" s="5">
        <f t="shared" si="4"/>
        <v>0</v>
      </c>
      <c r="K28" s="6">
        <f t="shared" si="5"/>
        <v>0</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0</v>
      </c>
      <c r="CT28" s="7">
        <f t="shared" si="90"/>
        <v>0</v>
      </c>
      <c r="CU28" s="7">
        <f t="shared" si="90"/>
        <v>0</v>
      </c>
      <c r="CV28" s="5">
        <f t="shared" si="91"/>
        <v>0</v>
      </c>
      <c r="CW28" s="6">
        <f t="shared" si="92"/>
        <v>0</v>
      </c>
      <c r="CY28" s="7">
        <v>0</v>
      </c>
      <c r="CZ28" s="5">
        <f t="array" ref="CZ28">Summary_UpperBound</f>
        <v>0</v>
      </c>
      <c r="DA28" s="6">
        <f>IF(ROUND(CZ28-CY28,0)=0,1/IF(Summary!$B$7="minutes",1,60),CZ28-CY28)</f>
        <v>1.6666666666666666E-2</v>
      </c>
    </row>
    <row r="29" spans="1:105" x14ac:dyDescent="0.25">
      <c r="B29" s="14"/>
      <c r="E29" s="12">
        <f t="shared" ca="1" si="93"/>
        <v>44396</v>
      </c>
      <c r="F29" s="7">
        <f t="shared" si="0"/>
        <v>0</v>
      </c>
      <c r="G29" s="6">
        <f t="shared" si="1"/>
        <v>0</v>
      </c>
      <c r="H29" s="7">
        <f t="shared" si="2"/>
        <v>0</v>
      </c>
      <c r="I29" s="6">
        <f t="shared" si="3"/>
        <v>0</v>
      </c>
      <c r="J29" s="5">
        <f t="shared" si="4"/>
        <v>0</v>
      </c>
      <c r="K29" s="6">
        <f t="shared" si="5"/>
        <v>0</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0</v>
      </c>
      <c r="CT29" s="7">
        <f t="shared" si="90"/>
        <v>0</v>
      </c>
      <c r="CU29" s="7">
        <f t="shared" si="90"/>
        <v>0</v>
      </c>
      <c r="CV29" s="5">
        <f t="shared" si="91"/>
        <v>0</v>
      </c>
      <c r="CW29" s="6">
        <f t="shared" si="92"/>
        <v>0</v>
      </c>
      <c r="CY29" s="7">
        <v>0</v>
      </c>
      <c r="CZ29" s="5">
        <f t="array" ref="CZ29">Summary_UpperBound</f>
        <v>0</v>
      </c>
      <c r="DA29" s="6">
        <f>IF(ROUND(CZ29-CY29,0)=0,1/IF(Summary!$B$7="minutes",1,60),CZ29-CY29)</f>
        <v>1.6666666666666666E-2</v>
      </c>
    </row>
    <row r="30" spans="1:105" x14ac:dyDescent="0.25">
      <c r="B30" s="14"/>
      <c r="E30" s="12">
        <f t="shared" ca="1" si="93"/>
        <v>44403</v>
      </c>
      <c r="F30" s="7">
        <f t="shared" si="0"/>
        <v>0</v>
      </c>
      <c r="G30" s="6">
        <f t="shared" si="1"/>
        <v>0</v>
      </c>
      <c r="H30" s="7">
        <f t="shared" si="2"/>
        <v>0</v>
      </c>
      <c r="I30" s="6">
        <f t="shared" si="3"/>
        <v>0</v>
      </c>
      <c r="J30" s="5">
        <f t="shared" si="4"/>
        <v>0</v>
      </c>
      <c r="K30" s="6">
        <f t="shared" si="5"/>
        <v>0</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0</v>
      </c>
      <c r="CT30" s="7">
        <f t="shared" si="90"/>
        <v>0</v>
      </c>
      <c r="CU30" s="7">
        <f t="shared" si="90"/>
        <v>0</v>
      </c>
      <c r="CV30" s="5">
        <f t="shared" si="91"/>
        <v>0</v>
      </c>
      <c r="CW30" s="6">
        <f t="shared" si="92"/>
        <v>0</v>
      </c>
      <c r="CY30" s="7">
        <v>0</v>
      </c>
      <c r="CZ30" s="5">
        <f t="array" ref="CZ30">Summary_UpperBound</f>
        <v>0</v>
      </c>
      <c r="DA30" s="6">
        <f>IF(ROUND(CZ30-CY30,0)=0,1/IF(Summary!$B$7="minutes",1,60),CZ30-CY30)</f>
        <v>1.6666666666666666E-2</v>
      </c>
    </row>
    <row r="31" spans="1:105" x14ac:dyDescent="0.25">
      <c r="B31" s="14"/>
      <c r="E31" s="12">
        <f t="shared" ca="1" si="93"/>
        <v>44410</v>
      </c>
      <c r="F31" s="7">
        <f t="shared" si="0"/>
        <v>0</v>
      </c>
      <c r="G31" s="6">
        <f t="shared" si="1"/>
        <v>0</v>
      </c>
      <c r="H31" s="7">
        <f t="shared" si="2"/>
        <v>0</v>
      </c>
      <c r="I31" s="6">
        <f t="shared" si="3"/>
        <v>0</v>
      </c>
      <c r="J31" s="5">
        <f t="shared" si="4"/>
        <v>0</v>
      </c>
      <c r="K31" s="6">
        <f t="shared" si="5"/>
        <v>0</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0</v>
      </c>
      <c r="CT31" s="7">
        <f t="shared" si="90"/>
        <v>0</v>
      </c>
      <c r="CU31" s="7">
        <f t="shared" si="90"/>
        <v>0</v>
      </c>
      <c r="CV31" s="5">
        <f t="shared" si="91"/>
        <v>0</v>
      </c>
      <c r="CW31" s="6">
        <f t="shared" si="92"/>
        <v>0</v>
      </c>
      <c r="CY31" s="7">
        <v>0</v>
      </c>
      <c r="CZ31" s="5">
        <f t="array" ref="CZ31">Summary_UpperBound</f>
        <v>0</v>
      </c>
      <c r="DA31" s="6">
        <f>IF(ROUND(CZ31-CY31,0)=0,1/IF(Summary!$B$7="minutes",1,60),CZ31-CY31)</f>
        <v>1.6666666666666666E-2</v>
      </c>
    </row>
    <row r="32" spans="1:105" x14ac:dyDescent="0.25">
      <c r="B32" s="14"/>
      <c r="E32" s="12">
        <f t="shared" ca="1" si="93"/>
        <v>44417</v>
      </c>
      <c r="F32" s="7">
        <f t="shared" si="0"/>
        <v>0</v>
      </c>
      <c r="G32" s="6">
        <f t="shared" si="1"/>
        <v>0</v>
      </c>
      <c r="H32" s="7">
        <f t="shared" si="2"/>
        <v>0</v>
      </c>
      <c r="I32" s="6">
        <f t="shared" si="3"/>
        <v>0</v>
      </c>
      <c r="J32" s="5">
        <f t="shared" si="4"/>
        <v>0</v>
      </c>
      <c r="K32" s="6">
        <f t="shared" si="5"/>
        <v>0</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0</v>
      </c>
      <c r="CT32" s="7">
        <f t="shared" si="90"/>
        <v>0</v>
      </c>
      <c r="CU32" s="7">
        <f t="shared" si="90"/>
        <v>0</v>
      </c>
      <c r="CV32" s="5">
        <f t="shared" si="91"/>
        <v>0</v>
      </c>
      <c r="CW32" s="6">
        <f t="shared" si="92"/>
        <v>0</v>
      </c>
      <c r="CY32" s="7">
        <v>0</v>
      </c>
      <c r="CZ32" s="5">
        <f t="array" ref="CZ32">Summary_UpperBound</f>
        <v>0</v>
      </c>
      <c r="DA32" s="6">
        <f>IF(ROUND(CZ32-CY32,0)=0,1/IF(Summary!$B$7="minutes",1,60),CZ32-CY32)</f>
        <v>1.6666666666666666E-2</v>
      </c>
    </row>
    <row r="33" spans="2:105" x14ac:dyDescent="0.25">
      <c r="B33" s="14"/>
      <c r="E33" s="12">
        <f t="shared" ca="1" si="93"/>
        <v>44424</v>
      </c>
      <c r="F33" s="7">
        <f t="shared" si="0"/>
        <v>0</v>
      </c>
      <c r="G33" s="6">
        <f t="shared" si="1"/>
        <v>0</v>
      </c>
      <c r="H33" s="7">
        <f t="shared" si="2"/>
        <v>0</v>
      </c>
      <c r="I33" s="6">
        <f t="shared" si="3"/>
        <v>0</v>
      </c>
      <c r="J33" s="5">
        <f t="shared" si="4"/>
        <v>0</v>
      </c>
      <c r="K33" s="6">
        <f t="shared" si="5"/>
        <v>0</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0</v>
      </c>
      <c r="CT33" s="7">
        <f t="shared" si="90"/>
        <v>0</v>
      </c>
      <c r="CU33" s="7">
        <f t="shared" si="90"/>
        <v>0</v>
      </c>
      <c r="CV33" s="5">
        <f t="shared" si="91"/>
        <v>0</v>
      </c>
      <c r="CW33" s="6">
        <f t="shared" si="92"/>
        <v>0</v>
      </c>
      <c r="CY33" s="7">
        <v>0</v>
      </c>
      <c r="CZ33" s="5">
        <f t="array" ref="CZ33">Summary_UpperBound</f>
        <v>0</v>
      </c>
      <c r="DA33" s="6">
        <f>IF(ROUND(CZ33-CY33,0)=0,1/IF(Summary!$B$7="minutes",1,60),CZ33-CY33)</f>
        <v>1.6666666666666666E-2</v>
      </c>
    </row>
    <row r="34" spans="2:105" x14ac:dyDescent="0.25">
      <c r="B34" s="14"/>
      <c r="E34" s="12">
        <f t="shared" ca="1" si="93"/>
        <v>44431</v>
      </c>
      <c r="F34" s="7">
        <f t="shared" si="0"/>
        <v>0</v>
      </c>
      <c r="G34" s="6">
        <f t="shared" si="1"/>
        <v>0</v>
      </c>
      <c r="H34" s="7">
        <f t="shared" si="2"/>
        <v>0</v>
      </c>
      <c r="I34" s="6">
        <f t="shared" si="3"/>
        <v>0</v>
      </c>
      <c r="J34" s="5">
        <f t="shared" si="4"/>
        <v>0</v>
      </c>
      <c r="K34" s="6">
        <f t="shared" si="5"/>
        <v>0</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0</v>
      </c>
      <c r="CT34" s="7">
        <f t="shared" si="90"/>
        <v>0</v>
      </c>
      <c r="CU34" s="7">
        <f t="shared" si="90"/>
        <v>0</v>
      </c>
      <c r="CV34" s="5">
        <f t="shared" si="91"/>
        <v>0</v>
      </c>
      <c r="CW34" s="6">
        <f t="shared" si="92"/>
        <v>0</v>
      </c>
      <c r="CY34" s="7">
        <v>0</v>
      </c>
      <c r="CZ34" s="5">
        <f t="array" ref="CZ34">Summary_UpperBound</f>
        <v>0</v>
      </c>
      <c r="DA34" s="6">
        <f>IF(ROUND(CZ34-CY34,0)=0,1/IF(Summary!$B$7="minutes",1,60),CZ34-CY34)</f>
        <v>1.6666666666666666E-2</v>
      </c>
    </row>
    <row r="35" spans="2:105" x14ac:dyDescent="0.25">
      <c r="B35" s="14"/>
      <c r="E35" s="12">
        <f t="shared" ca="1" si="93"/>
        <v>44438</v>
      </c>
      <c r="F35" s="7">
        <f t="shared" si="0"/>
        <v>0</v>
      </c>
      <c r="G35" s="6">
        <f t="shared" si="1"/>
        <v>0</v>
      </c>
      <c r="H35" s="7">
        <f t="shared" si="2"/>
        <v>0</v>
      </c>
      <c r="I35" s="6">
        <f t="shared" si="3"/>
        <v>0</v>
      </c>
      <c r="J35" s="5">
        <f t="shared" si="4"/>
        <v>0</v>
      </c>
      <c r="K35" s="6">
        <f t="shared" si="5"/>
        <v>0</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0</v>
      </c>
      <c r="CT35" s="7">
        <f t="shared" si="90"/>
        <v>0</v>
      </c>
      <c r="CU35" s="7">
        <f t="shared" si="90"/>
        <v>0</v>
      </c>
      <c r="CV35" s="5">
        <f t="shared" si="91"/>
        <v>0</v>
      </c>
      <c r="CW35" s="6">
        <f t="shared" si="92"/>
        <v>0</v>
      </c>
      <c r="CY35" s="7">
        <v>0</v>
      </c>
      <c r="CZ35" s="5">
        <f t="array" ref="CZ35">Summary_UpperBound</f>
        <v>0</v>
      </c>
      <c r="DA35" s="6">
        <f>IF(ROUND(CZ35-CY35,0)=0,1/IF(Summary!$B$7="minutes",1,60),CZ35-CY35)</f>
        <v>1.6666666666666666E-2</v>
      </c>
    </row>
    <row r="36" spans="2:105" x14ac:dyDescent="0.25">
      <c r="B36" s="14"/>
      <c r="E36" s="12">
        <f t="shared" ca="1" si="93"/>
        <v>44445</v>
      </c>
      <c r="F36" s="7">
        <f t="shared" si="0"/>
        <v>0</v>
      </c>
      <c r="G36" s="6">
        <f t="shared" si="1"/>
        <v>0</v>
      </c>
      <c r="H36" s="7">
        <f t="shared" si="2"/>
        <v>0</v>
      </c>
      <c r="I36" s="6">
        <f t="shared" si="3"/>
        <v>0</v>
      </c>
      <c r="J36" s="5">
        <f t="shared" si="4"/>
        <v>0</v>
      </c>
      <c r="K36" s="6">
        <f t="shared" si="5"/>
        <v>0</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0</v>
      </c>
      <c r="CT36" s="7">
        <f t="shared" si="90"/>
        <v>0</v>
      </c>
      <c r="CU36" s="7">
        <f t="shared" si="90"/>
        <v>0</v>
      </c>
      <c r="CV36" s="5">
        <f t="shared" si="91"/>
        <v>0</v>
      </c>
      <c r="CW36" s="6">
        <f t="shared" si="92"/>
        <v>0</v>
      </c>
      <c r="CY36" s="7">
        <v>0</v>
      </c>
      <c r="CZ36" s="5">
        <f t="array" ref="CZ36">Summary_UpperBound</f>
        <v>0</v>
      </c>
      <c r="DA36" s="6">
        <f>IF(ROUND(CZ36-CY36,0)=0,1/IF(Summary!$B$7="minutes",1,60),CZ36-CY36)</f>
        <v>1.6666666666666666E-2</v>
      </c>
    </row>
    <row r="37" spans="2:105" x14ac:dyDescent="0.25">
      <c r="B37" s="14"/>
      <c r="E37" s="12">
        <f t="shared" ca="1" si="93"/>
        <v>44452</v>
      </c>
      <c r="F37" s="7">
        <f t="shared" si="0"/>
        <v>0</v>
      </c>
      <c r="G37" s="6">
        <f t="shared" si="1"/>
        <v>0</v>
      </c>
      <c r="H37" s="7">
        <f t="shared" si="2"/>
        <v>0</v>
      </c>
      <c r="I37" s="6">
        <f t="shared" si="3"/>
        <v>0</v>
      </c>
      <c r="J37" s="5">
        <f t="shared" si="4"/>
        <v>0</v>
      </c>
      <c r="K37" s="6">
        <f t="shared" si="5"/>
        <v>0</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0</v>
      </c>
      <c r="CT37" s="7">
        <f t="shared" si="90"/>
        <v>0</v>
      </c>
      <c r="CU37" s="7">
        <f t="shared" si="90"/>
        <v>0</v>
      </c>
      <c r="CV37" s="5">
        <f t="shared" si="91"/>
        <v>0</v>
      </c>
      <c r="CW37" s="6">
        <f t="shared" si="92"/>
        <v>0</v>
      </c>
      <c r="CY37" s="7">
        <v>0</v>
      </c>
      <c r="CZ37" s="5">
        <f t="array" ref="CZ37">Summary_UpperBound</f>
        <v>0</v>
      </c>
      <c r="DA37" s="6">
        <f>IF(ROUND(CZ37-CY37,0)=0,1/IF(Summary!$B$7="minutes",1,60),CZ37-CY37)</f>
        <v>1.6666666666666666E-2</v>
      </c>
    </row>
    <row r="38" spans="2:105" x14ac:dyDescent="0.25">
      <c r="B38" s="14"/>
      <c r="E38" s="12">
        <f t="shared" ca="1" si="93"/>
        <v>44459</v>
      </c>
      <c r="F38" s="7">
        <f t="shared" si="0"/>
        <v>0</v>
      </c>
      <c r="G38" s="6">
        <f t="shared" si="1"/>
        <v>0</v>
      </c>
      <c r="H38" s="7">
        <f t="shared" si="2"/>
        <v>0</v>
      </c>
      <c r="I38" s="6">
        <f t="shared" si="3"/>
        <v>0</v>
      </c>
      <c r="J38" s="5">
        <f t="shared" si="4"/>
        <v>0</v>
      </c>
      <c r="K38" s="6">
        <f t="shared" si="5"/>
        <v>0</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0</v>
      </c>
      <c r="CT38" s="7">
        <f t="shared" si="90"/>
        <v>0</v>
      </c>
      <c r="CU38" s="7">
        <f t="shared" si="90"/>
        <v>0</v>
      </c>
      <c r="CV38" s="5">
        <f t="shared" si="91"/>
        <v>0</v>
      </c>
      <c r="CW38" s="6">
        <f t="shared" si="92"/>
        <v>0</v>
      </c>
      <c r="CY38" s="7">
        <v>0</v>
      </c>
      <c r="CZ38" s="5">
        <f t="array" ref="CZ38">Summary_UpperBound</f>
        <v>0</v>
      </c>
      <c r="DA38" s="6">
        <f>IF(ROUND(CZ38-CY38,0)=0,1/IF(Summary!$B$7="minutes",1,60),CZ38-CY38)</f>
        <v>1.6666666666666666E-2</v>
      </c>
    </row>
    <row r="39" spans="2:105" x14ac:dyDescent="0.25">
      <c r="B39" s="14"/>
      <c r="E39" s="12">
        <f t="shared" ca="1" si="93"/>
        <v>44466</v>
      </c>
      <c r="F39" s="7">
        <f t="shared" si="0"/>
        <v>0</v>
      </c>
      <c r="G39" s="6">
        <f t="shared" si="1"/>
        <v>0</v>
      </c>
      <c r="H39" s="7">
        <f t="shared" si="2"/>
        <v>0</v>
      </c>
      <c r="I39" s="6">
        <f t="shared" si="3"/>
        <v>0</v>
      </c>
      <c r="J39" s="5">
        <f t="shared" si="4"/>
        <v>0</v>
      </c>
      <c r="K39" s="6">
        <f t="shared" si="5"/>
        <v>0</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0</v>
      </c>
      <c r="CT39" s="7">
        <f t="shared" si="90"/>
        <v>0</v>
      </c>
      <c r="CU39" s="7">
        <f t="shared" si="90"/>
        <v>0</v>
      </c>
      <c r="CV39" s="5">
        <f t="shared" si="91"/>
        <v>0</v>
      </c>
      <c r="CW39" s="6">
        <f t="shared" si="92"/>
        <v>0</v>
      </c>
      <c r="CY39" s="7">
        <v>0</v>
      </c>
      <c r="CZ39" s="5">
        <f t="array" ref="CZ39">Summary_UpperBound</f>
        <v>0</v>
      </c>
      <c r="DA39" s="6">
        <f>IF(ROUND(CZ39-CY39,0)=0,1/IF(Summary!$B$7="minutes",1,60),CZ39-CY39)</f>
        <v>1.6666666666666666E-2</v>
      </c>
    </row>
    <row r="40" spans="2:105" x14ac:dyDescent="0.25">
      <c r="B40" s="14"/>
      <c r="E40" s="12">
        <f t="shared" ca="1" si="93"/>
        <v>44473</v>
      </c>
      <c r="F40" s="7">
        <f t="shared" si="0"/>
        <v>0</v>
      </c>
      <c r="G40" s="6">
        <f t="shared" si="1"/>
        <v>0</v>
      </c>
      <c r="H40" s="7">
        <f t="shared" si="2"/>
        <v>0</v>
      </c>
      <c r="I40" s="6">
        <f t="shared" si="3"/>
        <v>0</v>
      </c>
      <c r="J40" s="5">
        <f t="shared" si="4"/>
        <v>0</v>
      </c>
      <c r="K40" s="6">
        <f t="shared" si="5"/>
        <v>0</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0</v>
      </c>
      <c r="CT40" s="7">
        <f t="shared" si="90"/>
        <v>0</v>
      </c>
      <c r="CU40" s="7">
        <f t="shared" si="90"/>
        <v>0</v>
      </c>
      <c r="CV40" s="5">
        <f t="shared" si="91"/>
        <v>0</v>
      </c>
      <c r="CW40" s="6">
        <f t="shared" si="92"/>
        <v>0</v>
      </c>
      <c r="CY40" s="7">
        <v>0</v>
      </c>
      <c r="CZ40" s="5">
        <f t="array" ref="CZ40">Summary_UpperBound</f>
        <v>0</v>
      </c>
      <c r="DA40" s="6">
        <f>IF(ROUND(CZ40-CY40,0)=0,1/IF(Summary!$B$7="minutes",1,60),CZ40-CY40)</f>
        <v>1.6666666666666666E-2</v>
      </c>
    </row>
    <row r="41" spans="2:105" x14ac:dyDescent="0.25">
      <c r="B41" s="14"/>
      <c r="E41" s="12">
        <f t="shared" ca="1" si="93"/>
        <v>44480</v>
      </c>
      <c r="F41" s="7">
        <f t="shared" si="0"/>
        <v>0</v>
      </c>
      <c r="G41" s="6">
        <f t="shared" si="1"/>
        <v>0</v>
      </c>
      <c r="H41" s="7">
        <f t="shared" si="2"/>
        <v>0</v>
      </c>
      <c r="I41" s="6">
        <f t="shared" si="3"/>
        <v>0</v>
      </c>
      <c r="J41" s="5">
        <f t="shared" si="4"/>
        <v>0</v>
      </c>
      <c r="K41" s="6">
        <f t="shared" si="5"/>
        <v>0</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0</v>
      </c>
      <c r="CT41" s="7">
        <f t="shared" si="90"/>
        <v>0</v>
      </c>
      <c r="CU41" s="7">
        <f t="shared" si="90"/>
        <v>0</v>
      </c>
      <c r="CV41" s="5">
        <f t="shared" si="91"/>
        <v>0</v>
      </c>
      <c r="CW41" s="6">
        <f t="shared" si="92"/>
        <v>0</v>
      </c>
      <c r="CY41" s="7">
        <v>0</v>
      </c>
      <c r="CZ41" s="5">
        <f t="array" ref="CZ41">Summary_UpperBound</f>
        <v>0</v>
      </c>
      <c r="DA41" s="6">
        <f>IF(ROUND(CZ41-CY41,0)=0,1/IF(Summary!$B$7="minutes",1,60),CZ41-CY41)</f>
        <v>1.6666666666666666E-2</v>
      </c>
    </row>
    <row r="42" spans="2:105" x14ac:dyDescent="0.25">
      <c r="B42" s="14"/>
      <c r="E42" s="12">
        <f t="shared" ca="1" si="93"/>
        <v>44487</v>
      </c>
      <c r="F42" s="7">
        <f t="shared" si="0"/>
        <v>0</v>
      </c>
      <c r="G42" s="6">
        <f t="shared" si="1"/>
        <v>0</v>
      </c>
      <c r="H42" s="7">
        <f t="shared" si="2"/>
        <v>0</v>
      </c>
      <c r="I42" s="6">
        <f t="shared" si="3"/>
        <v>0</v>
      </c>
      <c r="J42" s="5">
        <f t="shared" si="4"/>
        <v>0</v>
      </c>
      <c r="K42" s="6">
        <f t="shared" si="5"/>
        <v>0</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0</v>
      </c>
      <c r="CT42" s="7">
        <f t="shared" si="90"/>
        <v>0</v>
      </c>
      <c r="CU42" s="7">
        <f t="shared" si="90"/>
        <v>0</v>
      </c>
      <c r="CV42" s="5">
        <f t="shared" si="91"/>
        <v>0</v>
      </c>
      <c r="CW42" s="6">
        <f t="shared" si="92"/>
        <v>0</v>
      </c>
      <c r="CY42" s="7">
        <v>0</v>
      </c>
      <c r="CZ42" s="5">
        <f t="array" ref="CZ42">Summary_UpperBound</f>
        <v>0</v>
      </c>
      <c r="DA42" s="6">
        <f>IF(ROUND(CZ42-CY42,0)=0,1/IF(Summary!$B$7="minutes",1,60),CZ42-CY42)</f>
        <v>1.6666666666666666E-2</v>
      </c>
    </row>
    <row r="43" spans="2:105" x14ac:dyDescent="0.25">
      <c r="B43" s="14"/>
      <c r="E43" s="12">
        <f t="shared" ca="1" si="93"/>
        <v>44494</v>
      </c>
      <c r="F43" s="7">
        <f t="shared" si="0"/>
        <v>0</v>
      </c>
      <c r="G43" s="6">
        <f t="shared" si="1"/>
        <v>0</v>
      </c>
      <c r="H43" s="7">
        <f t="shared" si="2"/>
        <v>0</v>
      </c>
      <c r="I43" s="6">
        <f t="shared" si="3"/>
        <v>0</v>
      </c>
      <c r="J43" s="5">
        <f t="shared" si="4"/>
        <v>0</v>
      </c>
      <c r="K43" s="6">
        <f t="shared" si="5"/>
        <v>0</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0</v>
      </c>
      <c r="CT43" s="7">
        <f t="shared" si="90"/>
        <v>0</v>
      </c>
      <c r="CU43" s="7">
        <f t="shared" si="90"/>
        <v>0</v>
      </c>
      <c r="CV43" s="5">
        <f t="shared" si="91"/>
        <v>0</v>
      </c>
      <c r="CW43" s="6">
        <f t="shared" si="92"/>
        <v>0</v>
      </c>
      <c r="CY43" s="7">
        <v>0</v>
      </c>
      <c r="CZ43" s="5">
        <f t="array" ref="CZ43">Summary_UpperBound</f>
        <v>0</v>
      </c>
      <c r="DA43" s="6">
        <f>IF(ROUND(CZ43-CY43,0)=0,1/IF(Summary!$B$7="minutes",1,60),CZ43-CY43)</f>
        <v>1.6666666666666666E-2</v>
      </c>
    </row>
    <row r="44" spans="2:105" x14ac:dyDescent="0.25">
      <c r="B44" s="14"/>
      <c r="E44" s="12">
        <f t="shared" ca="1" si="93"/>
        <v>44501</v>
      </c>
      <c r="F44" s="7">
        <f t="shared" si="0"/>
        <v>0</v>
      </c>
      <c r="G44" s="6">
        <f t="shared" si="1"/>
        <v>0</v>
      </c>
      <c r="H44" s="7">
        <f t="shared" si="2"/>
        <v>0</v>
      </c>
      <c r="I44" s="6">
        <f t="shared" si="3"/>
        <v>0</v>
      </c>
      <c r="J44" s="5">
        <f t="shared" si="4"/>
        <v>0</v>
      </c>
      <c r="K44" s="6">
        <f t="shared" si="5"/>
        <v>0</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0</v>
      </c>
      <c r="CT44" s="7">
        <f t="shared" si="90"/>
        <v>0</v>
      </c>
      <c r="CU44" s="7">
        <f t="shared" si="90"/>
        <v>0</v>
      </c>
      <c r="CV44" s="5">
        <f t="shared" si="91"/>
        <v>0</v>
      </c>
      <c r="CW44" s="6">
        <f t="shared" si="92"/>
        <v>0</v>
      </c>
      <c r="CY44" s="7">
        <v>0</v>
      </c>
      <c r="CZ44" s="5">
        <f t="array" ref="CZ44">Summary_UpperBound</f>
        <v>0</v>
      </c>
      <c r="DA44" s="6">
        <f>IF(ROUND(CZ44-CY44,0)=0,1/IF(Summary!$B$7="minutes",1,60),CZ44-CY44)</f>
        <v>1.6666666666666666E-2</v>
      </c>
    </row>
    <row r="45" spans="2:105" x14ac:dyDescent="0.25">
      <c r="B45" s="14"/>
      <c r="E45" s="12">
        <f t="shared" ca="1" si="93"/>
        <v>44508</v>
      </c>
      <c r="F45" s="7">
        <f t="shared" si="0"/>
        <v>0</v>
      </c>
      <c r="G45" s="6">
        <f t="shared" si="1"/>
        <v>0</v>
      </c>
      <c r="H45" s="7">
        <f t="shared" si="2"/>
        <v>0</v>
      </c>
      <c r="I45" s="6">
        <f t="shared" si="3"/>
        <v>0</v>
      </c>
      <c r="J45" s="5">
        <f t="shared" si="4"/>
        <v>0</v>
      </c>
      <c r="K45" s="6">
        <f t="shared" si="5"/>
        <v>0</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0</v>
      </c>
      <c r="CT45" s="7">
        <f t="shared" si="90"/>
        <v>0</v>
      </c>
      <c r="CU45" s="7">
        <f t="shared" si="90"/>
        <v>0</v>
      </c>
      <c r="CV45" s="5">
        <f t="shared" si="91"/>
        <v>0</v>
      </c>
      <c r="CW45" s="6">
        <f t="shared" si="92"/>
        <v>0</v>
      </c>
      <c r="CY45" s="7">
        <v>0</v>
      </c>
      <c r="CZ45" s="5">
        <f t="array" ref="CZ45">Summary_UpperBound</f>
        <v>0</v>
      </c>
      <c r="DA45" s="6">
        <f>IF(ROUND(CZ45-CY45,0)=0,1/IF(Summary!$B$7="minutes",1,60),CZ45-CY45)</f>
        <v>1.6666666666666666E-2</v>
      </c>
    </row>
    <row r="46" spans="2:105" x14ac:dyDescent="0.25">
      <c r="B46" s="14"/>
      <c r="E46" s="12">
        <f t="shared" ca="1" si="93"/>
        <v>44515</v>
      </c>
      <c r="F46" s="7">
        <f t="shared" si="0"/>
        <v>0</v>
      </c>
      <c r="G46" s="6">
        <f t="shared" si="1"/>
        <v>0</v>
      </c>
      <c r="H46" s="7">
        <f t="shared" si="2"/>
        <v>0</v>
      </c>
      <c r="I46" s="6">
        <f t="shared" si="3"/>
        <v>0</v>
      </c>
      <c r="J46" s="5">
        <f t="shared" si="4"/>
        <v>0</v>
      </c>
      <c r="K46" s="6">
        <f t="shared" si="5"/>
        <v>0</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0</v>
      </c>
      <c r="CT46" s="7">
        <f t="shared" si="90"/>
        <v>0</v>
      </c>
      <c r="CU46" s="7">
        <f t="shared" si="90"/>
        <v>0</v>
      </c>
      <c r="CV46" s="5">
        <f t="shared" si="91"/>
        <v>0</v>
      </c>
      <c r="CW46" s="6">
        <f t="shared" si="92"/>
        <v>0</v>
      </c>
      <c r="CY46" s="7">
        <v>0</v>
      </c>
      <c r="CZ46" s="5">
        <f t="array" ref="CZ46">Summary_UpperBound</f>
        <v>0</v>
      </c>
      <c r="DA46" s="6">
        <f>IF(ROUND(CZ46-CY46,0)=0,1/IF(Summary!$B$7="minutes",1,60),CZ46-CY46)</f>
        <v>1.6666666666666666E-2</v>
      </c>
    </row>
    <row r="47" spans="2:105" x14ac:dyDescent="0.25">
      <c r="B47" s="14"/>
      <c r="E47" s="12">
        <f t="shared" ca="1" si="93"/>
        <v>44522</v>
      </c>
      <c r="F47" s="7">
        <f t="shared" si="0"/>
        <v>0</v>
      </c>
      <c r="G47" s="6">
        <f t="shared" si="1"/>
        <v>0</v>
      </c>
      <c r="H47" s="7">
        <f t="shared" si="2"/>
        <v>0</v>
      </c>
      <c r="I47" s="6">
        <f t="shared" si="3"/>
        <v>0</v>
      </c>
      <c r="J47" s="5">
        <f t="shared" si="4"/>
        <v>0</v>
      </c>
      <c r="K47" s="6">
        <f t="shared" si="5"/>
        <v>0</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0</v>
      </c>
      <c r="CT47" s="7">
        <f t="shared" si="90"/>
        <v>0</v>
      </c>
      <c r="CU47" s="7">
        <f t="shared" si="90"/>
        <v>0</v>
      </c>
      <c r="CV47" s="5">
        <f t="shared" si="91"/>
        <v>0</v>
      </c>
      <c r="CW47" s="6">
        <f t="shared" si="92"/>
        <v>0</v>
      </c>
      <c r="CY47" s="7">
        <v>0</v>
      </c>
      <c r="CZ47" s="5">
        <f t="array" ref="CZ47">Summary_UpperBound</f>
        <v>0</v>
      </c>
      <c r="DA47" s="6">
        <f>IF(ROUND(CZ47-CY47,0)=0,1/IF(Summary!$B$7="minutes",1,60),CZ47-CY47)</f>
        <v>1.6666666666666666E-2</v>
      </c>
    </row>
    <row r="48" spans="2:105" x14ac:dyDescent="0.25">
      <c r="B48" s="14"/>
      <c r="E48" s="12">
        <f t="shared" ca="1" si="93"/>
        <v>44529</v>
      </c>
      <c r="F48" s="7">
        <f t="shared" si="0"/>
        <v>0</v>
      </c>
      <c r="G48" s="6">
        <f t="shared" si="1"/>
        <v>0</v>
      </c>
      <c r="H48" s="7">
        <f t="shared" si="2"/>
        <v>0</v>
      </c>
      <c r="I48" s="6">
        <f t="shared" si="3"/>
        <v>0</v>
      </c>
      <c r="J48" s="5">
        <f t="shared" si="4"/>
        <v>0</v>
      </c>
      <c r="K48" s="6">
        <f t="shared" si="5"/>
        <v>0</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0</v>
      </c>
      <c r="CT48" s="7">
        <f t="shared" si="90"/>
        <v>0</v>
      </c>
      <c r="CU48" s="7">
        <f t="shared" si="90"/>
        <v>0</v>
      </c>
      <c r="CV48" s="5">
        <f t="shared" si="91"/>
        <v>0</v>
      </c>
      <c r="CW48" s="6">
        <f t="shared" si="92"/>
        <v>0</v>
      </c>
      <c r="CY48" s="7">
        <v>0</v>
      </c>
      <c r="CZ48" s="5">
        <f t="array" ref="CZ48">Summary_UpperBound</f>
        <v>0</v>
      </c>
      <c r="DA48" s="6">
        <f>IF(ROUND(CZ48-CY48,0)=0,1/IF(Summary!$B$7="minutes",1,60),CZ48-CY48)</f>
        <v>1.6666666666666666E-2</v>
      </c>
    </row>
    <row r="49" spans="2:105" x14ac:dyDescent="0.25">
      <c r="B49" s="14"/>
      <c r="E49" s="12">
        <f t="shared" ca="1" si="93"/>
        <v>44536</v>
      </c>
      <c r="F49" s="7">
        <f t="shared" si="0"/>
        <v>0</v>
      </c>
      <c r="G49" s="6">
        <f t="shared" si="1"/>
        <v>0</v>
      </c>
      <c r="H49" s="7">
        <f t="shared" si="2"/>
        <v>0</v>
      </c>
      <c r="I49" s="6">
        <f t="shared" si="3"/>
        <v>0</v>
      </c>
      <c r="J49" s="5">
        <f t="shared" si="4"/>
        <v>0</v>
      </c>
      <c r="K49" s="6">
        <f t="shared" si="5"/>
        <v>0</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0</v>
      </c>
      <c r="CT49" s="7">
        <f t="shared" si="90"/>
        <v>0</v>
      </c>
      <c r="CU49" s="7">
        <f t="shared" si="90"/>
        <v>0</v>
      </c>
      <c r="CV49" s="5">
        <f t="shared" si="91"/>
        <v>0</v>
      </c>
      <c r="CW49" s="6">
        <f t="shared" si="92"/>
        <v>0</v>
      </c>
      <c r="CY49" s="7">
        <v>0</v>
      </c>
      <c r="CZ49" s="5">
        <f t="array" ref="CZ49">Summary_UpperBound</f>
        <v>0</v>
      </c>
      <c r="DA49" s="6">
        <f>IF(ROUND(CZ49-CY49,0)=0,1/IF(Summary!$B$7="minutes",1,60),CZ49-CY49)</f>
        <v>1.6666666666666666E-2</v>
      </c>
    </row>
    <row r="50" spans="2:105" x14ac:dyDescent="0.25">
      <c r="B50" s="14"/>
      <c r="E50" s="12">
        <f t="shared" ca="1" si="93"/>
        <v>44543</v>
      </c>
      <c r="F50" s="7">
        <f t="shared" si="0"/>
        <v>0</v>
      </c>
      <c r="G50" s="6">
        <f t="shared" si="1"/>
        <v>0</v>
      </c>
      <c r="H50" s="7">
        <f t="shared" si="2"/>
        <v>0</v>
      </c>
      <c r="I50" s="6">
        <f t="shared" si="3"/>
        <v>0</v>
      </c>
      <c r="J50" s="5">
        <f t="shared" si="4"/>
        <v>0</v>
      </c>
      <c r="K50" s="6">
        <f t="shared" si="5"/>
        <v>0</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0</v>
      </c>
      <c r="CT50" s="7">
        <f t="shared" si="90"/>
        <v>0</v>
      </c>
      <c r="CU50" s="7">
        <f t="shared" si="90"/>
        <v>0</v>
      </c>
      <c r="CV50" s="5">
        <f t="shared" si="91"/>
        <v>0</v>
      </c>
      <c r="CW50" s="6">
        <f t="shared" si="92"/>
        <v>0</v>
      </c>
      <c r="CY50" s="7">
        <v>0</v>
      </c>
      <c r="CZ50" s="5">
        <f t="array" ref="CZ50">Summary_UpperBound</f>
        <v>0</v>
      </c>
      <c r="DA50" s="6">
        <f>IF(ROUND(CZ50-CY50,0)=0,1/IF(Summary!$B$7="minutes",1,60),CZ50-CY50)</f>
        <v>1.6666666666666666E-2</v>
      </c>
    </row>
    <row r="51" spans="2:105" x14ac:dyDescent="0.25">
      <c r="B51" s="14"/>
      <c r="E51" s="12">
        <f t="shared" ca="1" si="93"/>
        <v>44550</v>
      </c>
      <c r="F51" s="7">
        <f t="shared" si="0"/>
        <v>0</v>
      </c>
      <c r="G51" s="6">
        <f t="shared" si="1"/>
        <v>0</v>
      </c>
      <c r="H51" s="7">
        <f t="shared" si="2"/>
        <v>0</v>
      </c>
      <c r="I51" s="6">
        <f t="shared" si="3"/>
        <v>0</v>
      </c>
      <c r="J51" s="5">
        <f t="shared" si="4"/>
        <v>0</v>
      </c>
      <c r="K51" s="6">
        <f t="shared" si="5"/>
        <v>0</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0</v>
      </c>
      <c r="CT51" s="7">
        <f t="shared" si="90"/>
        <v>0</v>
      </c>
      <c r="CU51" s="7">
        <f t="shared" si="90"/>
        <v>0</v>
      </c>
      <c r="CV51" s="5">
        <f t="shared" si="91"/>
        <v>0</v>
      </c>
      <c r="CW51" s="6">
        <f t="shared" si="92"/>
        <v>0</v>
      </c>
      <c r="CY51" s="7">
        <v>0</v>
      </c>
      <c r="CZ51" s="5">
        <f t="array" ref="CZ51">Summary_UpperBound</f>
        <v>0</v>
      </c>
      <c r="DA51" s="6">
        <f>IF(ROUND(CZ51-CY51,0)=0,1/IF(Summary!$B$7="minutes",1,60),CZ51-CY51)</f>
        <v>1.6666666666666666E-2</v>
      </c>
    </row>
    <row r="52" spans="2:105" x14ac:dyDescent="0.25">
      <c r="B52" s="14"/>
      <c r="E52" s="12">
        <f t="shared" ca="1" si="93"/>
        <v>44557</v>
      </c>
      <c r="F52" s="7">
        <f t="shared" si="0"/>
        <v>0</v>
      </c>
      <c r="G52" s="6">
        <f t="shared" si="1"/>
        <v>0</v>
      </c>
      <c r="H52" s="7">
        <f t="shared" si="2"/>
        <v>0</v>
      </c>
      <c r="I52" s="6">
        <f t="shared" si="3"/>
        <v>0</v>
      </c>
      <c r="J52" s="5">
        <f t="shared" si="4"/>
        <v>0</v>
      </c>
      <c r="K52" s="6">
        <f t="shared" si="5"/>
        <v>0</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0</v>
      </c>
      <c r="CT52" s="7">
        <f t="shared" si="90"/>
        <v>0</v>
      </c>
      <c r="CU52" s="7">
        <f t="shared" si="90"/>
        <v>0</v>
      </c>
      <c r="CV52" s="5">
        <f t="shared" si="91"/>
        <v>0</v>
      </c>
      <c r="CW52" s="6">
        <f t="shared" si="92"/>
        <v>0</v>
      </c>
      <c r="CY52" s="7">
        <v>0</v>
      </c>
      <c r="CZ52" s="5">
        <f t="array" ref="CZ52">Summary_UpperBound</f>
        <v>0</v>
      </c>
      <c r="DA52" s="6">
        <f>IF(ROUND(CZ52-CY52,0)=0,1/IF(Summary!$B$7="minutes",1,60),CZ52-CY52)</f>
        <v>1.6666666666666666E-2</v>
      </c>
    </row>
    <row r="53" spans="2:105" x14ac:dyDescent="0.25">
      <c r="B53" s="14"/>
      <c r="E53" s="12">
        <f t="shared" ca="1" si="93"/>
        <v>44564</v>
      </c>
      <c r="F53" s="7">
        <f t="shared" si="0"/>
        <v>0</v>
      </c>
      <c r="G53" s="6">
        <f t="shared" si="1"/>
        <v>0</v>
      </c>
      <c r="H53" s="7">
        <f t="shared" si="2"/>
        <v>0</v>
      </c>
      <c r="I53" s="6">
        <f t="shared" si="3"/>
        <v>0</v>
      </c>
      <c r="J53" s="5">
        <f t="shared" si="4"/>
        <v>0</v>
      </c>
      <c r="K53" s="6">
        <f t="shared" si="5"/>
        <v>0</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0</v>
      </c>
      <c r="CT53" s="7">
        <f t="shared" si="90"/>
        <v>0</v>
      </c>
      <c r="CU53" s="7">
        <f t="shared" si="90"/>
        <v>0</v>
      </c>
      <c r="CV53" s="5">
        <f t="shared" si="91"/>
        <v>0</v>
      </c>
      <c r="CW53" s="6">
        <f t="shared" si="92"/>
        <v>0</v>
      </c>
      <c r="CY53" s="7">
        <v>0</v>
      </c>
      <c r="CZ53" s="5">
        <f t="array" ref="CZ53">Summary_UpperBound</f>
        <v>0</v>
      </c>
      <c r="DA53" s="6">
        <f>IF(ROUND(CZ53-CY53,0)=0,1/IF(Summary!$B$7="minutes",1,60),CZ53-CY53)</f>
        <v>1.6666666666666666E-2</v>
      </c>
    </row>
    <row r="54" spans="2:105" x14ac:dyDescent="0.25">
      <c r="B54" s="14"/>
      <c r="E54" s="12">
        <f t="shared" ca="1" si="93"/>
        <v>44571</v>
      </c>
      <c r="F54" s="7">
        <f t="shared" si="0"/>
        <v>0</v>
      </c>
      <c r="G54" s="6">
        <f t="shared" si="1"/>
        <v>0</v>
      </c>
      <c r="H54" s="7">
        <f t="shared" si="2"/>
        <v>0</v>
      </c>
      <c r="I54" s="6">
        <f t="shared" si="3"/>
        <v>0</v>
      </c>
      <c r="J54" s="5">
        <f t="shared" si="4"/>
        <v>0</v>
      </c>
      <c r="K54" s="6">
        <f t="shared" si="5"/>
        <v>0</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0</v>
      </c>
      <c r="CT54" s="7">
        <f t="shared" si="90"/>
        <v>0</v>
      </c>
      <c r="CU54" s="7">
        <f t="shared" si="90"/>
        <v>0</v>
      </c>
      <c r="CV54" s="5">
        <f t="shared" si="91"/>
        <v>0</v>
      </c>
      <c r="CW54" s="6">
        <f t="shared" si="92"/>
        <v>0</v>
      </c>
      <c r="CY54" s="7">
        <v>0</v>
      </c>
      <c r="CZ54" s="5">
        <f t="array" ref="CZ54">Summary_UpperBound</f>
        <v>0</v>
      </c>
      <c r="DA54" s="6">
        <f>IF(ROUND(CZ54-CY54,0)=0,1/IF(Summary!$B$7="minutes",1,60),CZ54-CY54)</f>
        <v>1.6666666666666666E-2</v>
      </c>
    </row>
    <row r="55" spans="2:105" x14ac:dyDescent="0.25">
      <c r="B55" s="14"/>
      <c r="E55" s="12">
        <f t="shared" ca="1" si="93"/>
        <v>44578</v>
      </c>
      <c r="F55" s="7">
        <f t="shared" si="0"/>
        <v>0</v>
      </c>
      <c r="G55" s="6">
        <f t="shared" si="1"/>
        <v>0</v>
      </c>
      <c r="H55" s="7">
        <f t="shared" si="2"/>
        <v>0</v>
      </c>
      <c r="I55" s="6">
        <f t="shared" si="3"/>
        <v>0</v>
      </c>
      <c r="J55" s="5">
        <f t="shared" si="4"/>
        <v>0</v>
      </c>
      <c r="K55" s="6">
        <f t="shared" si="5"/>
        <v>0</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0</v>
      </c>
      <c r="CT55" s="7">
        <f t="shared" si="90"/>
        <v>0</v>
      </c>
      <c r="CU55" s="7">
        <f t="shared" si="90"/>
        <v>0</v>
      </c>
      <c r="CV55" s="5">
        <f t="shared" si="91"/>
        <v>0</v>
      </c>
      <c r="CW55" s="6">
        <f t="shared" si="92"/>
        <v>0</v>
      </c>
      <c r="CY55" s="7">
        <v>0</v>
      </c>
      <c r="CZ55" s="5">
        <f t="array" ref="CZ55">Summary_UpperBound</f>
        <v>0</v>
      </c>
      <c r="DA55" s="6">
        <f>IF(ROUND(CZ55-CY55,0)=0,1/IF(Summary!$B$7="minutes",1,60),CZ55-CY55)</f>
        <v>1.6666666666666666E-2</v>
      </c>
    </row>
    <row r="56" spans="2:105" ht="15.75" thickBot="1" x14ac:dyDescent="0.3">
      <c r="B56" s="14"/>
      <c r="E56" s="13">
        <f t="shared" ca="1" si="93"/>
        <v>44585</v>
      </c>
      <c r="F56" s="8">
        <f t="shared" si="0"/>
        <v>0</v>
      </c>
      <c r="G56" s="10">
        <f t="shared" si="1"/>
        <v>0</v>
      </c>
      <c r="H56" s="8">
        <f t="shared" si="2"/>
        <v>0</v>
      </c>
      <c r="I56" s="10">
        <f t="shared" si="3"/>
        <v>0</v>
      </c>
      <c r="J56" s="9">
        <f t="shared" si="4"/>
        <v>0</v>
      </c>
      <c r="K56" s="10">
        <f t="shared" si="5"/>
        <v>0</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0</v>
      </c>
      <c r="CT56" s="7">
        <f t="shared" si="90"/>
        <v>0</v>
      </c>
      <c r="CU56" s="7">
        <f t="shared" si="90"/>
        <v>0</v>
      </c>
      <c r="CV56" s="9">
        <f t="shared" si="91"/>
        <v>0</v>
      </c>
      <c r="CW56" s="10">
        <f t="shared" si="92"/>
        <v>0</v>
      </c>
      <c r="CY56" s="8">
        <v>0</v>
      </c>
      <c r="CZ56" s="9">
        <f t="array" ref="CZ56">Summary_UpperBound</f>
        <v>0</v>
      </c>
      <c r="DA56" s="6">
        <f>IF(ROUND(CZ56-CY56,0)=0,1/IF(Summary!$B$7="minutes",1,60),CZ56-CY56)</f>
        <v>1.6666666666666666E-2</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0</v>
      </c>
      <c r="H59" s="5">
        <f t="shared" ref="H59:BR59" si="94">AVERAGE(H5:H56)</f>
        <v>0</v>
      </c>
      <c r="I59" s="5">
        <f>AVERAGE(I5:I56)-H59</f>
        <v>0</v>
      </c>
      <c r="J59" s="5">
        <f t="shared" si="94"/>
        <v>0</v>
      </c>
      <c r="K59" s="5">
        <f>AVERAGE(K5:K56)-J59</f>
        <v>0</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0</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0</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A10" sqref="A10"/>
    </sheetView>
  </sheetViews>
  <sheetFormatPr defaultColWidth="0" defaultRowHeight="15" zeroHeight="1" x14ac:dyDescent="0.25"/>
  <cols>
    <col min="1" max="1" width="8.7109375" customWidth="1"/>
    <col min="2" max="2" width="17.7109375" bestFit="1" customWidth="1"/>
    <col min="3" max="5" width="3.28515625" customWidth="1"/>
    <col min="6" max="17" width="3.28515625" hidden="1" customWidth="1"/>
    <col min="18" max="18" width="13.7109375" bestFit="1" customWidth="1"/>
    <col min="19" max="22" width="8.7109375" customWidth="1"/>
    <col min="23" max="23" width="12" customWidth="1"/>
    <col min="24" max="24" width="8.7109375" customWidth="1"/>
    <col min="25" max="25" width="18.28515625" customWidth="1"/>
    <col min="26" max="28" width="3.28515625" customWidth="1"/>
    <col min="29" max="40" width="3.28515625" hidden="1"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B10" s="120"/>
      <c r="C10" s="135"/>
      <c r="D10" s="144"/>
      <c r="E10" s="144"/>
      <c r="F10" s="144"/>
      <c r="G10" s="144"/>
      <c r="H10" s="144"/>
      <c r="I10" s="144"/>
      <c r="J10" s="144"/>
      <c r="K10" s="144"/>
      <c r="L10" s="144"/>
      <c r="M10" s="144"/>
      <c r="N10" s="144"/>
      <c r="O10" s="144"/>
      <c r="P10" s="144"/>
      <c r="Q10" s="137"/>
      <c r="R10" s="120"/>
      <c r="S10" s="120"/>
      <c r="T10" s="120"/>
      <c r="U10" s="37" t="str">
        <f>IF(T10*S10=0,"",T10*S10)</f>
        <v/>
      </c>
      <c r="V10" s="160" t="str">
        <f>IFERROR(U10/52,"")</f>
        <v/>
      </c>
      <c r="W10" s="160" t="str">
        <f>IFERROR(V10/COUNTIF(C10:Q10,"="&amp;"x"),"")</f>
        <v/>
      </c>
      <c r="X10" s="5"/>
      <c r="Y10" s="120"/>
      <c r="Z10" s="135"/>
      <c r="AA10" s="144"/>
      <c r="AB10" s="144"/>
      <c r="AC10" s="144"/>
      <c r="AD10" s="144"/>
      <c r="AE10" s="144"/>
      <c r="AF10" s="144"/>
      <c r="AG10" s="144"/>
      <c r="AH10" s="144"/>
      <c r="AI10" s="144"/>
      <c r="AJ10" s="144"/>
      <c r="AK10" s="144"/>
      <c r="AL10" s="144"/>
      <c r="AM10" s="144"/>
      <c r="AN10" s="137"/>
      <c r="AO10" s="120"/>
      <c r="AP10" s="120"/>
      <c r="AQ10" s="120"/>
      <c r="AR10" s="37" t="str">
        <f>IF(AQ10*AP10=0,"",AQ10*AP10)</f>
        <v/>
      </c>
      <c r="AS10" s="160" t="str">
        <f t="shared" ref="AS10:AS73" si="0">IFERROR(AR10/52,"")</f>
        <v/>
      </c>
      <c r="AT10" s="160" t="str">
        <f>IFERROR(AS10/COUNTIF(Z10:AN10,"="&amp;"x"),"")</f>
        <v/>
      </c>
    </row>
    <row r="11" spans="1:46" x14ac:dyDescent="0.25">
      <c r="B11" s="121"/>
      <c r="C11" s="138"/>
      <c r="D11" s="123"/>
      <c r="E11" s="123"/>
      <c r="F11" s="123"/>
      <c r="G11" s="123"/>
      <c r="H11" s="123"/>
      <c r="I11" s="123"/>
      <c r="J11" s="123"/>
      <c r="K11" s="123"/>
      <c r="L11" s="123"/>
      <c r="M11" s="123"/>
      <c r="N11" s="123"/>
      <c r="O11" s="123"/>
      <c r="P11" s="123"/>
      <c r="Q11" s="140"/>
      <c r="R11" s="121"/>
      <c r="S11" s="121"/>
      <c r="T11" s="121"/>
      <c r="U11" s="47" t="str">
        <f t="shared" ref="U11:U74" si="1">IF(T11*S11=0,"",T11*S11)</f>
        <v/>
      </c>
      <c r="V11" s="161" t="str">
        <f t="shared" ref="V11:V73" si="2">IFERROR(U11/52,"")</f>
        <v/>
      </c>
      <c r="W11" s="161" t="str">
        <f t="shared" ref="W11:W74" si="3">IFERROR(V11/COUNTIF(C11:Q11,"="&amp;"x"),"")</f>
        <v/>
      </c>
      <c r="X11" s="5"/>
      <c r="Y11" s="121"/>
      <c r="Z11" s="138"/>
      <c r="AA11" s="123"/>
      <c r="AB11" s="123"/>
      <c r="AC11" s="123"/>
      <c r="AD11" s="123"/>
      <c r="AE11" s="123"/>
      <c r="AF11" s="123"/>
      <c r="AG11" s="123"/>
      <c r="AH11" s="123"/>
      <c r="AI11" s="123"/>
      <c r="AJ11" s="123"/>
      <c r="AK11" s="123"/>
      <c r="AL11" s="123"/>
      <c r="AM11" s="123"/>
      <c r="AN11" s="140"/>
      <c r="AO11" s="121"/>
      <c r="AP11" s="121"/>
      <c r="AQ11" s="121"/>
      <c r="AR11" s="47" t="str">
        <f t="shared" ref="AR11:AR74" si="4">IF(AQ11*AP11=0,"",AQ11*AP11)</f>
        <v/>
      </c>
      <c r="AS11" s="161" t="str">
        <f t="shared" si="0"/>
        <v/>
      </c>
      <c r="AT11" s="161" t="str">
        <f t="shared" ref="AT11:AT74" si="5">IFERROR(AS11/COUNTIF(Z11:AN11,"="&amp;"x"),"")</f>
        <v/>
      </c>
    </row>
    <row r="12" spans="1:46" x14ac:dyDescent="0.25">
      <c r="B12" s="121"/>
      <c r="C12" s="138"/>
      <c r="D12" s="123"/>
      <c r="E12" s="123"/>
      <c r="F12" s="123"/>
      <c r="G12" s="123"/>
      <c r="H12" s="123"/>
      <c r="I12" s="123"/>
      <c r="J12" s="123"/>
      <c r="K12" s="123"/>
      <c r="L12" s="123"/>
      <c r="M12" s="123"/>
      <c r="N12" s="123"/>
      <c r="O12" s="123"/>
      <c r="P12" s="123"/>
      <c r="Q12" s="140"/>
      <c r="R12" s="121"/>
      <c r="S12" s="121"/>
      <c r="T12" s="121"/>
      <c r="U12" s="47" t="str">
        <f t="shared" si="1"/>
        <v/>
      </c>
      <c r="V12" s="161" t="str">
        <f t="shared" si="2"/>
        <v/>
      </c>
      <c r="W12" s="161" t="str">
        <f t="shared" si="3"/>
        <v/>
      </c>
      <c r="X12" s="5"/>
      <c r="Y12" s="121"/>
      <c r="Z12" s="138"/>
      <c r="AA12" s="123"/>
      <c r="AB12" s="123"/>
      <c r="AC12" s="123"/>
      <c r="AD12" s="123"/>
      <c r="AE12" s="123"/>
      <c r="AF12" s="123"/>
      <c r="AG12" s="123"/>
      <c r="AH12" s="123"/>
      <c r="AI12" s="123"/>
      <c r="AJ12" s="123"/>
      <c r="AK12" s="123"/>
      <c r="AL12" s="123"/>
      <c r="AM12" s="123"/>
      <c r="AN12" s="140"/>
      <c r="AO12" s="121"/>
      <c r="AP12" s="121"/>
      <c r="AQ12" s="121"/>
      <c r="AR12" s="47" t="str">
        <f t="shared" si="4"/>
        <v/>
      </c>
      <c r="AS12" s="161" t="str">
        <f t="shared" si="0"/>
        <v/>
      </c>
      <c r="AT12" s="161" t="str">
        <f t="shared" si="5"/>
        <v/>
      </c>
    </row>
    <row r="13" spans="1:46" x14ac:dyDescent="0.25">
      <c r="B13" s="121"/>
      <c r="C13" s="138"/>
      <c r="D13" s="123"/>
      <c r="E13" s="123"/>
      <c r="F13" s="123"/>
      <c r="G13" s="123"/>
      <c r="H13" s="123"/>
      <c r="I13" s="123"/>
      <c r="J13" s="123"/>
      <c r="K13" s="123"/>
      <c r="L13" s="123"/>
      <c r="M13" s="123"/>
      <c r="N13" s="123"/>
      <c r="O13" s="123"/>
      <c r="P13" s="123"/>
      <c r="Q13" s="140"/>
      <c r="R13" s="121"/>
      <c r="S13" s="121"/>
      <c r="T13" s="121"/>
      <c r="U13" s="47" t="str">
        <f t="shared" si="1"/>
        <v/>
      </c>
      <c r="V13" s="161" t="str">
        <f t="shared" si="2"/>
        <v/>
      </c>
      <c r="W13" s="161" t="str">
        <f t="shared" si="3"/>
        <v/>
      </c>
      <c r="X13" s="5"/>
      <c r="Y13" s="121"/>
      <c r="Z13" s="138"/>
      <c r="AA13" s="123"/>
      <c r="AB13" s="123"/>
      <c r="AC13" s="123"/>
      <c r="AD13" s="123"/>
      <c r="AE13" s="123"/>
      <c r="AF13" s="123"/>
      <c r="AG13" s="123"/>
      <c r="AH13" s="123"/>
      <c r="AI13" s="123"/>
      <c r="AJ13" s="123"/>
      <c r="AK13" s="123"/>
      <c r="AL13" s="123"/>
      <c r="AM13" s="123"/>
      <c r="AN13" s="140"/>
      <c r="AO13" s="121"/>
      <c r="AP13" s="121"/>
      <c r="AQ13" s="121"/>
      <c r="AR13" s="47" t="str">
        <f t="shared" si="4"/>
        <v/>
      </c>
      <c r="AS13" s="161" t="str">
        <f t="shared" si="0"/>
        <v/>
      </c>
      <c r="AT13" s="161" t="str">
        <f t="shared" si="5"/>
        <v/>
      </c>
    </row>
    <row r="14" spans="1:46" x14ac:dyDescent="0.25">
      <c r="B14" s="121"/>
      <c r="C14" s="138"/>
      <c r="D14" s="123"/>
      <c r="E14" s="123"/>
      <c r="F14" s="123"/>
      <c r="G14" s="123"/>
      <c r="H14" s="123"/>
      <c r="I14" s="123"/>
      <c r="J14" s="123"/>
      <c r="K14" s="123"/>
      <c r="L14" s="123"/>
      <c r="M14" s="123"/>
      <c r="N14" s="123"/>
      <c r="O14" s="123"/>
      <c r="P14" s="123"/>
      <c r="Q14" s="140"/>
      <c r="R14" s="121"/>
      <c r="S14" s="121"/>
      <c r="T14" s="121"/>
      <c r="U14" s="47" t="str">
        <f t="shared" si="1"/>
        <v/>
      </c>
      <c r="V14" s="161" t="str">
        <f t="shared" si="2"/>
        <v/>
      </c>
      <c r="W14" s="161" t="str">
        <f t="shared" si="3"/>
        <v/>
      </c>
      <c r="X14" s="5"/>
      <c r="Y14" s="121"/>
      <c r="Z14" s="138"/>
      <c r="AA14" s="123"/>
      <c r="AB14" s="123"/>
      <c r="AC14" s="123"/>
      <c r="AD14" s="123"/>
      <c r="AE14" s="123"/>
      <c r="AF14" s="123"/>
      <c r="AG14" s="123"/>
      <c r="AH14" s="123"/>
      <c r="AI14" s="123"/>
      <c r="AJ14" s="123"/>
      <c r="AK14" s="123"/>
      <c r="AL14" s="123"/>
      <c r="AM14" s="123"/>
      <c r="AN14" s="140"/>
      <c r="AO14" s="121"/>
      <c r="AP14" s="121"/>
      <c r="AQ14" s="121"/>
      <c r="AR14" s="47" t="str">
        <f t="shared" si="4"/>
        <v/>
      </c>
      <c r="AS14" s="161" t="str">
        <f t="shared" si="0"/>
        <v/>
      </c>
      <c r="AT14" s="161" t="str">
        <f t="shared" si="5"/>
        <v/>
      </c>
    </row>
    <row r="15" spans="1:46" x14ac:dyDescent="0.25">
      <c r="B15" s="121"/>
      <c r="C15" s="138"/>
      <c r="D15" s="123"/>
      <c r="E15" s="123"/>
      <c r="F15" s="123"/>
      <c r="G15" s="123"/>
      <c r="H15" s="123"/>
      <c r="I15" s="123"/>
      <c r="J15" s="123"/>
      <c r="K15" s="123"/>
      <c r="L15" s="123"/>
      <c r="M15" s="123"/>
      <c r="N15" s="123"/>
      <c r="O15" s="123"/>
      <c r="P15" s="123"/>
      <c r="Q15" s="140"/>
      <c r="R15" s="121"/>
      <c r="S15" s="121"/>
      <c r="T15" s="121"/>
      <c r="U15" s="47" t="str">
        <f t="shared" si="1"/>
        <v/>
      </c>
      <c r="V15" s="161" t="str">
        <f t="shared" si="2"/>
        <v/>
      </c>
      <c r="W15" s="161" t="str">
        <f t="shared" si="3"/>
        <v/>
      </c>
      <c r="X15" s="5"/>
      <c r="Y15" s="121"/>
      <c r="Z15" s="138"/>
      <c r="AA15" s="123"/>
      <c r="AB15" s="123"/>
      <c r="AC15" s="123"/>
      <c r="AD15" s="123"/>
      <c r="AE15" s="123"/>
      <c r="AF15" s="123"/>
      <c r="AG15" s="123"/>
      <c r="AH15" s="123"/>
      <c r="AI15" s="123"/>
      <c r="AJ15" s="123"/>
      <c r="AK15" s="123"/>
      <c r="AL15" s="123"/>
      <c r="AM15" s="123"/>
      <c r="AN15" s="140"/>
      <c r="AO15" s="121"/>
      <c r="AP15" s="121"/>
      <c r="AQ15" s="121"/>
      <c r="AR15" s="47" t="str">
        <f t="shared" si="4"/>
        <v/>
      </c>
      <c r="AS15" s="161" t="str">
        <f t="shared" si="0"/>
        <v/>
      </c>
      <c r="AT15" s="161" t="str">
        <f t="shared" si="5"/>
        <v/>
      </c>
    </row>
    <row r="16" spans="1:46" x14ac:dyDescent="0.25">
      <c r="B16" s="121"/>
      <c r="C16" s="138"/>
      <c r="D16" s="123"/>
      <c r="E16" s="123"/>
      <c r="F16" s="123"/>
      <c r="G16" s="123"/>
      <c r="H16" s="123"/>
      <c r="I16" s="123"/>
      <c r="J16" s="123"/>
      <c r="K16" s="123"/>
      <c r="L16" s="123"/>
      <c r="M16" s="123"/>
      <c r="N16" s="123"/>
      <c r="O16" s="123"/>
      <c r="P16" s="123"/>
      <c r="Q16" s="140"/>
      <c r="R16" s="121"/>
      <c r="S16" s="121"/>
      <c r="T16" s="121"/>
      <c r="U16" s="47" t="str">
        <f t="shared" si="1"/>
        <v/>
      </c>
      <c r="V16" s="161" t="str">
        <f t="shared" si="2"/>
        <v/>
      </c>
      <c r="W16" s="161" t="str">
        <f t="shared" si="3"/>
        <v/>
      </c>
      <c r="X16" s="5"/>
      <c r="Y16" s="121"/>
      <c r="Z16" s="138"/>
      <c r="AA16" s="123"/>
      <c r="AB16" s="123"/>
      <c r="AC16" s="123"/>
      <c r="AD16" s="123"/>
      <c r="AE16" s="123"/>
      <c r="AF16" s="123"/>
      <c r="AG16" s="123"/>
      <c r="AH16" s="123"/>
      <c r="AI16" s="123"/>
      <c r="AJ16" s="123"/>
      <c r="AK16" s="123"/>
      <c r="AL16" s="123"/>
      <c r="AM16" s="123"/>
      <c r="AN16" s="140"/>
      <c r="AO16" s="121"/>
      <c r="AP16" s="121"/>
      <c r="AQ16" s="121"/>
      <c r="AR16" s="47" t="str">
        <f t="shared" si="4"/>
        <v/>
      </c>
      <c r="AS16" s="161" t="str">
        <f t="shared" si="0"/>
        <v/>
      </c>
      <c r="AT16" s="161" t="str">
        <f t="shared" si="5"/>
        <v/>
      </c>
    </row>
    <row r="17" spans="2:46" x14ac:dyDescent="0.25">
      <c r="B17" s="121"/>
      <c r="C17" s="138"/>
      <c r="D17" s="123"/>
      <c r="E17" s="123"/>
      <c r="F17" s="123"/>
      <c r="G17" s="123"/>
      <c r="H17" s="123"/>
      <c r="I17" s="123"/>
      <c r="J17" s="123"/>
      <c r="K17" s="123"/>
      <c r="L17" s="123"/>
      <c r="M17" s="123"/>
      <c r="N17" s="123"/>
      <c r="O17" s="123"/>
      <c r="P17" s="123"/>
      <c r="Q17" s="140"/>
      <c r="R17" s="121"/>
      <c r="S17" s="121"/>
      <c r="T17" s="121"/>
      <c r="U17" s="47" t="str">
        <f t="shared" si="1"/>
        <v/>
      </c>
      <c r="V17" s="161" t="str">
        <f t="shared" si="2"/>
        <v/>
      </c>
      <c r="W17" s="161" t="str">
        <f t="shared" si="3"/>
        <v/>
      </c>
      <c r="X17" s="5"/>
      <c r="Y17" s="121"/>
      <c r="Z17" s="138"/>
      <c r="AA17" s="123"/>
      <c r="AB17" s="123"/>
      <c r="AC17" s="123"/>
      <c r="AD17" s="123"/>
      <c r="AE17" s="123"/>
      <c r="AF17" s="123"/>
      <c r="AG17" s="123"/>
      <c r="AH17" s="123"/>
      <c r="AI17" s="123"/>
      <c r="AJ17" s="123"/>
      <c r="AK17" s="123"/>
      <c r="AL17" s="123"/>
      <c r="AM17" s="123"/>
      <c r="AN17" s="140"/>
      <c r="AO17" s="121"/>
      <c r="AP17" s="121"/>
      <c r="AQ17" s="121"/>
      <c r="AR17" s="47" t="str">
        <f t="shared" si="4"/>
        <v/>
      </c>
      <c r="AS17" s="161" t="str">
        <f t="shared" si="0"/>
        <v/>
      </c>
      <c r="AT17" s="161" t="str">
        <f t="shared" si="5"/>
        <v/>
      </c>
    </row>
    <row r="18" spans="2:46" x14ac:dyDescent="0.25">
      <c r="B18" s="121"/>
      <c r="C18" s="138"/>
      <c r="D18" s="123"/>
      <c r="E18" s="123"/>
      <c r="F18" s="123"/>
      <c r="G18" s="123"/>
      <c r="H18" s="123"/>
      <c r="I18" s="123"/>
      <c r="J18" s="123"/>
      <c r="K18" s="123"/>
      <c r="L18" s="123"/>
      <c r="M18" s="123"/>
      <c r="N18" s="123"/>
      <c r="O18" s="123"/>
      <c r="P18" s="123"/>
      <c r="Q18" s="140"/>
      <c r="R18" s="121"/>
      <c r="S18" s="121"/>
      <c r="T18" s="121"/>
      <c r="U18" s="47" t="str">
        <f t="shared" si="1"/>
        <v/>
      </c>
      <c r="V18" s="161" t="str">
        <f t="shared" si="2"/>
        <v/>
      </c>
      <c r="W18" s="161" t="str">
        <f t="shared" si="3"/>
        <v/>
      </c>
      <c r="X18" s="5"/>
      <c r="Y18" s="121"/>
      <c r="Z18" s="138"/>
      <c r="AA18" s="123"/>
      <c r="AB18" s="123"/>
      <c r="AC18" s="123"/>
      <c r="AD18" s="123"/>
      <c r="AE18" s="123"/>
      <c r="AF18" s="123"/>
      <c r="AG18" s="123"/>
      <c r="AH18" s="123"/>
      <c r="AI18" s="123"/>
      <c r="AJ18" s="123"/>
      <c r="AK18" s="123"/>
      <c r="AL18" s="123"/>
      <c r="AM18" s="123"/>
      <c r="AN18" s="140"/>
      <c r="AO18" s="121"/>
      <c r="AP18" s="121"/>
      <c r="AQ18" s="121"/>
      <c r="AR18" s="47" t="str">
        <f t="shared" si="4"/>
        <v/>
      </c>
      <c r="AS18" s="161" t="str">
        <f t="shared" si="0"/>
        <v/>
      </c>
      <c r="AT18" s="161" t="str">
        <f t="shared" si="5"/>
        <v/>
      </c>
    </row>
    <row r="19" spans="2:46" x14ac:dyDescent="0.25">
      <c r="B19" s="121"/>
      <c r="C19" s="138"/>
      <c r="D19" s="123"/>
      <c r="E19" s="123"/>
      <c r="F19" s="123"/>
      <c r="G19" s="123"/>
      <c r="H19" s="123"/>
      <c r="I19" s="123"/>
      <c r="J19" s="123"/>
      <c r="K19" s="123"/>
      <c r="L19" s="123"/>
      <c r="M19" s="123"/>
      <c r="N19" s="123"/>
      <c r="O19" s="123"/>
      <c r="P19" s="123"/>
      <c r="Q19" s="140"/>
      <c r="R19" s="121"/>
      <c r="S19" s="121"/>
      <c r="T19" s="121"/>
      <c r="U19" s="47" t="str">
        <f t="shared" si="1"/>
        <v/>
      </c>
      <c r="V19" s="161" t="str">
        <f t="shared" si="2"/>
        <v/>
      </c>
      <c r="W19" s="161" t="str">
        <f t="shared" si="3"/>
        <v/>
      </c>
      <c r="Y19" s="121"/>
      <c r="Z19" s="138"/>
      <c r="AA19" s="123"/>
      <c r="AB19" s="123"/>
      <c r="AC19" s="123"/>
      <c r="AD19" s="123"/>
      <c r="AE19" s="123"/>
      <c r="AF19" s="123"/>
      <c r="AG19" s="123"/>
      <c r="AH19" s="123"/>
      <c r="AI19" s="123"/>
      <c r="AJ19" s="123"/>
      <c r="AK19" s="123"/>
      <c r="AL19" s="123"/>
      <c r="AM19" s="123"/>
      <c r="AN19" s="140"/>
      <c r="AO19" s="121"/>
      <c r="AP19" s="121"/>
      <c r="AQ19" s="121"/>
      <c r="AR19" s="47" t="str">
        <f t="shared" si="4"/>
        <v/>
      </c>
      <c r="AS19" s="161" t="str">
        <f t="shared" si="0"/>
        <v/>
      </c>
      <c r="AT19" s="161" t="str">
        <f t="shared" si="5"/>
        <v/>
      </c>
    </row>
    <row r="20" spans="2:46" x14ac:dyDescent="0.25">
      <c r="B20" s="121"/>
      <c r="C20" s="138"/>
      <c r="D20" s="123"/>
      <c r="E20" s="123"/>
      <c r="F20" s="123"/>
      <c r="G20" s="123"/>
      <c r="H20" s="123"/>
      <c r="I20" s="123"/>
      <c r="J20" s="123"/>
      <c r="K20" s="123"/>
      <c r="L20" s="123"/>
      <c r="M20" s="123"/>
      <c r="N20" s="123"/>
      <c r="O20" s="123"/>
      <c r="P20" s="123"/>
      <c r="Q20" s="140"/>
      <c r="R20" s="121"/>
      <c r="S20" s="121"/>
      <c r="T20" s="121"/>
      <c r="U20" s="47" t="str">
        <f t="shared" si="1"/>
        <v/>
      </c>
      <c r="V20" s="161" t="str">
        <f t="shared" si="2"/>
        <v/>
      </c>
      <c r="W20" s="161" t="str">
        <f t="shared" si="3"/>
        <v/>
      </c>
      <c r="Y20" s="121"/>
      <c r="Z20" s="138"/>
      <c r="AA20" s="123"/>
      <c r="AB20" s="123"/>
      <c r="AC20" s="123"/>
      <c r="AD20" s="123"/>
      <c r="AE20" s="123"/>
      <c r="AF20" s="123"/>
      <c r="AG20" s="123"/>
      <c r="AH20" s="123"/>
      <c r="AI20" s="123"/>
      <c r="AJ20" s="123"/>
      <c r="AK20" s="123"/>
      <c r="AL20" s="123"/>
      <c r="AM20" s="123"/>
      <c r="AN20" s="140"/>
      <c r="AO20" s="121"/>
      <c r="AP20" s="121"/>
      <c r="AQ20" s="121"/>
      <c r="AR20" s="47" t="str">
        <f t="shared" si="4"/>
        <v/>
      </c>
      <c r="AS20" s="161" t="str">
        <f t="shared" si="0"/>
        <v/>
      </c>
      <c r="AT20" s="161" t="str">
        <f t="shared" si="5"/>
        <v/>
      </c>
    </row>
    <row r="21" spans="2:46" x14ac:dyDescent="0.25">
      <c r="B21" s="121"/>
      <c r="C21" s="138"/>
      <c r="D21" s="123"/>
      <c r="E21" s="123"/>
      <c r="F21" s="123"/>
      <c r="G21" s="123"/>
      <c r="H21" s="123"/>
      <c r="I21" s="123"/>
      <c r="J21" s="123"/>
      <c r="K21" s="123"/>
      <c r="L21" s="123"/>
      <c r="M21" s="123"/>
      <c r="N21" s="123"/>
      <c r="O21" s="123"/>
      <c r="P21" s="123"/>
      <c r="Q21" s="140"/>
      <c r="R21" s="121"/>
      <c r="S21" s="121"/>
      <c r="T21" s="121"/>
      <c r="U21" s="47" t="str">
        <f t="shared" si="1"/>
        <v/>
      </c>
      <c r="V21" s="161" t="str">
        <f t="shared" si="2"/>
        <v/>
      </c>
      <c r="W21" s="161" t="str">
        <f t="shared" si="3"/>
        <v/>
      </c>
      <c r="Y21" s="121"/>
      <c r="Z21" s="138"/>
      <c r="AA21" s="123"/>
      <c r="AB21" s="123"/>
      <c r="AC21" s="123"/>
      <c r="AD21" s="123"/>
      <c r="AE21" s="123"/>
      <c r="AF21" s="123"/>
      <c r="AG21" s="123"/>
      <c r="AH21" s="123"/>
      <c r="AI21" s="123"/>
      <c r="AJ21" s="123"/>
      <c r="AK21" s="123"/>
      <c r="AL21" s="123"/>
      <c r="AM21" s="123"/>
      <c r="AN21" s="140"/>
      <c r="AO21" s="121"/>
      <c r="AP21" s="121"/>
      <c r="AQ21" s="121"/>
      <c r="AR21" s="47" t="str">
        <f t="shared" si="4"/>
        <v/>
      </c>
      <c r="AS21" s="161" t="str">
        <f t="shared" si="0"/>
        <v/>
      </c>
      <c r="AT21" s="161" t="str">
        <f t="shared" si="5"/>
        <v/>
      </c>
    </row>
    <row r="22" spans="2:46" x14ac:dyDescent="0.25">
      <c r="B22" s="121"/>
      <c r="C22" s="138"/>
      <c r="D22" s="123"/>
      <c r="E22" s="123"/>
      <c r="F22" s="123"/>
      <c r="G22" s="123"/>
      <c r="H22" s="123"/>
      <c r="I22" s="123"/>
      <c r="J22" s="123"/>
      <c r="K22" s="123"/>
      <c r="L22" s="123"/>
      <c r="M22" s="123"/>
      <c r="N22" s="123"/>
      <c r="O22" s="123"/>
      <c r="P22" s="123"/>
      <c r="Q22" s="140"/>
      <c r="R22" s="121"/>
      <c r="S22" s="121"/>
      <c r="T22" s="121"/>
      <c r="U22" s="47" t="str">
        <f t="shared" si="1"/>
        <v/>
      </c>
      <c r="V22" s="161" t="str">
        <f t="shared" si="2"/>
        <v/>
      </c>
      <c r="W22" s="161" t="str">
        <f t="shared" si="3"/>
        <v/>
      </c>
      <c r="Y22" s="121"/>
      <c r="Z22" s="138"/>
      <c r="AA22" s="123"/>
      <c r="AB22" s="123"/>
      <c r="AC22" s="123"/>
      <c r="AD22" s="123"/>
      <c r="AE22" s="123"/>
      <c r="AF22" s="123"/>
      <c r="AG22" s="123"/>
      <c r="AH22" s="123"/>
      <c r="AI22" s="123"/>
      <c r="AJ22" s="123"/>
      <c r="AK22" s="123"/>
      <c r="AL22" s="123"/>
      <c r="AM22" s="123"/>
      <c r="AN22" s="140"/>
      <c r="AO22" s="121"/>
      <c r="AP22" s="121"/>
      <c r="AQ22" s="121"/>
      <c r="AR22" s="47" t="str">
        <f t="shared" si="4"/>
        <v/>
      </c>
      <c r="AS22" s="161" t="str">
        <f t="shared" si="0"/>
        <v/>
      </c>
      <c r="AT22" s="161" t="str">
        <f t="shared" si="5"/>
        <v/>
      </c>
    </row>
    <row r="23" spans="2:46" x14ac:dyDescent="0.25">
      <c r="B23" s="121"/>
      <c r="C23" s="138"/>
      <c r="D23" s="123"/>
      <c r="E23" s="123"/>
      <c r="F23" s="123"/>
      <c r="G23" s="123"/>
      <c r="H23" s="123"/>
      <c r="I23" s="123"/>
      <c r="J23" s="123"/>
      <c r="K23" s="123"/>
      <c r="L23" s="123"/>
      <c r="M23" s="123"/>
      <c r="N23" s="123"/>
      <c r="O23" s="123"/>
      <c r="P23" s="123"/>
      <c r="Q23" s="140"/>
      <c r="R23" s="121"/>
      <c r="S23" s="121"/>
      <c r="T23" s="121"/>
      <c r="U23" s="47" t="str">
        <f t="shared" si="1"/>
        <v/>
      </c>
      <c r="V23" s="161" t="str">
        <f t="shared" si="2"/>
        <v/>
      </c>
      <c r="W23" s="161" t="str">
        <f t="shared" si="3"/>
        <v/>
      </c>
      <c r="Y23" s="121"/>
      <c r="Z23" s="138"/>
      <c r="AA23" s="123"/>
      <c r="AB23" s="123"/>
      <c r="AC23" s="123"/>
      <c r="AD23" s="123"/>
      <c r="AE23" s="123"/>
      <c r="AF23" s="123"/>
      <c r="AG23" s="123"/>
      <c r="AH23" s="123"/>
      <c r="AI23" s="123"/>
      <c r="AJ23" s="123"/>
      <c r="AK23" s="123"/>
      <c r="AL23" s="123"/>
      <c r="AM23" s="123"/>
      <c r="AN23" s="140"/>
      <c r="AO23" s="121"/>
      <c r="AP23" s="121"/>
      <c r="AQ23" s="121"/>
      <c r="AR23" s="47" t="str">
        <f t="shared" si="4"/>
        <v/>
      </c>
      <c r="AS23" s="161" t="str">
        <f t="shared" si="0"/>
        <v/>
      </c>
      <c r="AT23" s="161" t="str">
        <f t="shared" si="5"/>
        <v/>
      </c>
    </row>
    <row r="24" spans="2:46" x14ac:dyDescent="0.25">
      <c r="B24" s="121"/>
      <c r="C24" s="138"/>
      <c r="D24" s="123"/>
      <c r="E24" s="123"/>
      <c r="F24" s="123"/>
      <c r="G24" s="123"/>
      <c r="H24" s="123"/>
      <c r="I24" s="123"/>
      <c r="J24" s="123"/>
      <c r="K24" s="123"/>
      <c r="L24" s="123"/>
      <c r="M24" s="123"/>
      <c r="N24" s="123"/>
      <c r="O24" s="123"/>
      <c r="P24" s="123"/>
      <c r="Q24" s="140"/>
      <c r="R24" s="121"/>
      <c r="S24" s="121"/>
      <c r="T24" s="121"/>
      <c r="U24" s="47" t="str">
        <f t="shared" si="1"/>
        <v/>
      </c>
      <c r="V24" s="161" t="str">
        <f t="shared" si="2"/>
        <v/>
      </c>
      <c r="W24" s="161" t="str">
        <f t="shared" si="3"/>
        <v/>
      </c>
      <c r="Y24" s="121"/>
      <c r="Z24" s="138"/>
      <c r="AA24" s="123"/>
      <c r="AB24" s="123"/>
      <c r="AC24" s="123"/>
      <c r="AD24" s="123"/>
      <c r="AE24" s="123"/>
      <c r="AF24" s="123"/>
      <c r="AG24" s="123"/>
      <c r="AH24" s="123"/>
      <c r="AI24" s="123"/>
      <c r="AJ24" s="123"/>
      <c r="AK24" s="123"/>
      <c r="AL24" s="123"/>
      <c r="AM24" s="123"/>
      <c r="AN24" s="140"/>
      <c r="AO24" s="121"/>
      <c r="AP24" s="121"/>
      <c r="AQ24" s="121"/>
      <c r="AR24" s="47" t="str">
        <f t="shared" si="4"/>
        <v/>
      </c>
      <c r="AS24" s="161" t="str">
        <f t="shared" si="0"/>
        <v/>
      </c>
      <c r="AT24" s="161" t="str">
        <f t="shared" si="5"/>
        <v/>
      </c>
    </row>
    <row r="25" spans="2:46" x14ac:dyDescent="0.25">
      <c r="B25" s="121"/>
      <c r="C25" s="138"/>
      <c r="D25" s="123"/>
      <c r="E25" s="123"/>
      <c r="F25" s="123"/>
      <c r="G25" s="123"/>
      <c r="H25" s="123"/>
      <c r="I25" s="123"/>
      <c r="J25" s="123"/>
      <c r="K25" s="123"/>
      <c r="L25" s="123"/>
      <c r="M25" s="123"/>
      <c r="N25" s="123"/>
      <c r="O25" s="123"/>
      <c r="P25" s="123"/>
      <c r="Q25" s="140"/>
      <c r="R25" s="121"/>
      <c r="S25" s="121"/>
      <c r="T25" s="121"/>
      <c r="U25" s="47" t="str">
        <f t="shared" si="1"/>
        <v/>
      </c>
      <c r="V25" s="161" t="str">
        <f t="shared" si="2"/>
        <v/>
      </c>
      <c r="W25" s="161" t="str">
        <f t="shared" si="3"/>
        <v/>
      </c>
      <c r="Y25" s="121"/>
      <c r="Z25" s="138"/>
      <c r="AA25" s="123"/>
      <c r="AB25" s="123"/>
      <c r="AC25" s="123"/>
      <c r="AD25" s="123"/>
      <c r="AE25" s="123"/>
      <c r="AF25" s="123"/>
      <c r="AG25" s="123"/>
      <c r="AH25" s="123"/>
      <c r="AI25" s="123"/>
      <c r="AJ25" s="123"/>
      <c r="AK25" s="123"/>
      <c r="AL25" s="123"/>
      <c r="AM25" s="123"/>
      <c r="AN25" s="140"/>
      <c r="AO25" s="121"/>
      <c r="AP25" s="121"/>
      <c r="AQ25" s="121"/>
      <c r="AR25" s="47" t="str">
        <f t="shared" si="4"/>
        <v/>
      </c>
      <c r="AS25" s="161" t="str">
        <f t="shared" si="0"/>
        <v/>
      </c>
      <c r="AT25" s="161" t="str">
        <f t="shared" si="5"/>
        <v/>
      </c>
    </row>
    <row r="26" spans="2:46" x14ac:dyDescent="0.25">
      <c r="B26" s="121"/>
      <c r="C26" s="138"/>
      <c r="D26" s="123"/>
      <c r="E26" s="123"/>
      <c r="F26" s="123"/>
      <c r="G26" s="123"/>
      <c r="H26" s="123"/>
      <c r="I26" s="123"/>
      <c r="J26" s="123"/>
      <c r="K26" s="123"/>
      <c r="L26" s="123"/>
      <c r="M26" s="123"/>
      <c r="N26" s="123"/>
      <c r="O26" s="123"/>
      <c r="P26" s="123"/>
      <c r="Q26" s="140"/>
      <c r="R26" s="121"/>
      <c r="S26" s="121"/>
      <c r="T26" s="121"/>
      <c r="U26" s="47" t="str">
        <f t="shared" si="1"/>
        <v/>
      </c>
      <c r="V26" s="161" t="str">
        <f t="shared" si="2"/>
        <v/>
      </c>
      <c r="W26" s="161" t="str">
        <f t="shared" si="3"/>
        <v/>
      </c>
      <c r="Y26" s="121"/>
      <c r="Z26" s="138"/>
      <c r="AA26" s="123"/>
      <c r="AB26" s="123"/>
      <c r="AC26" s="123"/>
      <c r="AD26" s="123"/>
      <c r="AE26" s="123"/>
      <c r="AF26" s="123"/>
      <c r="AG26" s="123"/>
      <c r="AH26" s="123"/>
      <c r="AI26" s="123"/>
      <c r="AJ26" s="123"/>
      <c r="AK26" s="123"/>
      <c r="AL26" s="123"/>
      <c r="AM26" s="123"/>
      <c r="AN26" s="140"/>
      <c r="AO26" s="121"/>
      <c r="AP26" s="121"/>
      <c r="AQ26" s="121"/>
      <c r="AR26" s="47" t="str">
        <f t="shared" si="4"/>
        <v/>
      </c>
      <c r="AS26" s="161" t="str">
        <f t="shared" si="0"/>
        <v/>
      </c>
      <c r="AT26" s="161" t="str">
        <f t="shared" si="5"/>
        <v/>
      </c>
    </row>
    <row r="27" spans="2:46" x14ac:dyDescent="0.25">
      <c r="B27" s="121"/>
      <c r="C27" s="138"/>
      <c r="D27" s="123"/>
      <c r="E27" s="123"/>
      <c r="F27" s="123"/>
      <c r="G27" s="123"/>
      <c r="H27" s="123"/>
      <c r="I27" s="123"/>
      <c r="J27" s="123"/>
      <c r="K27" s="123"/>
      <c r="L27" s="123"/>
      <c r="M27" s="123"/>
      <c r="N27" s="123"/>
      <c r="O27" s="123"/>
      <c r="P27" s="123"/>
      <c r="Q27" s="140"/>
      <c r="R27" s="121"/>
      <c r="S27" s="121"/>
      <c r="T27" s="121"/>
      <c r="U27" s="47" t="str">
        <f t="shared" si="1"/>
        <v/>
      </c>
      <c r="V27" s="161" t="str">
        <f t="shared" si="2"/>
        <v/>
      </c>
      <c r="W27" s="161" t="str">
        <f t="shared" si="3"/>
        <v/>
      </c>
      <c r="Y27" s="121"/>
      <c r="Z27" s="138"/>
      <c r="AA27" s="123"/>
      <c r="AB27" s="123"/>
      <c r="AC27" s="123"/>
      <c r="AD27" s="123"/>
      <c r="AE27" s="123"/>
      <c r="AF27" s="123"/>
      <c r="AG27" s="123"/>
      <c r="AH27" s="123"/>
      <c r="AI27" s="123"/>
      <c r="AJ27" s="123"/>
      <c r="AK27" s="123"/>
      <c r="AL27" s="123"/>
      <c r="AM27" s="123"/>
      <c r="AN27" s="140"/>
      <c r="AO27" s="121"/>
      <c r="AP27" s="121"/>
      <c r="AQ27" s="121"/>
      <c r="AR27" s="47" t="str">
        <f t="shared" si="4"/>
        <v/>
      </c>
      <c r="AS27" s="161" t="str">
        <f t="shared" si="0"/>
        <v/>
      </c>
      <c r="AT27" s="161" t="str">
        <f t="shared" si="5"/>
        <v/>
      </c>
    </row>
    <row r="28" spans="2:46" x14ac:dyDescent="0.25">
      <c r="B28" s="121"/>
      <c r="C28" s="138"/>
      <c r="D28" s="123"/>
      <c r="E28" s="123"/>
      <c r="F28" s="123"/>
      <c r="G28" s="123"/>
      <c r="H28" s="123"/>
      <c r="I28" s="123"/>
      <c r="J28" s="123"/>
      <c r="K28" s="123"/>
      <c r="L28" s="123"/>
      <c r="M28" s="123"/>
      <c r="N28" s="123"/>
      <c r="O28" s="123"/>
      <c r="P28" s="123"/>
      <c r="Q28" s="140"/>
      <c r="R28" s="121"/>
      <c r="S28" s="121"/>
      <c r="T28" s="121"/>
      <c r="U28" s="47" t="str">
        <f t="shared" si="1"/>
        <v/>
      </c>
      <c r="V28" s="161" t="str">
        <f t="shared" si="2"/>
        <v/>
      </c>
      <c r="W28" s="161" t="str">
        <f t="shared" si="3"/>
        <v/>
      </c>
      <c r="Y28" s="121"/>
      <c r="Z28" s="138"/>
      <c r="AA28" s="123"/>
      <c r="AB28" s="123"/>
      <c r="AC28" s="123"/>
      <c r="AD28" s="123"/>
      <c r="AE28" s="123"/>
      <c r="AF28" s="123"/>
      <c r="AG28" s="123"/>
      <c r="AH28" s="123"/>
      <c r="AI28" s="123"/>
      <c r="AJ28" s="123"/>
      <c r="AK28" s="123"/>
      <c r="AL28" s="123"/>
      <c r="AM28" s="123"/>
      <c r="AN28" s="140"/>
      <c r="AO28" s="121"/>
      <c r="AP28" s="121"/>
      <c r="AQ28" s="121"/>
      <c r="AR28" s="47" t="str">
        <f t="shared" si="4"/>
        <v/>
      </c>
      <c r="AS28" s="161" t="str">
        <f t="shared" si="0"/>
        <v/>
      </c>
      <c r="AT28" s="161" t="str">
        <f t="shared" si="5"/>
        <v/>
      </c>
    </row>
    <row r="29" spans="2:46" x14ac:dyDescent="0.25">
      <c r="B29" s="121"/>
      <c r="C29" s="138"/>
      <c r="D29" s="123"/>
      <c r="E29" s="123"/>
      <c r="F29" s="123"/>
      <c r="G29" s="123"/>
      <c r="H29" s="123"/>
      <c r="I29" s="123"/>
      <c r="J29" s="123"/>
      <c r="K29" s="123"/>
      <c r="L29" s="123"/>
      <c r="M29" s="123"/>
      <c r="N29" s="123"/>
      <c r="O29" s="123"/>
      <c r="P29" s="123"/>
      <c r="Q29" s="140"/>
      <c r="R29" s="121"/>
      <c r="S29" s="121"/>
      <c r="T29" s="121"/>
      <c r="U29" s="47" t="str">
        <f t="shared" si="1"/>
        <v/>
      </c>
      <c r="V29" s="161" t="str">
        <f t="shared" si="2"/>
        <v/>
      </c>
      <c r="W29" s="161" t="str">
        <f t="shared" si="3"/>
        <v/>
      </c>
      <c r="Y29" s="121"/>
      <c r="Z29" s="138"/>
      <c r="AA29" s="123"/>
      <c r="AB29" s="123"/>
      <c r="AC29" s="123"/>
      <c r="AD29" s="123"/>
      <c r="AE29" s="123"/>
      <c r="AF29" s="123"/>
      <c r="AG29" s="123"/>
      <c r="AH29" s="123"/>
      <c r="AI29" s="123"/>
      <c r="AJ29" s="123"/>
      <c r="AK29" s="123"/>
      <c r="AL29" s="123"/>
      <c r="AM29" s="123"/>
      <c r="AN29" s="140"/>
      <c r="AO29" s="121"/>
      <c r="AP29" s="121"/>
      <c r="AQ29" s="121"/>
      <c r="AR29" s="47" t="str">
        <f t="shared" si="4"/>
        <v/>
      </c>
      <c r="AS29" s="161" t="str">
        <f t="shared" si="0"/>
        <v/>
      </c>
      <c r="AT29" s="161" t="str">
        <f t="shared" si="5"/>
        <v/>
      </c>
    </row>
    <row r="30" spans="2:46" x14ac:dyDescent="0.25">
      <c r="B30" s="121"/>
      <c r="C30" s="138"/>
      <c r="D30" s="123"/>
      <c r="E30" s="123"/>
      <c r="F30" s="123"/>
      <c r="G30" s="123"/>
      <c r="H30" s="123"/>
      <c r="I30" s="123"/>
      <c r="J30" s="123"/>
      <c r="K30" s="123"/>
      <c r="L30" s="123"/>
      <c r="M30" s="123"/>
      <c r="N30" s="123"/>
      <c r="O30" s="123"/>
      <c r="P30" s="123"/>
      <c r="Q30" s="140"/>
      <c r="R30" s="121"/>
      <c r="S30" s="121"/>
      <c r="T30" s="121"/>
      <c r="U30" s="47" t="str">
        <f t="shared" si="1"/>
        <v/>
      </c>
      <c r="V30" s="161" t="str">
        <f t="shared" si="2"/>
        <v/>
      </c>
      <c r="W30" s="161" t="str">
        <f t="shared" si="3"/>
        <v/>
      </c>
      <c r="Y30" s="121"/>
      <c r="Z30" s="138"/>
      <c r="AA30" s="123"/>
      <c r="AB30" s="123"/>
      <c r="AC30" s="123"/>
      <c r="AD30" s="123"/>
      <c r="AE30" s="123"/>
      <c r="AF30" s="123"/>
      <c r="AG30" s="123"/>
      <c r="AH30" s="123"/>
      <c r="AI30" s="123"/>
      <c r="AJ30" s="123"/>
      <c r="AK30" s="123"/>
      <c r="AL30" s="123"/>
      <c r="AM30" s="123"/>
      <c r="AN30" s="140"/>
      <c r="AO30" s="121"/>
      <c r="AP30" s="121"/>
      <c r="AQ30" s="121"/>
      <c r="AR30" s="47" t="str">
        <f t="shared" si="4"/>
        <v/>
      </c>
      <c r="AS30" s="161" t="str">
        <f t="shared" si="0"/>
        <v/>
      </c>
      <c r="AT30" s="161" t="str">
        <f t="shared" si="5"/>
        <v/>
      </c>
    </row>
    <row r="31" spans="2:46" x14ac:dyDescent="0.25">
      <c r="B31" s="121"/>
      <c r="C31" s="138"/>
      <c r="D31" s="123"/>
      <c r="E31" s="123"/>
      <c r="F31" s="123"/>
      <c r="G31" s="123"/>
      <c r="H31" s="123"/>
      <c r="I31" s="123"/>
      <c r="J31" s="123"/>
      <c r="K31" s="123"/>
      <c r="L31" s="123"/>
      <c r="M31" s="123"/>
      <c r="N31" s="123"/>
      <c r="O31" s="123"/>
      <c r="P31" s="123"/>
      <c r="Q31" s="140"/>
      <c r="R31" s="121"/>
      <c r="S31" s="121"/>
      <c r="T31" s="121"/>
      <c r="U31" s="47" t="str">
        <f t="shared" si="1"/>
        <v/>
      </c>
      <c r="V31" s="161" t="str">
        <f t="shared" si="2"/>
        <v/>
      </c>
      <c r="W31" s="161" t="str">
        <f t="shared" si="3"/>
        <v/>
      </c>
      <c r="Y31" s="121"/>
      <c r="Z31" s="138"/>
      <c r="AA31" s="123"/>
      <c r="AB31" s="123"/>
      <c r="AC31" s="123"/>
      <c r="AD31" s="123"/>
      <c r="AE31" s="123"/>
      <c r="AF31" s="123"/>
      <c r="AG31" s="123"/>
      <c r="AH31" s="123"/>
      <c r="AI31" s="123"/>
      <c r="AJ31" s="123"/>
      <c r="AK31" s="123"/>
      <c r="AL31" s="123"/>
      <c r="AM31" s="123"/>
      <c r="AN31" s="140"/>
      <c r="AO31" s="121"/>
      <c r="AP31" s="121"/>
      <c r="AQ31" s="121"/>
      <c r="AR31" s="47" t="str">
        <f t="shared" si="4"/>
        <v/>
      </c>
      <c r="AS31" s="161" t="str">
        <f t="shared" si="0"/>
        <v/>
      </c>
      <c r="AT31" s="161" t="str">
        <f t="shared" si="5"/>
        <v/>
      </c>
    </row>
    <row r="32" spans="2:46" x14ac:dyDescent="0.25">
      <c r="B32" s="121"/>
      <c r="C32" s="138"/>
      <c r="D32" s="123"/>
      <c r="E32" s="123"/>
      <c r="F32" s="123"/>
      <c r="G32" s="123"/>
      <c r="H32" s="123"/>
      <c r="I32" s="123"/>
      <c r="J32" s="123"/>
      <c r="K32" s="123"/>
      <c r="L32" s="123"/>
      <c r="M32" s="123"/>
      <c r="N32" s="123"/>
      <c r="O32" s="123"/>
      <c r="P32" s="123"/>
      <c r="Q32" s="140"/>
      <c r="R32" s="121"/>
      <c r="S32" s="121"/>
      <c r="T32" s="121"/>
      <c r="U32" s="47" t="str">
        <f t="shared" si="1"/>
        <v/>
      </c>
      <c r="V32" s="161" t="str">
        <f t="shared" si="2"/>
        <v/>
      </c>
      <c r="W32" s="161" t="str">
        <f t="shared" si="3"/>
        <v/>
      </c>
      <c r="Y32" s="121"/>
      <c r="Z32" s="138"/>
      <c r="AA32" s="123"/>
      <c r="AB32" s="123"/>
      <c r="AC32" s="123"/>
      <c r="AD32" s="123"/>
      <c r="AE32" s="123"/>
      <c r="AF32" s="123"/>
      <c r="AG32" s="123"/>
      <c r="AH32" s="123"/>
      <c r="AI32" s="123"/>
      <c r="AJ32" s="123"/>
      <c r="AK32" s="123"/>
      <c r="AL32" s="123"/>
      <c r="AM32" s="123"/>
      <c r="AN32" s="140"/>
      <c r="AO32" s="121"/>
      <c r="AP32" s="121"/>
      <c r="AQ32" s="121"/>
      <c r="AR32" s="47" t="str">
        <f t="shared" si="4"/>
        <v/>
      </c>
      <c r="AS32" s="161" t="str">
        <f t="shared" si="0"/>
        <v/>
      </c>
      <c r="AT32" s="161" t="str">
        <f t="shared" si="5"/>
        <v/>
      </c>
    </row>
    <row r="33" spans="2:46" x14ac:dyDescent="0.25">
      <c r="B33" s="121"/>
      <c r="C33" s="138"/>
      <c r="D33" s="123"/>
      <c r="E33" s="123"/>
      <c r="F33" s="123"/>
      <c r="G33" s="123"/>
      <c r="H33" s="123"/>
      <c r="I33" s="123"/>
      <c r="J33" s="123"/>
      <c r="K33" s="123"/>
      <c r="L33" s="123"/>
      <c r="M33" s="123"/>
      <c r="N33" s="123"/>
      <c r="O33" s="123"/>
      <c r="P33" s="123"/>
      <c r="Q33" s="140"/>
      <c r="R33" s="121"/>
      <c r="S33" s="121"/>
      <c r="T33" s="121"/>
      <c r="U33" s="47" t="str">
        <f t="shared" si="1"/>
        <v/>
      </c>
      <c r="V33" s="161" t="str">
        <f t="shared" si="2"/>
        <v/>
      </c>
      <c r="W33" s="161" t="str">
        <f t="shared" si="3"/>
        <v/>
      </c>
      <c r="Y33" s="121"/>
      <c r="Z33" s="138"/>
      <c r="AA33" s="123"/>
      <c r="AB33" s="123"/>
      <c r="AC33" s="123"/>
      <c r="AD33" s="123"/>
      <c r="AE33" s="123"/>
      <c r="AF33" s="123"/>
      <c r="AG33" s="123"/>
      <c r="AH33" s="123"/>
      <c r="AI33" s="123"/>
      <c r="AJ33" s="123"/>
      <c r="AK33" s="123"/>
      <c r="AL33" s="123"/>
      <c r="AM33" s="123"/>
      <c r="AN33" s="140"/>
      <c r="AO33" s="121"/>
      <c r="AP33" s="121"/>
      <c r="AQ33" s="121"/>
      <c r="AR33" s="47" t="str">
        <f t="shared" si="4"/>
        <v/>
      </c>
      <c r="AS33" s="161" t="str">
        <f t="shared" si="0"/>
        <v/>
      </c>
      <c r="AT33" s="161" t="str">
        <f t="shared" si="5"/>
        <v/>
      </c>
    </row>
    <row r="34" spans="2:46" x14ac:dyDescent="0.25">
      <c r="B34" s="121"/>
      <c r="C34" s="138"/>
      <c r="D34" s="123"/>
      <c r="E34" s="123"/>
      <c r="F34" s="123"/>
      <c r="G34" s="123"/>
      <c r="H34" s="123"/>
      <c r="I34" s="123"/>
      <c r="J34" s="123"/>
      <c r="K34" s="123"/>
      <c r="L34" s="123"/>
      <c r="M34" s="123"/>
      <c r="N34" s="123"/>
      <c r="O34" s="123"/>
      <c r="P34" s="123"/>
      <c r="Q34" s="140"/>
      <c r="R34" s="121"/>
      <c r="S34" s="121"/>
      <c r="T34" s="121"/>
      <c r="U34" s="47" t="str">
        <f t="shared" si="1"/>
        <v/>
      </c>
      <c r="V34" s="161" t="str">
        <f t="shared" si="2"/>
        <v/>
      </c>
      <c r="W34" s="161" t="str">
        <f t="shared" si="3"/>
        <v/>
      </c>
      <c r="Y34" s="121"/>
      <c r="Z34" s="138"/>
      <c r="AA34" s="123"/>
      <c r="AB34" s="123"/>
      <c r="AC34" s="123"/>
      <c r="AD34" s="123"/>
      <c r="AE34" s="123"/>
      <c r="AF34" s="123"/>
      <c r="AG34" s="123"/>
      <c r="AH34" s="123"/>
      <c r="AI34" s="123"/>
      <c r="AJ34" s="123"/>
      <c r="AK34" s="123"/>
      <c r="AL34" s="123"/>
      <c r="AM34" s="123"/>
      <c r="AN34" s="140"/>
      <c r="AO34" s="121"/>
      <c r="AP34" s="121"/>
      <c r="AQ34" s="121"/>
      <c r="AR34" s="47" t="str">
        <f t="shared" si="4"/>
        <v/>
      </c>
      <c r="AS34" s="161" t="str">
        <f t="shared" si="0"/>
        <v/>
      </c>
      <c r="AT34" s="161" t="str">
        <f t="shared" si="5"/>
        <v/>
      </c>
    </row>
    <row r="35" spans="2:46" x14ac:dyDescent="0.25">
      <c r="B35" s="121"/>
      <c r="C35" s="138"/>
      <c r="D35" s="123"/>
      <c r="E35" s="123"/>
      <c r="F35" s="123"/>
      <c r="G35" s="123"/>
      <c r="H35" s="123"/>
      <c r="I35" s="123"/>
      <c r="J35" s="123"/>
      <c r="K35" s="123"/>
      <c r="L35" s="123"/>
      <c r="M35" s="123"/>
      <c r="N35" s="123"/>
      <c r="O35" s="123"/>
      <c r="P35" s="123"/>
      <c r="Q35" s="140"/>
      <c r="R35" s="121"/>
      <c r="S35" s="121"/>
      <c r="T35" s="121"/>
      <c r="U35" s="47" t="str">
        <f t="shared" si="1"/>
        <v/>
      </c>
      <c r="V35" s="161" t="str">
        <f t="shared" si="2"/>
        <v/>
      </c>
      <c r="W35" s="161" t="str">
        <f t="shared" si="3"/>
        <v/>
      </c>
      <c r="Y35" s="121"/>
      <c r="Z35" s="138"/>
      <c r="AA35" s="123"/>
      <c r="AB35" s="123"/>
      <c r="AC35" s="123"/>
      <c r="AD35" s="123"/>
      <c r="AE35" s="123"/>
      <c r="AF35" s="123"/>
      <c r="AG35" s="123"/>
      <c r="AH35" s="123"/>
      <c r="AI35" s="123"/>
      <c r="AJ35" s="123"/>
      <c r="AK35" s="123"/>
      <c r="AL35" s="123"/>
      <c r="AM35" s="123"/>
      <c r="AN35" s="140"/>
      <c r="AO35" s="121"/>
      <c r="AP35" s="121"/>
      <c r="AQ35" s="121"/>
      <c r="AR35" s="47" t="str">
        <f t="shared" si="4"/>
        <v/>
      </c>
      <c r="AS35" s="161" t="str">
        <f t="shared" si="0"/>
        <v/>
      </c>
      <c r="AT35" s="161" t="str">
        <f t="shared" si="5"/>
        <v/>
      </c>
    </row>
    <row r="36" spans="2:46" x14ac:dyDescent="0.25">
      <c r="B36" s="121"/>
      <c r="C36" s="138"/>
      <c r="D36" s="123"/>
      <c r="E36" s="123"/>
      <c r="F36" s="123"/>
      <c r="G36" s="123"/>
      <c r="H36" s="123"/>
      <c r="I36" s="123"/>
      <c r="J36" s="123"/>
      <c r="K36" s="123"/>
      <c r="L36" s="123"/>
      <c r="M36" s="123"/>
      <c r="N36" s="123"/>
      <c r="O36" s="123"/>
      <c r="P36" s="123"/>
      <c r="Q36" s="140"/>
      <c r="R36" s="121"/>
      <c r="S36" s="121"/>
      <c r="T36" s="121"/>
      <c r="U36" s="47" t="str">
        <f t="shared" si="1"/>
        <v/>
      </c>
      <c r="V36" s="161" t="str">
        <f t="shared" si="2"/>
        <v/>
      </c>
      <c r="W36" s="161" t="str">
        <f t="shared" si="3"/>
        <v/>
      </c>
      <c r="Y36" s="121"/>
      <c r="Z36" s="138"/>
      <c r="AA36" s="123"/>
      <c r="AB36" s="123"/>
      <c r="AC36" s="123"/>
      <c r="AD36" s="123"/>
      <c r="AE36" s="123"/>
      <c r="AF36" s="123"/>
      <c r="AG36" s="123"/>
      <c r="AH36" s="123"/>
      <c r="AI36" s="123"/>
      <c r="AJ36" s="123"/>
      <c r="AK36" s="123"/>
      <c r="AL36" s="123"/>
      <c r="AM36" s="123"/>
      <c r="AN36" s="140"/>
      <c r="AO36" s="121"/>
      <c r="AP36" s="121"/>
      <c r="AQ36" s="121"/>
      <c r="AR36" s="47" t="str">
        <f t="shared" si="4"/>
        <v/>
      </c>
      <c r="AS36" s="161" t="str">
        <f t="shared" si="0"/>
        <v/>
      </c>
      <c r="AT36" s="161" t="str">
        <f t="shared" si="5"/>
        <v/>
      </c>
    </row>
    <row r="37" spans="2:46" x14ac:dyDescent="0.25">
      <c r="B37" s="121"/>
      <c r="C37" s="138"/>
      <c r="D37" s="123"/>
      <c r="E37" s="123"/>
      <c r="F37" s="123"/>
      <c r="G37" s="123"/>
      <c r="H37" s="123"/>
      <c r="I37" s="123"/>
      <c r="J37" s="123"/>
      <c r="K37" s="123"/>
      <c r="L37" s="123"/>
      <c r="M37" s="123"/>
      <c r="N37" s="123"/>
      <c r="O37" s="123"/>
      <c r="P37" s="123"/>
      <c r="Q37" s="140"/>
      <c r="R37" s="121"/>
      <c r="S37" s="121"/>
      <c r="T37" s="121"/>
      <c r="U37" s="47" t="str">
        <f t="shared" si="1"/>
        <v/>
      </c>
      <c r="V37" s="161" t="str">
        <f t="shared" si="2"/>
        <v/>
      </c>
      <c r="W37" s="161" t="str">
        <f t="shared" si="3"/>
        <v/>
      </c>
      <c r="Y37" s="121"/>
      <c r="Z37" s="138"/>
      <c r="AA37" s="123"/>
      <c r="AB37" s="123"/>
      <c r="AC37" s="123"/>
      <c r="AD37" s="123"/>
      <c r="AE37" s="123"/>
      <c r="AF37" s="123"/>
      <c r="AG37" s="123"/>
      <c r="AH37" s="123"/>
      <c r="AI37" s="123"/>
      <c r="AJ37" s="123"/>
      <c r="AK37" s="123"/>
      <c r="AL37" s="123"/>
      <c r="AM37" s="123"/>
      <c r="AN37" s="140"/>
      <c r="AO37" s="121"/>
      <c r="AP37" s="121"/>
      <c r="AQ37" s="121"/>
      <c r="AR37" s="47" t="str">
        <f t="shared" si="4"/>
        <v/>
      </c>
      <c r="AS37" s="161" t="str">
        <f t="shared" si="0"/>
        <v/>
      </c>
      <c r="AT37" s="161" t="str">
        <f t="shared" si="5"/>
        <v/>
      </c>
    </row>
    <row r="38" spans="2:46" x14ac:dyDescent="0.25">
      <c r="B38" s="121"/>
      <c r="C38" s="138"/>
      <c r="D38" s="123"/>
      <c r="E38" s="123"/>
      <c r="F38" s="123"/>
      <c r="G38" s="123"/>
      <c r="H38" s="123"/>
      <c r="I38" s="123"/>
      <c r="J38" s="123"/>
      <c r="K38" s="123"/>
      <c r="L38" s="123"/>
      <c r="M38" s="123"/>
      <c r="N38" s="123"/>
      <c r="O38" s="123"/>
      <c r="P38" s="123"/>
      <c r="Q38" s="140"/>
      <c r="R38" s="121"/>
      <c r="S38" s="121"/>
      <c r="T38" s="121"/>
      <c r="U38" s="47" t="str">
        <f t="shared" si="1"/>
        <v/>
      </c>
      <c r="V38" s="161" t="str">
        <f t="shared" si="2"/>
        <v/>
      </c>
      <c r="W38" s="161" t="str">
        <f t="shared" si="3"/>
        <v/>
      </c>
      <c r="Y38" s="121"/>
      <c r="Z38" s="138"/>
      <c r="AA38" s="123"/>
      <c r="AB38" s="123"/>
      <c r="AC38" s="123"/>
      <c r="AD38" s="123"/>
      <c r="AE38" s="123"/>
      <c r="AF38" s="123"/>
      <c r="AG38" s="123"/>
      <c r="AH38" s="123"/>
      <c r="AI38" s="123"/>
      <c r="AJ38" s="123"/>
      <c r="AK38" s="123"/>
      <c r="AL38" s="123"/>
      <c r="AM38" s="123"/>
      <c r="AN38" s="140"/>
      <c r="AO38" s="121"/>
      <c r="AP38" s="121"/>
      <c r="AQ38" s="121"/>
      <c r="AR38" s="47" t="str">
        <f t="shared" si="4"/>
        <v/>
      </c>
      <c r="AS38" s="161" t="str">
        <f t="shared" si="0"/>
        <v/>
      </c>
      <c r="AT38" s="161" t="str">
        <f t="shared" si="5"/>
        <v/>
      </c>
    </row>
    <row r="39" spans="2:46" x14ac:dyDescent="0.25">
      <c r="B39" s="121"/>
      <c r="C39" s="138"/>
      <c r="D39" s="123"/>
      <c r="E39" s="123"/>
      <c r="F39" s="123"/>
      <c r="G39" s="123"/>
      <c r="H39" s="123"/>
      <c r="I39" s="123"/>
      <c r="J39" s="123"/>
      <c r="K39" s="123"/>
      <c r="L39" s="123"/>
      <c r="M39" s="123"/>
      <c r="N39" s="123"/>
      <c r="O39" s="123"/>
      <c r="P39" s="123"/>
      <c r="Q39" s="140"/>
      <c r="R39" s="121"/>
      <c r="S39" s="121"/>
      <c r="T39" s="121"/>
      <c r="U39" s="47" t="str">
        <f t="shared" si="1"/>
        <v/>
      </c>
      <c r="V39" s="161" t="str">
        <f t="shared" si="2"/>
        <v/>
      </c>
      <c r="W39" s="161" t="str">
        <f t="shared" si="3"/>
        <v/>
      </c>
      <c r="Y39" s="121"/>
      <c r="Z39" s="138"/>
      <c r="AA39" s="123"/>
      <c r="AB39" s="123"/>
      <c r="AC39" s="123"/>
      <c r="AD39" s="123"/>
      <c r="AE39" s="123"/>
      <c r="AF39" s="123"/>
      <c r="AG39" s="123"/>
      <c r="AH39" s="123"/>
      <c r="AI39" s="123"/>
      <c r="AJ39" s="123"/>
      <c r="AK39" s="123"/>
      <c r="AL39" s="123"/>
      <c r="AM39" s="123"/>
      <c r="AN39" s="140"/>
      <c r="AO39" s="121"/>
      <c r="AP39" s="121"/>
      <c r="AQ39" s="121"/>
      <c r="AR39" s="47" t="str">
        <f t="shared" si="4"/>
        <v/>
      </c>
      <c r="AS39" s="161" t="str">
        <f t="shared" si="0"/>
        <v/>
      </c>
      <c r="AT39" s="161" t="str">
        <f t="shared" si="5"/>
        <v/>
      </c>
    </row>
    <row r="40" spans="2:46" x14ac:dyDescent="0.25">
      <c r="B40" s="121"/>
      <c r="C40" s="138"/>
      <c r="D40" s="123"/>
      <c r="E40" s="123"/>
      <c r="F40" s="123"/>
      <c r="G40" s="123"/>
      <c r="H40" s="123"/>
      <c r="I40" s="123"/>
      <c r="J40" s="123"/>
      <c r="K40" s="123"/>
      <c r="L40" s="123"/>
      <c r="M40" s="123"/>
      <c r="N40" s="123"/>
      <c r="O40" s="123"/>
      <c r="P40" s="123"/>
      <c r="Q40" s="140"/>
      <c r="R40" s="121"/>
      <c r="S40" s="121"/>
      <c r="T40" s="121"/>
      <c r="U40" s="47" t="str">
        <f t="shared" si="1"/>
        <v/>
      </c>
      <c r="V40" s="161" t="str">
        <f t="shared" si="2"/>
        <v/>
      </c>
      <c r="W40" s="161" t="str">
        <f t="shared" si="3"/>
        <v/>
      </c>
      <c r="Y40" s="121"/>
      <c r="Z40" s="138"/>
      <c r="AA40" s="123"/>
      <c r="AB40" s="123"/>
      <c r="AC40" s="123"/>
      <c r="AD40" s="123"/>
      <c r="AE40" s="123"/>
      <c r="AF40" s="123"/>
      <c r="AG40" s="123"/>
      <c r="AH40" s="123"/>
      <c r="AI40" s="123"/>
      <c r="AJ40" s="123"/>
      <c r="AK40" s="123"/>
      <c r="AL40" s="123"/>
      <c r="AM40" s="123"/>
      <c r="AN40" s="140"/>
      <c r="AO40" s="121"/>
      <c r="AP40" s="121"/>
      <c r="AQ40" s="121"/>
      <c r="AR40" s="47" t="str">
        <f t="shared" si="4"/>
        <v/>
      </c>
      <c r="AS40" s="161" t="str">
        <f t="shared" si="0"/>
        <v/>
      </c>
      <c r="AT40" s="161" t="str">
        <f t="shared" si="5"/>
        <v/>
      </c>
    </row>
    <row r="41" spans="2:46" x14ac:dyDescent="0.25">
      <c r="B41" s="121"/>
      <c r="C41" s="138"/>
      <c r="D41" s="123"/>
      <c r="E41" s="123"/>
      <c r="F41" s="123"/>
      <c r="G41" s="123"/>
      <c r="H41" s="123"/>
      <c r="I41" s="123"/>
      <c r="J41" s="123"/>
      <c r="K41" s="123"/>
      <c r="L41" s="123"/>
      <c r="M41" s="123"/>
      <c r="N41" s="123"/>
      <c r="O41" s="123"/>
      <c r="P41" s="123"/>
      <c r="Q41" s="140"/>
      <c r="R41" s="121"/>
      <c r="S41" s="121"/>
      <c r="T41" s="121"/>
      <c r="U41" s="47" t="str">
        <f t="shared" si="1"/>
        <v/>
      </c>
      <c r="V41" s="161" t="str">
        <f t="shared" si="2"/>
        <v/>
      </c>
      <c r="W41" s="161" t="str">
        <f t="shared" si="3"/>
        <v/>
      </c>
      <c r="Y41" s="121"/>
      <c r="Z41" s="138"/>
      <c r="AA41" s="123"/>
      <c r="AB41" s="123"/>
      <c r="AC41" s="123"/>
      <c r="AD41" s="123"/>
      <c r="AE41" s="123"/>
      <c r="AF41" s="123"/>
      <c r="AG41" s="123"/>
      <c r="AH41" s="123"/>
      <c r="AI41" s="123"/>
      <c r="AJ41" s="123"/>
      <c r="AK41" s="123"/>
      <c r="AL41" s="123"/>
      <c r="AM41" s="123"/>
      <c r="AN41" s="140"/>
      <c r="AO41" s="121"/>
      <c r="AP41" s="121"/>
      <c r="AQ41" s="121"/>
      <c r="AR41" s="47" t="str">
        <f t="shared" si="4"/>
        <v/>
      </c>
      <c r="AS41" s="161" t="str">
        <f t="shared" si="0"/>
        <v/>
      </c>
      <c r="AT41" s="161" t="str">
        <f t="shared" si="5"/>
        <v/>
      </c>
    </row>
    <row r="42" spans="2:46" x14ac:dyDescent="0.25">
      <c r="B42" s="121"/>
      <c r="C42" s="138"/>
      <c r="D42" s="123"/>
      <c r="E42" s="123"/>
      <c r="F42" s="123"/>
      <c r="G42" s="123"/>
      <c r="H42" s="123"/>
      <c r="I42" s="123"/>
      <c r="J42" s="123"/>
      <c r="K42" s="123"/>
      <c r="L42" s="123"/>
      <c r="M42" s="123"/>
      <c r="N42" s="123"/>
      <c r="O42" s="123"/>
      <c r="P42" s="123"/>
      <c r="Q42" s="140"/>
      <c r="R42" s="121"/>
      <c r="S42" s="121"/>
      <c r="T42" s="121"/>
      <c r="U42" s="47" t="str">
        <f t="shared" si="1"/>
        <v/>
      </c>
      <c r="V42" s="161" t="str">
        <f t="shared" si="2"/>
        <v/>
      </c>
      <c r="W42" s="161" t="str">
        <f t="shared" si="3"/>
        <v/>
      </c>
      <c r="Y42" s="121"/>
      <c r="Z42" s="138"/>
      <c r="AA42" s="123"/>
      <c r="AB42" s="123"/>
      <c r="AC42" s="123"/>
      <c r="AD42" s="123"/>
      <c r="AE42" s="123"/>
      <c r="AF42" s="123"/>
      <c r="AG42" s="123"/>
      <c r="AH42" s="123"/>
      <c r="AI42" s="123"/>
      <c r="AJ42" s="123"/>
      <c r="AK42" s="123"/>
      <c r="AL42" s="123"/>
      <c r="AM42" s="123"/>
      <c r="AN42" s="140"/>
      <c r="AO42" s="121"/>
      <c r="AP42" s="121"/>
      <c r="AQ42" s="121"/>
      <c r="AR42" s="47" t="str">
        <f t="shared" si="4"/>
        <v/>
      </c>
      <c r="AS42" s="161" t="str">
        <f t="shared" si="0"/>
        <v/>
      </c>
      <c r="AT42" s="161" t="str">
        <f t="shared" si="5"/>
        <v/>
      </c>
    </row>
    <row r="43" spans="2:46" x14ac:dyDescent="0.25">
      <c r="B43" s="121"/>
      <c r="C43" s="138"/>
      <c r="D43" s="123"/>
      <c r="E43" s="123"/>
      <c r="F43" s="123"/>
      <c r="G43" s="123"/>
      <c r="H43" s="123"/>
      <c r="I43" s="123"/>
      <c r="J43" s="123"/>
      <c r="K43" s="123"/>
      <c r="L43" s="123"/>
      <c r="M43" s="123"/>
      <c r="N43" s="123"/>
      <c r="O43" s="123"/>
      <c r="P43" s="123"/>
      <c r="Q43" s="140"/>
      <c r="R43" s="121"/>
      <c r="S43" s="121"/>
      <c r="T43" s="121"/>
      <c r="U43" s="47" t="str">
        <f t="shared" si="1"/>
        <v/>
      </c>
      <c r="V43" s="161" t="str">
        <f t="shared" si="2"/>
        <v/>
      </c>
      <c r="W43" s="161" t="str">
        <f t="shared" si="3"/>
        <v/>
      </c>
      <c r="Y43" s="121"/>
      <c r="Z43" s="138"/>
      <c r="AA43" s="123"/>
      <c r="AB43" s="123"/>
      <c r="AC43" s="123"/>
      <c r="AD43" s="123"/>
      <c r="AE43" s="123"/>
      <c r="AF43" s="123"/>
      <c r="AG43" s="123"/>
      <c r="AH43" s="123"/>
      <c r="AI43" s="123"/>
      <c r="AJ43" s="123"/>
      <c r="AK43" s="123"/>
      <c r="AL43" s="123"/>
      <c r="AM43" s="123"/>
      <c r="AN43" s="140"/>
      <c r="AO43" s="121"/>
      <c r="AP43" s="121"/>
      <c r="AQ43" s="121"/>
      <c r="AR43" s="47" t="str">
        <f t="shared" si="4"/>
        <v/>
      </c>
      <c r="AS43" s="161" t="str">
        <f t="shared" si="0"/>
        <v/>
      </c>
      <c r="AT43" s="161" t="str">
        <f t="shared" si="5"/>
        <v/>
      </c>
    </row>
    <row r="44" spans="2:46" x14ac:dyDescent="0.25">
      <c r="B44" s="121"/>
      <c r="C44" s="138"/>
      <c r="D44" s="123"/>
      <c r="E44" s="123"/>
      <c r="F44" s="123"/>
      <c r="G44" s="123"/>
      <c r="H44" s="123"/>
      <c r="I44" s="123"/>
      <c r="J44" s="123"/>
      <c r="K44" s="123"/>
      <c r="L44" s="123"/>
      <c r="M44" s="123"/>
      <c r="N44" s="123"/>
      <c r="O44" s="123"/>
      <c r="P44" s="123"/>
      <c r="Q44" s="140"/>
      <c r="R44" s="121"/>
      <c r="S44" s="121"/>
      <c r="T44" s="121"/>
      <c r="U44" s="47" t="str">
        <f t="shared" si="1"/>
        <v/>
      </c>
      <c r="V44" s="161" t="str">
        <f t="shared" si="2"/>
        <v/>
      </c>
      <c r="W44" s="161" t="str">
        <f t="shared" si="3"/>
        <v/>
      </c>
      <c r="Y44" s="121"/>
      <c r="Z44" s="138"/>
      <c r="AA44" s="123"/>
      <c r="AB44" s="123"/>
      <c r="AC44" s="123"/>
      <c r="AD44" s="123"/>
      <c r="AE44" s="123"/>
      <c r="AF44" s="123"/>
      <c r="AG44" s="123"/>
      <c r="AH44" s="123"/>
      <c r="AI44" s="123"/>
      <c r="AJ44" s="123"/>
      <c r="AK44" s="123"/>
      <c r="AL44" s="123"/>
      <c r="AM44" s="123"/>
      <c r="AN44" s="140"/>
      <c r="AO44" s="121"/>
      <c r="AP44" s="121"/>
      <c r="AQ44" s="121"/>
      <c r="AR44" s="47" t="str">
        <f t="shared" si="4"/>
        <v/>
      </c>
      <c r="AS44" s="161" t="str">
        <f t="shared" si="0"/>
        <v/>
      </c>
      <c r="AT44" s="161" t="str">
        <f t="shared" si="5"/>
        <v/>
      </c>
    </row>
    <row r="45" spans="2:46" x14ac:dyDescent="0.25">
      <c r="B45" s="121"/>
      <c r="C45" s="138"/>
      <c r="D45" s="123"/>
      <c r="E45" s="123"/>
      <c r="F45" s="123"/>
      <c r="G45" s="123"/>
      <c r="H45" s="123"/>
      <c r="I45" s="123"/>
      <c r="J45" s="123"/>
      <c r="K45" s="123"/>
      <c r="L45" s="123"/>
      <c r="M45" s="123"/>
      <c r="N45" s="123"/>
      <c r="O45" s="123"/>
      <c r="P45" s="123"/>
      <c r="Q45" s="140"/>
      <c r="R45" s="121"/>
      <c r="S45" s="121"/>
      <c r="T45" s="121"/>
      <c r="U45" s="47" t="str">
        <f t="shared" si="1"/>
        <v/>
      </c>
      <c r="V45" s="161" t="str">
        <f t="shared" si="2"/>
        <v/>
      </c>
      <c r="W45" s="161" t="str">
        <f t="shared" si="3"/>
        <v/>
      </c>
      <c r="Y45" s="121"/>
      <c r="Z45" s="138"/>
      <c r="AA45" s="123"/>
      <c r="AB45" s="123"/>
      <c r="AC45" s="123"/>
      <c r="AD45" s="123"/>
      <c r="AE45" s="123"/>
      <c r="AF45" s="123"/>
      <c r="AG45" s="123"/>
      <c r="AH45" s="123"/>
      <c r="AI45" s="123"/>
      <c r="AJ45" s="123"/>
      <c r="AK45" s="123"/>
      <c r="AL45" s="123"/>
      <c r="AM45" s="123"/>
      <c r="AN45" s="140"/>
      <c r="AO45" s="121"/>
      <c r="AP45" s="121"/>
      <c r="AQ45" s="121"/>
      <c r="AR45" s="47" t="str">
        <f t="shared" si="4"/>
        <v/>
      </c>
      <c r="AS45" s="161" t="str">
        <f t="shared" si="0"/>
        <v/>
      </c>
      <c r="AT45" s="161" t="str">
        <f t="shared" si="5"/>
        <v/>
      </c>
    </row>
    <row r="46" spans="2:46" x14ac:dyDescent="0.25">
      <c r="B46" s="121"/>
      <c r="C46" s="138"/>
      <c r="D46" s="123"/>
      <c r="E46" s="123"/>
      <c r="F46" s="123"/>
      <c r="G46" s="123"/>
      <c r="H46" s="123"/>
      <c r="I46" s="123"/>
      <c r="J46" s="123"/>
      <c r="K46" s="123"/>
      <c r="L46" s="123"/>
      <c r="M46" s="123"/>
      <c r="N46" s="123"/>
      <c r="O46" s="123"/>
      <c r="P46" s="123"/>
      <c r="Q46" s="140"/>
      <c r="R46" s="121"/>
      <c r="S46" s="121"/>
      <c r="T46" s="121"/>
      <c r="U46" s="47" t="str">
        <f t="shared" si="1"/>
        <v/>
      </c>
      <c r="V46" s="161" t="str">
        <f t="shared" si="2"/>
        <v/>
      </c>
      <c r="W46" s="161" t="str">
        <f t="shared" si="3"/>
        <v/>
      </c>
      <c r="Y46" s="121"/>
      <c r="Z46" s="138"/>
      <c r="AA46" s="123"/>
      <c r="AB46" s="123"/>
      <c r="AC46" s="123"/>
      <c r="AD46" s="123"/>
      <c r="AE46" s="123"/>
      <c r="AF46" s="123"/>
      <c r="AG46" s="123"/>
      <c r="AH46" s="123"/>
      <c r="AI46" s="123"/>
      <c r="AJ46" s="123"/>
      <c r="AK46" s="123"/>
      <c r="AL46" s="123"/>
      <c r="AM46" s="123"/>
      <c r="AN46" s="140"/>
      <c r="AO46" s="121"/>
      <c r="AP46" s="121"/>
      <c r="AQ46" s="121"/>
      <c r="AR46" s="47" t="str">
        <f t="shared" si="4"/>
        <v/>
      </c>
      <c r="AS46" s="161" t="str">
        <f t="shared" si="0"/>
        <v/>
      </c>
      <c r="AT46" s="161" t="str">
        <f t="shared" si="5"/>
        <v/>
      </c>
    </row>
    <row r="47" spans="2:46" x14ac:dyDescent="0.25">
      <c r="B47" s="121"/>
      <c r="C47" s="138"/>
      <c r="D47" s="123"/>
      <c r="E47" s="123"/>
      <c r="F47" s="123"/>
      <c r="G47" s="123"/>
      <c r="H47" s="123"/>
      <c r="I47" s="123"/>
      <c r="J47" s="123"/>
      <c r="K47" s="123"/>
      <c r="L47" s="123"/>
      <c r="M47" s="123"/>
      <c r="N47" s="123"/>
      <c r="O47" s="123"/>
      <c r="P47" s="123"/>
      <c r="Q47" s="140"/>
      <c r="R47" s="121"/>
      <c r="S47" s="121"/>
      <c r="T47" s="121"/>
      <c r="U47" s="47" t="str">
        <f t="shared" si="1"/>
        <v/>
      </c>
      <c r="V47" s="161" t="str">
        <f t="shared" si="2"/>
        <v/>
      </c>
      <c r="W47" s="161" t="str">
        <f t="shared" si="3"/>
        <v/>
      </c>
      <c r="Y47" s="121"/>
      <c r="Z47" s="138"/>
      <c r="AA47" s="123"/>
      <c r="AB47" s="123"/>
      <c r="AC47" s="123"/>
      <c r="AD47" s="123"/>
      <c r="AE47" s="123"/>
      <c r="AF47" s="123"/>
      <c r="AG47" s="123"/>
      <c r="AH47" s="123"/>
      <c r="AI47" s="123"/>
      <c r="AJ47" s="123"/>
      <c r="AK47" s="123"/>
      <c r="AL47" s="123"/>
      <c r="AM47" s="123"/>
      <c r="AN47" s="140"/>
      <c r="AO47" s="121"/>
      <c r="AP47" s="121"/>
      <c r="AQ47" s="121"/>
      <c r="AR47" s="47" t="str">
        <f t="shared" si="4"/>
        <v/>
      </c>
      <c r="AS47" s="161" t="str">
        <f t="shared" si="0"/>
        <v/>
      </c>
      <c r="AT47" s="161" t="str">
        <f t="shared" si="5"/>
        <v/>
      </c>
    </row>
    <row r="48" spans="2:46" x14ac:dyDescent="0.25">
      <c r="B48" s="121"/>
      <c r="C48" s="138"/>
      <c r="D48" s="123"/>
      <c r="E48" s="123"/>
      <c r="F48" s="123"/>
      <c r="G48" s="123"/>
      <c r="H48" s="123"/>
      <c r="I48" s="123"/>
      <c r="J48" s="123"/>
      <c r="K48" s="123"/>
      <c r="L48" s="123"/>
      <c r="M48" s="123"/>
      <c r="N48" s="123"/>
      <c r="O48" s="123"/>
      <c r="P48" s="123"/>
      <c r="Q48" s="140"/>
      <c r="R48" s="121"/>
      <c r="S48" s="121"/>
      <c r="T48" s="121"/>
      <c r="U48" s="47" t="str">
        <f t="shared" si="1"/>
        <v/>
      </c>
      <c r="V48" s="161" t="str">
        <f t="shared" si="2"/>
        <v/>
      </c>
      <c r="W48" s="161" t="str">
        <f t="shared" si="3"/>
        <v/>
      </c>
      <c r="Y48" s="121"/>
      <c r="Z48" s="138"/>
      <c r="AA48" s="123"/>
      <c r="AB48" s="123"/>
      <c r="AC48" s="123"/>
      <c r="AD48" s="123"/>
      <c r="AE48" s="123"/>
      <c r="AF48" s="123"/>
      <c r="AG48" s="123"/>
      <c r="AH48" s="123"/>
      <c r="AI48" s="123"/>
      <c r="AJ48" s="123"/>
      <c r="AK48" s="123"/>
      <c r="AL48" s="123"/>
      <c r="AM48" s="123"/>
      <c r="AN48" s="140"/>
      <c r="AO48" s="121"/>
      <c r="AP48" s="121"/>
      <c r="AQ48" s="121"/>
      <c r="AR48" s="47" t="str">
        <f t="shared" si="4"/>
        <v/>
      </c>
      <c r="AS48" s="161" t="str">
        <f t="shared" si="0"/>
        <v/>
      </c>
      <c r="AT48" s="161" t="str">
        <f t="shared" si="5"/>
        <v/>
      </c>
    </row>
    <row r="49" spans="2:46" x14ac:dyDescent="0.25">
      <c r="B49" s="121"/>
      <c r="C49" s="138"/>
      <c r="D49" s="123"/>
      <c r="E49" s="123"/>
      <c r="F49" s="123"/>
      <c r="G49" s="123"/>
      <c r="H49" s="123"/>
      <c r="I49" s="123"/>
      <c r="J49" s="123"/>
      <c r="K49" s="123"/>
      <c r="L49" s="123"/>
      <c r="M49" s="123"/>
      <c r="N49" s="123"/>
      <c r="O49" s="123"/>
      <c r="P49" s="123"/>
      <c r="Q49" s="140"/>
      <c r="R49" s="121"/>
      <c r="S49" s="121"/>
      <c r="T49" s="121"/>
      <c r="U49" s="47" t="str">
        <f t="shared" si="1"/>
        <v/>
      </c>
      <c r="V49" s="161" t="str">
        <f t="shared" si="2"/>
        <v/>
      </c>
      <c r="W49" s="161" t="str">
        <f t="shared" si="3"/>
        <v/>
      </c>
      <c r="Y49" s="121"/>
      <c r="Z49" s="138"/>
      <c r="AA49" s="123"/>
      <c r="AB49" s="123"/>
      <c r="AC49" s="123"/>
      <c r="AD49" s="123"/>
      <c r="AE49" s="123"/>
      <c r="AF49" s="123"/>
      <c r="AG49" s="123"/>
      <c r="AH49" s="123"/>
      <c r="AI49" s="123"/>
      <c r="AJ49" s="123"/>
      <c r="AK49" s="123"/>
      <c r="AL49" s="123"/>
      <c r="AM49" s="123"/>
      <c r="AN49" s="140"/>
      <c r="AO49" s="121"/>
      <c r="AP49" s="121"/>
      <c r="AQ49" s="121"/>
      <c r="AR49" s="47" t="str">
        <f t="shared" si="4"/>
        <v/>
      </c>
      <c r="AS49" s="161" t="str">
        <f t="shared" si="0"/>
        <v/>
      </c>
      <c r="AT49" s="161" t="str">
        <f t="shared" si="5"/>
        <v/>
      </c>
    </row>
    <row r="50" spans="2:46" x14ac:dyDescent="0.25">
      <c r="B50" s="121"/>
      <c r="C50" s="138"/>
      <c r="D50" s="123"/>
      <c r="E50" s="123"/>
      <c r="F50" s="123"/>
      <c r="G50" s="123"/>
      <c r="H50" s="123"/>
      <c r="I50" s="123"/>
      <c r="J50" s="123"/>
      <c r="K50" s="123"/>
      <c r="L50" s="123"/>
      <c r="M50" s="123"/>
      <c r="N50" s="123"/>
      <c r="O50" s="123"/>
      <c r="P50" s="123"/>
      <c r="Q50" s="140"/>
      <c r="R50" s="121"/>
      <c r="S50" s="121"/>
      <c r="T50" s="121"/>
      <c r="U50" s="47" t="str">
        <f t="shared" si="1"/>
        <v/>
      </c>
      <c r="V50" s="161" t="str">
        <f t="shared" si="2"/>
        <v/>
      </c>
      <c r="W50" s="161" t="str">
        <f t="shared" si="3"/>
        <v/>
      </c>
      <c r="Y50" s="121"/>
      <c r="Z50" s="138"/>
      <c r="AA50" s="123"/>
      <c r="AB50" s="123"/>
      <c r="AC50" s="123"/>
      <c r="AD50" s="123"/>
      <c r="AE50" s="123"/>
      <c r="AF50" s="123"/>
      <c r="AG50" s="123"/>
      <c r="AH50" s="123"/>
      <c r="AI50" s="123"/>
      <c r="AJ50" s="123"/>
      <c r="AK50" s="123"/>
      <c r="AL50" s="123"/>
      <c r="AM50" s="123"/>
      <c r="AN50" s="140"/>
      <c r="AO50" s="121"/>
      <c r="AP50" s="121"/>
      <c r="AQ50" s="121"/>
      <c r="AR50" s="47" t="str">
        <f t="shared" si="4"/>
        <v/>
      </c>
      <c r="AS50" s="161" t="str">
        <f t="shared" si="0"/>
        <v/>
      </c>
      <c r="AT50" s="161" t="str">
        <f t="shared" si="5"/>
        <v/>
      </c>
    </row>
    <row r="51" spans="2:46" x14ac:dyDescent="0.25">
      <c r="B51" s="121"/>
      <c r="C51" s="138"/>
      <c r="D51" s="123"/>
      <c r="E51" s="123"/>
      <c r="F51" s="123"/>
      <c r="G51" s="123"/>
      <c r="H51" s="123"/>
      <c r="I51" s="123"/>
      <c r="J51" s="123"/>
      <c r="K51" s="123"/>
      <c r="L51" s="123"/>
      <c r="M51" s="123"/>
      <c r="N51" s="123"/>
      <c r="O51" s="123"/>
      <c r="P51" s="123"/>
      <c r="Q51" s="140"/>
      <c r="R51" s="121"/>
      <c r="S51" s="121"/>
      <c r="T51" s="121"/>
      <c r="U51" s="47" t="str">
        <f t="shared" si="1"/>
        <v/>
      </c>
      <c r="V51" s="161" t="str">
        <f t="shared" si="2"/>
        <v/>
      </c>
      <c r="W51" s="161" t="str">
        <f t="shared" si="3"/>
        <v/>
      </c>
      <c r="Y51" s="121"/>
      <c r="Z51" s="138"/>
      <c r="AA51" s="123"/>
      <c r="AB51" s="123"/>
      <c r="AC51" s="123"/>
      <c r="AD51" s="123"/>
      <c r="AE51" s="123"/>
      <c r="AF51" s="123"/>
      <c r="AG51" s="123"/>
      <c r="AH51" s="123"/>
      <c r="AI51" s="123"/>
      <c r="AJ51" s="123"/>
      <c r="AK51" s="123"/>
      <c r="AL51" s="123"/>
      <c r="AM51" s="123"/>
      <c r="AN51" s="140"/>
      <c r="AO51" s="121"/>
      <c r="AP51" s="121"/>
      <c r="AQ51" s="121"/>
      <c r="AR51" s="47" t="str">
        <f t="shared" si="4"/>
        <v/>
      </c>
      <c r="AS51" s="161" t="str">
        <f t="shared" si="0"/>
        <v/>
      </c>
      <c r="AT51" s="161" t="str">
        <f t="shared" si="5"/>
        <v/>
      </c>
    </row>
    <row r="52" spans="2:46" x14ac:dyDescent="0.25">
      <c r="B52" s="121"/>
      <c r="C52" s="138"/>
      <c r="D52" s="123"/>
      <c r="E52" s="123"/>
      <c r="F52" s="123"/>
      <c r="G52" s="123"/>
      <c r="H52" s="123"/>
      <c r="I52" s="123"/>
      <c r="J52" s="123"/>
      <c r="K52" s="123"/>
      <c r="L52" s="123"/>
      <c r="M52" s="123"/>
      <c r="N52" s="123"/>
      <c r="O52" s="123"/>
      <c r="P52" s="123"/>
      <c r="Q52" s="140"/>
      <c r="R52" s="121"/>
      <c r="S52" s="121"/>
      <c r="T52" s="121"/>
      <c r="U52" s="47" t="str">
        <f t="shared" si="1"/>
        <v/>
      </c>
      <c r="V52" s="161" t="str">
        <f t="shared" si="2"/>
        <v/>
      </c>
      <c r="W52" s="161" t="str">
        <f t="shared" si="3"/>
        <v/>
      </c>
      <c r="Y52" s="121"/>
      <c r="Z52" s="138"/>
      <c r="AA52" s="123"/>
      <c r="AB52" s="123"/>
      <c r="AC52" s="123"/>
      <c r="AD52" s="123"/>
      <c r="AE52" s="123"/>
      <c r="AF52" s="123"/>
      <c r="AG52" s="123"/>
      <c r="AH52" s="123"/>
      <c r="AI52" s="123"/>
      <c r="AJ52" s="123"/>
      <c r="AK52" s="123"/>
      <c r="AL52" s="123"/>
      <c r="AM52" s="123"/>
      <c r="AN52" s="140"/>
      <c r="AO52" s="121"/>
      <c r="AP52" s="121"/>
      <c r="AQ52" s="121"/>
      <c r="AR52" s="47" t="str">
        <f t="shared" si="4"/>
        <v/>
      </c>
      <c r="AS52" s="161" t="str">
        <f t="shared" si="0"/>
        <v/>
      </c>
      <c r="AT52" s="161" t="str">
        <f t="shared" si="5"/>
        <v/>
      </c>
    </row>
    <row r="53" spans="2:46" x14ac:dyDescent="0.25">
      <c r="B53" s="121"/>
      <c r="C53" s="138"/>
      <c r="D53" s="123"/>
      <c r="E53" s="123"/>
      <c r="F53" s="123"/>
      <c r="G53" s="123"/>
      <c r="H53" s="123"/>
      <c r="I53" s="123"/>
      <c r="J53" s="123"/>
      <c r="K53" s="123"/>
      <c r="L53" s="123"/>
      <c r="M53" s="123"/>
      <c r="N53" s="123"/>
      <c r="O53" s="123"/>
      <c r="P53" s="123"/>
      <c r="Q53" s="140"/>
      <c r="R53" s="121"/>
      <c r="S53" s="121"/>
      <c r="T53" s="121"/>
      <c r="U53" s="47" t="str">
        <f t="shared" si="1"/>
        <v/>
      </c>
      <c r="V53" s="161" t="str">
        <f t="shared" si="2"/>
        <v/>
      </c>
      <c r="W53" s="161" t="str">
        <f t="shared" si="3"/>
        <v/>
      </c>
      <c r="Y53" s="121"/>
      <c r="Z53" s="138"/>
      <c r="AA53" s="123"/>
      <c r="AB53" s="123"/>
      <c r="AC53" s="123"/>
      <c r="AD53" s="123"/>
      <c r="AE53" s="123"/>
      <c r="AF53" s="123"/>
      <c r="AG53" s="123"/>
      <c r="AH53" s="123"/>
      <c r="AI53" s="123"/>
      <c r="AJ53" s="123"/>
      <c r="AK53" s="123"/>
      <c r="AL53" s="123"/>
      <c r="AM53" s="123"/>
      <c r="AN53" s="140"/>
      <c r="AO53" s="121"/>
      <c r="AP53" s="121"/>
      <c r="AQ53" s="121"/>
      <c r="AR53" s="47" t="str">
        <f t="shared" si="4"/>
        <v/>
      </c>
      <c r="AS53" s="161" t="str">
        <f t="shared" si="0"/>
        <v/>
      </c>
      <c r="AT53" s="161" t="str">
        <f t="shared" si="5"/>
        <v/>
      </c>
    </row>
    <row r="54" spans="2:46" x14ac:dyDescent="0.25">
      <c r="B54" s="121"/>
      <c r="C54" s="138"/>
      <c r="D54" s="123"/>
      <c r="E54" s="123"/>
      <c r="F54" s="123"/>
      <c r="G54" s="123"/>
      <c r="H54" s="123"/>
      <c r="I54" s="123"/>
      <c r="J54" s="123"/>
      <c r="K54" s="123"/>
      <c r="L54" s="123"/>
      <c r="M54" s="123"/>
      <c r="N54" s="123"/>
      <c r="O54" s="123"/>
      <c r="P54" s="123"/>
      <c r="Q54" s="140"/>
      <c r="R54" s="121"/>
      <c r="S54" s="121"/>
      <c r="T54" s="121"/>
      <c r="U54" s="47" t="str">
        <f t="shared" si="1"/>
        <v/>
      </c>
      <c r="V54" s="161" t="str">
        <f t="shared" si="2"/>
        <v/>
      </c>
      <c r="W54" s="161" t="str">
        <f t="shared" si="3"/>
        <v/>
      </c>
      <c r="Y54" s="121"/>
      <c r="Z54" s="138"/>
      <c r="AA54" s="123"/>
      <c r="AB54" s="123"/>
      <c r="AC54" s="123"/>
      <c r="AD54" s="123"/>
      <c r="AE54" s="123"/>
      <c r="AF54" s="123"/>
      <c r="AG54" s="123"/>
      <c r="AH54" s="123"/>
      <c r="AI54" s="123"/>
      <c r="AJ54" s="123"/>
      <c r="AK54" s="123"/>
      <c r="AL54" s="123"/>
      <c r="AM54" s="123"/>
      <c r="AN54" s="140"/>
      <c r="AO54" s="121"/>
      <c r="AP54" s="121"/>
      <c r="AQ54" s="121"/>
      <c r="AR54" s="47" t="str">
        <f t="shared" si="4"/>
        <v/>
      </c>
      <c r="AS54" s="161" t="str">
        <f t="shared" si="0"/>
        <v/>
      </c>
      <c r="AT54" s="161" t="str">
        <f t="shared" si="5"/>
        <v/>
      </c>
    </row>
    <row r="55" spans="2:46" x14ac:dyDescent="0.25">
      <c r="B55" s="121"/>
      <c r="C55" s="138"/>
      <c r="D55" s="123"/>
      <c r="E55" s="123"/>
      <c r="F55" s="123"/>
      <c r="G55" s="123"/>
      <c r="H55" s="123"/>
      <c r="I55" s="123"/>
      <c r="J55" s="123"/>
      <c r="K55" s="123"/>
      <c r="L55" s="123"/>
      <c r="M55" s="123"/>
      <c r="N55" s="123"/>
      <c r="O55" s="123"/>
      <c r="P55" s="123"/>
      <c r="Q55" s="140"/>
      <c r="R55" s="121"/>
      <c r="S55" s="121"/>
      <c r="T55" s="121"/>
      <c r="U55" s="47" t="str">
        <f t="shared" si="1"/>
        <v/>
      </c>
      <c r="V55" s="161" t="str">
        <f t="shared" si="2"/>
        <v/>
      </c>
      <c r="W55" s="161" t="str">
        <f t="shared" si="3"/>
        <v/>
      </c>
      <c r="Y55" s="121"/>
      <c r="Z55" s="138"/>
      <c r="AA55" s="123"/>
      <c r="AB55" s="123"/>
      <c r="AC55" s="123"/>
      <c r="AD55" s="123"/>
      <c r="AE55" s="123"/>
      <c r="AF55" s="123"/>
      <c r="AG55" s="123"/>
      <c r="AH55" s="123"/>
      <c r="AI55" s="123"/>
      <c r="AJ55" s="123"/>
      <c r="AK55" s="123"/>
      <c r="AL55" s="123"/>
      <c r="AM55" s="123"/>
      <c r="AN55" s="140"/>
      <c r="AO55" s="121"/>
      <c r="AP55" s="121"/>
      <c r="AQ55" s="121"/>
      <c r="AR55" s="47" t="str">
        <f t="shared" si="4"/>
        <v/>
      </c>
      <c r="AS55" s="161" t="str">
        <f t="shared" si="0"/>
        <v/>
      </c>
      <c r="AT55" s="161" t="str">
        <f t="shared" si="5"/>
        <v/>
      </c>
    </row>
    <row r="56" spans="2:46" x14ac:dyDescent="0.25">
      <c r="B56" s="121"/>
      <c r="C56" s="138"/>
      <c r="D56" s="123"/>
      <c r="E56" s="123"/>
      <c r="F56" s="123"/>
      <c r="G56" s="123"/>
      <c r="H56" s="123"/>
      <c r="I56" s="123"/>
      <c r="J56" s="123"/>
      <c r="K56" s="123"/>
      <c r="L56" s="123"/>
      <c r="M56" s="123"/>
      <c r="N56" s="123"/>
      <c r="O56" s="123"/>
      <c r="P56" s="123"/>
      <c r="Q56" s="140"/>
      <c r="R56" s="121"/>
      <c r="S56" s="121"/>
      <c r="T56" s="121"/>
      <c r="U56" s="47" t="str">
        <f t="shared" si="1"/>
        <v/>
      </c>
      <c r="V56" s="161" t="str">
        <f t="shared" si="2"/>
        <v/>
      </c>
      <c r="W56" s="161" t="str">
        <f t="shared" si="3"/>
        <v/>
      </c>
      <c r="Y56" s="121"/>
      <c r="Z56" s="138"/>
      <c r="AA56" s="123"/>
      <c r="AB56" s="123"/>
      <c r="AC56" s="123"/>
      <c r="AD56" s="123"/>
      <c r="AE56" s="123"/>
      <c r="AF56" s="123"/>
      <c r="AG56" s="123"/>
      <c r="AH56" s="123"/>
      <c r="AI56" s="123"/>
      <c r="AJ56" s="123"/>
      <c r="AK56" s="123"/>
      <c r="AL56" s="123"/>
      <c r="AM56" s="123"/>
      <c r="AN56" s="140"/>
      <c r="AO56" s="121"/>
      <c r="AP56" s="121"/>
      <c r="AQ56" s="121"/>
      <c r="AR56" s="47" t="str">
        <f t="shared" si="4"/>
        <v/>
      </c>
      <c r="AS56" s="161" t="str">
        <f t="shared" si="0"/>
        <v/>
      </c>
      <c r="AT56" s="161" t="str">
        <f t="shared" si="5"/>
        <v/>
      </c>
    </row>
    <row r="57" spans="2:46" x14ac:dyDescent="0.25">
      <c r="B57" s="121"/>
      <c r="C57" s="138"/>
      <c r="D57" s="123"/>
      <c r="E57" s="123"/>
      <c r="F57" s="123"/>
      <c r="G57" s="123"/>
      <c r="H57" s="123"/>
      <c r="I57" s="123"/>
      <c r="J57" s="123"/>
      <c r="K57" s="123"/>
      <c r="L57" s="123"/>
      <c r="M57" s="123"/>
      <c r="N57" s="123"/>
      <c r="O57" s="123"/>
      <c r="P57" s="123"/>
      <c r="Q57" s="140"/>
      <c r="R57" s="121"/>
      <c r="S57" s="121"/>
      <c r="T57" s="121"/>
      <c r="U57" s="47" t="str">
        <f t="shared" si="1"/>
        <v/>
      </c>
      <c r="V57" s="161" t="str">
        <f t="shared" si="2"/>
        <v/>
      </c>
      <c r="W57" s="161" t="str">
        <f t="shared" si="3"/>
        <v/>
      </c>
      <c r="Y57" s="121"/>
      <c r="Z57" s="138"/>
      <c r="AA57" s="123"/>
      <c r="AB57" s="123"/>
      <c r="AC57" s="123"/>
      <c r="AD57" s="123"/>
      <c r="AE57" s="123"/>
      <c r="AF57" s="123"/>
      <c r="AG57" s="123"/>
      <c r="AH57" s="123"/>
      <c r="AI57" s="123"/>
      <c r="AJ57" s="123"/>
      <c r="AK57" s="123"/>
      <c r="AL57" s="123"/>
      <c r="AM57" s="123"/>
      <c r="AN57" s="140"/>
      <c r="AO57" s="121"/>
      <c r="AP57" s="121"/>
      <c r="AQ57" s="121"/>
      <c r="AR57" s="47" t="str">
        <f t="shared" si="4"/>
        <v/>
      </c>
      <c r="AS57" s="161" t="str">
        <f t="shared" si="0"/>
        <v/>
      </c>
      <c r="AT57" s="161" t="str">
        <f t="shared" si="5"/>
        <v/>
      </c>
    </row>
    <row r="58" spans="2:46" x14ac:dyDescent="0.25">
      <c r="B58" s="121"/>
      <c r="C58" s="138"/>
      <c r="D58" s="123"/>
      <c r="E58" s="123"/>
      <c r="F58" s="123"/>
      <c r="G58" s="123"/>
      <c r="H58" s="123"/>
      <c r="I58" s="123"/>
      <c r="J58" s="123"/>
      <c r="K58" s="123"/>
      <c r="L58" s="123"/>
      <c r="M58" s="123"/>
      <c r="N58" s="123"/>
      <c r="O58" s="123"/>
      <c r="P58" s="123"/>
      <c r="Q58" s="140"/>
      <c r="R58" s="121"/>
      <c r="S58" s="121"/>
      <c r="T58" s="121"/>
      <c r="U58" s="47" t="str">
        <f t="shared" si="1"/>
        <v/>
      </c>
      <c r="V58" s="161" t="str">
        <f t="shared" si="2"/>
        <v/>
      </c>
      <c r="W58" s="161" t="str">
        <f t="shared" si="3"/>
        <v/>
      </c>
      <c r="Y58" s="121"/>
      <c r="Z58" s="138"/>
      <c r="AA58" s="123"/>
      <c r="AB58" s="123"/>
      <c r="AC58" s="123"/>
      <c r="AD58" s="123"/>
      <c r="AE58" s="123"/>
      <c r="AF58" s="123"/>
      <c r="AG58" s="123"/>
      <c r="AH58" s="123"/>
      <c r="AI58" s="123"/>
      <c r="AJ58" s="123"/>
      <c r="AK58" s="123"/>
      <c r="AL58" s="123"/>
      <c r="AM58" s="123"/>
      <c r="AN58" s="140"/>
      <c r="AO58" s="121"/>
      <c r="AP58" s="121"/>
      <c r="AQ58" s="121"/>
      <c r="AR58" s="47" t="str">
        <f t="shared" si="4"/>
        <v/>
      </c>
      <c r="AS58" s="161" t="str">
        <f t="shared" si="0"/>
        <v/>
      </c>
      <c r="AT58" s="161" t="str">
        <f t="shared" si="5"/>
        <v/>
      </c>
    </row>
    <row r="59" spans="2:46" x14ac:dyDescent="0.25">
      <c r="B59" s="121"/>
      <c r="C59" s="138"/>
      <c r="D59" s="123"/>
      <c r="E59" s="123"/>
      <c r="F59" s="123"/>
      <c r="G59" s="123"/>
      <c r="H59" s="123"/>
      <c r="I59" s="123"/>
      <c r="J59" s="123"/>
      <c r="K59" s="123"/>
      <c r="L59" s="123"/>
      <c r="M59" s="123"/>
      <c r="N59" s="123"/>
      <c r="O59" s="123"/>
      <c r="P59" s="123"/>
      <c r="Q59" s="140"/>
      <c r="R59" s="121"/>
      <c r="S59" s="121"/>
      <c r="T59" s="121"/>
      <c r="U59" s="47" t="str">
        <f t="shared" si="1"/>
        <v/>
      </c>
      <c r="V59" s="161" t="str">
        <f t="shared" si="2"/>
        <v/>
      </c>
      <c r="W59" s="161" t="str">
        <f t="shared" si="3"/>
        <v/>
      </c>
      <c r="Y59" s="121"/>
      <c r="Z59" s="138"/>
      <c r="AA59" s="123"/>
      <c r="AB59" s="123"/>
      <c r="AC59" s="123"/>
      <c r="AD59" s="123"/>
      <c r="AE59" s="123"/>
      <c r="AF59" s="123"/>
      <c r="AG59" s="123"/>
      <c r="AH59" s="123"/>
      <c r="AI59" s="123"/>
      <c r="AJ59" s="123"/>
      <c r="AK59" s="123"/>
      <c r="AL59" s="123"/>
      <c r="AM59" s="123"/>
      <c r="AN59" s="140"/>
      <c r="AO59" s="121"/>
      <c r="AP59" s="121"/>
      <c r="AQ59" s="121"/>
      <c r="AR59" s="47" t="str">
        <f t="shared" si="4"/>
        <v/>
      </c>
      <c r="AS59" s="161" t="str">
        <f t="shared" si="0"/>
        <v/>
      </c>
      <c r="AT59" s="161" t="str">
        <f t="shared" si="5"/>
        <v/>
      </c>
    </row>
    <row r="60" spans="2:46" x14ac:dyDescent="0.25">
      <c r="B60" s="121"/>
      <c r="C60" s="138"/>
      <c r="D60" s="123"/>
      <c r="E60" s="123"/>
      <c r="F60" s="123"/>
      <c r="G60" s="123"/>
      <c r="H60" s="123"/>
      <c r="I60" s="123"/>
      <c r="J60" s="123"/>
      <c r="K60" s="123"/>
      <c r="L60" s="123"/>
      <c r="M60" s="123"/>
      <c r="N60" s="123"/>
      <c r="O60" s="123"/>
      <c r="P60" s="123"/>
      <c r="Q60" s="140"/>
      <c r="R60" s="121"/>
      <c r="S60" s="121"/>
      <c r="T60" s="121"/>
      <c r="U60" s="47" t="str">
        <f t="shared" si="1"/>
        <v/>
      </c>
      <c r="V60" s="161" t="str">
        <f t="shared" si="2"/>
        <v/>
      </c>
      <c r="W60" s="161" t="str">
        <f t="shared" si="3"/>
        <v/>
      </c>
      <c r="Y60" s="121"/>
      <c r="Z60" s="138"/>
      <c r="AA60" s="123"/>
      <c r="AB60" s="123"/>
      <c r="AC60" s="123"/>
      <c r="AD60" s="123"/>
      <c r="AE60" s="123"/>
      <c r="AF60" s="123"/>
      <c r="AG60" s="123"/>
      <c r="AH60" s="123"/>
      <c r="AI60" s="123"/>
      <c r="AJ60" s="123"/>
      <c r="AK60" s="123"/>
      <c r="AL60" s="123"/>
      <c r="AM60" s="123"/>
      <c r="AN60" s="140"/>
      <c r="AO60" s="121"/>
      <c r="AP60" s="121"/>
      <c r="AQ60" s="121"/>
      <c r="AR60" s="47" t="str">
        <f t="shared" si="4"/>
        <v/>
      </c>
      <c r="AS60" s="161" t="str">
        <f t="shared" si="0"/>
        <v/>
      </c>
      <c r="AT60" s="161" t="str">
        <f t="shared" si="5"/>
        <v/>
      </c>
    </row>
    <row r="61" spans="2:46" x14ac:dyDescent="0.25">
      <c r="B61" s="121"/>
      <c r="C61" s="138"/>
      <c r="D61" s="123"/>
      <c r="E61" s="123"/>
      <c r="F61" s="123"/>
      <c r="G61" s="123"/>
      <c r="H61" s="123"/>
      <c r="I61" s="123"/>
      <c r="J61" s="123"/>
      <c r="K61" s="123"/>
      <c r="L61" s="123"/>
      <c r="M61" s="123"/>
      <c r="N61" s="123"/>
      <c r="O61" s="123"/>
      <c r="P61" s="123"/>
      <c r="Q61" s="140"/>
      <c r="R61" s="121"/>
      <c r="S61" s="121"/>
      <c r="T61" s="121"/>
      <c r="U61" s="47" t="str">
        <f t="shared" si="1"/>
        <v/>
      </c>
      <c r="V61" s="161" t="str">
        <f t="shared" si="2"/>
        <v/>
      </c>
      <c r="W61" s="161" t="str">
        <f t="shared" si="3"/>
        <v/>
      </c>
      <c r="Y61" s="121"/>
      <c r="Z61" s="138"/>
      <c r="AA61" s="123"/>
      <c r="AB61" s="123"/>
      <c r="AC61" s="123"/>
      <c r="AD61" s="123"/>
      <c r="AE61" s="123"/>
      <c r="AF61" s="123"/>
      <c r="AG61" s="123"/>
      <c r="AH61" s="123"/>
      <c r="AI61" s="123"/>
      <c r="AJ61" s="123"/>
      <c r="AK61" s="123"/>
      <c r="AL61" s="123"/>
      <c r="AM61" s="123"/>
      <c r="AN61" s="140"/>
      <c r="AO61" s="121"/>
      <c r="AP61" s="121"/>
      <c r="AQ61" s="121"/>
      <c r="AR61" s="47" t="str">
        <f t="shared" si="4"/>
        <v/>
      </c>
      <c r="AS61" s="161" t="str">
        <f t="shared" si="0"/>
        <v/>
      </c>
      <c r="AT61" s="161" t="str">
        <f t="shared" si="5"/>
        <v/>
      </c>
    </row>
    <row r="62" spans="2:46" x14ac:dyDescent="0.25">
      <c r="B62" s="121"/>
      <c r="C62" s="138"/>
      <c r="D62" s="123"/>
      <c r="E62" s="123"/>
      <c r="F62" s="123"/>
      <c r="G62" s="123"/>
      <c r="H62" s="123"/>
      <c r="I62" s="123"/>
      <c r="J62" s="123"/>
      <c r="K62" s="123"/>
      <c r="L62" s="123"/>
      <c r="M62" s="123"/>
      <c r="N62" s="123"/>
      <c r="O62" s="123"/>
      <c r="P62" s="123"/>
      <c r="Q62" s="140"/>
      <c r="R62" s="121"/>
      <c r="S62" s="121"/>
      <c r="T62" s="121"/>
      <c r="U62" s="47" t="str">
        <f t="shared" si="1"/>
        <v/>
      </c>
      <c r="V62" s="161" t="str">
        <f t="shared" si="2"/>
        <v/>
      </c>
      <c r="W62" s="161" t="str">
        <f t="shared" si="3"/>
        <v/>
      </c>
      <c r="Y62" s="121"/>
      <c r="Z62" s="138"/>
      <c r="AA62" s="123"/>
      <c r="AB62" s="123"/>
      <c r="AC62" s="123"/>
      <c r="AD62" s="123"/>
      <c r="AE62" s="123"/>
      <c r="AF62" s="123"/>
      <c r="AG62" s="123"/>
      <c r="AH62" s="123"/>
      <c r="AI62" s="123"/>
      <c r="AJ62" s="123"/>
      <c r="AK62" s="123"/>
      <c r="AL62" s="123"/>
      <c r="AM62" s="123"/>
      <c r="AN62" s="140"/>
      <c r="AO62" s="121"/>
      <c r="AP62" s="121"/>
      <c r="AQ62" s="121"/>
      <c r="AR62" s="47" t="str">
        <f t="shared" si="4"/>
        <v/>
      </c>
      <c r="AS62" s="161" t="str">
        <f t="shared" si="0"/>
        <v/>
      </c>
      <c r="AT62" s="161" t="str">
        <f t="shared" si="5"/>
        <v/>
      </c>
    </row>
    <row r="63" spans="2:46" x14ac:dyDescent="0.25">
      <c r="B63" s="121"/>
      <c r="C63" s="138"/>
      <c r="D63" s="123"/>
      <c r="E63" s="123"/>
      <c r="F63" s="123"/>
      <c r="G63" s="123"/>
      <c r="H63" s="123"/>
      <c r="I63" s="123"/>
      <c r="J63" s="123"/>
      <c r="K63" s="123"/>
      <c r="L63" s="123"/>
      <c r="M63" s="123"/>
      <c r="N63" s="123"/>
      <c r="O63" s="123"/>
      <c r="P63" s="123"/>
      <c r="Q63" s="140"/>
      <c r="R63" s="121"/>
      <c r="S63" s="121"/>
      <c r="T63" s="121"/>
      <c r="U63" s="47" t="str">
        <f t="shared" si="1"/>
        <v/>
      </c>
      <c r="V63" s="161" t="str">
        <f t="shared" si="2"/>
        <v/>
      </c>
      <c r="W63" s="161" t="str">
        <f t="shared" si="3"/>
        <v/>
      </c>
      <c r="Y63" s="121"/>
      <c r="Z63" s="138"/>
      <c r="AA63" s="123"/>
      <c r="AB63" s="123"/>
      <c r="AC63" s="123"/>
      <c r="AD63" s="123"/>
      <c r="AE63" s="123"/>
      <c r="AF63" s="123"/>
      <c r="AG63" s="123"/>
      <c r="AH63" s="123"/>
      <c r="AI63" s="123"/>
      <c r="AJ63" s="123"/>
      <c r="AK63" s="123"/>
      <c r="AL63" s="123"/>
      <c r="AM63" s="123"/>
      <c r="AN63" s="140"/>
      <c r="AO63" s="121"/>
      <c r="AP63" s="121"/>
      <c r="AQ63" s="121"/>
      <c r="AR63" s="47" t="str">
        <f t="shared" si="4"/>
        <v/>
      </c>
      <c r="AS63" s="161" t="str">
        <f t="shared" si="0"/>
        <v/>
      </c>
      <c r="AT63" s="161" t="str">
        <f t="shared" si="5"/>
        <v/>
      </c>
    </row>
    <row r="64" spans="2:46" x14ac:dyDescent="0.25">
      <c r="B64" s="121"/>
      <c r="C64" s="138"/>
      <c r="D64" s="123"/>
      <c r="E64" s="123"/>
      <c r="F64" s="123"/>
      <c r="G64" s="123"/>
      <c r="H64" s="123"/>
      <c r="I64" s="123"/>
      <c r="J64" s="123"/>
      <c r="K64" s="123"/>
      <c r="L64" s="123"/>
      <c r="M64" s="123"/>
      <c r="N64" s="123"/>
      <c r="O64" s="123"/>
      <c r="P64" s="123"/>
      <c r="Q64" s="140"/>
      <c r="R64" s="121"/>
      <c r="S64" s="121"/>
      <c r="T64" s="121"/>
      <c r="U64" s="47" t="str">
        <f t="shared" si="1"/>
        <v/>
      </c>
      <c r="V64" s="161" t="str">
        <f t="shared" si="2"/>
        <v/>
      </c>
      <c r="W64" s="161" t="str">
        <f t="shared" si="3"/>
        <v/>
      </c>
      <c r="Y64" s="121"/>
      <c r="Z64" s="138"/>
      <c r="AA64" s="123"/>
      <c r="AB64" s="123"/>
      <c r="AC64" s="123"/>
      <c r="AD64" s="123"/>
      <c r="AE64" s="123"/>
      <c r="AF64" s="123"/>
      <c r="AG64" s="123"/>
      <c r="AH64" s="123"/>
      <c r="AI64" s="123"/>
      <c r="AJ64" s="123"/>
      <c r="AK64" s="123"/>
      <c r="AL64" s="123"/>
      <c r="AM64" s="123"/>
      <c r="AN64" s="140"/>
      <c r="AO64" s="121"/>
      <c r="AP64" s="121"/>
      <c r="AQ64" s="121"/>
      <c r="AR64" s="47" t="str">
        <f t="shared" si="4"/>
        <v/>
      </c>
      <c r="AS64" s="161" t="str">
        <f t="shared" si="0"/>
        <v/>
      </c>
      <c r="AT64" s="161" t="str">
        <f t="shared" si="5"/>
        <v/>
      </c>
    </row>
    <row r="65" spans="2:46" x14ac:dyDescent="0.25">
      <c r="B65" s="121"/>
      <c r="C65" s="138"/>
      <c r="D65" s="123"/>
      <c r="E65" s="123"/>
      <c r="F65" s="123"/>
      <c r="G65" s="123"/>
      <c r="H65" s="123"/>
      <c r="I65" s="123"/>
      <c r="J65" s="123"/>
      <c r="K65" s="123"/>
      <c r="L65" s="123"/>
      <c r="M65" s="123"/>
      <c r="N65" s="123"/>
      <c r="O65" s="123"/>
      <c r="P65" s="123"/>
      <c r="Q65" s="140"/>
      <c r="R65" s="121"/>
      <c r="S65" s="121"/>
      <c r="T65" s="121"/>
      <c r="U65" s="47" t="str">
        <f t="shared" si="1"/>
        <v/>
      </c>
      <c r="V65" s="161" t="str">
        <f t="shared" si="2"/>
        <v/>
      </c>
      <c r="W65" s="161" t="str">
        <f t="shared" si="3"/>
        <v/>
      </c>
      <c r="Y65" s="121"/>
      <c r="Z65" s="138"/>
      <c r="AA65" s="123"/>
      <c r="AB65" s="123"/>
      <c r="AC65" s="123"/>
      <c r="AD65" s="123"/>
      <c r="AE65" s="123"/>
      <c r="AF65" s="123"/>
      <c r="AG65" s="123"/>
      <c r="AH65" s="123"/>
      <c r="AI65" s="123"/>
      <c r="AJ65" s="123"/>
      <c r="AK65" s="123"/>
      <c r="AL65" s="123"/>
      <c r="AM65" s="123"/>
      <c r="AN65" s="140"/>
      <c r="AO65" s="121"/>
      <c r="AP65" s="121"/>
      <c r="AQ65" s="121"/>
      <c r="AR65" s="47" t="str">
        <f t="shared" si="4"/>
        <v/>
      </c>
      <c r="AS65" s="161" t="str">
        <f t="shared" si="0"/>
        <v/>
      </c>
      <c r="AT65" s="161" t="str">
        <f t="shared" si="5"/>
        <v/>
      </c>
    </row>
    <row r="66" spans="2:46" x14ac:dyDescent="0.25">
      <c r="B66" s="121"/>
      <c r="C66" s="138"/>
      <c r="D66" s="123"/>
      <c r="E66" s="123"/>
      <c r="F66" s="123"/>
      <c r="G66" s="123"/>
      <c r="H66" s="123"/>
      <c r="I66" s="123"/>
      <c r="J66" s="123"/>
      <c r="K66" s="123"/>
      <c r="L66" s="123"/>
      <c r="M66" s="123"/>
      <c r="N66" s="123"/>
      <c r="O66" s="123"/>
      <c r="P66" s="123"/>
      <c r="Q66" s="140"/>
      <c r="R66" s="121"/>
      <c r="S66" s="121"/>
      <c r="T66" s="121"/>
      <c r="U66" s="47" t="str">
        <f t="shared" si="1"/>
        <v/>
      </c>
      <c r="V66" s="161" t="str">
        <f t="shared" si="2"/>
        <v/>
      </c>
      <c r="W66" s="161" t="str">
        <f t="shared" si="3"/>
        <v/>
      </c>
      <c r="Y66" s="121"/>
      <c r="Z66" s="138"/>
      <c r="AA66" s="123"/>
      <c r="AB66" s="123"/>
      <c r="AC66" s="123"/>
      <c r="AD66" s="123"/>
      <c r="AE66" s="123"/>
      <c r="AF66" s="123"/>
      <c r="AG66" s="123"/>
      <c r="AH66" s="123"/>
      <c r="AI66" s="123"/>
      <c r="AJ66" s="123"/>
      <c r="AK66" s="123"/>
      <c r="AL66" s="123"/>
      <c r="AM66" s="123"/>
      <c r="AN66" s="140"/>
      <c r="AO66" s="121"/>
      <c r="AP66" s="121"/>
      <c r="AQ66" s="121"/>
      <c r="AR66" s="47" t="str">
        <f t="shared" si="4"/>
        <v/>
      </c>
      <c r="AS66" s="161" t="str">
        <f t="shared" si="0"/>
        <v/>
      </c>
      <c r="AT66" s="161" t="str">
        <f t="shared" si="5"/>
        <v/>
      </c>
    </row>
    <row r="67" spans="2:46" x14ac:dyDescent="0.25">
      <c r="B67" s="121"/>
      <c r="C67" s="138"/>
      <c r="D67" s="123"/>
      <c r="E67" s="123"/>
      <c r="F67" s="123"/>
      <c r="G67" s="123"/>
      <c r="H67" s="123"/>
      <c r="I67" s="123"/>
      <c r="J67" s="123"/>
      <c r="K67" s="123"/>
      <c r="L67" s="123"/>
      <c r="M67" s="123"/>
      <c r="N67" s="123"/>
      <c r="O67" s="123"/>
      <c r="P67" s="123"/>
      <c r="Q67" s="140"/>
      <c r="R67" s="121"/>
      <c r="S67" s="121"/>
      <c r="T67" s="121"/>
      <c r="U67" s="47" t="str">
        <f t="shared" si="1"/>
        <v/>
      </c>
      <c r="V67" s="161" t="str">
        <f t="shared" si="2"/>
        <v/>
      </c>
      <c r="W67" s="161" t="str">
        <f t="shared" si="3"/>
        <v/>
      </c>
      <c r="Y67" s="121"/>
      <c r="Z67" s="138"/>
      <c r="AA67" s="123"/>
      <c r="AB67" s="123"/>
      <c r="AC67" s="123"/>
      <c r="AD67" s="123"/>
      <c r="AE67" s="123"/>
      <c r="AF67" s="123"/>
      <c r="AG67" s="123"/>
      <c r="AH67" s="123"/>
      <c r="AI67" s="123"/>
      <c r="AJ67" s="123"/>
      <c r="AK67" s="123"/>
      <c r="AL67" s="123"/>
      <c r="AM67" s="123"/>
      <c r="AN67" s="140"/>
      <c r="AO67" s="121"/>
      <c r="AP67" s="121"/>
      <c r="AQ67" s="121"/>
      <c r="AR67" s="47" t="str">
        <f t="shared" si="4"/>
        <v/>
      </c>
      <c r="AS67" s="161" t="str">
        <f t="shared" si="0"/>
        <v/>
      </c>
      <c r="AT67" s="161" t="str">
        <f t="shared" si="5"/>
        <v/>
      </c>
    </row>
    <row r="68" spans="2:46" x14ac:dyDescent="0.25">
      <c r="B68" s="121"/>
      <c r="C68" s="138"/>
      <c r="D68" s="123"/>
      <c r="E68" s="123"/>
      <c r="F68" s="123"/>
      <c r="G68" s="123"/>
      <c r="H68" s="123"/>
      <c r="I68" s="123"/>
      <c r="J68" s="123"/>
      <c r="K68" s="123"/>
      <c r="L68" s="123"/>
      <c r="M68" s="123"/>
      <c r="N68" s="123"/>
      <c r="O68" s="123"/>
      <c r="P68" s="123"/>
      <c r="Q68" s="140"/>
      <c r="R68" s="121"/>
      <c r="S68" s="121"/>
      <c r="T68" s="121"/>
      <c r="U68" s="47" t="str">
        <f t="shared" si="1"/>
        <v/>
      </c>
      <c r="V68" s="161" t="str">
        <f t="shared" si="2"/>
        <v/>
      </c>
      <c r="W68" s="161" t="str">
        <f t="shared" si="3"/>
        <v/>
      </c>
      <c r="Y68" s="121"/>
      <c r="Z68" s="138"/>
      <c r="AA68" s="123"/>
      <c r="AB68" s="123"/>
      <c r="AC68" s="123"/>
      <c r="AD68" s="123"/>
      <c r="AE68" s="123"/>
      <c r="AF68" s="123"/>
      <c r="AG68" s="123"/>
      <c r="AH68" s="123"/>
      <c r="AI68" s="123"/>
      <c r="AJ68" s="123"/>
      <c r="AK68" s="123"/>
      <c r="AL68" s="123"/>
      <c r="AM68" s="123"/>
      <c r="AN68" s="140"/>
      <c r="AO68" s="121"/>
      <c r="AP68" s="121"/>
      <c r="AQ68" s="121"/>
      <c r="AR68" s="47" t="str">
        <f t="shared" si="4"/>
        <v/>
      </c>
      <c r="AS68" s="161" t="str">
        <f t="shared" si="0"/>
        <v/>
      </c>
      <c r="AT68" s="161" t="str">
        <f t="shared" si="5"/>
        <v/>
      </c>
    </row>
    <row r="69" spans="2:46" x14ac:dyDescent="0.25">
      <c r="B69" s="121"/>
      <c r="C69" s="138"/>
      <c r="D69" s="123"/>
      <c r="E69" s="123"/>
      <c r="F69" s="123"/>
      <c r="G69" s="123"/>
      <c r="H69" s="123"/>
      <c r="I69" s="123"/>
      <c r="J69" s="123"/>
      <c r="K69" s="123"/>
      <c r="L69" s="123"/>
      <c r="M69" s="123"/>
      <c r="N69" s="123"/>
      <c r="O69" s="123"/>
      <c r="P69" s="123"/>
      <c r="Q69" s="140"/>
      <c r="R69" s="121"/>
      <c r="S69" s="121"/>
      <c r="T69" s="121"/>
      <c r="U69" s="47" t="str">
        <f t="shared" si="1"/>
        <v/>
      </c>
      <c r="V69" s="161" t="str">
        <f t="shared" si="2"/>
        <v/>
      </c>
      <c r="W69" s="161" t="str">
        <f t="shared" si="3"/>
        <v/>
      </c>
      <c r="Y69" s="121"/>
      <c r="Z69" s="138"/>
      <c r="AA69" s="123"/>
      <c r="AB69" s="123"/>
      <c r="AC69" s="123"/>
      <c r="AD69" s="123"/>
      <c r="AE69" s="123"/>
      <c r="AF69" s="123"/>
      <c r="AG69" s="123"/>
      <c r="AH69" s="123"/>
      <c r="AI69" s="123"/>
      <c r="AJ69" s="123"/>
      <c r="AK69" s="123"/>
      <c r="AL69" s="123"/>
      <c r="AM69" s="123"/>
      <c r="AN69" s="140"/>
      <c r="AO69" s="121"/>
      <c r="AP69" s="121"/>
      <c r="AQ69" s="121"/>
      <c r="AR69" s="47" t="str">
        <f t="shared" si="4"/>
        <v/>
      </c>
      <c r="AS69" s="161" t="str">
        <f t="shared" si="0"/>
        <v/>
      </c>
      <c r="AT69" s="161" t="str">
        <f t="shared" si="5"/>
        <v/>
      </c>
    </row>
    <row r="70" spans="2:46" x14ac:dyDescent="0.25">
      <c r="B70" s="121"/>
      <c r="C70" s="138"/>
      <c r="D70" s="123"/>
      <c r="E70" s="123"/>
      <c r="F70" s="123"/>
      <c r="G70" s="123"/>
      <c r="H70" s="123"/>
      <c r="I70" s="123"/>
      <c r="J70" s="123"/>
      <c r="K70" s="123"/>
      <c r="L70" s="123"/>
      <c r="M70" s="123"/>
      <c r="N70" s="123"/>
      <c r="O70" s="123"/>
      <c r="P70" s="123"/>
      <c r="Q70" s="140"/>
      <c r="R70" s="121"/>
      <c r="S70" s="121"/>
      <c r="T70" s="121"/>
      <c r="U70" s="47" t="str">
        <f t="shared" si="1"/>
        <v/>
      </c>
      <c r="V70" s="161" t="str">
        <f t="shared" si="2"/>
        <v/>
      </c>
      <c r="W70" s="161" t="str">
        <f t="shared" si="3"/>
        <v/>
      </c>
      <c r="Y70" s="121"/>
      <c r="Z70" s="138"/>
      <c r="AA70" s="123"/>
      <c r="AB70" s="123"/>
      <c r="AC70" s="123"/>
      <c r="AD70" s="123"/>
      <c r="AE70" s="123"/>
      <c r="AF70" s="123"/>
      <c r="AG70" s="123"/>
      <c r="AH70" s="123"/>
      <c r="AI70" s="123"/>
      <c r="AJ70" s="123"/>
      <c r="AK70" s="123"/>
      <c r="AL70" s="123"/>
      <c r="AM70" s="123"/>
      <c r="AN70" s="140"/>
      <c r="AO70" s="121"/>
      <c r="AP70" s="121"/>
      <c r="AQ70" s="121"/>
      <c r="AR70" s="47" t="str">
        <f t="shared" si="4"/>
        <v/>
      </c>
      <c r="AS70" s="161" t="str">
        <f t="shared" si="0"/>
        <v/>
      </c>
      <c r="AT70" s="161" t="str">
        <f t="shared" si="5"/>
        <v/>
      </c>
    </row>
    <row r="71" spans="2:46" x14ac:dyDescent="0.25">
      <c r="B71" s="121"/>
      <c r="C71" s="138"/>
      <c r="D71" s="123"/>
      <c r="E71" s="123"/>
      <c r="F71" s="123"/>
      <c r="G71" s="123"/>
      <c r="H71" s="123"/>
      <c r="I71" s="123"/>
      <c r="J71" s="123"/>
      <c r="K71" s="123"/>
      <c r="L71" s="123"/>
      <c r="M71" s="123"/>
      <c r="N71" s="123"/>
      <c r="O71" s="123"/>
      <c r="P71" s="123"/>
      <c r="Q71" s="140"/>
      <c r="R71" s="121"/>
      <c r="S71" s="121"/>
      <c r="T71" s="121"/>
      <c r="U71" s="47" t="str">
        <f t="shared" si="1"/>
        <v/>
      </c>
      <c r="V71" s="161" t="str">
        <f t="shared" si="2"/>
        <v/>
      </c>
      <c r="W71" s="161" t="str">
        <f t="shared" si="3"/>
        <v/>
      </c>
      <c r="Y71" s="121"/>
      <c r="Z71" s="138"/>
      <c r="AA71" s="123"/>
      <c r="AB71" s="123"/>
      <c r="AC71" s="123"/>
      <c r="AD71" s="123"/>
      <c r="AE71" s="123"/>
      <c r="AF71" s="123"/>
      <c r="AG71" s="123"/>
      <c r="AH71" s="123"/>
      <c r="AI71" s="123"/>
      <c r="AJ71" s="123"/>
      <c r="AK71" s="123"/>
      <c r="AL71" s="123"/>
      <c r="AM71" s="123"/>
      <c r="AN71" s="140"/>
      <c r="AO71" s="121"/>
      <c r="AP71" s="121"/>
      <c r="AQ71" s="121"/>
      <c r="AR71" s="47" t="str">
        <f t="shared" si="4"/>
        <v/>
      </c>
      <c r="AS71" s="161" t="str">
        <f t="shared" si="0"/>
        <v/>
      </c>
      <c r="AT71" s="161" t="str">
        <f t="shared" si="5"/>
        <v/>
      </c>
    </row>
    <row r="72" spans="2:46" x14ac:dyDescent="0.25">
      <c r="B72" s="121"/>
      <c r="C72" s="138"/>
      <c r="D72" s="123"/>
      <c r="E72" s="123"/>
      <c r="F72" s="123"/>
      <c r="G72" s="123"/>
      <c r="H72" s="123"/>
      <c r="I72" s="123"/>
      <c r="J72" s="123"/>
      <c r="K72" s="123"/>
      <c r="L72" s="123"/>
      <c r="M72" s="123"/>
      <c r="N72" s="123"/>
      <c r="O72" s="123"/>
      <c r="P72" s="123"/>
      <c r="Q72" s="140"/>
      <c r="R72" s="121"/>
      <c r="S72" s="121"/>
      <c r="T72" s="121"/>
      <c r="U72" s="47" t="str">
        <f t="shared" si="1"/>
        <v/>
      </c>
      <c r="V72" s="161" t="str">
        <f t="shared" si="2"/>
        <v/>
      </c>
      <c r="W72" s="161" t="str">
        <f t="shared" si="3"/>
        <v/>
      </c>
      <c r="Y72" s="121"/>
      <c r="Z72" s="138"/>
      <c r="AA72" s="123"/>
      <c r="AB72" s="123"/>
      <c r="AC72" s="123"/>
      <c r="AD72" s="123"/>
      <c r="AE72" s="123"/>
      <c r="AF72" s="123"/>
      <c r="AG72" s="123"/>
      <c r="AH72" s="123"/>
      <c r="AI72" s="123"/>
      <c r="AJ72" s="123"/>
      <c r="AK72" s="123"/>
      <c r="AL72" s="123"/>
      <c r="AM72" s="123"/>
      <c r="AN72" s="140"/>
      <c r="AO72" s="121"/>
      <c r="AP72" s="121"/>
      <c r="AQ72" s="121"/>
      <c r="AR72" s="47" t="str">
        <f t="shared" si="4"/>
        <v/>
      </c>
      <c r="AS72" s="161" t="str">
        <f t="shared" si="0"/>
        <v/>
      </c>
      <c r="AT72" s="161" t="str">
        <f t="shared" si="5"/>
        <v/>
      </c>
    </row>
    <row r="73" spans="2:46" x14ac:dyDescent="0.25">
      <c r="B73" s="121"/>
      <c r="C73" s="138"/>
      <c r="D73" s="123"/>
      <c r="E73" s="123"/>
      <c r="F73" s="123"/>
      <c r="G73" s="123"/>
      <c r="H73" s="123"/>
      <c r="I73" s="123"/>
      <c r="J73" s="123"/>
      <c r="K73" s="123"/>
      <c r="L73" s="123"/>
      <c r="M73" s="123"/>
      <c r="N73" s="123"/>
      <c r="O73" s="123"/>
      <c r="P73" s="123"/>
      <c r="Q73" s="140"/>
      <c r="R73" s="121"/>
      <c r="S73" s="121"/>
      <c r="T73" s="121"/>
      <c r="U73" s="47" t="str">
        <f t="shared" si="1"/>
        <v/>
      </c>
      <c r="V73" s="161" t="str">
        <f t="shared" si="2"/>
        <v/>
      </c>
      <c r="W73" s="161" t="str">
        <f t="shared" si="3"/>
        <v/>
      </c>
      <c r="Y73" s="121"/>
      <c r="Z73" s="138"/>
      <c r="AA73" s="123"/>
      <c r="AB73" s="123"/>
      <c r="AC73" s="123"/>
      <c r="AD73" s="123"/>
      <c r="AE73" s="123"/>
      <c r="AF73" s="123"/>
      <c r="AG73" s="123"/>
      <c r="AH73" s="123"/>
      <c r="AI73" s="123"/>
      <c r="AJ73" s="123"/>
      <c r="AK73" s="123"/>
      <c r="AL73" s="123"/>
      <c r="AM73" s="123"/>
      <c r="AN73" s="140"/>
      <c r="AO73" s="121"/>
      <c r="AP73" s="121"/>
      <c r="AQ73" s="121"/>
      <c r="AR73" s="47" t="str">
        <f t="shared" si="4"/>
        <v/>
      </c>
      <c r="AS73" s="161" t="str">
        <f t="shared" si="0"/>
        <v/>
      </c>
      <c r="AT73" s="161" t="str">
        <f t="shared" si="5"/>
        <v/>
      </c>
    </row>
    <row r="74" spans="2:46" x14ac:dyDescent="0.25">
      <c r="B74" s="121"/>
      <c r="C74" s="138"/>
      <c r="D74" s="123"/>
      <c r="E74" s="123"/>
      <c r="F74" s="123"/>
      <c r="G74" s="123"/>
      <c r="H74" s="123"/>
      <c r="I74" s="123"/>
      <c r="J74" s="123"/>
      <c r="K74" s="123"/>
      <c r="L74" s="123"/>
      <c r="M74" s="123"/>
      <c r="N74" s="123"/>
      <c r="O74" s="123"/>
      <c r="P74" s="123"/>
      <c r="Q74" s="140"/>
      <c r="R74" s="121"/>
      <c r="S74" s="121"/>
      <c r="T74" s="121"/>
      <c r="U74" s="47" t="str">
        <f t="shared" si="1"/>
        <v/>
      </c>
      <c r="V74" s="161" t="str">
        <f t="shared" ref="V74:V109" si="6">IFERROR(U74/52,"")</f>
        <v/>
      </c>
      <c r="W74" s="161" t="str">
        <f t="shared" si="3"/>
        <v/>
      </c>
      <c r="Y74" s="121"/>
      <c r="Z74" s="138"/>
      <c r="AA74" s="123"/>
      <c r="AB74" s="123"/>
      <c r="AC74" s="123"/>
      <c r="AD74" s="123"/>
      <c r="AE74" s="123"/>
      <c r="AF74" s="123"/>
      <c r="AG74" s="123"/>
      <c r="AH74" s="123"/>
      <c r="AI74" s="123"/>
      <c r="AJ74" s="123"/>
      <c r="AK74" s="123"/>
      <c r="AL74" s="123"/>
      <c r="AM74" s="123"/>
      <c r="AN74" s="140"/>
      <c r="AO74" s="121"/>
      <c r="AP74" s="121"/>
      <c r="AQ74" s="121"/>
      <c r="AR74" s="47" t="str">
        <f t="shared" si="4"/>
        <v/>
      </c>
      <c r="AS74" s="161" t="str">
        <f t="shared" ref="AS74:AS109" si="7">IFERROR(AR74/52,"")</f>
        <v/>
      </c>
      <c r="AT74" s="161" t="str">
        <f t="shared" si="5"/>
        <v/>
      </c>
    </row>
    <row r="75" spans="2:46" x14ac:dyDescent="0.25">
      <c r="B75" s="121"/>
      <c r="C75" s="138"/>
      <c r="D75" s="123"/>
      <c r="E75" s="123"/>
      <c r="F75" s="123"/>
      <c r="G75" s="123"/>
      <c r="H75" s="123"/>
      <c r="I75" s="123"/>
      <c r="J75" s="123"/>
      <c r="K75" s="123"/>
      <c r="L75" s="123"/>
      <c r="M75" s="123"/>
      <c r="N75" s="123"/>
      <c r="O75" s="123"/>
      <c r="P75" s="123"/>
      <c r="Q75" s="140"/>
      <c r="R75" s="121"/>
      <c r="S75" s="121"/>
      <c r="T75" s="121"/>
      <c r="U75" s="47" t="str">
        <f t="shared" ref="U75:U109" si="8">IF(T75*S75=0,"",T75*S75)</f>
        <v/>
      </c>
      <c r="V75" s="161" t="str">
        <f t="shared" si="6"/>
        <v/>
      </c>
      <c r="W75" s="161" t="str">
        <f t="shared" ref="W75:W109" si="9">IFERROR(V75/COUNTIF(C75:Q75,"="&amp;"x"),"")</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0">IF(AQ75*AP75=0,"",AQ75*AP75)</f>
        <v/>
      </c>
      <c r="AS75" s="161" t="str">
        <f t="shared" si="7"/>
        <v/>
      </c>
      <c r="AT75" s="161" t="str">
        <f t="shared" ref="AT75:AT109" si="11">IFERROR(AS75/COUNTIF(Z75:AN75,"="&amp;"x"),"")</f>
        <v/>
      </c>
    </row>
    <row r="76" spans="2:46" x14ac:dyDescent="0.25">
      <c r="B76" s="121"/>
      <c r="C76" s="138"/>
      <c r="D76" s="123"/>
      <c r="E76" s="123"/>
      <c r="F76" s="123"/>
      <c r="G76" s="123"/>
      <c r="H76" s="123"/>
      <c r="I76" s="123"/>
      <c r="J76" s="123"/>
      <c r="K76" s="123"/>
      <c r="L76" s="123"/>
      <c r="M76" s="123"/>
      <c r="N76" s="123"/>
      <c r="O76" s="123"/>
      <c r="P76" s="123"/>
      <c r="Q76" s="140"/>
      <c r="R76" s="121"/>
      <c r="S76" s="121"/>
      <c r="T76" s="121"/>
      <c r="U76" s="47" t="str">
        <f t="shared" si="8"/>
        <v/>
      </c>
      <c r="V76" s="161" t="str">
        <f t="shared" si="6"/>
        <v/>
      </c>
      <c r="W76" s="161" t="str">
        <f t="shared" si="9"/>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0"/>
        <v/>
      </c>
      <c r="AS76" s="161" t="str">
        <f t="shared" si="7"/>
        <v/>
      </c>
      <c r="AT76" s="161" t="str">
        <f t="shared" si="11"/>
        <v/>
      </c>
    </row>
    <row r="77" spans="2:46" x14ac:dyDescent="0.25">
      <c r="B77" s="121"/>
      <c r="C77" s="138"/>
      <c r="D77" s="123"/>
      <c r="E77" s="123"/>
      <c r="F77" s="123"/>
      <c r="G77" s="123"/>
      <c r="H77" s="123"/>
      <c r="I77" s="123"/>
      <c r="J77" s="123"/>
      <c r="K77" s="123"/>
      <c r="L77" s="123"/>
      <c r="M77" s="123"/>
      <c r="N77" s="123"/>
      <c r="O77" s="123"/>
      <c r="P77" s="123"/>
      <c r="Q77" s="140"/>
      <c r="R77" s="121"/>
      <c r="S77" s="121"/>
      <c r="T77" s="121"/>
      <c r="U77" s="47" t="str">
        <f t="shared" si="8"/>
        <v/>
      </c>
      <c r="V77" s="161" t="str">
        <f t="shared" si="6"/>
        <v/>
      </c>
      <c r="W77" s="161" t="str">
        <f t="shared" si="9"/>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0"/>
        <v/>
      </c>
      <c r="AS77" s="161" t="str">
        <f t="shared" si="7"/>
        <v/>
      </c>
      <c r="AT77" s="161" t="str">
        <f t="shared" si="11"/>
        <v/>
      </c>
    </row>
    <row r="78" spans="2:46" x14ac:dyDescent="0.25">
      <c r="B78" s="121"/>
      <c r="C78" s="138"/>
      <c r="D78" s="123"/>
      <c r="E78" s="123"/>
      <c r="F78" s="123"/>
      <c r="G78" s="123"/>
      <c r="H78" s="123"/>
      <c r="I78" s="123"/>
      <c r="J78" s="123"/>
      <c r="K78" s="123"/>
      <c r="L78" s="123"/>
      <c r="M78" s="123"/>
      <c r="N78" s="123"/>
      <c r="O78" s="123"/>
      <c r="P78" s="123"/>
      <c r="Q78" s="140"/>
      <c r="R78" s="121"/>
      <c r="S78" s="121"/>
      <c r="T78" s="121"/>
      <c r="U78" s="47" t="str">
        <f t="shared" si="8"/>
        <v/>
      </c>
      <c r="V78" s="161" t="str">
        <f t="shared" si="6"/>
        <v/>
      </c>
      <c r="W78" s="161" t="str">
        <f t="shared" si="9"/>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0"/>
        <v/>
      </c>
      <c r="AS78" s="161" t="str">
        <f t="shared" si="7"/>
        <v/>
      </c>
      <c r="AT78" s="161" t="str">
        <f t="shared" si="11"/>
        <v/>
      </c>
    </row>
    <row r="79" spans="2:46" x14ac:dyDescent="0.25">
      <c r="B79" s="121"/>
      <c r="C79" s="138"/>
      <c r="D79" s="123"/>
      <c r="E79" s="123"/>
      <c r="F79" s="123"/>
      <c r="G79" s="123"/>
      <c r="H79" s="123"/>
      <c r="I79" s="123"/>
      <c r="J79" s="123"/>
      <c r="K79" s="123"/>
      <c r="L79" s="123"/>
      <c r="M79" s="123"/>
      <c r="N79" s="123"/>
      <c r="O79" s="123"/>
      <c r="P79" s="123"/>
      <c r="Q79" s="140"/>
      <c r="R79" s="121"/>
      <c r="S79" s="121"/>
      <c r="T79" s="121"/>
      <c r="U79" s="47" t="str">
        <f t="shared" si="8"/>
        <v/>
      </c>
      <c r="V79" s="161" t="str">
        <f t="shared" si="6"/>
        <v/>
      </c>
      <c r="W79" s="161" t="str">
        <f t="shared" si="9"/>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0"/>
        <v/>
      </c>
      <c r="AS79" s="161" t="str">
        <f t="shared" si="7"/>
        <v/>
      </c>
      <c r="AT79" s="161" t="str">
        <f t="shared" si="11"/>
        <v/>
      </c>
    </row>
    <row r="80" spans="2:46" x14ac:dyDescent="0.25">
      <c r="B80" s="121"/>
      <c r="C80" s="138"/>
      <c r="D80" s="123"/>
      <c r="E80" s="123"/>
      <c r="F80" s="123"/>
      <c r="G80" s="123"/>
      <c r="H80" s="123"/>
      <c r="I80" s="123"/>
      <c r="J80" s="123"/>
      <c r="K80" s="123"/>
      <c r="L80" s="123"/>
      <c r="M80" s="123"/>
      <c r="N80" s="123"/>
      <c r="O80" s="123"/>
      <c r="P80" s="123"/>
      <c r="Q80" s="140"/>
      <c r="R80" s="121"/>
      <c r="S80" s="121"/>
      <c r="T80" s="121"/>
      <c r="U80" s="47" t="str">
        <f t="shared" si="8"/>
        <v/>
      </c>
      <c r="V80" s="161" t="str">
        <f t="shared" si="6"/>
        <v/>
      </c>
      <c r="W80" s="161" t="str">
        <f t="shared" si="9"/>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0"/>
        <v/>
      </c>
      <c r="AS80" s="161" t="str">
        <f t="shared" si="7"/>
        <v/>
      </c>
      <c r="AT80" s="161" t="str">
        <f t="shared" si="11"/>
        <v/>
      </c>
    </row>
    <row r="81" spans="2:46" x14ac:dyDescent="0.25">
      <c r="B81" s="121"/>
      <c r="C81" s="138"/>
      <c r="D81" s="123"/>
      <c r="E81" s="123"/>
      <c r="F81" s="123"/>
      <c r="G81" s="123"/>
      <c r="H81" s="123"/>
      <c r="I81" s="123"/>
      <c r="J81" s="123"/>
      <c r="K81" s="123"/>
      <c r="L81" s="123"/>
      <c r="M81" s="123"/>
      <c r="N81" s="123"/>
      <c r="O81" s="123"/>
      <c r="P81" s="123"/>
      <c r="Q81" s="140"/>
      <c r="R81" s="121"/>
      <c r="S81" s="121"/>
      <c r="T81" s="121"/>
      <c r="U81" s="47" t="str">
        <f t="shared" si="8"/>
        <v/>
      </c>
      <c r="V81" s="161" t="str">
        <f t="shared" si="6"/>
        <v/>
      </c>
      <c r="W81" s="161" t="str">
        <f t="shared" si="9"/>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0"/>
        <v/>
      </c>
      <c r="AS81" s="161" t="str">
        <f t="shared" si="7"/>
        <v/>
      </c>
      <c r="AT81" s="161" t="str">
        <f t="shared" si="11"/>
        <v/>
      </c>
    </row>
    <row r="82" spans="2:46" x14ac:dyDescent="0.25">
      <c r="B82" s="121"/>
      <c r="C82" s="138"/>
      <c r="D82" s="123"/>
      <c r="E82" s="123"/>
      <c r="F82" s="123"/>
      <c r="G82" s="123"/>
      <c r="H82" s="123"/>
      <c r="I82" s="123"/>
      <c r="J82" s="123"/>
      <c r="K82" s="123"/>
      <c r="L82" s="123"/>
      <c r="M82" s="123"/>
      <c r="N82" s="123"/>
      <c r="O82" s="123"/>
      <c r="P82" s="123"/>
      <c r="Q82" s="140"/>
      <c r="R82" s="121"/>
      <c r="S82" s="121"/>
      <c r="T82" s="121"/>
      <c r="U82" s="47" t="str">
        <f t="shared" si="8"/>
        <v/>
      </c>
      <c r="V82" s="161" t="str">
        <f t="shared" si="6"/>
        <v/>
      </c>
      <c r="W82" s="161" t="str">
        <f t="shared" si="9"/>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0"/>
        <v/>
      </c>
      <c r="AS82" s="161" t="str">
        <f t="shared" si="7"/>
        <v/>
      </c>
      <c r="AT82" s="161" t="str">
        <f t="shared" si="11"/>
        <v/>
      </c>
    </row>
    <row r="83" spans="2:46" x14ac:dyDescent="0.25">
      <c r="B83" s="121"/>
      <c r="C83" s="138"/>
      <c r="D83" s="123"/>
      <c r="E83" s="123"/>
      <c r="F83" s="123"/>
      <c r="G83" s="123"/>
      <c r="H83" s="123"/>
      <c r="I83" s="123"/>
      <c r="J83" s="123"/>
      <c r="K83" s="123"/>
      <c r="L83" s="123"/>
      <c r="M83" s="123"/>
      <c r="N83" s="123"/>
      <c r="O83" s="123"/>
      <c r="P83" s="123"/>
      <c r="Q83" s="140"/>
      <c r="R83" s="121"/>
      <c r="S83" s="121"/>
      <c r="T83" s="121"/>
      <c r="U83" s="47" t="str">
        <f t="shared" si="8"/>
        <v/>
      </c>
      <c r="V83" s="161" t="str">
        <f t="shared" si="6"/>
        <v/>
      </c>
      <c r="W83" s="161" t="str">
        <f t="shared" si="9"/>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0"/>
        <v/>
      </c>
      <c r="AS83" s="161" t="str">
        <f t="shared" si="7"/>
        <v/>
      </c>
      <c r="AT83" s="161" t="str">
        <f t="shared" si="11"/>
        <v/>
      </c>
    </row>
    <row r="84" spans="2:46" x14ac:dyDescent="0.25">
      <c r="B84" s="121"/>
      <c r="C84" s="138"/>
      <c r="D84" s="123"/>
      <c r="E84" s="123"/>
      <c r="F84" s="123"/>
      <c r="G84" s="123"/>
      <c r="H84" s="123"/>
      <c r="I84" s="123"/>
      <c r="J84" s="123"/>
      <c r="K84" s="123"/>
      <c r="L84" s="123"/>
      <c r="M84" s="123"/>
      <c r="N84" s="123"/>
      <c r="O84" s="123"/>
      <c r="P84" s="123"/>
      <c r="Q84" s="140"/>
      <c r="R84" s="121"/>
      <c r="S84" s="121"/>
      <c r="T84" s="121"/>
      <c r="U84" s="47" t="str">
        <f t="shared" si="8"/>
        <v/>
      </c>
      <c r="V84" s="161" t="str">
        <f t="shared" si="6"/>
        <v/>
      </c>
      <c r="W84" s="161" t="str">
        <f t="shared" si="9"/>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0"/>
        <v/>
      </c>
      <c r="AS84" s="161" t="str">
        <f t="shared" si="7"/>
        <v/>
      </c>
      <c r="AT84" s="161" t="str">
        <f t="shared" si="11"/>
        <v/>
      </c>
    </row>
    <row r="85" spans="2:46" x14ac:dyDescent="0.25">
      <c r="B85" s="121"/>
      <c r="C85" s="138"/>
      <c r="D85" s="123"/>
      <c r="E85" s="123"/>
      <c r="F85" s="123"/>
      <c r="G85" s="123"/>
      <c r="H85" s="123"/>
      <c r="I85" s="123"/>
      <c r="J85" s="123"/>
      <c r="K85" s="123"/>
      <c r="L85" s="123"/>
      <c r="M85" s="123"/>
      <c r="N85" s="123"/>
      <c r="O85" s="123"/>
      <c r="P85" s="123"/>
      <c r="Q85" s="140"/>
      <c r="R85" s="121"/>
      <c r="S85" s="121"/>
      <c r="T85" s="121"/>
      <c r="U85" s="47" t="str">
        <f t="shared" si="8"/>
        <v/>
      </c>
      <c r="V85" s="161" t="str">
        <f t="shared" si="6"/>
        <v/>
      </c>
      <c r="W85" s="161" t="str">
        <f t="shared" si="9"/>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0"/>
        <v/>
      </c>
      <c r="AS85" s="161" t="str">
        <f t="shared" si="7"/>
        <v/>
      </c>
      <c r="AT85" s="161" t="str">
        <f t="shared" si="11"/>
        <v/>
      </c>
    </row>
    <row r="86" spans="2:46" x14ac:dyDescent="0.25">
      <c r="B86" s="121"/>
      <c r="C86" s="138"/>
      <c r="D86" s="123"/>
      <c r="E86" s="123"/>
      <c r="F86" s="123"/>
      <c r="G86" s="123"/>
      <c r="H86" s="123"/>
      <c r="I86" s="123"/>
      <c r="J86" s="123"/>
      <c r="K86" s="123"/>
      <c r="L86" s="123"/>
      <c r="M86" s="123"/>
      <c r="N86" s="123"/>
      <c r="O86" s="123"/>
      <c r="P86" s="123"/>
      <c r="Q86" s="140"/>
      <c r="R86" s="121"/>
      <c r="S86" s="121"/>
      <c r="T86" s="121"/>
      <c r="U86" s="47" t="str">
        <f t="shared" si="8"/>
        <v/>
      </c>
      <c r="V86" s="161" t="str">
        <f t="shared" si="6"/>
        <v/>
      </c>
      <c r="W86" s="161" t="str">
        <f t="shared" si="9"/>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0"/>
        <v/>
      </c>
      <c r="AS86" s="161" t="str">
        <f t="shared" si="7"/>
        <v/>
      </c>
      <c r="AT86" s="161" t="str">
        <f t="shared" si="11"/>
        <v/>
      </c>
    </row>
    <row r="87" spans="2:46" x14ac:dyDescent="0.25">
      <c r="B87" s="121"/>
      <c r="C87" s="138"/>
      <c r="D87" s="123"/>
      <c r="E87" s="123"/>
      <c r="F87" s="123"/>
      <c r="G87" s="123"/>
      <c r="H87" s="123"/>
      <c r="I87" s="123"/>
      <c r="J87" s="123"/>
      <c r="K87" s="123"/>
      <c r="L87" s="123"/>
      <c r="M87" s="123"/>
      <c r="N87" s="123"/>
      <c r="O87" s="123"/>
      <c r="P87" s="123"/>
      <c r="Q87" s="140"/>
      <c r="R87" s="121"/>
      <c r="S87" s="121"/>
      <c r="T87" s="121"/>
      <c r="U87" s="47" t="str">
        <f t="shared" si="8"/>
        <v/>
      </c>
      <c r="V87" s="161" t="str">
        <f t="shared" si="6"/>
        <v/>
      </c>
      <c r="W87" s="161" t="str">
        <f t="shared" si="9"/>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0"/>
        <v/>
      </c>
      <c r="AS87" s="161" t="str">
        <f t="shared" si="7"/>
        <v/>
      </c>
      <c r="AT87" s="161" t="str">
        <f t="shared" si="11"/>
        <v/>
      </c>
    </row>
    <row r="88" spans="2:46" x14ac:dyDescent="0.25">
      <c r="B88" s="121"/>
      <c r="C88" s="138"/>
      <c r="D88" s="123"/>
      <c r="E88" s="123"/>
      <c r="F88" s="123"/>
      <c r="G88" s="123"/>
      <c r="H88" s="123"/>
      <c r="I88" s="123"/>
      <c r="J88" s="123"/>
      <c r="K88" s="123"/>
      <c r="L88" s="123"/>
      <c r="M88" s="123"/>
      <c r="N88" s="123"/>
      <c r="O88" s="123"/>
      <c r="P88" s="123"/>
      <c r="Q88" s="140"/>
      <c r="R88" s="121"/>
      <c r="S88" s="121"/>
      <c r="T88" s="121"/>
      <c r="U88" s="47" t="str">
        <f t="shared" si="8"/>
        <v/>
      </c>
      <c r="V88" s="161" t="str">
        <f t="shared" si="6"/>
        <v/>
      </c>
      <c r="W88" s="161" t="str">
        <f t="shared" si="9"/>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0"/>
        <v/>
      </c>
      <c r="AS88" s="161" t="str">
        <f t="shared" si="7"/>
        <v/>
      </c>
      <c r="AT88" s="161" t="str">
        <f t="shared" si="11"/>
        <v/>
      </c>
    </row>
    <row r="89" spans="2:46" x14ac:dyDescent="0.25">
      <c r="B89" s="121"/>
      <c r="C89" s="138"/>
      <c r="D89" s="123"/>
      <c r="E89" s="123"/>
      <c r="F89" s="123"/>
      <c r="G89" s="123"/>
      <c r="H89" s="123"/>
      <c r="I89" s="123"/>
      <c r="J89" s="123"/>
      <c r="K89" s="123"/>
      <c r="L89" s="123"/>
      <c r="M89" s="123"/>
      <c r="N89" s="123"/>
      <c r="O89" s="123"/>
      <c r="P89" s="123"/>
      <c r="Q89" s="140"/>
      <c r="R89" s="121"/>
      <c r="S89" s="121"/>
      <c r="T89" s="121"/>
      <c r="U89" s="47" t="str">
        <f t="shared" si="8"/>
        <v/>
      </c>
      <c r="V89" s="161" t="str">
        <f t="shared" si="6"/>
        <v/>
      </c>
      <c r="W89" s="161" t="str">
        <f t="shared" si="9"/>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0"/>
        <v/>
      </c>
      <c r="AS89" s="161" t="str">
        <f t="shared" si="7"/>
        <v/>
      </c>
      <c r="AT89" s="161" t="str">
        <f t="shared" si="11"/>
        <v/>
      </c>
    </row>
    <row r="90" spans="2:46" x14ac:dyDescent="0.25">
      <c r="B90" s="121"/>
      <c r="C90" s="138"/>
      <c r="D90" s="123"/>
      <c r="E90" s="123"/>
      <c r="F90" s="123"/>
      <c r="G90" s="123"/>
      <c r="H90" s="123"/>
      <c r="I90" s="123"/>
      <c r="J90" s="123"/>
      <c r="K90" s="123"/>
      <c r="L90" s="123"/>
      <c r="M90" s="123"/>
      <c r="N90" s="123"/>
      <c r="O90" s="123"/>
      <c r="P90" s="123"/>
      <c r="Q90" s="140"/>
      <c r="R90" s="121"/>
      <c r="S90" s="121"/>
      <c r="T90" s="121"/>
      <c r="U90" s="47" t="str">
        <f t="shared" si="8"/>
        <v/>
      </c>
      <c r="V90" s="161" t="str">
        <f t="shared" si="6"/>
        <v/>
      </c>
      <c r="W90" s="161" t="str">
        <f t="shared" si="9"/>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0"/>
        <v/>
      </c>
      <c r="AS90" s="161" t="str">
        <f t="shared" si="7"/>
        <v/>
      </c>
      <c r="AT90" s="161" t="str">
        <f t="shared" si="11"/>
        <v/>
      </c>
    </row>
    <row r="91" spans="2:46" x14ac:dyDescent="0.25">
      <c r="B91" s="121"/>
      <c r="C91" s="138"/>
      <c r="D91" s="123"/>
      <c r="E91" s="123"/>
      <c r="F91" s="123"/>
      <c r="G91" s="123"/>
      <c r="H91" s="123"/>
      <c r="I91" s="123"/>
      <c r="J91" s="123"/>
      <c r="K91" s="123"/>
      <c r="L91" s="123"/>
      <c r="M91" s="123"/>
      <c r="N91" s="123"/>
      <c r="O91" s="123"/>
      <c r="P91" s="123"/>
      <c r="Q91" s="140"/>
      <c r="R91" s="121"/>
      <c r="S91" s="121"/>
      <c r="T91" s="121"/>
      <c r="U91" s="47" t="str">
        <f t="shared" si="8"/>
        <v/>
      </c>
      <c r="V91" s="161" t="str">
        <f t="shared" si="6"/>
        <v/>
      </c>
      <c r="W91" s="161" t="str">
        <f t="shared" si="9"/>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0"/>
        <v/>
      </c>
      <c r="AS91" s="161" t="str">
        <f t="shared" si="7"/>
        <v/>
      </c>
      <c r="AT91" s="161" t="str">
        <f t="shared" si="11"/>
        <v/>
      </c>
    </row>
    <row r="92" spans="2:46" x14ac:dyDescent="0.25">
      <c r="B92" s="121"/>
      <c r="C92" s="138"/>
      <c r="D92" s="123"/>
      <c r="E92" s="123"/>
      <c r="F92" s="123"/>
      <c r="G92" s="123"/>
      <c r="H92" s="123"/>
      <c r="I92" s="123"/>
      <c r="J92" s="123"/>
      <c r="K92" s="123"/>
      <c r="L92" s="123"/>
      <c r="M92" s="123"/>
      <c r="N92" s="123"/>
      <c r="O92" s="123"/>
      <c r="P92" s="123"/>
      <c r="Q92" s="140"/>
      <c r="R92" s="121"/>
      <c r="S92" s="121"/>
      <c r="T92" s="121"/>
      <c r="U92" s="47" t="str">
        <f t="shared" si="8"/>
        <v/>
      </c>
      <c r="V92" s="161" t="str">
        <f t="shared" si="6"/>
        <v/>
      </c>
      <c r="W92" s="161" t="str">
        <f t="shared" si="9"/>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0"/>
        <v/>
      </c>
      <c r="AS92" s="161" t="str">
        <f t="shared" si="7"/>
        <v/>
      </c>
      <c r="AT92" s="161" t="str">
        <f t="shared" si="11"/>
        <v/>
      </c>
    </row>
    <row r="93" spans="2:46" x14ac:dyDescent="0.25">
      <c r="B93" s="121"/>
      <c r="C93" s="138"/>
      <c r="D93" s="123"/>
      <c r="E93" s="123"/>
      <c r="F93" s="123"/>
      <c r="G93" s="123"/>
      <c r="H93" s="123"/>
      <c r="I93" s="123"/>
      <c r="J93" s="123"/>
      <c r="K93" s="123"/>
      <c r="L93" s="123"/>
      <c r="M93" s="123"/>
      <c r="N93" s="123"/>
      <c r="O93" s="123"/>
      <c r="P93" s="123"/>
      <c r="Q93" s="140"/>
      <c r="R93" s="121"/>
      <c r="S93" s="121"/>
      <c r="T93" s="121"/>
      <c r="U93" s="47" t="str">
        <f t="shared" si="8"/>
        <v/>
      </c>
      <c r="V93" s="161" t="str">
        <f t="shared" si="6"/>
        <v/>
      </c>
      <c r="W93" s="161" t="str">
        <f t="shared" si="9"/>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0"/>
        <v/>
      </c>
      <c r="AS93" s="161" t="str">
        <f t="shared" si="7"/>
        <v/>
      </c>
      <c r="AT93" s="161" t="str">
        <f t="shared" si="11"/>
        <v/>
      </c>
    </row>
    <row r="94" spans="2:46" x14ac:dyDescent="0.25">
      <c r="B94" s="121"/>
      <c r="C94" s="138"/>
      <c r="D94" s="123"/>
      <c r="E94" s="123"/>
      <c r="F94" s="123"/>
      <c r="G94" s="123"/>
      <c r="H94" s="123"/>
      <c r="I94" s="123"/>
      <c r="J94" s="123"/>
      <c r="K94" s="123"/>
      <c r="L94" s="123"/>
      <c r="M94" s="123"/>
      <c r="N94" s="123"/>
      <c r="O94" s="123"/>
      <c r="P94" s="123"/>
      <c r="Q94" s="140"/>
      <c r="R94" s="121"/>
      <c r="S94" s="121"/>
      <c r="T94" s="121"/>
      <c r="U94" s="47" t="str">
        <f t="shared" si="8"/>
        <v/>
      </c>
      <c r="V94" s="161" t="str">
        <f t="shared" si="6"/>
        <v/>
      </c>
      <c r="W94" s="161" t="str">
        <f t="shared" si="9"/>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0"/>
        <v/>
      </c>
      <c r="AS94" s="161" t="str">
        <f t="shared" si="7"/>
        <v/>
      </c>
      <c r="AT94" s="161" t="str">
        <f t="shared" si="11"/>
        <v/>
      </c>
    </row>
    <row r="95" spans="2:46" x14ac:dyDescent="0.25">
      <c r="B95" s="121"/>
      <c r="C95" s="138"/>
      <c r="D95" s="123"/>
      <c r="E95" s="123"/>
      <c r="F95" s="123"/>
      <c r="G95" s="123"/>
      <c r="H95" s="123"/>
      <c r="I95" s="123"/>
      <c r="J95" s="123"/>
      <c r="K95" s="123"/>
      <c r="L95" s="123"/>
      <c r="M95" s="123"/>
      <c r="N95" s="123"/>
      <c r="O95" s="123"/>
      <c r="P95" s="123"/>
      <c r="Q95" s="140"/>
      <c r="R95" s="121"/>
      <c r="S95" s="121"/>
      <c r="T95" s="121"/>
      <c r="U95" s="47" t="str">
        <f t="shared" si="8"/>
        <v/>
      </c>
      <c r="V95" s="161" t="str">
        <f t="shared" si="6"/>
        <v/>
      </c>
      <c r="W95" s="161" t="str">
        <f t="shared" si="9"/>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0"/>
        <v/>
      </c>
      <c r="AS95" s="161" t="str">
        <f t="shared" si="7"/>
        <v/>
      </c>
      <c r="AT95" s="161" t="str">
        <f t="shared" si="11"/>
        <v/>
      </c>
    </row>
    <row r="96" spans="2:46" x14ac:dyDescent="0.25">
      <c r="B96" s="121"/>
      <c r="C96" s="138"/>
      <c r="D96" s="123"/>
      <c r="E96" s="123"/>
      <c r="F96" s="123"/>
      <c r="G96" s="123"/>
      <c r="H96" s="123"/>
      <c r="I96" s="123"/>
      <c r="J96" s="123"/>
      <c r="K96" s="123"/>
      <c r="L96" s="123"/>
      <c r="M96" s="123"/>
      <c r="N96" s="123"/>
      <c r="O96" s="123"/>
      <c r="P96" s="123"/>
      <c r="Q96" s="140"/>
      <c r="R96" s="121"/>
      <c r="S96" s="121"/>
      <c r="T96" s="121"/>
      <c r="U96" s="47" t="str">
        <f t="shared" si="8"/>
        <v/>
      </c>
      <c r="V96" s="161" t="str">
        <f t="shared" si="6"/>
        <v/>
      </c>
      <c r="W96" s="161" t="str">
        <f t="shared" si="9"/>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0"/>
        <v/>
      </c>
      <c r="AS96" s="161" t="str">
        <f t="shared" si="7"/>
        <v/>
      </c>
      <c r="AT96" s="161" t="str">
        <f t="shared" si="11"/>
        <v/>
      </c>
    </row>
    <row r="97" spans="2:46" x14ac:dyDescent="0.25">
      <c r="B97" s="121"/>
      <c r="C97" s="138"/>
      <c r="D97" s="123"/>
      <c r="E97" s="123"/>
      <c r="F97" s="123"/>
      <c r="G97" s="123"/>
      <c r="H97" s="123"/>
      <c r="I97" s="123"/>
      <c r="J97" s="123"/>
      <c r="K97" s="123"/>
      <c r="L97" s="123"/>
      <c r="M97" s="123"/>
      <c r="N97" s="123"/>
      <c r="O97" s="123"/>
      <c r="P97" s="123"/>
      <c r="Q97" s="140"/>
      <c r="R97" s="121"/>
      <c r="S97" s="121"/>
      <c r="T97" s="121"/>
      <c r="U97" s="47" t="str">
        <f t="shared" si="8"/>
        <v/>
      </c>
      <c r="V97" s="161" t="str">
        <f t="shared" si="6"/>
        <v/>
      </c>
      <c r="W97" s="161" t="str">
        <f t="shared" si="9"/>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0"/>
        <v/>
      </c>
      <c r="AS97" s="161" t="str">
        <f t="shared" si="7"/>
        <v/>
      </c>
      <c r="AT97" s="161" t="str">
        <f t="shared" si="11"/>
        <v/>
      </c>
    </row>
    <row r="98" spans="2:46" x14ac:dyDescent="0.25">
      <c r="B98" s="121"/>
      <c r="C98" s="138"/>
      <c r="D98" s="123"/>
      <c r="E98" s="123"/>
      <c r="F98" s="123"/>
      <c r="G98" s="123"/>
      <c r="H98" s="123"/>
      <c r="I98" s="123"/>
      <c r="J98" s="123"/>
      <c r="K98" s="123"/>
      <c r="L98" s="123"/>
      <c r="M98" s="123"/>
      <c r="N98" s="123"/>
      <c r="O98" s="123"/>
      <c r="P98" s="123"/>
      <c r="Q98" s="140"/>
      <c r="R98" s="121"/>
      <c r="S98" s="121"/>
      <c r="T98" s="121"/>
      <c r="U98" s="47" t="str">
        <f t="shared" si="8"/>
        <v/>
      </c>
      <c r="V98" s="161" t="str">
        <f t="shared" si="6"/>
        <v/>
      </c>
      <c r="W98" s="161" t="str">
        <f t="shared" si="9"/>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0"/>
        <v/>
      </c>
      <c r="AS98" s="161" t="str">
        <f t="shared" si="7"/>
        <v/>
      </c>
      <c r="AT98" s="161" t="str">
        <f t="shared" si="11"/>
        <v/>
      </c>
    </row>
    <row r="99" spans="2:46" x14ac:dyDescent="0.25">
      <c r="B99" s="121"/>
      <c r="C99" s="138"/>
      <c r="D99" s="123"/>
      <c r="E99" s="123"/>
      <c r="F99" s="123"/>
      <c r="G99" s="123"/>
      <c r="H99" s="123"/>
      <c r="I99" s="123"/>
      <c r="J99" s="123"/>
      <c r="K99" s="123"/>
      <c r="L99" s="123"/>
      <c r="M99" s="123"/>
      <c r="N99" s="123"/>
      <c r="O99" s="123"/>
      <c r="P99" s="123"/>
      <c r="Q99" s="140"/>
      <c r="R99" s="121"/>
      <c r="S99" s="121"/>
      <c r="T99" s="121"/>
      <c r="U99" s="47" t="str">
        <f t="shared" si="8"/>
        <v/>
      </c>
      <c r="V99" s="161" t="str">
        <f t="shared" si="6"/>
        <v/>
      </c>
      <c r="W99" s="161" t="str">
        <f t="shared" si="9"/>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0"/>
        <v/>
      </c>
      <c r="AS99" s="161" t="str">
        <f t="shared" si="7"/>
        <v/>
      </c>
      <c r="AT99" s="161" t="str">
        <f t="shared" si="11"/>
        <v/>
      </c>
    </row>
    <row r="100" spans="2:46" x14ac:dyDescent="0.25">
      <c r="B100" s="121"/>
      <c r="C100" s="138"/>
      <c r="D100" s="123"/>
      <c r="E100" s="123"/>
      <c r="F100" s="123"/>
      <c r="G100" s="123"/>
      <c r="H100" s="123"/>
      <c r="I100" s="123"/>
      <c r="J100" s="123"/>
      <c r="K100" s="123"/>
      <c r="L100" s="123"/>
      <c r="M100" s="123"/>
      <c r="N100" s="123"/>
      <c r="O100" s="123"/>
      <c r="P100" s="123"/>
      <c r="Q100" s="140"/>
      <c r="R100" s="121"/>
      <c r="S100" s="121"/>
      <c r="T100" s="121"/>
      <c r="U100" s="47" t="str">
        <f t="shared" si="8"/>
        <v/>
      </c>
      <c r="V100" s="161" t="str">
        <f t="shared" si="6"/>
        <v/>
      </c>
      <c r="W100" s="161" t="str">
        <f t="shared" si="9"/>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0"/>
        <v/>
      </c>
      <c r="AS100" s="161" t="str">
        <f t="shared" si="7"/>
        <v/>
      </c>
      <c r="AT100" s="161" t="str">
        <f t="shared" si="11"/>
        <v/>
      </c>
    </row>
    <row r="101" spans="2:46" x14ac:dyDescent="0.25">
      <c r="B101" s="121"/>
      <c r="C101" s="138"/>
      <c r="D101" s="123"/>
      <c r="E101" s="123"/>
      <c r="F101" s="123"/>
      <c r="G101" s="123"/>
      <c r="H101" s="123"/>
      <c r="I101" s="123"/>
      <c r="J101" s="123"/>
      <c r="K101" s="123"/>
      <c r="L101" s="123"/>
      <c r="M101" s="123"/>
      <c r="N101" s="123"/>
      <c r="O101" s="123"/>
      <c r="P101" s="123"/>
      <c r="Q101" s="140"/>
      <c r="R101" s="121"/>
      <c r="S101" s="121"/>
      <c r="T101" s="121"/>
      <c r="U101" s="47" t="str">
        <f t="shared" si="8"/>
        <v/>
      </c>
      <c r="V101" s="161" t="str">
        <f t="shared" si="6"/>
        <v/>
      </c>
      <c r="W101" s="161" t="str">
        <f t="shared" si="9"/>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0"/>
        <v/>
      </c>
      <c r="AS101" s="161" t="str">
        <f t="shared" si="7"/>
        <v/>
      </c>
      <c r="AT101" s="161" t="str">
        <f t="shared" si="11"/>
        <v/>
      </c>
    </row>
    <row r="102" spans="2:46" x14ac:dyDescent="0.25">
      <c r="B102" s="121"/>
      <c r="C102" s="138"/>
      <c r="D102" s="123"/>
      <c r="E102" s="123"/>
      <c r="F102" s="123"/>
      <c r="G102" s="123"/>
      <c r="H102" s="123"/>
      <c r="I102" s="123"/>
      <c r="J102" s="123"/>
      <c r="K102" s="123"/>
      <c r="L102" s="123"/>
      <c r="M102" s="123"/>
      <c r="N102" s="123"/>
      <c r="O102" s="123"/>
      <c r="P102" s="123"/>
      <c r="Q102" s="140"/>
      <c r="R102" s="121"/>
      <c r="S102" s="121"/>
      <c r="T102" s="121"/>
      <c r="U102" s="47" t="str">
        <f t="shared" si="8"/>
        <v/>
      </c>
      <c r="V102" s="161" t="str">
        <f t="shared" si="6"/>
        <v/>
      </c>
      <c r="W102" s="161" t="str">
        <f t="shared" si="9"/>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0"/>
        <v/>
      </c>
      <c r="AS102" s="161" t="str">
        <f t="shared" si="7"/>
        <v/>
      </c>
      <c r="AT102" s="161" t="str">
        <f t="shared" si="11"/>
        <v/>
      </c>
    </row>
    <row r="103" spans="2:46" x14ac:dyDescent="0.25">
      <c r="B103" s="121"/>
      <c r="C103" s="138"/>
      <c r="D103" s="123"/>
      <c r="E103" s="123"/>
      <c r="F103" s="123"/>
      <c r="G103" s="123"/>
      <c r="H103" s="123"/>
      <c r="I103" s="123"/>
      <c r="J103" s="123"/>
      <c r="K103" s="123"/>
      <c r="L103" s="123"/>
      <c r="M103" s="123"/>
      <c r="N103" s="123"/>
      <c r="O103" s="123"/>
      <c r="P103" s="123"/>
      <c r="Q103" s="140"/>
      <c r="R103" s="121"/>
      <c r="S103" s="121"/>
      <c r="T103" s="121"/>
      <c r="U103" s="47" t="str">
        <f t="shared" si="8"/>
        <v/>
      </c>
      <c r="V103" s="161" t="str">
        <f t="shared" si="6"/>
        <v/>
      </c>
      <c r="W103" s="161" t="str">
        <f t="shared" si="9"/>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0"/>
        <v/>
      </c>
      <c r="AS103" s="161" t="str">
        <f t="shared" si="7"/>
        <v/>
      </c>
      <c r="AT103" s="161" t="str">
        <f t="shared" si="11"/>
        <v/>
      </c>
    </row>
    <row r="104" spans="2:46" x14ac:dyDescent="0.25">
      <c r="B104" s="121"/>
      <c r="C104" s="138"/>
      <c r="D104" s="123"/>
      <c r="E104" s="123"/>
      <c r="F104" s="123"/>
      <c r="G104" s="123"/>
      <c r="H104" s="123"/>
      <c r="I104" s="123"/>
      <c r="J104" s="123"/>
      <c r="K104" s="123"/>
      <c r="L104" s="123"/>
      <c r="M104" s="123"/>
      <c r="N104" s="123"/>
      <c r="O104" s="123"/>
      <c r="P104" s="123"/>
      <c r="Q104" s="140"/>
      <c r="R104" s="121"/>
      <c r="S104" s="121"/>
      <c r="T104" s="121"/>
      <c r="U104" s="47" t="str">
        <f t="shared" si="8"/>
        <v/>
      </c>
      <c r="V104" s="161" t="str">
        <f t="shared" si="6"/>
        <v/>
      </c>
      <c r="W104" s="161" t="str">
        <f t="shared" si="9"/>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0"/>
        <v/>
      </c>
      <c r="AS104" s="161" t="str">
        <f t="shared" si="7"/>
        <v/>
      </c>
      <c r="AT104" s="161" t="str">
        <f t="shared" si="11"/>
        <v/>
      </c>
    </row>
    <row r="105" spans="2:46" x14ac:dyDescent="0.25">
      <c r="B105" s="121"/>
      <c r="C105" s="138"/>
      <c r="D105" s="123"/>
      <c r="E105" s="123"/>
      <c r="F105" s="123"/>
      <c r="G105" s="123"/>
      <c r="H105" s="123"/>
      <c r="I105" s="123"/>
      <c r="J105" s="123"/>
      <c r="K105" s="123"/>
      <c r="L105" s="123"/>
      <c r="M105" s="123"/>
      <c r="N105" s="123"/>
      <c r="O105" s="123"/>
      <c r="P105" s="123"/>
      <c r="Q105" s="140"/>
      <c r="R105" s="121"/>
      <c r="S105" s="121"/>
      <c r="T105" s="121"/>
      <c r="U105" s="47" t="str">
        <f t="shared" si="8"/>
        <v/>
      </c>
      <c r="V105" s="161" t="str">
        <f t="shared" si="6"/>
        <v/>
      </c>
      <c r="W105" s="161" t="str">
        <f t="shared" si="9"/>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0"/>
        <v/>
      </c>
      <c r="AS105" s="161" t="str">
        <f t="shared" si="7"/>
        <v/>
      </c>
      <c r="AT105" s="161" t="str">
        <f t="shared" si="11"/>
        <v/>
      </c>
    </row>
    <row r="106" spans="2:46" x14ac:dyDescent="0.25">
      <c r="B106" s="121"/>
      <c r="C106" s="138"/>
      <c r="D106" s="123"/>
      <c r="E106" s="123"/>
      <c r="F106" s="123"/>
      <c r="G106" s="123"/>
      <c r="H106" s="123"/>
      <c r="I106" s="123"/>
      <c r="J106" s="123"/>
      <c r="K106" s="123"/>
      <c r="L106" s="123"/>
      <c r="M106" s="123"/>
      <c r="N106" s="123"/>
      <c r="O106" s="123"/>
      <c r="P106" s="123"/>
      <c r="Q106" s="140"/>
      <c r="R106" s="121"/>
      <c r="S106" s="121"/>
      <c r="T106" s="121"/>
      <c r="U106" s="47" t="str">
        <f t="shared" si="8"/>
        <v/>
      </c>
      <c r="V106" s="161" t="str">
        <f t="shared" si="6"/>
        <v/>
      </c>
      <c r="W106" s="161" t="str">
        <f t="shared" si="9"/>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0"/>
        <v/>
      </c>
      <c r="AS106" s="161" t="str">
        <f t="shared" si="7"/>
        <v/>
      </c>
      <c r="AT106" s="161" t="str">
        <f t="shared" si="11"/>
        <v/>
      </c>
    </row>
    <row r="107" spans="2:46" x14ac:dyDescent="0.25">
      <c r="B107" s="121"/>
      <c r="C107" s="138"/>
      <c r="D107" s="123"/>
      <c r="E107" s="123"/>
      <c r="F107" s="123"/>
      <c r="G107" s="123"/>
      <c r="H107" s="123"/>
      <c r="I107" s="123"/>
      <c r="J107" s="123"/>
      <c r="K107" s="123"/>
      <c r="L107" s="123"/>
      <c r="M107" s="123"/>
      <c r="N107" s="123"/>
      <c r="O107" s="123"/>
      <c r="P107" s="123"/>
      <c r="Q107" s="140"/>
      <c r="R107" s="121"/>
      <c r="S107" s="121"/>
      <c r="T107" s="121"/>
      <c r="U107" s="47" t="str">
        <f t="shared" si="8"/>
        <v/>
      </c>
      <c r="V107" s="161" t="str">
        <f t="shared" si="6"/>
        <v/>
      </c>
      <c r="W107" s="161" t="str">
        <f t="shared" si="9"/>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0"/>
        <v/>
      </c>
      <c r="AS107" s="161" t="str">
        <f t="shared" si="7"/>
        <v/>
      </c>
      <c r="AT107" s="161" t="str">
        <f t="shared" si="11"/>
        <v/>
      </c>
    </row>
    <row r="108" spans="2:46" x14ac:dyDescent="0.25">
      <c r="B108" s="121"/>
      <c r="C108" s="138"/>
      <c r="D108" s="123"/>
      <c r="E108" s="123"/>
      <c r="F108" s="123"/>
      <c r="G108" s="123"/>
      <c r="H108" s="123"/>
      <c r="I108" s="123"/>
      <c r="J108" s="123"/>
      <c r="K108" s="123"/>
      <c r="L108" s="123"/>
      <c r="M108" s="123"/>
      <c r="N108" s="123"/>
      <c r="O108" s="123"/>
      <c r="P108" s="123"/>
      <c r="Q108" s="140"/>
      <c r="R108" s="121"/>
      <c r="S108" s="121"/>
      <c r="T108" s="121"/>
      <c r="U108" s="47" t="str">
        <f t="shared" si="8"/>
        <v/>
      </c>
      <c r="V108" s="161" t="str">
        <f t="shared" si="6"/>
        <v/>
      </c>
      <c r="W108" s="161" t="str">
        <f t="shared" si="9"/>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0"/>
        <v/>
      </c>
      <c r="AS108" s="161" t="str">
        <f t="shared" si="7"/>
        <v/>
      </c>
      <c r="AT108" s="161" t="str">
        <f t="shared" si="11"/>
        <v/>
      </c>
    </row>
    <row r="109" spans="2:46" ht="15.75" thickBot="1" x14ac:dyDescent="0.3">
      <c r="B109" s="126"/>
      <c r="C109" s="141"/>
      <c r="D109" s="124"/>
      <c r="E109" s="124"/>
      <c r="F109" s="124"/>
      <c r="G109" s="124"/>
      <c r="H109" s="124"/>
      <c r="I109" s="124"/>
      <c r="J109" s="124"/>
      <c r="K109" s="124"/>
      <c r="L109" s="124"/>
      <c r="M109" s="124"/>
      <c r="N109" s="124"/>
      <c r="O109" s="124"/>
      <c r="P109" s="124"/>
      <c r="Q109" s="143"/>
      <c r="R109" s="126"/>
      <c r="S109" s="126"/>
      <c r="T109" s="126"/>
      <c r="U109" s="48" t="str">
        <f t="shared" si="8"/>
        <v/>
      </c>
      <c r="V109" s="162" t="str">
        <f t="shared" si="6"/>
        <v/>
      </c>
      <c r="W109" s="162" t="str">
        <f t="shared" si="9"/>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0"/>
        <v/>
      </c>
      <c r="AS109" s="162" t="str">
        <f t="shared" si="7"/>
        <v/>
      </c>
      <c r="AT109" s="162" t="str">
        <f t="shared" si="11"/>
        <v/>
      </c>
    </row>
    <row r="110" spans="2: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NG0VTgHtrEJNUJkyKdllX24s40z0ckMSUo39w9Y6gB8dee7Msn5YqkSLextFZDB+ZT+hsR8Cx/bHQ80xcPI4ow==" saltValue="jPH5e3nQvTPJe4AdsxzF5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2:ABJ106"/>
  <sheetViews>
    <sheetView tabSelected="1" workbookViewId="0">
      <pane xSplit="2" ySplit="6" topLeftCell="C7" activePane="bottomRight" state="frozenSplit"/>
      <selection pane="topRight" activeCell="B1" sqref="B1"/>
      <selection pane="bottomLeft" activeCell="A7" sqref="A7"/>
      <selection pane="bottomRight" activeCell="RQ8" sqref="RQ8"/>
    </sheetView>
  </sheetViews>
  <sheetFormatPr defaultRowHeight="15" outlineLevelCol="1" x14ac:dyDescent="0.25"/>
  <cols>
    <col min="1" max="1" width="0" hidden="1" customWidth="1"/>
    <col min="2" max="3" width="18.85546875" customWidth="1"/>
    <col min="4" max="4" width="5.7109375" customWidth="1"/>
    <col min="5" max="5" width="14.28515625" customWidth="1"/>
    <col min="6" max="80" width="2.85546875" hidden="1" customWidth="1" outlineLevel="1"/>
    <col min="81" max="81" width="5.7109375" customWidth="1" collapsed="1"/>
    <col min="82" max="82" width="14.28515625" customWidth="1"/>
    <col min="83" max="182" width="2.85546875" hidden="1" customWidth="1" outlineLevel="1"/>
    <col min="183" max="183" width="5.5703125" customWidth="1" collapsed="1"/>
    <col min="184" max="383" width="2.85546875" hidden="1" customWidth="1"/>
    <col min="384" max="384" width="14.28515625" customWidth="1"/>
    <col min="385" max="484" width="2.85546875" hidden="1" customWidth="1" outlineLevel="1"/>
    <col min="485" max="485" width="5.7109375" style="5" customWidth="1" collapsed="1"/>
    <col min="486" max="685" width="2.85546875" hidden="1" customWidth="1"/>
    <col min="686" max="686" width="14.28515625" customWidth="1"/>
    <col min="687" max="738" width="2.85546875" customWidth="1"/>
  </cols>
  <sheetData>
    <row r="2" spans="1:738" x14ac:dyDescent="0.25">
      <c r="CD2" s="5"/>
      <c r="CE2" s="209">
        <f>'Capacity Backing (Hide)2'!B1</f>
        <v>0</v>
      </c>
      <c r="CF2" s="209"/>
      <c r="CG2" s="209"/>
      <c r="CH2" s="209"/>
      <c r="CI2" s="209"/>
      <c r="CJ2" s="209"/>
      <c r="CK2" s="209"/>
      <c r="CL2" s="209"/>
      <c r="CM2" s="209"/>
      <c r="CN2" s="209"/>
      <c r="CO2" s="209"/>
      <c r="CP2" s="209"/>
      <c r="CQ2" s="209"/>
      <c r="CR2" s="209"/>
      <c r="CS2" s="209"/>
      <c r="CT2" s="209"/>
      <c r="CU2" s="209"/>
      <c r="CV2" s="209"/>
      <c r="CW2" s="209"/>
      <c r="CX2" s="209"/>
      <c r="CY2" s="209"/>
      <c r="CZ2" s="209"/>
      <c r="DA2" s="209"/>
      <c r="DB2" s="209"/>
      <c r="DC2" s="209"/>
      <c r="DD2" s="209"/>
      <c r="DE2" s="209"/>
      <c r="DF2" s="209"/>
      <c r="DG2" s="209"/>
      <c r="DH2" s="209"/>
      <c r="DI2" s="209"/>
      <c r="DJ2" s="209"/>
      <c r="DK2" s="209"/>
      <c r="DL2" s="209"/>
      <c r="DM2" s="209"/>
      <c r="DN2" s="209"/>
      <c r="DO2" s="209"/>
      <c r="DP2" s="209"/>
      <c r="DQ2" s="209"/>
      <c r="DR2" s="209"/>
      <c r="DS2" s="209"/>
      <c r="DT2" s="209"/>
      <c r="DU2" s="209"/>
      <c r="DV2" s="209"/>
      <c r="DW2" s="209"/>
      <c r="DX2" s="209"/>
      <c r="DY2" s="209"/>
      <c r="DZ2" s="209"/>
      <c r="EA2" s="209"/>
      <c r="EB2" s="209"/>
      <c r="EC2" s="209"/>
      <c r="ED2" s="209"/>
      <c r="EE2" s="209"/>
      <c r="EF2" s="209"/>
      <c r="EG2" s="209"/>
      <c r="EH2" s="209"/>
      <c r="EI2" s="209"/>
      <c r="EJ2" s="209"/>
      <c r="EK2" s="209"/>
      <c r="EL2" s="209"/>
      <c r="EM2" s="209"/>
      <c r="EN2" s="209"/>
      <c r="EO2" s="209"/>
      <c r="EP2" s="209"/>
      <c r="EQ2" s="209"/>
      <c r="ER2" s="209"/>
      <c r="ES2" s="209"/>
      <c r="ET2" s="209"/>
      <c r="EU2" s="209"/>
      <c r="EV2" s="209"/>
      <c r="EW2" s="209"/>
      <c r="EX2" s="209"/>
      <c r="EY2" s="209"/>
      <c r="EZ2" s="209"/>
      <c r="FA2" s="209"/>
      <c r="FB2" s="209"/>
      <c r="FC2" s="209"/>
      <c r="FD2" s="209"/>
      <c r="FE2" s="209"/>
      <c r="FF2" s="209"/>
      <c r="FG2" s="209"/>
      <c r="FH2" s="209"/>
      <c r="FI2" s="209"/>
      <c r="FJ2" s="209"/>
      <c r="FK2" s="209"/>
      <c r="FL2" s="209"/>
      <c r="FM2" s="209"/>
      <c r="FN2" s="209"/>
      <c r="FO2" s="209"/>
      <c r="FP2" s="209"/>
      <c r="FQ2" s="209"/>
      <c r="FR2" s="209"/>
      <c r="FS2" s="209"/>
      <c r="FT2" s="209"/>
      <c r="FU2" s="209"/>
      <c r="FV2" s="209"/>
      <c r="FW2" s="209"/>
      <c r="FX2" s="209"/>
      <c r="FY2" s="209"/>
      <c r="FZ2" s="209"/>
      <c r="GA2" s="187"/>
      <c r="GB2" s="212"/>
      <c r="GC2" s="209"/>
      <c r="GD2" s="209"/>
      <c r="GE2" s="209"/>
      <c r="GF2" s="209"/>
      <c r="GG2" s="209"/>
      <c r="GH2" s="209"/>
      <c r="GI2" s="209"/>
      <c r="GJ2" s="209"/>
      <c r="GK2" s="209"/>
      <c r="GL2" s="209"/>
      <c r="GM2" s="209"/>
      <c r="GN2" s="209"/>
      <c r="GO2" s="209"/>
      <c r="GP2" s="209"/>
      <c r="GQ2" s="209"/>
      <c r="GR2" s="209"/>
      <c r="GS2" s="209"/>
      <c r="GT2" s="209"/>
      <c r="GU2" s="209"/>
      <c r="GV2" s="209"/>
      <c r="GW2" s="209"/>
      <c r="GX2" s="209"/>
      <c r="GY2" s="209"/>
      <c r="GZ2" s="209"/>
      <c r="HA2" s="209"/>
      <c r="HB2" s="209"/>
      <c r="HC2" s="209"/>
      <c r="HD2" s="209"/>
      <c r="HE2" s="209"/>
      <c r="HF2" s="209"/>
      <c r="HG2" s="209"/>
      <c r="HH2" s="209"/>
      <c r="HI2" s="209"/>
      <c r="HJ2" s="209"/>
      <c r="HK2" s="209"/>
      <c r="HL2" s="209"/>
      <c r="HM2" s="209"/>
      <c r="HN2" s="209"/>
      <c r="HO2" s="209"/>
      <c r="HP2" s="209"/>
      <c r="HQ2" s="209"/>
      <c r="HR2" s="209"/>
      <c r="HS2" s="209"/>
      <c r="HT2" s="209"/>
      <c r="HU2" s="209"/>
      <c r="HV2" s="209"/>
      <c r="HW2" s="209"/>
      <c r="HX2" s="209"/>
      <c r="HY2" s="209"/>
      <c r="HZ2" s="209"/>
      <c r="IA2" s="209"/>
      <c r="IB2" s="209"/>
      <c r="IC2" s="209"/>
      <c r="ID2" s="209"/>
      <c r="IE2" s="209"/>
      <c r="IF2" s="209"/>
      <c r="IG2" s="209"/>
      <c r="IH2" s="209"/>
      <c r="II2" s="209"/>
      <c r="IJ2" s="209"/>
      <c r="IK2" s="209"/>
      <c r="IL2" s="209"/>
      <c r="IM2" s="209"/>
      <c r="IN2" s="209"/>
      <c r="IO2" s="209"/>
      <c r="IP2" s="209"/>
      <c r="IQ2" s="209"/>
      <c r="IR2" s="209"/>
      <c r="IS2" s="209"/>
      <c r="IT2" s="209"/>
      <c r="IU2" s="209"/>
      <c r="IV2" s="209"/>
      <c r="IW2" s="209"/>
      <c r="IX2" s="209"/>
      <c r="IY2" s="209"/>
      <c r="IZ2" s="209"/>
      <c r="JA2" s="209"/>
      <c r="JB2" s="209"/>
      <c r="JC2" s="209"/>
      <c r="JD2" s="209"/>
      <c r="JE2" s="209"/>
      <c r="JF2" s="209"/>
      <c r="JG2" s="209"/>
      <c r="JH2" s="209"/>
      <c r="JI2" s="209"/>
      <c r="JJ2" s="209"/>
      <c r="JK2" s="209"/>
      <c r="JL2" s="209"/>
      <c r="JM2" s="209"/>
      <c r="JN2" s="209"/>
      <c r="JO2" s="209"/>
      <c r="JP2" s="209"/>
      <c r="JQ2" s="209"/>
      <c r="JR2" s="209"/>
      <c r="JS2" s="209"/>
      <c r="JT2" s="209"/>
      <c r="JU2" s="209"/>
      <c r="JV2" s="209"/>
      <c r="JW2" s="209"/>
      <c r="JX2" s="209"/>
      <c r="JY2" s="209"/>
      <c r="JZ2" s="209"/>
      <c r="KA2" s="209"/>
      <c r="KB2" s="209"/>
      <c r="KC2" s="209"/>
      <c r="KD2" s="209"/>
      <c r="KE2" s="209"/>
      <c r="KF2" s="209"/>
      <c r="KG2" s="209"/>
      <c r="KH2" s="209"/>
      <c r="KI2" s="209"/>
      <c r="KJ2" s="209"/>
      <c r="KK2" s="209"/>
      <c r="KL2" s="209"/>
      <c r="KM2" s="209"/>
      <c r="KN2" s="209"/>
      <c r="KO2" s="209"/>
      <c r="KP2" s="209"/>
      <c r="KQ2" s="209"/>
      <c r="KR2" s="209"/>
      <c r="KS2" s="209"/>
      <c r="KT2" s="209"/>
      <c r="KU2" s="209"/>
      <c r="KV2" s="209"/>
      <c r="KW2" s="209"/>
      <c r="KX2" s="209"/>
      <c r="KY2" s="209"/>
      <c r="KZ2" s="209"/>
      <c r="LA2" s="209"/>
      <c r="LB2" s="209"/>
      <c r="LC2" s="209"/>
      <c r="LD2" s="209"/>
      <c r="LE2" s="209"/>
      <c r="LF2" s="209"/>
      <c r="LG2" s="209"/>
      <c r="LH2" s="209"/>
      <c r="LI2" s="209"/>
      <c r="LJ2" s="209"/>
      <c r="LK2" s="209"/>
      <c r="LL2" s="209"/>
      <c r="LM2" s="209"/>
      <c r="LN2" s="209"/>
      <c r="LO2" s="209"/>
      <c r="LP2" s="209"/>
      <c r="LQ2" s="209"/>
      <c r="LR2" s="209"/>
      <c r="LS2" s="209"/>
      <c r="LT2" s="209"/>
      <c r="LU2" s="209"/>
      <c r="LV2" s="209"/>
      <c r="LW2" s="209"/>
      <c r="LX2" s="209"/>
      <c r="LY2" s="209"/>
      <c r="LZ2" s="209"/>
      <c r="MA2" s="209"/>
      <c r="MB2" s="209"/>
      <c r="MC2" s="209"/>
      <c r="MD2" s="209"/>
      <c r="ME2" s="209"/>
      <c r="MF2" s="209"/>
      <c r="MG2" s="209"/>
      <c r="MH2" s="209"/>
      <c r="MI2" s="209"/>
      <c r="MJ2" s="209"/>
      <c r="MK2" s="209"/>
      <c r="ML2" s="209"/>
      <c r="MM2" s="209"/>
      <c r="MN2" s="209"/>
      <c r="MO2" s="209"/>
      <c r="MP2" s="209"/>
      <c r="MQ2" s="209"/>
      <c r="MR2" s="209"/>
      <c r="MS2" s="209"/>
      <c r="MT2" s="209"/>
      <c r="MU2" s="209"/>
      <c r="MV2" s="209"/>
      <c r="MW2" s="209"/>
      <c r="MX2" s="209"/>
      <c r="MY2" s="209"/>
      <c r="MZ2" s="209"/>
      <c r="NA2" s="209"/>
      <c r="NB2" s="209"/>
      <c r="NC2" s="209"/>
      <c r="ND2" s="209"/>
      <c r="NE2" s="209"/>
      <c r="NF2" s="209"/>
      <c r="NG2" s="209"/>
      <c r="NH2" s="209"/>
      <c r="NI2" s="209"/>
      <c r="NJ2" s="209"/>
      <c r="NK2" s="209"/>
      <c r="NL2" s="209"/>
      <c r="NM2" s="209"/>
      <c r="NN2" s="209"/>
      <c r="NO2" s="209"/>
      <c r="NP2" s="209"/>
      <c r="NQ2" s="209"/>
      <c r="NR2" s="209"/>
      <c r="NS2" s="215"/>
      <c r="NT2" s="5"/>
      <c r="NU2" s="209">
        <f>'Capacity Backing (Hide)2'!KR1</f>
        <v>0</v>
      </c>
      <c r="NV2" s="209"/>
      <c r="NW2" s="209"/>
      <c r="NX2" s="209"/>
      <c r="NY2" s="209"/>
      <c r="NZ2" s="209"/>
      <c r="OA2" s="209"/>
      <c r="OB2" s="209"/>
      <c r="OC2" s="209"/>
      <c r="OD2" s="209"/>
      <c r="OE2" s="209"/>
      <c r="OF2" s="209"/>
      <c r="OG2" s="209"/>
      <c r="OH2" s="209"/>
      <c r="OI2" s="209"/>
      <c r="OJ2" s="209"/>
      <c r="OK2" s="209"/>
      <c r="OL2" s="209"/>
      <c r="OM2" s="209"/>
      <c r="ON2" s="209"/>
      <c r="OO2" s="209"/>
      <c r="OP2" s="209"/>
      <c r="OQ2" s="209"/>
      <c r="OR2" s="209"/>
      <c r="OS2" s="209"/>
      <c r="OT2" s="209"/>
      <c r="OU2" s="209"/>
      <c r="OV2" s="209"/>
      <c r="OW2" s="209"/>
      <c r="OX2" s="209"/>
      <c r="OY2" s="209"/>
      <c r="OZ2" s="209"/>
      <c r="PA2" s="209"/>
      <c r="PB2" s="209"/>
      <c r="PC2" s="209"/>
      <c r="PD2" s="209"/>
      <c r="PE2" s="209"/>
      <c r="PF2" s="209"/>
      <c r="PG2" s="209"/>
      <c r="PH2" s="209"/>
      <c r="PI2" s="209"/>
      <c r="PJ2" s="209"/>
      <c r="PK2" s="209"/>
      <c r="PL2" s="209"/>
      <c r="PM2" s="209"/>
      <c r="PN2" s="209"/>
      <c r="PO2" s="209"/>
      <c r="PP2" s="209"/>
      <c r="PQ2" s="209"/>
      <c r="PR2" s="209"/>
      <c r="PS2" s="209"/>
      <c r="PT2" s="209"/>
      <c r="PU2" s="209"/>
      <c r="PV2" s="209"/>
      <c r="PW2" s="209"/>
      <c r="PX2" s="209"/>
      <c r="PY2" s="209"/>
      <c r="PZ2" s="209"/>
      <c r="QA2" s="209"/>
      <c r="QB2" s="209"/>
      <c r="QC2" s="209"/>
      <c r="QD2" s="209"/>
      <c r="QE2" s="209"/>
      <c r="QF2" s="209"/>
      <c r="QG2" s="209"/>
      <c r="QH2" s="209"/>
      <c r="QI2" s="209"/>
      <c r="QJ2" s="209"/>
      <c r="QK2" s="209"/>
      <c r="QL2" s="209"/>
      <c r="QM2" s="209"/>
      <c r="QN2" s="209"/>
      <c r="QO2" s="209"/>
      <c r="QP2" s="209"/>
      <c r="QQ2" s="209"/>
      <c r="QR2" s="209"/>
      <c r="QS2" s="209"/>
      <c r="QT2" s="209"/>
      <c r="QU2" s="209"/>
      <c r="QV2" s="209"/>
      <c r="QW2" s="209"/>
      <c r="QX2" s="209"/>
      <c r="QY2" s="209"/>
      <c r="QZ2" s="209"/>
      <c r="RA2" s="209"/>
      <c r="RB2" s="209"/>
      <c r="RC2" s="209"/>
      <c r="RD2" s="209"/>
      <c r="RE2" s="209"/>
      <c r="RF2" s="209"/>
      <c r="RG2" s="209"/>
      <c r="RH2" s="209"/>
      <c r="RI2" s="209"/>
      <c r="RJ2" s="209"/>
      <c r="RK2" s="209"/>
      <c r="RL2" s="209"/>
      <c r="RM2" s="209"/>
      <c r="RN2" s="209"/>
      <c r="RO2" s="209"/>
      <c r="RP2" s="209"/>
      <c r="RQ2" s="187"/>
      <c r="RR2" s="212"/>
      <c r="RS2" s="209"/>
      <c r="RT2" s="209"/>
      <c r="RU2" s="209"/>
      <c r="RV2" s="209"/>
      <c r="RW2" s="209"/>
      <c r="RX2" s="209"/>
      <c r="RY2" s="209"/>
      <c r="RZ2" s="209"/>
      <c r="SA2" s="209"/>
      <c r="SB2" s="209"/>
      <c r="SC2" s="209"/>
      <c r="SD2" s="209"/>
      <c r="SE2" s="209"/>
      <c r="SF2" s="209"/>
      <c r="SG2" s="209"/>
      <c r="SH2" s="209"/>
      <c r="SI2" s="209"/>
      <c r="SJ2" s="209"/>
      <c r="SK2" s="209"/>
      <c r="SL2" s="209"/>
      <c r="SM2" s="209"/>
      <c r="SN2" s="209"/>
      <c r="SO2" s="209"/>
      <c r="SP2" s="209"/>
      <c r="SQ2" s="209"/>
      <c r="SR2" s="209"/>
      <c r="SS2" s="209"/>
      <c r="ST2" s="209"/>
      <c r="SU2" s="209"/>
      <c r="SV2" s="209"/>
      <c r="SW2" s="209"/>
      <c r="SX2" s="209"/>
      <c r="SY2" s="209"/>
      <c r="SZ2" s="209"/>
      <c r="TA2" s="209"/>
      <c r="TB2" s="209"/>
      <c r="TC2" s="209"/>
      <c r="TD2" s="209"/>
      <c r="TE2" s="209"/>
      <c r="TF2" s="209"/>
      <c r="TG2" s="209"/>
      <c r="TH2" s="209"/>
      <c r="TI2" s="209"/>
      <c r="TJ2" s="209"/>
      <c r="TK2" s="209"/>
      <c r="TL2" s="209"/>
      <c r="TM2" s="209"/>
      <c r="TN2" s="209"/>
      <c r="TO2" s="209"/>
      <c r="TP2" s="209"/>
      <c r="TQ2" s="209"/>
      <c r="TR2" s="209"/>
      <c r="TS2" s="209"/>
      <c r="TT2" s="209"/>
      <c r="TU2" s="209"/>
      <c r="TV2" s="209"/>
      <c r="TW2" s="209"/>
      <c r="TX2" s="209"/>
      <c r="TY2" s="209"/>
      <c r="TZ2" s="209"/>
      <c r="UA2" s="209"/>
      <c r="UB2" s="209"/>
      <c r="UC2" s="209"/>
      <c r="UD2" s="209"/>
      <c r="UE2" s="209"/>
      <c r="UF2" s="209"/>
      <c r="UG2" s="209"/>
      <c r="UH2" s="209"/>
      <c r="UI2" s="209"/>
      <c r="UJ2" s="209"/>
      <c r="UK2" s="209"/>
      <c r="UL2" s="209"/>
      <c r="UM2" s="209"/>
      <c r="UN2" s="209"/>
      <c r="UO2" s="209"/>
      <c r="UP2" s="209"/>
      <c r="UQ2" s="209"/>
      <c r="UR2" s="209"/>
      <c r="US2" s="209"/>
      <c r="UT2" s="209"/>
      <c r="UU2" s="209"/>
      <c r="UV2" s="209"/>
      <c r="UW2" s="209"/>
      <c r="UX2" s="209"/>
      <c r="UY2" s="209"/>
      <c r="UZ2" s="209"/>
      <c r="VA2" s="209"/>
      <c r="VB2" s="209"/>
      <c r="VC2" s="209"/>
      <c r="VD2" s="209"/>
      <c r="VE2" s="209"/>
      <c r="VF2" s="209"/>
      <c r="VG2" s="209"/>
      <c r="VH2" s="209"/>
      <c r="VI2" s="209"/>
      <c r="VJ2" s="209"/>
      <c r="VK2" s="209"/>
      <c r="VL2" s="209"/>
      <c r="VM2" s="209"/>
      <c r="VN2" s="209"/>
      <c r="VO2" s="209"/>
      <c r="VP2" s="209"/>
      <c r="VQ2" s="209"/>
      <c r="VR2" s="209"/>
      <c r="VS2" s="209"/>
      <c r="VT2" s="209"/>
      <c r="VU2" s="209"/>
      <c r="VV2" s="209"/>
      <c r="VW2" s="209"/>
      <c r="VX2" s="209"/>
      <c r="VY2" s="209"/>
      <c r="VZ2" s="209"/>
      <c r="WA2" s="209"/>
      <c r="WB2" s="209"/>
      <c r="WC2" s="209"/>
      <c r="WD2" s="209"/>
      <c r="WE2" s="209"/>
      <c r="WF2" s="209"/>
      <c r="WG2" s="209"/>
      <c r="WH2" s="209"/>
      <c r="WI2" s="209"/>
      <c r="WJ2" s="209"/>
      <c r="WK2" s="209"/>
      <c r="WL2" s="209"/>
      <c r="WM2" s="209"/>
      <c r="WN2" s="209"/>
      <c r="WO2" s="209"/>
      <c r="WP2" s="209"/>
      <c r="WQ2" s="209"/>
      <c r="WR2" s="209"/>
      <c r="WS2" s="209"/>
      <c r="WT2" s="209"/>
      <c r="WU2" s="209"/>
      <c r="WV2" s="209"/>
      <c r="WW2" s="209"/>
      <c r="WX2" s="209"/>
      <c r="WY2" s="209"/>
      <c r="WZ2" s="209"/>
      <c r="XA2" s="209"/>
      <c r="XB2" s="209"/>
      <c r="XC2" s="209"/>
      <c r="XD2" s="209"/>
      <c r="XE2" s="209"/>
      <c r="XF2" s="209"/>
      <c r="XG2" s="209"/>
      <c r="XH2" s="209"/>
      <c r="XI2" s="209"/>
      <c r="XJ2" s="209"/>
      <c r="XK2" s="209"/>
      <c r="XL2" s="209"/>
      <c r="XM2" s="209"/>
      <c r="XN2" s="209"/>
      <c r="XO2" s="209"/>
      <c r="XP2" s="209"/>
      <c r="XQ2" s="209"/>
      <c r="XR2" s="209"/>
      <c r="XS2" s="209"/>
      <c r="XT2" s="209"/>
      <c r="XU2" s="209"/>
      <c r="XV2" s="209"/>
      <c r="XW2" s="209"/>
      <c r="XX2" s="209"/>
      <c r="XY2" s="209"/>
      <c r="XZ2" s="209"/>
      <c r="YA2" s="209"/>
      <c r="YB2" s="209"/>
      <c r="YC2" s="209"/>
      <c r="YD2" s="209"/>
      <c r="YE2" s="209"/>
      <c r="YF2" s="209"/>
      <c r="YG2" s="209"/>
      <c r="YH2" s="209"/>
      <c r="YI2" s="209"/>
      <c r="YJ2" s="209"/>
      <c r="YK2" s="209"/>
      <c r="YL2" s="209"/>
      <c r="YM2" s="209"/>
      <c r="YN2" s="209"/>
      <c r="YO2" s="209"/>
      <c r="YP2" s="209"/>
      <c r="YQ2" s="209"/>
      <c r="YR2" s="209"/>
      <c r="YS2" s="209"/>
      <c r="YT2" s="209"/>
      <c r="YU2" s="209"/>
      <c r="YV2" s="209"/>
      <c r="YW2" s="209"/>
      <c r="YX2" s="209"/>
      <c r="YY2" s="209"/>
      <c r="YZ2" s="209"/>
      <c r="ZA2" s="209"/>
      <c r="ZB2" s="209"/>
      <c r="ZC2" s="209"/>
      <c r="ZD2" s="209"/>
      <c r="ZE2" s="209"/>
      <c r="ZF2" s="209"/>
      <c r="ZG2" s="209"/>
      <c r="ZH2" s="209"/>
      <c r="ZI2" s="209"/>
    </row>
    <row r="3" spans="1:738" x14ac:dyDescent="0.25">
      <c r="CD3" s="5"/>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c r="DR3" s="210"/>
      <c r="DS3" s="210"/>
      <c r="DT3" s="210"/>
      <c r="DU3" s="210"/>
      <c r="DV3" s="210"/>
      <c r="DW3" s="210"/>
      <c r="DX3" s="210"/>
      <c r="DY3" s="210"/>
      <c r="DZ3" s="210"/>
      <c r="EA3" s="210"/>
      <c r="EB3" s="210"/>
      <c r="EC3" s="210"/>
      <c r="ED3" s="210"/>
      <c r="EE3" s="210"/>
      <c r="EF3" s="210"/>
      <c r="EG3" s="210"/>
      <c r="EH3" s="210"/>
      <c r="EI3" s="210"/>
      <c r="EJ3" s="210"/>
      <c r="EK3" s="210"/>
      <c r="EL3" s="210"/>
      <c r="EM3" s="210"/>
      <c r="EN3" s="210"/>
      <c r="EO3" s="210"/>
      <c r="EP3" s="210"/>
      <c r="EQ3" s="210"/>
      <c r="ER3" s="210"/>
      <c r="ES3" s="210"/>
      <c r="ET3" s="210"/>
      <c r="EU3" s="210"/>
      <c r="EV3" s="210"/>
      <c r="EW3" s="210"/>
      <c r="EX3" s="210"/>
      <c r="EY3" s="210"/>
      <c r="EZ3" s="210"/>
      <c r="FA3" s="210"/>
      <c r="FB3" s="210"/>
      <c r="FC3" s="210"/>
      <c r="FD3" s="210"/>
      <c r="FE3" s="210"/>
      <c r="FF3" s="210"/>
      <c r="FG3" s="210"/>
      <c r="FH3" s="210"/>
      <c r="FI3" s="210"/>
      <c r="FJ3" s="210"/>
      <c r="FK3" s="210"/>
      <c r="FL3" s="210"/>
      <c r="FM3" s="210"/>
      <c r="FN3" s="210"/>
      <c r="FO3" s="210"/>
      <c r="FP3" s="210"/>
      <c r="FQ3" s="210"/>
      <c r="FR3" s="210"/>
      <c r="FS3" s="210"/>
      <c r="FT3" s="210"/>
      <c r="FU3" s="210"/>
      <c r="FV3" s="210"/>
      <c r="FW3" s="210"/>
      <c r="FX3" s="210"/>
      <c r="FY3" s="210"/>
      <c r="FZ3" s="210"/>
      <c r="GA3" s="187"/>
      <c r="GB3" s="213"/>
      <c r="GC3" s="210"/>
      <c r="GD3" s="210"/>
      <c r="GE3" s="210"/>
      <c r="GF3" s="210"/>
      <c r="GG3" s="210"/>
      <c r="GH3" s="210"/>
      <c r="GI3" s="210"/>
      <c r="GJ3" s="210"/>
      <c r="GK3" s="210"/>
      <c r="GL3" s="210"/>
      <c r="GM3" s="210"/>
      <c r="GN3" s="210"/>
      <c r="GO3" s="210"/>
      <c r="GP3" s="210"/>
      <c r="GQ3" s="210"/>
      <c r="GR3" s="210"/>
      <c r="GS3" s="210"/>
      <c r="GT3" s="210"/>
      <c r="GU3" s="210"/>
      <c r="GV3" s="210"/>
      <c r="GW3" s="210"/>
      <c r="GX3" s="210"/>
      <c r="GY3" s="210"/>
      <c r="GZ3" s="210"/>
      <c r="HA3" s="210"/>
      <c r="HB3" s="210"/>
      <c r="HC3" s="210"/>
      <c r="HD3" s="210"/>
      <c r="HE3" s="210"/>
      <c r="HF3" s="210"/>
      <c r="HG3" s="210"/>
      <c r="HH3" s="210"/>
      <c r="HI3" s="210"/>
      <c r="HJ3" s="210"/>
      <c r="HK3" s="210"/>
      <c r="HL3" s="210"/>
      <c r="HM3" s="210"/>
      <c r="HN3" s="210"/>
      <c r="HO3" s="210"/>
      <c r="HP3" s="210"/>
      <c r="HQ3" s="210"/>
      <c r="HR3" s="210"/>
      <c r="HS3" s="210"/>
      <c r="HT3" s="210"/>
      <c r="HU3" s="210"/>
      <c r="HV3" s="210"/>
      <c r="HW3" s="210"/>
      <c r="HX3" s="210"/>
      <c r="HY3" s="210"/>
      <c r="HZ3" s="210"/>
      <c r="IA3" s="210"/>
      <c r="IB3" s="210"/>
      <c r="IC3" s="210"/>
      <c r="ID3" s="210"/>
      <c r="IE3" s="210"/>
      <c r="IF3" s="210"/>
      <c r="IG3" s="210"/>
      <c r="IH3" s="210"/>
      <c r="II3" s="210"/>
      <c r="IJ3" s="210"/>
      <c r="IK3" s="210"/>
      <c r="IL3" s="210"/>
      <c r="IM3" s="210"/>
      <c r="IN3" s="210"/>
      <c r="IO3" s="210"/>
      <c r="IP3" s="210"/>
      <c r="IQ3" s="210"/>
      <c r="IR3" s="210"/>
      <c r="IS3" s="210"/>
      <c r="IT3" s="210"/>
      <c r="IU3" s="210"/>
      <c r="IV3" s="210"/>
      <c r="IW3" s="210"/>
      <c r="IX3" s="210"/>
      <c r="IY3" s="210"/>
      <c r="IZ3" s="210"/>
      <c r="JA3" s="210"/>
      <c r="JB3" s="210"/>
      <c r="JC3" s="210"/>
      <c r="JD3" s="210"/>
      <c r="JE3" s="210"/>
      <c r="JF3" s="210"/>
      <c r="JG3" s="210"/>
      <c r="JH3" s="210"/>
      <c r="JI3" s="210"/>
      <c r="JJ3" s="210"/>
      <c r="JK3" s="210"/>
      <c r="JL3" s="210"/>
      <c r="JM3" s="210"/>
      <c r="JN3" s="210"/>
      <c r="JO3" s="210"/>
      <c r="JP3" s="210"/>
      <c r="JQ3" s="210"/>
      <c r="JR3" s="210"/>
      <c r="JS3" s="210"/>
      <c r="JT3" s="210"/>
      <c r="JU3" s="210"/>
      <c r="JV3" s="210"/>
      <c r="JW3" s="210"/>
      <c r="JX3" s="210"/>
      <c r="JY3" s="210"/>
      <c r="JZ3" s="210"/>
      <c r="KA3" s="210"/>
      <c r="KB3" s="210"/>
      <c r="KC3" s="210"/>
      <c r="KD3" s="210"/>
      <c r="KE3" s="210"/>
      <c r="KF3" s="210"/>
      <c r="KG3" s="210"/>
      <c r="KH3" s="210"/>
      <c r="KI3" s="210"/>
      <c r="KJ3" s="210"/>
      <c r="KK3" s="210"/>
      <c r="KL3" s="210"/>
      <c r="KM3" s="210"/>
      <c r="KN3" s="210"/>
      <c r="KO3" s="210"/>
      <c r="KP3" s="210"/>
      <c r="KQ3" s="210"/>
      <c r="KR3" s="210"/>
      <c r="KS3" s="210"/>
      <c r="KT3" s="210"/>
      <c r="KU3" s="210"/>
      <c r="KV3" s="210"/>
      <c r="KW3" s="210"/>
      <c r="KX3" s="210"/>
      <c r="KY3" s="210"/>
      <c r="KZ3" s="210"/>
      <c r="LA3" s="210"/>
      <c r="LB3" s="210"/>
      <c r="LC3" s="210"/>
      <c r="LD3" s="210"/>
      <c r="LE3" s="210"/>
      <c r="LF3" s="210"/>
      <c r="LG3" s="210"/>
      <c r="LH3" s="210"/>
      <c r="LI3" s="210"/>
      <c r="LJ3" s="210"/>
      <c r="LK3" s="210"/>
      <c r="LL3" s="210"/>
      <c r="LM3" s="210"/>
      <c r="LN3" s="210"/>
      <c r="LO3" s="210"/>
      <c r="LP3" s="210"/>
      <c r="LQ3" s="210"/>
      <c r="LR3" s="210"/>
      <c r="LS3" s="210"/>
      <c r="LT3" s="210"/>
      <c r="LU3" s="210"/>
      <c r="LV3" s="210"/>
      <c r="LW3" s="210"/>
      <c r="LX3" s="210"/>
      <c r="LY3" s="210"/>
      <c r="LZ3" s="210"/>
      <c r="MA3" s="210"/>
      <c r="MB3" s="210"/>
      <c r="MC3" s="210"/>
      <c r="MD3" s="210"/>
      <c r="ME3" s="210"/>
      <c r="MF3" s="210"/>
      <c r="MG3" s="210"/>
      <c r="MH3" s="210"/>
      <c r="MI3" s="210"/>
      <c r="MJ3" s="210"/>
      <c r="MK3" s="210"/>
      <c r="ML3" s="210"/>
      <c r="MM3" s="210"/>
      <c r="MN3" s="210"/>
      <c r="MO3" s="210"/>
      <c r="MP3" s="210"/>
      <c r="MQ3" s="210"/>
      <c r="MR3" s="210"/>
      <c r="MS3" s="210"/>
      <c r="MT3" s="210"/>
      <c r="MU3" s="210"/>
      <c r="MV3" s="210"/>
      <c r="MW3" s="210"/>
      <c r="MX3" s="210"/>
      <c r="MY3" s="210"/>
      <c r="MZ3" s="210"/>
      <c r="NA3" s="210"/>
      <c r="NB3" s="210"/>
      <c r="NC3" s="210"/>
      <c r="ND3" s="210"/>
      <c r="NE3" s="210"/>
      <c r="NF3" s="210"/>
      <c r="NG3" s="210"/>
      <c r="NH3" s="210"/>
      <c r="NI3" s="210"/>
      <c r="NJ3" s="210"/>
      <c r="NK3" s="210"/>
      <c r="NL3" s="210"/>
      <c r="NM3" s="210"/>
      <c r="NN3" s="210"/>
      <c r="NO3" s="210"/>
      <c r="NP3" s="210"/>
      <c r="NQ3" s="210"/>
      <c r="NR3" s="210"/>
      <c r="NS3" s="216"/>
      <c r="NT3" s="5"/>
      <c r="NU3" s="210"/>
      <c r="NV3" s="210"/>
      <c r="NW3" s="210"/>
      <c r="NX3" s="210"/>
      <c r="NY3" s="210"/>
      <c r="NZ3" s="210"/>
      <c r="OA3" s="210"/>
      <c r="OB3" s="210"/>
      <c r="OC3" s="210"/>
      <c r="OD3" s="210"/>
      <c r="OE3" s="210"/>
      <c r="OF3" s="210"/>
      <c r="OG3" s="210"/>
      <c r="OH3" s="210"/>
      <c r="OI3" s="210"/>
      <c r="OJ3" s="210"/>
      <c r="OK3" s="210"/>
      <c r="OL3" s="210"/>
      <c r="OM3" s="210"/>
      <c r="ON3" s="210"/>
      <c r="OO3" s="210"/>
      <c r="OP3" s="210"/>
      <c r="OQ3" s="210"/>
      <c r="OR3" s="210"/>
      <c r="OS3" s="210"/>
      <c r="OT3" s="210"/>
      <c r="OU3" s="210"/>
      <c r="OV3" s="210"/>
      <c r="OW3" s="210"/>
      <c r="OX3" s="210"/>
      <c r="OY3" s="210"/>
      <c r="OZ3" s="210"/>
      <c r="PA3" s="210"/>
      <c r="PB3" s="210"/>
      <c r="PC3" s="210"/>
      <c r="PD3" s="210"/>
      <c r="PE3" s="210"/>
      <c r="PF3" s="210"/>
      <c r="PG3" s="210"/>
      <c r="PH3" s="210"/>
      <c r="PI3" s="210"/>
      <c r="PJ3" s="210"/>
      <c r="PK3" s="210"/>
      <c r="PL3" s="210"/>
      <c r="PM3" s="210"/>
      <c r="PN3" s="210"/>
      <c r="PO3" s="210"/>
      <c r="PP3" s="210"/>
      <c r="PQ3" s="210"/>
      <c r="PR3" s="210"/>
      <c r="PS3" s="210"/>
      <c r="PT3" s="210"/>
      <c r="PU3" s="210"/>
      <c r="PV3" s="210"/>
      <c r="PW3" s="210"/>
      <c r="PX3" s="210"/>
      <c r="PY3" s="210"/>
      <c r="PZ3" s="210"/>
      <c r="QA3" s="210"/>
      <c r="QB3" s="210"/>
      <c r="QC3" s="210"/>
      <c r="QD3" s="210"/>
      <c r="QE3" s="210"/>
      <c r="QF3" s="210"/>
      <c r="QG3" s="210"/>
      <c r="QH3" s="210"/>
      <c r="QI3" s="210"/>
      <c r="QJ3" s="210"/>
      <c r="QK3" s="210"/>
      <c r="QL3" s="210"/>
      <c r="QM3" s="210"/>
      <c r="QN3" s="210"/>
      <c r="QO3" s="210"/>
      <c r="QP3" s="210"/>
      <c r="QQ3" s="210"/>
      <c r="QR3" s="210"/>
      <c r="QS3" s="210"/>
      <c r="QT3" s="210"/>
      <c r="QU3" s="210"/>
      <c r="QV3" s="210"/>
      <c r="QW3" s="210"/>
      <c r="QX3" s="210"/>
      <c r="QY3" s="210"/>
      <c r="QZ3" s="210"/>
      <c r="RA3" s="210"/>
      <c r="RB3" s="210"/>
      <c r="RC3" s="210"/>
      <c r="RD3" s="210"/>
      <c r="RE3" s="210"/>
      <c r="RF3" s="210"/>
      <c r="RG3" s="210"/>
      <c r="RH3" s="210"/>
      <c r="RI3" s="210"/>
      <c r="RJ3" s="210"/>
      <c r="RK3" s="210"/>
      <c r="RL3" s="210"/>
      <c r="RM3" s="210"/>
      <c r="RN3" s="210"/>
      <c r="RO3" s="210"/>
      <c r="RP3" s="210"/>
      <c r="RQ3" s="187"/>
      <c r="RR3" s="213"/>
      <c r="RS3" s="210"/>
      <c r="RT3" s="210"/>
      <c r="RU3" s="210"/>
      <c r="RV3" s="210"/>
      <c r="RW3" s="210"/>
      <c r="RX3" s="210"/>
      <c r="RY3" s="210"/>
      <c r="RZ3" s="210"/>
      <c r="SA3" s="210"/>
      <c r="SB3" s="210"/>
      <c r="SC3" s="210"/>
      <c r="SD3" s="210"/>
      <c r="SE3" s="210"/>
      <c r="SF3" s="210"/>
      <c r="SG3" s="210"/>
      <c r="SH3" s="210"/>
      <c r="SI3" s="210"/>
      <c r="SJ3" s="210"/>
      <c r="SK3" s="210"/>
      <c r="SL3" s="210"/>
      <c r="SM3" s="210"/>
      <c r="SN3" s="210"/>
      <c r="SO3" s="210"/>
      <c r="SP3" s="210"/>
      <c r="SQ3" s="210"/>
      <c r="SR3" s="210"/>
      <c r="SS3" s="210"/>
      <c r="ST3" s="210"/>
      <c r="SU3" s="210"/>
      <c r="SV3" s="210"/>
      <c r="SW3" s="210"/>
      <c r="SX3" s="210"/>
      <c r="SY3" s="210"/>
      <c r="SZ3" s="210"/>
      <c r="TA3" s="210"/>
      <c r="TB3" s="210"/>
      <c r="TC3" s="210"/>
      <c r="TD3" s="210"/>
      <c r="TE3" s="210"/>
      <c r="TF3" s="210"/>
      <c r="TG3" s="210"/>
      <c r="TH3" s="210"/>
      <c r="TI3" s="210"/>
      <c r="TJ3" s="210"/>
      <c r="TK3" s="210"/>
      <c r="TL3" s="210"/>
      <c r="TM3" s="210"/>
      <c r="TN3" s="210"/>
      <c r="TO3" s="210"/>
      <c r="TP3" s="210"/>
      <c r="TQ3" s="210"/>
      <c r="TR3" s="210"/>
      <c r="TS3" s="210"/>
      <c r="TT3" s="210"/>
      <c r="TU3" s="210"/>
      <c r="TV3" s="210"/>
      <c r="TW3" s="210"/>
      <c r="TX3" s="210"/>
      <c r="TY3" s="210"/>
      <c r="TZ3" s="210"/>
      <c r="UA3" s="210"/>
      <c r="UB3" s="210"/>
      <c r="UC3" s="210"/>
      <c r="UD3" s="210"/>
      <c r="UE3" s="210"/>
      <c r="UF3" s="210"/>
      <c r="UG3" s="210"/>
      <c r="UH3" s="210"/>
      <c r="UI3" s="210"/>
      <c r="UJ3" s="210"/>
      <c r="UK3" s="210"/>
      <c r="UL3" s="210"/>
      <c r="UM3" s="210"/>
      <c r="UN3" s="210"/>
      <c r="UO3" s="210"/>
      <c r="UP3" s="210"/>
      <c r="UQ3" s="210"/>
      <c r="UR3" s="210"/>
      <c r="US3" s="210"/>
      <c r="UT3" s="210"/>
      <c r="UU3" s="210"/>
      <c r="UV3" s="210"/>
      <c r="UW3" s="210"/>
      <c r="UX3" s="210"/>
      <c r="UY3" s="210"/>
      <c r="UZ3" s="210"/>
      <c r="VA3" s="210"/>
      <c r="VB3" s="210"/>
      <c r="VC3" s="210"/>
      <c r="VD3" s="210"/>
      <c r="VE3" s="210"/>
      <c r="VF3" s="210"/>
      <c r="VG3" s="210"/>
      <c r="VH3" s="210"/>
      <c r="VI3" s="210"/>
      <c r="VJ3" s="210"/>
      <c r="VK3" s="210"/>
      <c r="VL3" s="210"/>
      <c r="VM3" s="210"/>
      <c r="VN3" s="210"/>
      <c r="VO3" s="210"/>
      <c r="VP3" s="210"/>
      <c r="VQ3" s="210"/>
      <c r="VR3" s="210"/>
      <c r="VS3" s="210"/>
      <c r="VT3" s="210"/>
      <c r="VU3" s="210"/>
      <c r="VV3" s="210"/>
      <c r="VW3" s="210"/>
      <c r="VX3" s="210"/>
      <c r="VY3" s="210"/>
      <c r="VZ3" s="210"/>
      <c r="WA3" s="210"/>
      <c r="WB3" s="210"/>
      <c r="WC3" s="210"/>
      <c r="WD3" s="210"/>
      <c r="WE3" s="210"/>
      <c r="WF3" s="210"/>
      <c r="WG3" s="210"/>
      <c r="WH3" s="210"/>
      <c r="WI3" s="210"/>
      <c r="WJ3" s="210"/>
      <c r="WK3" s="210"/>
      <c r="WL3" s="210"/>
      <c r="WM3" s="210"/>
      <c r="WN3" s="210"/>
      <c r="WO3" s="210"/>
      <c r="WP3" s="210"/>
      <c r="WQ3" s="210"/>
      <c r="WR3" s="210"/>
      <c r="WS3" s="210"/>
      <c r="WT3" s="210"/>
      <c r="WU3" s="210"/>
      <c r="WV3" s="210"/>
      <c r="WW3" s="210"/>
      <c r="WX3" s="210"/>
      <c r="WY3" s="210"/>
      <c r="WZ3" s="210"/>
      <c r="XA3" s="210"/>
      <c r="XB3" s="210"/>
      <c r="XC3" s="210"/>
      <c r="XD3" s="210"/>
      <c r="XE3" s="210"/>
      <c r="XF3" s="210"/>
      <c r="XG3" s="210"/>
      <c r="XH3" s="210"/>
      <c r="XI3" s="210"/>
      <c r="XJ3" s="210"/>
      <c r="XK3" s="210"/>
      <c r="XL3" s="210"/>
      <c r="XM3" s="210"/>
      <c r="XN3" s="210"/>
      <c r="XO3" s="210"/>
      <c r="XP3" s="210"/>
      <c r="XQ3" s="210"/>
      <c r="XR3" s="210"/>
      <c r="XS3" s="210"/>
      <c r="XT3" s="210"/>
      <c r="XU3" s="210"/>
      <c r="XV3" s="210"/>
      <c r="XW3" s="210"/>
      <c r="XX3" s="210"/>
      <c r="XY3" s="210"/>
      <c r="XZ3" s="210"/>
      <c r="YA3" s="210"/>
      <c r="YB3" s="210"/>
      <c r="YC3" s="210"/>
      <c r="YD3" s="210"/>
      <c r="YE3" s="210"/>
      <c r="YF3" s="210"/>
      <c r="YG3" s="210"/>
      <c r="YH3" s="210"/>
      <c r="YI3" s="210"/>
      <c r="YJ3" s="210"/>
      <c r="YK3" s="210"/>
      <c r="YL3" s="210"/>
      <c r="YM3" s="210"/>
      <c r="YN3" s="210"/>
      <c r="YO3" s="210"/>
      <c r="YP3" s="210"/>
      <c r="YQ3" s="210"/>
      <c r="YR3" s="210"/>
      <c r="YS3" s="210"/>
      <c r="YT3" s="210"/>
      <c r="YU3" s="210"/>
      <c r="YV3" s="210"/>
      <c r="YW3" s="210"/>
      <c r="YX3" s="210"/>
      <c r="YY3" s="210"/>
      <c r="YZ3" s="210"/>
      <c r="ZA3" s="210"/>
      <c r="ZB3" s="210"/>
      <c r="ZC3" s="210"/>
      <c r="ZD3" s="210"/>
      <c r="ZE3" s="210"/>
      <c r="ZF3" s="210"/>
      <c r="ZG3" s="210"/>
      <c r="ZH3" s="210"/>
      <c r="ZI3" s="210"/>
    </row>
    <row r="4" spans="1:738" ht="15.75" thickBot="1" x14ac:dyDescent="0.3">
      <c r="CD4" s="5"/>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c r="DR4" s="210"/>
      <c r="DS4" s="210"/>
      <c r="DT4" s="210"/>
      <c r="DU4" s="210"/>
      <c r="DV4" s="210"/>
      <c r="DW4" s="210"/>
      <c r="DX4" s="210"/>
      <c r="DY4" s="210"/>
      <c r="DZ4" s="210"/>
      <c r="EA4" s="210"/>
      <c r="EB4" s="210"/>
      <c r="EC4" s="210"/>
      <c r="ED4" s="210"/>
      <c r="EE4" s="210"/>
      <c r="EF4" s="210"/>
      <c r="EG4" s="210"/>
      <c r="EH4" s="210"/>
      <c r="EI4" s="210"/>
      <c r="EJ4" s="210"/>
      <c r="EK4" s="210"/>
      <c r="EL4" s="210"/>
      <c r="EM4" s="210"/>
      <c r="EN4" s="210"/>
      <c r="EO4" s="210"/>
      <c r="EP4" s="210"/>
      <c r="EQ4" s="210"/>
      <c r="ER4" s="210"/>
      <c r="ES4" s="210"/>
      <c r="ET4" s="210"/>
      <c r="EU4" s="210"/>
      <c r="EV4" s="210"/>
      <c r="EW4" s="210"/>
      <c r="EX4" s="210"/>
      <c r="EY4" s="210"/>
      <c r="EZ4" s="210"/>
      <c r="FA4" s="210"/>
      <c r="FB4" s="210"/>
      <c r="FC4" s="210"/>
      <c r="FD4" s="210"/>
      <c r="FE4" s="210"/>
      <c r="FF4" s="210"/>
      <c r="FG4" s="210"/>
      <c r="FH4" s="210"/>
      <c r="FI4" s="210"/>
      <c r="FJ4" s="210"/>
      <c r="FK4" s="210"/>
      <c r="FL4" s="210"/>
      <c r="FM4" s="210"/>
      <c r="FN4" s="210"/>
      <c r="FO4" s="210"/>
      <c r="FP4" s="210"/>
      <c r="FQ4" s="210"/>
      <c r="FR4" s="210"/>
      <c r="FS4" s="210"/>
      <c r="FT4" s="210"/>
      <c r="FU4" s="210"/>
      <c r="FV4" s="210"/>
      <c r="FW4" s="210"/>
      <c r="FX4" s="210"/>
      <c r="FY4" s="210"/>
      <c r="FZ4" s="210"/>
      <c r="GA4" s="187"/>
      <c r="GB4" s="213"/>
      <c r="GC4" s="210"/>
      <c r="GD4" s="210"/>
      <c r="GE4" s="210"/>
      <c r="GF4" s="210"/>
      <c r="GG4" s="210"/>
      <c r="GH4" s="210"/>
      <c r="GI4" s="210"/>
      <c r="GJ4" s="210"/>
      <c r="GK4" s="210"/>
      <c r="GL4" s="210"/>
      <c r="GM4" s="210"/>
      <c r="GN4" s="210"/>
      <c r="GO4" s="210"/>
      <c r="GP4" s="210"/>
      <c r="GQ4" s="210"/>
      <c r="GR4" s="210"/>
      <c r="GS4" s="210"/>
      <c r="GT4" s="210"/>
      <c r="GU4" s="210"/>
      <c r="GV4" s="210"/>
      <c r="GW4" s="210"/>
      <c r="GX4" s="210"/>
      <c r="GY4" s="210"/>
      <c r="GZ4" s="210"/>
      <c r="HA4" s="210"/>
      <c r="HB4" s="210"/>
      <c r="HC4" s="210"/>
      <c r="HD4" s="210"/>
      <c r="HE4" s="210"/>
      <c r="HF4" s="210"/>
      <c r="HG4" s="210"/>
      <c r="HH4" s="210"/>
      <c r="HI4" s="210"/>
      <c r="HJ4" s="210"/>
      <c r="HK4" s="210"/>
      <c r="HL4" s="210"/>
      <c r="HM4" s="210"/>
      <c r="HN4" s="210"/>
      <c r="HO4" s="210"/>
      <c r="HP4" s="210"/>
      <c r="HQ4" s="210"/>
      <c r="HR4" s="210"/>
      <c r="HS4" s="210"/>
      <c r="HT4" s="210"/>
      <c r="HU4" s="210"/>
      <c r="HV4" s="210"/>
      <c r="HW4" s="210"/>
      <c r="HX4" s="210"/>
      <c r="HY4" s="210"/>
      <c r="HZ4" s="210"/>
      <c r="IA4" s="210"/>
      <c r="IB4" s="210"/>
      <c r="IC4" s="210"/>
      <c r="ID4" s="210"/>
      <c r="IE4" s="210"/>
      <c r="IF4" s="210"/>
      <c r="IG4" s="210"/>
      <c r="IH4" s="210"/>
      <c r="II4" s="210"/>
      <c r="IJ4" s="210"/>
      <c r="IK4" s="210"/>
      <c r="IL4" s="210"/>
      <c r="IM4" s="210"/>
      <c r="IN4" s="210"/>
      <c r="IO4" s="210"/>
      <c r="IP4" s="210"/>
      <c r="IQ4" s="210"/>
      <c r="IR4" s="210"/>
      <c r="IS4" s="210"/>
      <c r="IT4" s="210"/>
      <c r="IU4" s="210"/>
      <c r="IV4" s="210"/>
      <c r="IW4" s="210"/>
      <c r="IX4" s="210"/>
      <c r="IY4" s="210"/>
      <c r="IZ4" s="210"/>
      <c r="JA4" s="210"/>
      <c r="JB4" s="210"/>
      <c r="JC4" s="210"/>
      <c r="JD4" s="210"/>
      <c r="JE4" s="210"/>
      <c r="JF4" s="210"/>
      <c r="JG4" s="210"/>
      <c r="JH4" s="210"/>
      <c r="JI4" s="210"/>
      <c r="JJ4" s="210"/>
      <c r="JK4" s="210"/>
      <c r="JL4" s="210"/>
      <c r="JM4" s="210"/>
      <c r="JN4" s="210"/>
      <c r="JO4" s="210"/>
      <c r="JP4" s="210"/>
      <c r="JQ4" s="210"/>
      <c r="JR4" s="210"/>
      <c r="JS4" s="210"/>
      <c r="JT4" s="210"/>
      <c r="JU4" s="210"/>
      <c r="JV4" s="210"/>
      <c r="JW4" s="210"/>
      <c r="JX4" s="210"/>
      <c r="JY4" s="210"/>
      <c r="JZ4" s="210"/>
      <c r="KA4" s="210"/>
      <c r="KB4" s="210"/>
      <c r="KC4" s="210"/>
      <c r="KD4" s="210"/>
      <c r="KE4" s="210"/>
      <c r="KF4" s="210"/>
      <c r="KG4" s="210"/>
      <c r="KH4" s="210"/>
      <c r="KI4" s="210"/>
      <c r="KJ4" s="210"/>
      <c r="KK4" s="210"/>
      <c r="KL4" s="210"/>
      <c r="KM4" s="210"/>
      <c r="KN4" s="210"/>
      <c r="KO4" s="210"/>
      <c r="KP4" s="210"/>
      <c r="KQ4" s="210"/>
      <c r="KR4" s="210"/>
      <c r="KS4" s="210"/>
      <c r="KT4" s="210"/>
      <c r="KU4" s="210"/>
      <c r="KV4" s="210"/>
      <c r="KW4" s="210"/>
      <c r="KX4" s="210"/>
      <c r="KY4" s="210"/>
      <c r="KZ4" s="210"/>
      <c r="LA4" s="210"/>
      <c r="LB4" s="210"/>
      <c r="LC4" s="210"/>
      <c r="LD4" s="210"/>
      <c r="LE4" s="210"/>
      <c r="LF4" s="210"/>
      <c r="LG4" s="210"/>
      <c r="LH4" s="210"/>
      <c r="LI4" s="210"/>
      <c r="LJ4" s="210"/>
      <c r="LK4" s="210"/>
      <c r="LL4" s="210"/>
      <c r="LM4" s="210"/>
      <c r="LN4" s="210"/>
      <c r="LO4" s="210"/>
      <c r="LP4" s="210"/>
      <c r="LQ4" s="210"/>
      <c r="LR4" s="210"/>
      <c r="LS4" s="210"/>
      <c r="LT4" s="210"/>
      <c r="LU4" s="210"/>
      <c r="LV4" s="210"/>
      <c r="LW4" s="210"/>
      <c r="LX4" s="210"/>
      <c r="LY4" s="210"/>
      <c r="LZ4" s="210"/>
      <c r="MA4" s="210"/>
      <c r="MB4" s="210"/>
      <c r="MC4" s="210"/>
      <c r="MD4" s="210"/>
      <c r="ME4" s="210"/>
      <c r="MF4" s="210"/>
      <c r="MG4" s="210"/>
      <c r="MH4" s="210"/>
      <c r="MI4" s="210"/>
      <c r="MJ4" s="210"/>
      <c r="MK4" s="210"/>
      <c r="ML4" s="210"/>
      <c r="MM4" s="210"/>
      <c r="MN4" s="210"/>
      <c r="MO4" s="210"/>
      <c r="MP4" s="210"/>
      <c r="MQ4" s="210"/>
      <c r="MR4" s="210"/>
      <c r="MS4" s="210"/>
      <c r="MT4" s="210"/>
      <c r="MU4" s="210"/>
      <c r="MV4" s="210"/>
      <c r="MW4" s="210"/>
      <c r="MX4" s="210"/>
      <c r="MY4" s="210"/>
      <c r="MZ4" s="210"/>
      <c r="NA4" s="210"/>
      <c r="NB4" s="210"/>
      <c r="NC4" s="210"/>
      <c r="ND4" s="210"/>
      <c r="NE4" s="210"/>
      <c r="NF4" s="210"/>
      <c r="NG4" s="210"/>
      <c r="NH4" s="210"/>
      <c r="NI4" s="210"/>
      <c r="NJ4" s="210"/>
      <c r="NK4" s="210"/>
      <c r="NL4" s="210"/>
      <c r="NM4" s="210"/>
      <c r="NN4" s="210"/>
      <c r="NO4" s="210"/>
      <c r="NP4" s="210"/>
      <c r="NQ4" s="210"/>
      <c r="NR4" s="210"/>
      <c r="NS4" s="216"/>
      <c r="NT4" s="5"/>
      <c r="NU4" s="210"/>
      <c r="NV4" s="210"/>
      <c r="NW4" s="210"/>
      <c r="NX4" s="210"/>
      <c r="NY4" s="210"/>
      <c r="NZ4" s="210"/>
      <c r="OA4" s="210"/>
      <c r="OB4" s="210"/>
      <c r="OC4" s="210"/>
      <c r="OD4" s="210"/>
      <c r="OE4" s="210"/>
      <c r="OF4" s="210"/>
      <c r="OG4" s="210"/>
      <c r="OH4" s="210"/>
      <c r="OI4" s="210"/>
      <c r="OJ4" s="210"/>
      <c r="OK4" s="210"/>
      <c r="OL4" s="210"/>
      <c r="OM4" s="210"/>
      <c r="ON4" s="210"/>
      <c r="OO4" s="210"/>
      <c r="OP4" s="210"/>
      <c r="OQ4" s="210"/>
      <c r="OR4" s="210"/>
      <c r="OS4" s="210"/>
      <c r="OT4" s="210"/>
      <c r="OU4" s="210"/>
      <c r="OV4" s="210"/>
      <c r="OW4" s="210"/>
      <c r="OX4" s="210"/>
      <c r="OY4" s="210"/>
      <c r="OZ4" s="210"/>
      <c r="PA4" s="210"/>
      <c r="PB4" s="210"/>
      <c r="PC4" s="210"/>
      <c r="PD4" s="210"/>
      <c r="PE4" s="210"/>
      <c r="PF4" s="210"/>
      <c r="PG4" s="210"/>
      <c r="PH4" s="210"/>
      <c r="PI4" s="210"/>
      <c r="PJ4" s="210"/>
      <c r="PK4" s="210"/>
      <c r="PL4" s="210"/>
      <c r="PM4" s="210"/>
      <c r="PN4" s="210"/>
      <c r="PO4" s="210"/>
      <c r="PP4" s="210"/>
      <c r="PQ4" s="210"/>
      <c r="PR4" s="210"/>
      <c r="PS4" s="210"/>
      <c r="PT4" s="210"/>
      <c r="PU4" s="210"/>
      <c r="PV4" s="210"/>
      <c r="PW4" s="210"/>
      <c r="PX4" s="210"/>
      <c r="PY4" s="210"/>
      <c r="PZ4" s="210"/>
      <c r="QA4" s="210"/>
      <c r="QB4" s="210"/>
      <c r="QC4" s="210"/>
      <c r="QD4" s="210"/>
      <c r="QE4" s="210"/>
      <c r="QF4" s="210"/>
      <c r="QG4" s="210"/>
      <c r="QH4" s="210"/>
      <c r="QI4" s="210"/>
      <c r="QJ4" s="210"/>
      <c r="QK4" s="210"/>
      <c r="QL4" s="210"/>
      <c r="QM4" s="210"/>
      <c r="QN4" s="210"/>
      <c r="QO4" s="210"/>
      <c r="QP4" s="210"/>
      <c r="QQ4" s="210"/>
      <c r="QR4" s="210"/>
      <c r="QS4" s="210"/>
      <c r="QT4" s="210"/>
      <c r="QU4" s="210"/>
      <c r="QV4" s="210"/>
      <c r="QW4" s="210"/>
      <c r="QX4" s="210"/>
      <c r="QY4" s="210"/>
      <c r="QZ4" s="210"/>
      <c r="RA4" s="210"/>
      <c r="RB4" s="210"/>
      <c r="RC4" s="210"/>
      <c r="RD4" s="210"/>
      <c r="RE4" s="210"/>
      <c r="RF4" s="210"/>
      <c r="RG4" s="210"/>
      <c r="RH4" s="210"/>
      <c r="RI4" s="210"/>
      <c r="RJ4" s="210"/>
      <c r="RK4" s="210"/>
      <c r="RL4" s="210"/>
      <c r="RM4" s="210"/>
      <c r="RN4" s="210"/>
      <c r="RO4" s="210"/>
      <c r="RP4" s="210"/>
      <c r="RQ4" s="187"/>
      <c r="RR4" s="213"/>
      <c r="RS4" s="210"/>
      <c r="RT4" s="210"/>
      <c r="RU4" s="210"/>
      <c r="RV4" s="210"/>
      <c r="RW4" s="210"/>
      <c r="RX4" s="210"/>
      <c r="RY4" s="210"/>
      <c r="RZ4" s="210"/>
      <c r="SA4" s="210"/>
      <c r="SB4" s="210"/>
      <c r="SC4" s="210"/>
      <c r="SD4" s="210"/>
      <c r="SE4" s="210"/>
      <c r="SF4" s="210"/>
      <c r="SG4" s="210"/>
      <c r="SH4" s="210"/>
      <c r="SI4" s="210"/>
      <c r="SJ4" s="210"/>
      <c r="SK4" s="210"/>
      <c r="SL4" s="210"/>
      <c r="SM4" s="210"/>
      <c r="SN4" s="210"/>
      <c r="SO4" s="210"/>
      <c r="SP4" s="210"/>
      <c r="SQ4" s="210"/>
      <c r="SR4" s="210"/>
      <c r="SS4" s="210"/>
      <c r="ST4" s="210"/>
      <c r="SU4" s="210"/>
      <c r="SV4" s="210"/>
      <c r="SW4" s="210"/>
      <c r="SX4" s="210"/>
      <c r="SY4" s="210"/>
      <c r="SZ4" s="210"/>
      <c r="TA4" s="210"/>
      <c r="TB4" s="210"/>
      <c r="TC4" s="210"/>
      <c r="TD4" s="210"/>
      <c r="TE4" s="210"/>
      <c r="TF4" s="210"/>
      <c r="TG4" s="210"/>
      <c r="TH4" s="210"/>
      <c r="TI4" s="210"/>
      <c r="TJ4" s="210"/>
      <c r="TK4" s="210"/>
      <c r="TL4" s="210"/>
      <c r="TM4" s="210"/>
      <c r="TN4" s="210"/>
      <c r="TO4" s="210"/>
      <c r="TP4" s="210"/>
      <c r="TQ4" s="210"/>
      <c r="TR4" s="210"/>
      <c r="TS4" s="210"/>
      <c r="TT4" s="210"/>
      <c r="TU4" s="210"/>
      <c r="TV4" s="210"/>
      <c r="TW4" s="210"/>
      <c r="TX4" s="210"/>
      <c r="TY4" s="210"/>
      <c r="TZ4" s="210"/>
      <c r="UA4" s="210"/>
      <c r="UB4" s="210"/>
      <c r="UC4" s="210"/>
      <c r="UD4" s="210"/>
      <c r="UE4" s="210"/>
      <c r="UF4" s="210"/>
      <c r="UG4" s="210"/>
      <c r="UH4" s="210"/>
      <c r="UI4" s="210"/>
      <c r="UJ4" s="210"/>
      <c r="UK4" s="210"/>
      <c r="UL4" s="210"/>
      <c r="UM4" s="210"/>
      <c r="UN4" s="210"/>
      <c r="UO4" s="210"/>
      <c r="UP4" s="210"/>
      <c r="UQ4" s="210"/>
      <c r="UR4" s="210"/>
      <c r="US4" s="210"/>
      <c r="UT4" s="210"/>
      <c r="UU4" s="210"/>
      <c r="UV4" s="210"/>
      <c r="UW4" s="210"/>
      <c r="UX4" s="210"/>
      <c r="UY4" s="210"/>
      <c r="UZ4" s="210"/>
      <c r="VA4" s="210"/>
      <c r="VB4" s="210"/>
      <c r="VC4" s="210"/>
      <c r="VD4" s="210"/>
      <c r="VE4" s="210"/>
      <c r="VF4" s="210"/>
      <c r="VG4" s="210"/>
      <c r="VH4" s="210"/>
      <c r="VI4" s="210"/>
      <c r="VJ4" s="210"/>
      <c r="VK4" s="210"/>
      <c r="VL4" s="210"/>
      <c r="VM4" s="210"/>
      <c r="VN4" s="210"/>
      <c r="VO4" s="210"/>
      <c r="VP4" s="210"/>
      <c r="VQ4" s="210"/>
      <c r="VR4" s="210"/>
      <c r="VS4" s="210"/>
      <c r="VT4" s="210"/>
      <c r="VU4" s="210"/>
      <c r="VV4" s="210"/>
      <c r="VW4" s="210"/>
      <c r="VX4" s="210"/>
      <c r="VY4" s="210"/>
      <c r="VZ4" s="210"/>
      <c r="WA4" s="210"/>
      <c r="WB4" s="210"/>
      <c r="WC4" s="210"/>
      <c r="WD4" s="210"/>
      <c r="WE4" s="210"/>
      <c r="WF4" s="210"/>
      <c r="WG4" s="210"/>
      <c r="WH4" s="210"/>
      <c r="WI4" s="210"/>
      <c r="WJ4" s="210"/>
      <c r="WK4" s="210"/>
      <c r="WL4" s="210"/>
      <c r="WM4" s="210"/>
      <c r="WN4" s="210"/>
      <c r="WO4" s="210"/>
      <c r="WP4" s="210"/>
      <c r="WQ4" s="210"/>
      <c r="WR4" s="210"/>
      <c r="WS4" s="210"/>
      <c r="WT4" s="210"/>
      <c r="WU4" s="210"/>
      <c r="WV4" s="210"/>
      <c r="WW4" s="210"/>
      <c r="WX4" s="210"/>
      <c r="WY4" s="210"/>
      <c r="WZ4" s="210"/>
      <c r="XA4" s="210"/>
      <c r="XB4" s="210"/>
      <c r="XC4" s="210"/>
      <c r="XD4" s="210"/>
      <c r="XE4" s="210"/>
      <c r="XF4" s="210"/>
      <c r="XG4" s="210"/>
      <c r="XH4" s="210"/>
      <c r="XI4" s="210"/>
      <c r="XJ4" s="210"/>
      <c r="XK4" s="210"/>
      <c r="XL4" s="210"/>
      <c r="XM4" s="210"/>
      <c r="XN4" s="210"/>
      <c r="XO4" s="210"/>
      <c r="XP4" s="210"/>
      <c r="XQ4" s="210"/>
      <c r="XR4" s="210"/>
      <c r="XS4" s="210"/>
      <c r="XT4" s="210"/>
      <c r="XU4" s="210"/>
      <c r="XV4" s="210"/>
      <c r="XW4" s="210"/>
      <c r="XX4" s="210"/>
      <c r="XY4" s="210"/>
      <c r="XZ4" s="210"/>
      <c r="YA4" s="210"/>
      <c r="YB4" s="210"/>
      <c r="YC4" s="210"/>
      <c r="YD4" s="210"/>
      <c r="YE4" s="210"/>
      <c r="YF4" s="210"/>
      <c r="YG4" s="210"/>
      <c r="YH4" s="210"/>
      <c r="YI4" s="210"/>
      <c r="YJ4" s="210"/>
      <c r="YK4" s="210"/>
      <c r="YL4" s="210"/>
      <c r="YM4" s="210"/>
      <c r="YN4" s="210"/>
      <c r="YO4" s="210"/>
      <c r="YP4" s="210"/>
      <c r="YQ4" s="210"/>
      <c r="YR4" s="210"/>
      <c r="YS4" s="210"/>
      <c r="YT4" s="210"/>
      <c r="YU4" s="210"/>
      <c r="YV4" s="210"/>
      <c r="YW4" s="210"/>
      <c r="YX4" s="210"/>
      <c r="YY4" s="210"/>
      <c r="YZ4" s="210"/>
      <c r="ZA4" s="210"/>
      <c r="ZB4" s="210"/>
      <c r="ZC4" s="210"/>
      <c r="ZD4" s="210"/>
      <c r="ZE4" s="210"/>
      <c r="ZF4" s="210"/>
      <c r="ZG4" s="210"/>
      <c r="ZH4" s="210"/>
      <c r="ZI4" s="210"/>
    </row>
    <row r="5" spans="1:738" ht="32.25" customHeight="1" thickBot="1" x14ac:dyDescent="0.3">
      <c r="C5" s="207" t="s">
        <v>302</v>
      </c>
      <c r="E5" s="207" t="s">
        <v>293</v>
      </c>
      <c r="F5" s="218" t="str">
        <f>Setup!$A$20</f>
        <v>Caseload 1</v>
      </c>
      <c r="G5" s="219"/>
      <c r="H5" s="219"/>
      <c r="I5" s="219"/>
      <c r="J5" s="220"/>
      <c r="K5" s="218" t="str">
        <f>Setup!$A$21</f>
        <v>Caseload 2</v>
      </c>
      <c r="L5" s="219"/>
      <c r="M5" s="219"/>
      <c r="N5" s="219"/>
      <c r="O5" s="220"/>
      <c r="P5" s="218" t="str">
        <f>Setup!$A$22</f>
        <v>Caseload 3</v>
      </c>
      <c r="Q5" s="219"/>
      <c r="R5" s="219"/>
      <c r="S5" s="219"/>
      <c r="T5" s="220"/>
      <c r="U5" s="218" t="str">
        <f>Setup!$A$23</f>
        <v>Caseload 4</v>
      </c>
      <c r="V5" s="219"/>
      <c r="W5" s="219"/>
      <c r="X5" s="219"/>
      <c r="Y5" s="220"/>
      <c r="Z5" s="218" t="str">
        <f>Setup!$A$24</f>
        <v>Caseload 5</v>
      </c>
      <c r="AA5" s="219"/>
      <c r="AB5" s="219"/>
      <c r="AC5" s="219"/>
      <c r="AD5" s="220"/>
      <c r="AE5" s="218" t="str">
        <f>Setup!$A$25</f>
        <v>Caseload 6</v>
      </c>
      <c r="AF5" s="219"/>
      <c r="AG5" s="219"/>
      <c r="AH5" s="219"/>
      <c r="AI5" s="220"/>
      <c r="AJ5" s="218" t="str">
        <f>Setup!$A$26</f>
        <v>Caseload 7</v>
      </c>
      <c r="AK5" s="219"/>
      <c r="AL5" s="219"/>
      <c r="AM5" s="219"/>
      <c r="AN5" s="220"/>
      <c r="AO5" s="218" t="str">
        <f>Setup!$A$27</f>
        <v>Caseload 8</v>
      </c>
      <c r="AP5" s="219"/>
      <c r="AQ5" s="219"/>
      <c r="AR5" s="219"/>
      <c r="AS5" s="220"/>
      <c r="AT5" s="218" t="str">
        <f>Setup!$A$28</f>
        <v>Caseload 9</v>
      </c>
      <c r="AU5" s="219"/>
      <c r="AV5" s="219"/>
      <c r="AW5" s="219"/>
      <c r="AX5" s="220"/>
      <c r="AY5" s="218" t="str">
        <f>Setup!$A$29</f>
        <v>Caseload 10</v>
      </c>
      <c r="AZ5" s="219"/>
      <c r="BA5" s="219"/>
      <c r="BB5" s="219"/>
      <c r="BC5" s="220"/>
      <c r="BD5" s="218" t="str">
        <f>Setup!$A$30</f>
        <v>Caseload 11</v>
      </c>
      <c r="BE5" s="219"/>
      <c r="BF5" s="219"/>
      <c r="BG5" s="219"/>
      <c r="BH5" s="220"/>
      <c r="BI5" s="218" t="str">
        <f>Setup!$A$31</f>
        <v>Caseload 12</v>
      </c>
      <c r="BJ5" s="219"/>
      <c r="BK5" s="219"/>
      <c r="BL5" s="219"/>
      <c r="BM5" s="220"/>
      <c r="BN5" s="218" t="str">
        <f>Setup!$A$32</f>
        <v>Caseload 13</v>
      </c>
      <c r="BO5" s="219"/>
      <c r="BP5" s="219"/>
      <c r="BQ5" s="219"/>
      <c r="BR5" s="220"/>
      <c r="BS5" s="218" t="str">
        <f>Setup!$A$33</f>
        <v>Caseload 14</v>
      </c>
      <c r="BT5" s="219"/>
      <c r="BU5" s="219"/>
      <c r="BV5" s="219"/>
      <c r="BW5" s="220"/>
      <c r="BX5" s="218" t="str">
        <f>Setup!$A$34</f>
        <v>Caseload 15</v>
      </c>
      <c r="BY5" s="219"/>
      <c r="BZ5" s="219"/>
      <c r="CA5" s="219"/>
      <c r="CB5" s="220"/>
      <c r="CD5" s="207" t="s">
        <v>296</v>
      </c>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c r="DR5" s="210"/>
      <c r="DS5" s="210"/>
      <c r="DT5" s="210"/>
      <c r="DU5" s="210"/>
      <c r="DV5" s="210"/>
      <c r="DW5" s="210"/>
      <c r="DX5" s="210"/>
      <c r="DY5" s="210"/>
      <c r="DZ5" s="210"/>
      <c r="EA5" s="210"/>
      <c r="EB5" s="210"/>
      <c r="EC5" s="210"/>
      <c r="ED5" s="210"/>
      <c r="EE5" s="210"/>
      <c r="EF5" s="210"/>
      <c r="EG5" s="210"/>
      <c r="EH5" s="210"/>
      <c r="EI5" s="210"/>
      <c r="EJ5" s="210"/>
      <c r="EK5" s="210"/>
      <c r="EL5" s="210"/>
      <c r="EM5" s="210"/>
      <c r="EN5" s="210"/>
      <c r="EO5" s="210"/>
      <c r="EP5" s="210"/>
      <c r="EQ5" s="210"/>
      <c r="ER5" s="210"/>
      <c r="ES5" s="210"/>
      <c r="ET5" s="210"/>
      <c r="EU5" s="210"/>
      <c r="EV5" s="210"/>
      <c r="EW5" s="210"/>
      <c r="EX5" s="210"/>
      <c r="EY5" s="210"/>
      <c r="EZ5" s="210"/>
      <c r="FA5" s="210"/>
      <c r="FB5" s="210"/>
      <c r="FC5" s="210"/>
      <c r="FD5" s="210"/>
      <c r="FE5" s="210"/>
      <c r="FF5" s="210"/>
      <c r="FG5" s="210"/>
      <c r="FH5" s="210"/>
      <c r="FI5" s="210"/>
      <c r="FJ5" s="210"/>
      <c r="FK5" s="210"/>
      <c r="FL5" s="210"/>
      <c r="FM5" s="210"/>
      <c r="FN5" s="210"/>
      <c r="FO5" s="210"/>
      <c r="FP5" s="210"/>
      <c r="FQ5" s="210"/>
      <c r="FR5" s="210"/>
      <c r="FS5" s="210"/>
      <c r="FT5" s="210"/>
      <c r="FU5" s="210"/>
      <c r="FV5" s="210"/>
      <c r="FW5" s="210"/>
      <c r="FX5" s="210"/>
      <c r="FY5" s="210"/>
      <c r="FZ5" s="210"/>
      <c r="GA5" s="187"/>
      <c r="GB5" s="213"/>
      <c r="GC5" s="210"/>
      <c r="GD5" s="210"/>
      <c r="GE5" s="210"/>
      <c r="GF5" s="210"/>
      <c r="GG5" s="210"/>
      <c r="GH5" s="210"/>
      <c r="GI5" s="210"/>
      <c r="GJ5" s="210"/>
      <c r="GK5" s="210"/>
      <c r="GL5" s="210"/>
      <c r="GM5" s="210"/>
      <c r="GN5" s="210"/>
      <c r="GO5" s="210"/>
      <c r="GP5" s="210"/>
      <c r="GQ5" s="210"/>
      <c r="GR5" s="210"/>
      <c r="GS5" s="210"/>
      <c r="GT5" s="210"/>
      <c r="GU5" s="210"/>
      <c r="GV5" s="210"/>
      <c r="GW5" s="210"/>
      <c r="GX5" s="210"/>
      <c r="GY5" s="210"/>
      <c r="GZ5" s="210"/>
      <c r="HA5" s="210"/>
      <c r="HB5" s="210"/>
      <c r="HC5" s="210"/>
      <c r="HD5" s="210"/>
      <c r="HE5" s="210"/>
      <c r="HF5" s="210"/>
      <c r="HG5" s="210"/>
      <c r="HH5" s="210"/>
      <c r="HI5" s="210"/>
      <c r="HJ5" s="210"/>
      <c r="HK5" s="210"/>
      <c r="HL5" s="210"/>
      <c r="HM5" s="210"/>
      <c r="HN5" s="210"/>
      <c r="HO5" s="210"/>
      <c r="HP5" s="210"/>
      <c r="HQ5" s="210"/>
      <c r="HR5" s="210"/>
      <c r="HS5" s="210"/>
      <c r="HT5" s="210"/>
      <c r="HU5" s="210"/>
      <c r="HV5" s="210"/>
      <c r="HW5" s="210"/>
      <c r="HX5" s="210"/>
      <c r="HY5" s="210"/>
      <c r="HZ5" s="210"/>
      <c r="IA5" s="210"/>
      <c r="IB5" s="210"/>
      <c r="IC5" s="210"/>
      <c r="ID5" s="210"/>
      <c r="IE5" s="210"/>
      <c r="IF5" s="210"/>
      <c r="IG5" s="210"/>
      <c r="IH5" s="210"/>
      <c r="II5" s="210"/>
      <c r="IJ5" s="210"/>
      <c r="IK5" s="210"/>
      <c r="IL5" s="210"/>
      <c r="IM5" s="210"/>
      <c r="IN5" s="210"/>
      <c r="IO5" s="210"/>
      <c r="IP5" s="210"/>
      <c r="IQ5" s="210"/>
      <c r="IR5" s="210"/>
      <c r="IS5" s="210"/>
      <c r="IT5" s="210"/>
      <c r="IU5" s="210"/>
      <c r="IV5" s="210"/>
      <c r="IW5" s="210"/>
      <c r="IX5" s="210"/>
      <c r="IY5" s="210"/>
      <c r="IZ5" s="210"/>
      <c r="JA5" s="210"/>
      <c r="JB5" s="210"/>
      <c r="JC5" s="210"/>
      <c r="JD5" s="210"/>
      <c r="JE5" s="210"/>
      <c r="JF5" s="210"/>
      <c r="JG5" s="210"/>
      <c r="JH5" s="210"/>
      <c r="JI5" s="210"/>
      <c r="JJ5" s="210"/>
      <c r="JK5" s="210"/>
      <c r="JL5" s="210"/>
      <c r="JM5" s="210"/>
      <c r="JN5" s="210"/>
      <c r="JO5" s="210"/>
      <c r="JP5" s="210"/>
      <c r="JQ5" s="210"/>
      <c r="JR5" s="210"/>
      <c r="JS5" s="210"/>
      <c r="JT5" s="210"/>
      <c r="JU5" s="210"/>
      <c r="JV5" s="210"/>
      <c r="JW5" s="210"/>
      <c r="JX5" s="210"/>
      <c r="JY5" s="210"/>
      <c r="JZ5" s="210"/>
      <c r="KA5" s="210"/>
      <c r="KB5" s="210"/>
      <c r="KC5" s="210"/>
      <c r="KD5" s="210"/>
      <c r="KE5" s="210"/>
      <c r="KF5" s="210"/>
      <c r="KG5" s="210"/>
      <c r="KH5" s="210"/>
      <c r="KI5" s="210"/>
      <c r="KJ5" s="210"/>
      <c r="KK5" s="210"/>
      <c r="KL5" s="210"/>
      <c r="KM5" s="210"/>
      <c r="KN5" s="210"/>
      <c r="KO5" s="210"/>
      <c r="KP5" s="210"/>
      <c r="KQ5" s="210"/>
      <c r="KR5" s="210"/>
      <c r="KS5" s="210"/>
      <c r="KT5" s="210"/>
      <c r="KU5" s="210"/>
      <c r="KV5" s="210"/>
      <c r="KW5" s="210"/>
      <c r="KX5" s="210"/>
      <c r="KY5" s="210"/>
      <c r="KZ5" s="210"/>
      <c r="LA5" s="210"/>
      <c r="LB5" s="210"/>
      <c r="LC5" s="210"/>
      <c r="LD5" s="210"/>
      <c r="LE5" s="210"/>
      <c r="LF5" s="210"/>
      <c r="LG5" s="210"/>
      <c r="LH5" s="210"/>
      <c r="LI5" s="210"/>
      <c r="LJ5" s="210"/>
      <c r="LK5" s="210"/>
      <c r="LL5" s="210"/>
      <c r="LM5" s="210"/>
      <c r="LN5" s="210"/>
      <c r="LO5" s="210"/>
      <c r="LP5" s="210"/>
      <c r="LQ5" s="210"/>
      <c r="LR5" s="210"/>
      <c r="LS5" s="210"/>
      <c r="LT5" s="210"/>
      <c r="LU5" s="210"/>
      <c r="LV5" s="210"/>
      <c r="LW5" s="210"/>
      <c r="LX5" s="210"/>
      <c r="LY5" s="210"/>
      <c r="LZ5" s="210"/>
      <c r="MA5" s="210"/>
      <c r="MB5" s="210"/>
      <c r="MC5" s="210"/>
      <c r="MD5" s="210"/>
      <c r="ME5" s="210"/>
      <c r="MF5" s="210"/>
      <c r="MG5" s="210"/>
      <c r="MH5" s="210"/>
      <c r="MI5" s="210"/>
      <c r="MJ5" s="210"/>
      <c r="MK5" s="210"/>
      <c r="ML5" s="210"/>
      <c r="MM5" s="210"/>
      <c r="MN5" s="210"/>
      <c r="MO5" s="210"/>
      <c r="MP5" s="210"/>
      <c r="MQ5" s="210"/>
      <c r="MR5" s="210"/>
      <c r="MS5" s="210"/>
      <c r="MT5" s="210"/>
      <c r="MU5" s="210"/>
      <c r="MV5" s="210"/>
      <c r="MW5" s="210"/>
      <c r="MX5" s="210"/>
      <c r="MY5" s="210"/>
      <c r="MZ5" s="210"/>
      <c r="NA5" s="210"/>
      <c r="NB5" s="210"/>
      <c r="NC5" s="210"/>
      <c r="ND5" s="210"/>
      <c r="NE5" s="210"/>
      <c r="NF5" s="210"/>
      <c r="NG5" s="210"/>
      <c r="NH5" s="210"/>
      <c r="NI5" s="210"/>
      <c r="NJ5" s="210"/>
      <c r="NK5" s="210"/>
      <c r="NL5" s="210"/>
      <c r="NM5" s="210"/>
      <c r="NN5" s="210"/>
      <c r="NO5" s="210"/>
      <c r="NP5" s="210"/>
      <c r="NQ5" s="210"/>
      <c r="NR5" s="210"/>
      <c r="NS5" s="216"/>
      <c r="NT5" s="207" t="s">
        <v>303</v>
      </c>
      <c r="NU5" s="210"/>
      <c r="NV5" s="210"/>
      <c r="NW5" s="210"/>
      <c r="NX5" s="210"/>
      <c r="NY5" s="210"/>
      <c r="NZ5" s="210"/>
      <c r="OA5" s="210"/>
      <c r="OB5" s="210"/>
      <c r="OC5" s="210"/>
      <c r="OD5" s="210"/>
      <c r="OE5" s="210"/>
      <c r="OF5" s="210"/>
      <c r="OG5" s="210"/>
      <c r="OH5" s="210"/>
      <c r="OI5" s="210"/>
      <c r="OJ5" s="210"/>
      <c r="OK5" s="210"/>
      <c r="OL5" s="210"/>
      <c r="OM5" s="210"/>
      <c r="ON5" s="210"/>
      <c r="OO5" s="210"/>
      <c r="OP5" s="210"/>
      <c r="OQ5" s="210"/>
      <c r="OR5" s="210"/>
      <c r="OS5" s="210"/>
      <c r="OT5" s="210"/>
      <c r="OU5" s="210"/>
      <c r="OV5" s="210"/>
      <c r="OW5" s="210"/>
      <c r="OX5" s="210"/>
      <c r="OY5" s="210"/>
      <c r="OZ5" s="210"/>
      <c r="PA5" s="210"/>
      <c r="PB5" s="210"/>
      <c r="PC5" s="210"/>
      <c r="PD5" s="210"/>
      <c r="PE5" s="210"/>
      <c r="PF5" s="210"/>
      <c r="PG5" s="210"/>
      <c r="PH5" s="210"/>
      <c r="PI5" s="210"/>
      <c r="PJ5" s="210"/>
      <c r="PK5" s="210"/>
      <c r="PL5" s="210"/>
      <c r="PM5" s="210"/>
      <c r="PN5" s="210"/>
      <c r="PO5" s="210"/>
      <c r="PP5" s="210"/>
      <c r="PQ5" s="210"/>
      <c r="PR5" s="210"/>
      <c r="PS5" s="210"/>
      <c r="PT5" s="210"/>
      <c r="PU5" s="210"/>
      <c r="PV5" s="210"/>
      <c r="PW5" s="210"/>
      <c r="PX5" s="210"/>
      <c r="PY5" s="210"/>
      <c r="PZ5" s="210"/>
      <c r="QA5" s="210"/>
      <c r="QB5" s="210"/>
      <c r="QC5" s="210"/>
      <c r="QD5" s="210"/>
      <c r="QE5" s="210"/>
      <c r="QF5" s="210"/>
      <c r="QG5" s="210"/>
      <c r="QH5" s="210"/>
      <c r="QI5" s="210"/>
      <c r="QJ5" s="210"/>
      <c r="QK5" s="210"/>
      <c r="QL5" s="210"/>
      <c r="QM5" s="210"/>
      <c r="QN5" s="210"/>
      <c r="QO5" s="210"/>
      <c r="QP5" s="210"/>
      <c r="QQ5" s="210"/>
      <c r="QR5" s="210"/>
      <c r="QS5" s="210"/>
      <c r="QT5" s="210"/>
      <c r="QU5" s="210"/>
      <c r="QV5" s="210"/>
      <c r="QW5" s="210"/>
      <c r="QX5" s="210"/>
      <c r="QY5" s="210"/>
      <c r="QZ5" s="210"/>
      <c r="RA5" s="210"/>
      <c r="RB5" s="210"/>
      <c r="RC5" s="210"/>
      <c r="RD5" s="210"/>
      <c r="RE5" s="210"/>
      <c r="RF5" s="210"/>
      <c r="RG5" s="210"/>
      <c r="RH5" s="210"/>
      <c r="RI5" s="210"/>
      <c r="RJ5" s="210"/>
      <c r="RK5" s="210"/>
      <c r="RL5" s="210"/>
      <c r="RM5" s="210"/>
      <c r="RN5" s="210"/>
      <c r="RO5" s="210"/>
      <c r="RP5" s="210"/>
      <c r="RQ5" s="187"/>
      <c r="RR5" s="213"/>
      <c r="RS5" s="210"/>
      <c r="RT5" s="210"/>
      <c r="RU5" s="210"/>
      <c r="RV5" s="210"/>
      <c r="RW5" s="210"/>
      <c r="RX5" s="210"/>
      <c r="RY5" s="210"/>
      <c r="RZ5" s="210"/>
      <c r="SA5" s="210"/>
      <c r="SB5" s="210"/>
      <c r="SC5" s="210"/>
      <c r="SD5" s="210"/>
      <c r="SE5" s="210"/>
      <c r="SF5" s="210"/>
      <c r="SG5" s="210"/>
      <c r="SH5" s="210"/>
      <c r="SI5" s="210"/>
      <c r="SJ5" s="210"/>
      <c r="SK5" s="210"/>
      <c r="SL5" s="210"/>
      <c r="SM5" s="210"/>
      <c r="SN5" s="210"/>
      <c r="SO5" s="210"/>
      <c r="SP5" s="210"/>
      <c r="SQ5" s="210"/>
      <c r="SR5" s="210"/>
      <c r="SS5" s="210"/>
      <c r="ST5" s="210"/>
      <c r="SU5" s="210"/>
      <c r="SV5" s="210"/>
      <c r="SW5" s="210"/>
      <c r="SX5" s="210"/>
      <c r="SY5" s="210"/>
      <c r="SZ5" s="210"/>
      <c r="TA5" s="210"/>
      <c r="TB5" s="210"/>
      <c r="TC5" s="210"/>
      <c r="TD5" s="210"/>
      <c r="TE5" s="210"/>
      <c r="TF5" s="210"/>
      <c r="TG5" s="210"/>
      <c r="TH5" s="210"/>
      <c r="TI5" s="210"/>
      <c r="TJ5" s="210"/>
      <c r="TK5" s="210"/>
      <c r="TL5" s="210"/>
      <c r="TM5" s="210"/>
      <c r="TN5" s="210"/>
      <c r="TO5" s="210"/>
      <c r="TP5" s="210"/>
      <c r="TQ5" s="210"/>
      <c r="TR5" s="210"/>
      <c r="TS5" s="210"/>
      <c r="TT5" s="210"/>
      <c r="TU5" s="210"/>
      <c r="TV5" s="210"/>
      <c r="TW5" s="210"/>
      <c r="TX5" s="210"/>
      <c r="TY5" s="210"/>
      <c r="TZ5" s="210"/>
      <c r="UA5" s="210"/>
      <c r="UB5" s="210"/>
      <c r="UC5" s="210"/>
      <c r="UD5" s="210"/>
      <c r="UE5" s="210"/>
      <c r="UF5" s="210"/>
      <c r="UG5" s="210"/>
      <c r="UH5" s="210"/>
      <c r="UI5" s="210"/>
      <c r="UJ5" s="210"/>
      <c r="UK5" s="210"/>
      <c r="UL5" s="210"/>
      <c r="UM5" s="210"/>
      <c r="UN5" s="210"/>
      <c r="UO5" s="210"/>
      <c r="UP5" s="210"/>
      <c r="UQ5" s="210"/>
      <c r="UR5" s="210"/>
      <c r="US5" s="210"/>
      <c r="UT5" s="210"/>
      <c r="UU5" s="210"/>
      <c r="UV5" s="210"/>
      <c r="UW5" s="210"/>
      <c r="UX5" s="210"/>
      <c r="UY5" s="210"/>
      <c r="UZ5" s="210"/>
      <c r="VA5" s="210"/>
      <c r="VB5" s="210"/>
      <c r="VC5" s="210"/>
      <c r="VD5" s="210"/>
      <c r="VE5" s="210"/>
      <c r="VF5" s="210"/>
      <c r="VG5" s="210"/>
      <c r="VH5" s="210"/>
      <c r="VI5" s="210"/>
      <c r="VJ5" s="210"/>
      <c r="VK5" s="210"/>
      <c r="VL5" s="210"/>
      <c r="VM5" s="210"/>
      <c r="VN5" s="210"/>
      <c r="VO5" s="210"/>
      <c r="VP5" s="210"/>
      <c r="VQ5" s="210"/>
      <c r="VR5" s="210"/>
      <c r="VS5" s="210"/>
      <c r="VT5" s="210"/>
      <c r="VU5" s="210"/>
      <c r="VV5" s="210"/>
      <c r="VW5" s="210"/>
      <c r="VX5" s="210"/>
      <c r="VY5" s="210"/>
      <c r="VZ5" s="210"/>
      <c r="WA5" s="210"/>
      <c r="WB5" s="210"/>
      <c r="WC5" s="210"/>
      <c r="WD5" s="210"/>
      <c r="WE5" s="210"/>
      <c r="WF5" s="210"/>
      <c r="WG5" s="210"/>
      <c r="WH5" s="210"/>
      <c r="WI5" s="210"/>
      <c r="WJ5" s="210"/>
      <c r="WK5" s="210"/>
      <c r="WL5" s="210"/>
      <c r="WM5" s="210"/>
      <c r="WN5" s="210"/>
      <c r="WO5" s="210"/>
      <c r="WP5" s="210"/>
      <c r="WQ5" s="210"/>
      <c r="WR5" s="210"/>
      <c r="WS5" s="210"/>
      <c r="WT5" s="210"/>
      <c r="WU5" s="210"/>
      <c r="WV5" s="210"/>
      <c r="WW5" s="210"/>
      <c r="WX5" s="210"/>
      <c r="WY5" s="210"/>
      <c r="WZ5" s="210"/>
      <c r="XA5" s="210"/>
      <c r="XB5" s="210"/>
      <c r="XC5" s="210"/>
      <c r="XD5" s="210"/>
      <c r="XE5" s="210"/>
      <c r="XF5" s="210"/>
      <c r="XG5" s="210"/>
      <c r="XH5" s="210"/>
      <c r="XI5" s="210"/>
      <c r="XJ5" s="210"/>
      <c r="XK5" s="210"/>
      <c r="XL5" s="210"/>
      <c r="XM5" s="210"/>
      <c r="XN5" s="210"/>
      <c r="XO5" s="210"/>
      <c r="XP5" s="210"/>
      <c r="XQ5" s="210"/>
      <c r="XR5" s="210"/>
      <c r="XS5" s="210"/>
      <c r="XT5" s="210"/>
      <c r="XU5" s="210"/>
      <c r="XV5" s="210"/>
      <c r="XW5" s="210"/>
      <c r="XX5" s="210"/>
      <c r="XY5" s="210"/>
      <c r="XZ5" s="210"/>
      <c r="YA5" s="210"/>
      <c r="YB5" s="210"/>
      <c r="YC5" s="210"/>
      <c r="YD5" s="210"/>
      <c r="YE5" s="210"/>
      <c r="YF5" s="210"/>
      <c r="YG5" s="210"/>
      <c r="YH5" s="210"/>
      <c r="YI5" s="210"/>
      <c r="YJ5" s="210"/>
      <c r="YK5" s="210"/>
      <c r="YL5" s="210"/>
      <c r="YM5" s="210"/>
      <c r="YN5" s="210"/>
      <c r="YO5" s="210"/>
      <c r="YP5" s="210"/>
      <c r="YQ5" s="210"/>
      <c r="YR5" s="210"/>
      <c r="YS5" s="210"/>
      <c r="YT5" s="210"/>
      <c r="YU5" s="210"/>
      <c r="YV5" s="210"/>
      <c r="YW5" s="210"/>
      <c r="YX5" s="210"/>
      <c r="YY5" s="210"/>
      <c r="YZ5" s="210"/>
      <c r="ZA5" s="210"/>
      <c r="ZB5" s="210"/>
      <c r="ZC5" s="210"/>
      <c r="ZD5" s="210"/>
      <c r="ZE5" s="210"/>
      <c r="ZF5" s="210"/>
      <c r="ZG5" s="210"/>
      <c r="ZH5" s="210"/>
      <c r="ZI5" s="210"/>
      <c r="ZJ5" s="207" t="s">
        <v>304</v>
      </c>
    </row>
    <row r="6" spans="1:738" ht="99" customHeight="1" thickBot="1" x14ac:dyDescent="0.3">
      <c r="A6">
        <f>MAX(A7:A106)</f>
        <v>0</v>
      </c>
      <c r="B6" s="92" t="s">
        <v>292</v>
      </c>
      <c r="C6" s="208"/>
      <c r="D6" s="92"/>
      <c r="E6" s="208"/>
      <c r="F6" s="178">
        <f>Service!$C$6</f>
        <v>0</v>
      </c>
      <c r="G6" s="179">
        <f>Service!$C$7</f>
        <v>0</v>
      </c>
      <c r="H6" s="179">
        <f>Service!$C$8</f>
        <v>0</v>
      </c>
      <c r="I6" s="179">
        <f>Service!$C$9</f>
        <v>0</v>
      </c>
      <c r="J6" s="180">
        <f>Service!$C$10</f>
        <v>0</v>
      </c>
      <c r="K6" s="178">
        <f>Service!$C$11</f>
        <v>0</v>
      </c>
      <c r="L6" s="179">
        <f>Service!$C$12</f>
        <v>0</v>
      </c>
      <c r="M6" s="179">
        <f>Service!$C$13</f>
        <v>0</v>
      </c>
      <c r="N6" s="179">
        <f>Service!$C$14</f>
        <v>0</v>
      </c>
      <c r="O6" s="180">
        <f>Service!$C$15</f>
        <v>0</v>
      </c>
      <c r="P6" s="178">
        <f>Service!$C$16</f>
        <v>0</v>
      </c>
      <c r="Q6" s="179">
        <f>Service!$C$17</f>
        <v>0</v>
      </c>
      <c r="R6" s="179">
        <f>Service!$C$18</f>
        <v>0</v>
      </c>
      <c r="S6" s="179">
        <f>Service!$C$19</f>
        <v>0</v>
      </c>
      <c r="T6" s="180">
        <f>Service!$C$20</f>
        <v>0</v>
      </c>
      <c r="U6" s="178">
        <f>Service!$C$21</f>
        <v>0</v>
      </c>
      <c r="V6" s="179">
        <f>Service!$C$22</f>
        <v>0</v>
      </c>
      <c r="W6" s="179">
        <f>Service!$C$23</f>
        <v>0</v>
      </c>
      <c r="X6" s="179">
        <f>Service!$C$24</f>
        <v>0</v>
      </c>
      <c r="Y6" s="180">
        <f>Service!$C$25</f>
        <v>0</v>
      </c>
      <c r="Z6" s="178">
        <f>Service!$C$26</f>
        <v>0</v>
      </c>
      <c r="AA6" s="179">
        <f>Service!$C$27</f>
        <v>0</v>
      </c>
      <c r="AB6" s="179">
        <f>Service!$C$28</f>
        <v>0</v>
      </c>
      <c r="AC6" s="179">
        <f>Service!$C$29</f>
        <v>0</v>
      </c>
      <c r="AD6" s="180">
        <f>Service!$C$30</f>
        <v>0</v>
      </c>
      <c r="AE6" s="178">
        <f>Service!$C$31</f>
        <v>0</v>
      </c>
      <c r="AF6" s="179">
        <f>Service!$C$32</f>
        <v>0</v>
      </c>
      <c r="AG6" s="179">
        <f>Service!$C$33</f>
        <v>0</v>
      </c>
      <c r="AH6" s="179">
        <f>Service!$C$34</f>
        <v>0</v>
      </c>
      <c r="AI6" s="180">
        <f>Service!$C$35</f>
        <v>0</v>
      </c>
      <c r="AJ6" s="178">
        <f>Service!$C$36</f>
        <v>0</v>
      </c>
      <c r="AK6" s="179">
        <f>Service!$C$37</f>
        <v>0</v>
      </c>
      <c r="AL6" s="179">
        <f>Service!$C$38</f>
        <v>0</v>
      </c>
      <c r="AM6" s="179">
        <f>Service!$C$39</f>
        <v>0</v>
      </c>
      <c r="AN6" s="180">
        <f>Service!$C$40</f>
        <v>0</v>
      </c>
      <c r="AO6" s="178">
        <f>Service!$C$41</f>
        <v>0</v>
      </c>
      <c r="AP6" s="179">
        <f>Service!$C$42</f>
        <v>0</v>
      </c>
      <c r="AQ6" s="179">
        <f>Service!$C$43</f>
        <v>0</v>
      </c>
      <c r="AR6" s="179">
        <f>Service!$C$44</f>
        <v>0</v>
      </c>
      <c r="AS6" s="180">
        <f>Service!$C$45</f>
        <v>0</v>
      </c>
      <c r="AT6" s="178">
        <f>Service!$C$46</f>
        <v>0</v>
      </c>
      <c r="AU6" s="179">
        <f>Service!$C$47</f>
        <v>0</v>
      </c>
      <c r="AV6" s="179">
        <f>Service!$C$48</f>
        <v>0</v>
      </c>
      <c r="AW6" s="179">
        <f>Service!$C$49</f>
        <v>0</v>
      </c>
      <c r="AX6" s="180">
        <f>Service!$C$50</f>
        <v>0</v>
      </c>
      <c r="AY6" s="178">
        <f>Service!$C$51</f>
        <v>0</v>
      </c>
      <c r="AZ6" s="179">
        <f>Service!$C$52</f>
        <v>0</v>
      </c>
      <c r="BA6" s="179">
        <f>Service!$C$53</f>
        <v>0</v>
      </c>
      <c r="BB6" s="179">
        <f>Service!$C$54</f>
        <v>0</v>
      </c>
      <c r="BC6" s="180">
        <f>Service!$C$55</f>
        <v>0</v>
      </c>
      <c r="BD6" s="178">
        <f>Service!$C$56</f>
        <v>0</v>
      </c>
      <c r="BE6" s="179">
        <f>Service!$C$57</f>
        <v>0</v>
      </c>
      <c r="BF6" s="179">
        <f>Service!$C$58</f>
        <v>0</v>
      </c>
      <c r="BG6" s="179">
        <f>Service!$C$59</f>
        <v>0</v>
      </c>
      <c r="BH6" s="180">
        <f>Service!$C$60</f>
        <v>0</v>
      </c>
      <c r="BI6" s="178">
        <f>Service!$C$61</f>
        <v>0</v>
      </c>
      <c r="BJ6" s="179">
        <f>Service!$C$62</f>
        <v>0</v>
      </c>
      <c r="BK6" s="179">
        <f>Service!$C$63</f>
        <v>0</v>
      </c>
      <c r="BL6" s="179">
        <f>Service!$C$64</f>
        <v>0</v>
      </c>
      <c r="BM6" s="180">
        <f>Service!$C$65</f>
        <v>0</v>
      </c>
      <c r="BN6" s="178">
        <f>Service!$C$66</f>
        <v>0</v>
      </c>
      <c r="BO6" s="179">
        <f>Service!$C$67</f>
        <v>0</v>
      </c>
      <c r="BP6" s="179">
        <f>Service!$C$68</f>
        <v>0</v>
      </c>
      <c r="BQ6" s="179">
        <f>Service!$C$69</f>
        <v>0</v>
      </c>
      <c r="BR6" s="180">
        <f>Service!$C$70</f>
        <v>0</v>
      </c>
      <c r="BS6" s="178">
        <f>Service!$C$71</f>
        <v>0</v>
      </c>
      <c r="BT6" s="179">
        <f>Service!$C$72</f>
        <v>0</v>
      </c>
      <c r="BU6" s="179">
        <f>Service!$C$73</f>
        <v>0</v>
      </c>
      <c r="BV6" s="179">
        <f>Service!$C$74</f>
        <v>0</v>
      </c>
      <c r="BW6" s="180">
        <f>Service!$C$75</f>
        <v>0</v>
      </c>
      <c r="BX6" s="178">
        <f>Service!$C$76</f>
        <v>0</v>
      </c>
      <c r="BY6" s="179">
        <f>Service!$C$77</f>
        <v>0</v>
      </c>
      <c r="BZ6" s="179">
        <f>Service!$C$78</f>
        <v>0</v>
      </c>
      <c r="CA6" s="179">
        <f>Service!$C$79</f>
        <v>0</v>
      </c>
      <c r="CB6" s="180">
        <f>Service!$C$80</f>
        <v>0</v>
      </c>
      <c r="CD6" s="208" t="s">
        <v>297</v>
      </c>
      <c r="CE6" s="211"/>
      <c r="CF6" s="211">
        <f>'Capacity Backing (Hide)2'!C1</f>
        <v>0</v>
      </c>
      <c r="CG6" s="211">
        <f>'Capacity Backing (Hide)2'!D1</f>
        <v>0</v>
      </c>
      <c r="CH6" s="211">
        <f>'Capacity Backing (Hide)2'!E1</f>
        <v>0</v>
      </c>
      <c r="CI6" s="211">
        <f>'Capacity Backing (Hide)2'!F1</f>
        <v>0</v>
      </c>
      <c r="CJ6" s="211">
        <f>'Capacity Backing (Hide)2'!G1</f>
        <v>0</v>
      </c>
      <c r="CK6" s="211">
        <f>'Capacity Backing (Hide)2'!H1</f>
        <v>0</v>
      </c>
      <c r="CL6" s="211">
        <f>'Capacity Backing (Hide)2'!I1</f>
        <v>0</v>
      </c>
      <c r="CM6" s="211">
        <f>'Capacity Backing (Hide)2'!J1</f>
        <v>0</v>
      </c>
      <c r="CN6" s="211">
        <f>'Capacity Backing (Hide)2'!K1</f>
        <v>0</v>
      </c>
      <c r="CO6" s="211">
        <f>'Capacity Backing (Hide)2'!L1</f>
        <v>0</v>
      </c>
      <c r="CP6" s="211">
        <f>'Capacity Backing (Hide)2'!M1</f>
        <v>0</v>
      </c>
      <c r="CQ6" s="211">
        <f>'Capacity Backing (Hide)2'!N1</f>
        <v>0</v>
      </c>
      <c r="CR6" s="211">
        <f>'Capacity Backing (Hide)2'!O1</f>
        <v>0</v>
      </c>
      <c r="CS6" s="211">
        <f>'Capacity Backing (Hide)2'!P1</f>
        <v>0</v>
      </c>
      <c r="CT6" s="211">
        <f>'Capacity Backing (Hide)2'!Q1</f>
        <v>0</v>
      </c>
      <c r="CU6" s="211">
        <f>'Capacity Backing (Hide)2'!R1</f>
        <v>0</v>
      </c>
      <c r="CV6" s="211">
        <f>'Capacity Backing (Hide)2'!S1</f>
        <v>0</v>
      </c>
      <c r="CW6" s="211">
        <f>'Capacity Backing (Hide)2'!T1</f>
        <v>0</v>
      </c>
      <c r="CX6" s="211">
        <f>'Capacity Backing (Hide)2'!U1</f>
        <v>0</v>
      </c>
      <c r="CY6" s="211">
        <f>'Capacity Backing (Hide)2'!V1</f>
        <v>0</v>
      </c>
      <c r="CZ6" s="211">
        <f>'Capacity Backing (Hide)2'!W1</f>
        <v>0</v>
      </c>
      <c r="DA6" s="211">
        <f>'Capacity Backing (Hide)2'!X1</f>
        <v>0</v>
      </c>
      <c r="DB6" s="211">
        <f>'Capacity Backing (Hide)2'!Y1</f>
        <v>0</v>
      </c>
      <c r="DC6" s="211">
        <f>'Capacity Backing (Hide)2'!Z1</f>
        <v>0</v>
      </c>
      <c r="DD6" s="211">
        <f>'Capacity Backing (Hide)2'!AA1</f>
        <v>0</v>
      </c>
      <c r="DE6" s="211">
        <f>'Capacity Backing (Hide)2'!AB1</f>
        <v>0</v>
      </c>
      <c r="DF6" s="211">
        <f>'Capacity Backing (Hide)2'!AC1</f>
        <v>0</v>
      </c>
      <c r="DG6" s="211">
        <f>'Capacity Backing (Hide)2'!AD1</f>
        <v>0</v>
      </c>
      <c r="DH6" s="211">
        <f>'Capacity Backing (Hide)2'!AE1</f>
        <v>0</v>
      </c>
      <c r="DI6" s="211">
        <f>'Capacity Backing (Hide)2'!AF1</f>
        <v>0</v>
      </c>
      <c r="DJ6" s="211">
        <f>'Capacity Backing (Hide)2'!AG1</f>
        <v>0</v>
      </c>
      <c r="DK6" s="211">
        <f>'Capacity Backing (Hide)2'!AH1</f>
        <v>0</v>
      </c>
      <c r="DL6" s="211">
        <f>'Capacity Backing (Hide)2'!AI1</f>
        <v>0</v>
      </c>
      <c r="DM6" s="211">
        <f>'Capacity Backing (Hide)2'!AJ1</f>
        <v>0</v>
      </c>
      <c r="DN6" s="211">
        <f>'Capacity Backing (Hide)2'!AK1</f>
        <v>0</v>
      </c>
      <c r="DO6" s="211">
        <f>'Capacity Backing (Hide)2'!AL1</f>
        <v>0</v>
      </c>
      <c r="DP6" s="211">
        <f>'Capacity Backing (Hide)2'!AM1</f>
        <v>0</v>
      </c>
      <c r="DQ6" s="211">
        <f>'Capacity Backing (Hide)2'!AN1</f>
        <v>0</v>
      </c>
      <c r="DR6" s="211">
        <f>'Capacity Backing (Hide)2'!AO1</f>
        <v>0</v>
      </c>
      <c r="DS6" s="211">
        <f>'Capacity Backing (Hide)2'!AP1</f>
        <v>0</v>
      </c>
      <c r="DT6" s="211">
        <f>'Capacity Backing (Hide)2'!AQ1</f>
        <v>0</v>
      </c>
      <c r="DU6" s="211">
        <f>'Capacity Backing (Hide)2'!AR1</f>
        <v>0</v>
      </c>
      <c r="DV6" s="211">
        <f>'Capacity Backing (Hide)2'!AS1</f>
        <v>0</v>
      </c>
      <c r="DW6" s="211">
        <f>'Capacity Backing (Hide)2'!AT1</f>
        <v>0</v>
      </c>
      <c r="DX6" s="211">
        <f>'Capacity Backing (Hide)2'!AU1</f>
        <v>0</v>
      </c>
      <c r="DY6" s="211">
        <f>'Capacity Backing (Hide)2'!AV1</f>
        <v>0</v>
      </c>
      <c r="DZ6" s="211">
        <f>'Capacity Backing (Hide)2'!AW1</f>
        <v>0</v>
      </c>
      <c r="EA6" s="211">
        <f>'Capacity Backing (Hide)2'!AX1</f>
        <v>0</v>
      </c>
      <c r="EB6" s="211">
        <f>'Capacity Backing (Hide)2'!AY1</f>
        <v>0</v>
      </c>
      <c r="EC6" s="211">
        <f>'Capacity Backing (Hide)2'!AZ1</f>
        <v>0</v>
      </c>
      <c r="ED6" s="211">
        <f>'Capacity Backing (Hide)2'!BA1</f>
        <v>0</v>
      </c>
      <c r="EE6" s="211">
        <f>'Capacity Backing (Hide)2'!BB1</f>
        <v>0</v>
      </c>
      <c r="EF6" s="211">
        <f>'Capacity Backing (Hide)2'!BC1</f>
        <v>0</v>
      </c>
      <c r="EG6" s="211">
        <f>'Capacity Backing (Hide)2'!BD1</f>
        <v>0</v>
      </c>
      <c r="EH6" s="211">
        <f>'Capacity Backing (Hide)2'!BE1</f>
        <v>0</v>
      </c>
      <c r="EI6" s="211">
        <f>'Capacity Backing (Hide)2'!BF1</f>
        <v>0</v>
      </c>
      <c r="EJ6" s="211">
        <f>'Capacity Backing (Hide)2'!BG1</f>
        <v>0</v>
      </c>
      <c r="EK6" s="211">
        <f>'Capacity Backing (Hide)2'!BH1</f>
        <v>0</v>
      </c>
      <c r="EL6" s="211">
        <f>'Capacity Backing (Hide)2'!BI1</f>
        <v>0</v>
      </c>
      <c r="EM6" s="211">
        <f>'Capacity Backing (Hide)2'!BJ1</f>
        <v>0</v>
      </c>
      <c r="EN6" s="211">
        <f>'Capacity Backing (Hide)2'!BK1</f>
        <v>0</v>
      </c>
      <c r="EO6" s="211">
        <f>'Capacity Backing (Hide)2'!BL1</f>
        <v>0</v>
      </c>
      <c r="EP6" s="211">
        <f>'Capacity Backing (Hide)2'!BM1</f>
        <v>0</v>
      </c>
      <c r="EQ6" s="211">
        <f>'Capacity Backing (Hide)2'!BN1</f>
        <v>0</v>
      </c>
      <c r="ER6" s="211">
        <f>'Capacity Backing (Hide)2'!BO1</f>
        <v>0</v>
      </c>
      <c r="ES6" s="211">
        <f>'Capacity Backing (Hide)2'!BP1</f>
        <v>0</v>
      </c>
      <c r="ET6" s="211">
        <f>'Capacity Backing (Hide)2'!BQ1</f>
        <v>0</v>
      </c>
      <c r="EU6" s="211">
        <f>'Capacity Backing (Hide)2'!BR1</f>
        <v>0</v>
      </c>
      <c r="EV6" s="211">
        <f>'Capacity Backing (Hide)2'!BS1</f>
        <v>0</v>
      </c>
      <c r="EW6" s="211">
        <f>'Capacity Backing (Hide)2'!BT1</f>
        <v>0</v>
      </c>
      <c r="EX6" s="211">
        <f>'Capacity Backing (Hide)2'!BU1</f>
        <v>0</v>
      </c>
      <c r="EY6" s="211">
        <f>'Capacity Backing (Hide)2'!BV1</f>
        <v>0</v>
      </c>
      <c r="EZ6" s="211">
        <f>'Capacity Backing (Hide)2'!BW1</f>
        <v>0</v>
      </c>
      <c r="FA6" s="211">
        <f>'Capacity Backing (Hide)2'!BX1</f>
        <v>0</v>
      </c>
      <c r="FB6" s="211">
        <f>'Capacity Backing (Hide)2'!BY1</f>
        <v>0</v>
      </c>
      <c r="FC6" s="211">
        <f>'Capacity Backing (Hide)2'!BZ1</f>
        <v>0</v>
      </c>
      <c r="FD6" s="211">
        <f>'Capacity Backing (Hide)2'!CA1</f>
        <v>0</v>
      </c>
      <c r="FE6" s="211">
        <f>'Capacity Backing (Hide)2'!CB1</f>
        <v>0</v>
      </c>
      <c r="FF6" s="211">
        <f>'Capacity Backing (Hide)2'!CC1</f>
        <v>0</v>
      </c>
      <c r="FG6" s="211">
        <f>'Capacity Backing (Hide)2'!CD1</f>
        <v>0</v>
      </c>
      <c r="FH6" s="211">
        <f>'Capacity Backing (Hide)2'!CE1</f>
        <v>0</v>
      </c>
      <c r="FI6" s="211">
        <f>'Capacity Backing (Hide)2'!CF1</f>
        <v>0</v>
      </c>
      <c r="FJ6" s="211">
        <f>'Capacity Backing (Hide)2'!CG1</f>
        <v>0</v>
      </c>
      <c r="FK6" s="211">
        <f>'Capacity Backing (Hide)2'!CH1</f>
        <v>0</v>
      </c>
      <c r="FL6" s="211">
        <f>'Capacity Backing (Hide)2'!CI1</f>
        <v>0</v>
      </c>
      <c r="FM6" s="211">
        <f>'Capacity Backing (Hide)2'!CJ1</f>
        <v>0</v>
      </c>
      <c r="FN6" s="211">
        <f>'Capacity Backing (Hide)2'!CK1</f>
        <v>0</v>
      </c>
      <c r="FO6" s="211">
        <f>'Capacity Backing (Hide)2'!CL1</f>
        <v>0</v>
      </c>
      <c r="FP6" s="211">
        <f>'Capacity Backing (Hide)2'!CM1</f>
        <v>0</v>
      </c>
      <c r="FQ6" s="211">
        <f>'Capacity Backing (Hide)2'!CN1</f>
        <v>0</v>
      </c>
      <c r="FR6" s="211">
        <f>'Capacity Backing (Hide)2'!CO1</f>
        <v>0</v>
      </c>
      <c r="FS6" s="211">
        <f>'Capacity Backing (Hide)2'!CP1</f>
        <v>0</v>
      </c>
      <c r="FT6" s="211">
        <f>'Capacity Backing (Hide)2'!CQ1</f>
        <v>0</v>
      </c>
      <c r="FU6" s="211">
        <f>'Capacity Backing (Hide)2'!CR1</f>
        <v>0</v>
      </c>
      <c r="FV6" s="211">
        <f>'Capacity Backing (Hide)2'!CS1</f>
        <v>0</v>
      </c>
      <c r="FW6" s="211">
        <f>'Capacity Backing (Hide)2'!CT1</f>
        <v>0</v>
      </c>
      <c r="FX6" s="211">
        <f>'Capacity Backing (Hide)2'!CU1</f>
        <v>0</v>
      </c>
      <c r="FY6" s="211">
        <f>'Capacity Backing (Hide)2'!CV1</f>
        <v>0</v>
      </c>
      <c r="FZ6" s="211">
        <f>'Capacity Backing (Hide)2'!CW1</f>
        <v>0</v>
      </c>
      <c r="GA6" s="187"/>
      <c r="GB6" s="214">
        <f>'Capacity Backing (Hide)2'!CX1</f>
        <v>0</v>
      </c>
      <c r="GC6" s="211">
        <f>'Capacity Backing (Hide)2'!CY1</f>
        <v>0</v>
      </c>
      <c r="GD6" s="211">
        <f>'Capacity Backing (Hide)2'!CZ1</f>
        <v>0</v>
      </c>
      <c r="GE6" s="211">
        <f>'Capacity Backing (Hide)2'!DA1</f>
        <v>0</v>
      </c>
      <c r="GF6" s="211">
        <f>'Capacity Backing (Hide)2'!DB1</f>
        <v>0</v>
      </c>
      <c r="GG6" s="211">
        <f>'Capacity Backing (Hide)2'!DC1</f>
        <v>0</v>
      </c>
      <c r="GH6" s="211">
        <f>'Capacity Backing (Hide)2'!DD1</f>
        <v>0</v>
      </c>
      <c r="GI6" s="211">
        <f>'Capacity Backing (Hide)2'!DE1</f>
        <v>0</v>
      </c>
      <c r="GJ6" s="211">
        <f>'Capacity Backing (Hide)2'!DF1</f>
        <v>0</v>
      </c>
      <c r="GK6" s="211">
        <f>'Capacity Backing (Hide)2'!DG1</f>
        <v>0</v>
      </c>
      <c r="GL6" s="211">
        <f>'Capacity Backing (Hide)2'!DH1</f>
        <v>0</v>
      </c>
      <c r="GM6" s="211">
        <f>'Capacity Backing (Hide)2'!DI1</f>
        <v>0</v>
      </c>
      <c r="GN6" s="211">
        <f>'Capacity Backing (Hide)2'!DJ1</f>
        <v>0</v>
      </c>
      <c r="GO6" s="211">
        <f>'Capacity Backing (Hide)2'!DK1</f>
        <v>0</v>
      </c>
      <c r="GP6" s="211">
        <f>'Capacity Backing (Hide)2'!DL1</f>
        <v>0</v>
      </c>
      <c r="GQ6" s="211">
        <f>'Capacity Backing (Hide)2'!DM1</f>
        <v>0</v>
      </c>
      <c r="GR6" s="211">
        <f>'Capacity Backing (Hide)2'!DN1</f>
        <v>0</v>
      </c>
      <c r="GS6" s="211">
        <f>'Capacity Backing (Hide)2'!DO1</f>
        <v>0</v>
      </c>
      <c r="GT6" s="211">
        <f>'Capacity Backing (Hide)2'!DP1</f>
        <v>0</v>
      </c>
      <c r="GU6" s="211">
        <f>'Capacity Backing (Hide)2'!DQ1</f>
        <v>0</v>
      </c>
      <c r="GV6" s="211">
        <f>'Capacity Backing (Hide)2'!DR1</f>
        <v>0</v>
      </c>
      <c r="GW6" s="211">
        <f>'Capacity Backing (Hide)2'!DS1</f>
        <v>0</v>
      </c>
      <c r="GX6" s="211">
        <f>'Capacity Backing (Hide)2'!DT1</f>
        <v>0</v>
      </c>
      <c r="GY6" s="211">
        <f>'Capacity Backing (Hide)2'!DU1</f>
        <v>0</v>
      </c>
      <c r="GZ6" s="211">
        <f>'Capacity Backing (Hide)2'!DV1</f>
        <v>0</v>
      </c>
      <c r="HA6" s="211">
        <f>'Capacity Backing (Hide)2'!DW1</f>
        <v>0</v>
      </c>
      <c r="HB6" s="211">
        <f>'Capacity Backing (Hide)2'!DX1</f>
        <v>0</v>
      </c>
      <c r="HC6" s="211">
        <f>'Capacity Backing (Hide)2'!DY1</f>
        <v>0</v>
      </c>
      <c r="HD6" s="211">
        <f>'Capacity Backing (Hide)2'!DZ1</f>
        <v>0</v>
      </c>
      <c r="HE6" s="211">
        <f>'Capacity Backing (Hide)2'!EA1</f>
        <v>0</v>
      </c>
      <c r="HF6" s="211">
        <f>'Capacity Backing (Hide)2'!EB1</f>
        <v>0</v>
      </c>
      <c r="HG6" s="211">
        <f>'Capacity Backing (Hide)2'!EC1</f>
        <v>0</v>
      </c>
      <c r="HH6" s="211">
        <f>'Capacity Backing (Hide)2'!ED1</f>
        <v>0</v>
      </c>
      <c r="HI6" s="211">
        <f>'Capacity Backing (Hide)2'!EE1</f>
        <v>0</v>
      </c>
      <c r="HJ6" s="211">
        <f>'Capacity Backing (Hide)2'!EF1</f>
        <v>0</v>
      </c>
      <c r="HK6" s="211">
        <f>'Capacity Backing (Hide)2'!EG1</f>
        <v>0</v>
      </c>
      <c r="HL6" s="211">
        <f>'Capacity Backing (Hide)2'!EH1</f>
        <v>0</v>
      </c>
      <c r="HM6" s="211">
        <f>'Capacity Backing (Hide)2'!EI1</f>
        <v>0</v>
      </c>
      <c r="HN6" s="211">
        <f>'Capacity Backing (Hide)2'!EJ1</f>
        <v>0</v>
      </c>
      <c r="HO6" s="211">
        <f>'Capacity Backing (Hide)2'!EK1</f>
        <v>0</v>
      </c>
      <c r="HP6" s="211">
        <f>'Capacity Backing (Hide)2'!EL1</f>
        <v>0</v>
      </c>
      <c r="HQ6" s="211">
        <f>'Capacity Backing (Hide)2'!EM1</f>
        <v>0</v>
      </c>
      <c r="HR6" s="211">
        <f>'Capacity Backing (Hide)2'!EN1</f>
        <v>0</v>
      </c>
      <c r="HS6" s="211">
        <f>'Capacity Backing (Hide)2'!EO1</f>
        <v>0</v>
      </c>
      <c r="HT6" s="211">
        <f>'Capacity Backing (Hide)2'!EP1</f>
        <v>0</v>
      </c>
      <c r="HU6" s="211">
        <f>'Capacity Backing (Hide)2'!EQ1</f>
        <v>0</v>
      </c>
      <c r="HV6" s="211">
        <f>'Capacity Backing (Hide)2'!ER1</f>
        <v>0</v>
      </c>
      <c r="HW6" s="211">
        <f>'Capacity Backing (Hide)2'!ES1</f>
        <v>0</v>
      </c>
      <c r="HX6" s="211">
        <f>'Capacity Backing (Hide)2'!ET1</f>
        <v>0</v>
      </c>
      <c r="HY6" s="211">
        <f>'Capacity Backing (Hide)2'!EU1</f>
        <v>0</v>
      </c>
      <c r="HZ6" s="211">
        <f>'Capacity Backing (Hide)2'!EV1</f>
        <v>0</v>
      </c>
      <c r="IA6" s="211">
        <f>'Capacity Backing (Hide)2'!EW1</f>
        <v>0</v>
      </c>
      <c r="IB6" s="211">
        <f>'Capacity Backing (Hide)2'!EX1</f>
        <v>0</v>
      </c>
      <c r="IC6" s="211">
        <f>'Capacity Backing (Hide)2'!EY1</f>
        <v>0</v>
      </c>
      <c r="ID6" s="211">
        <f>'Capacity Backing (Hide)2'!EZ1</f>
        <v>0</v>
      </c>
      <c r="IE6" s="211">
        <f>'Capacity Backing (Hide)2'!FA1</f>
        <v>0</v>
      </c>
      <c r="IF6" s="211">
        <f>'Capacity Backing (Hide)2'!FB1</f>
        <v>0</v>
      </c>
      <c r="IG6" s="211">
        <f>'Capacity Backing (Hide)2'!FC1</f>
        <v>0</v>
      </c>
      <c r="IH6" s="211">
        <f>'Capacity Backing (Hide)2'!FD1</f>
        <v>0</v>
      </c>
      <c r="II6" s="211">
        <f>'Capacity Backing (Hide)2'!FE1</f>
        <v>0</v>
      </c>
      <c r="IJ6" s="211">
        <f>'Capacity Backing (Hide)2'!FF1</f>
        <v>0</v>
      </c>
      <c r="IK6" s="211">
        <f>'Capacity Backing (Hide)2'!FG1</f>
        <v>0</v>
      </c>
      <c r="IL6" s="211">
        <f>'Capacity Backing (Hide)2'!FH1</f>
        <v>0</v>
      </c>
      <c r="IM6" s="211">
        <f>'Capacity Backing (Hide)2'!FI1</f>
        <v>0</v>
      </c>
      <c r="IN6" s="211">
        <f>'Capacity Backing (Hide)2'!FJ1</f>
        <v>0</v>
      </c>
      <c r="IO6" s="211">
        <f>'Capacity Backing (Hide)2'!FK1</f>
        <v>0</v>
      </c>
      <c r="IP6" s="211">
        <f>'Capacity Backing (Hide)2'!FL1</f>
        <v>0</v>
      </c>
      <c r="IQ6" s="211">
        <f>'Capacity Backing (Hide)2'!FM1</f>
        <v>0</v>
      </c>
      <c r="IR6" s="211">
        <f>'Capacity Backing (Hide)2'!FN1</f>
        <v>0</v>
      </c>
      <c r="IS6" s="211">
        <f>'Capacity Backing (Hide)2'!FO1</f>
        <v>0</v>
      </c>
      <c r="IT6" s="211">
        <f>'Capacity Backing (Hide)2'!FP1</f>
        <v>0</v>
      </c>
      <c r="IU6" s="211">
        <f>'Capacity Backing (Hide)2'!FQ1</f>
        <v>0</v>
      </c>
      <c r="IV6" s="211">
        <f>'Capacity Backing (Hide)2'!FR1</f>
        <v>0</v>
      </c>
      <c r="IW6" s="211">
        <f>'Capacity Backing (Hide)2'!FS1</f>
        <v>0</v>
      </c>
      <c r="IX6" s="211">
        <f>'Capacity Backing (Hide)2'!FT1</f>
        <v>0</v>
      </c>
      <c r="IY6" s="211">
        <f>'Capacity Backing (Hide)2'!FU1</f>
        <v>0</v>
      </c>
      <c r="IZ6" s="211">
        <f>'Capacity Backing (Hide)2'!FV1</f>
        <v>0</v>
      </c>
      <c r="JA6" s="211">
        <f>'Capacity Backing (Hide)2'!FW1</f>
        <v>0</v>
      </c>
      <c r="JB6" s="211">
        <f>'Capacity Backing (Hide)2'!FX1</f>
        <v>0</v>
      </c>
      <c r="JC6" s="211">
        <f>'Capacity Backing (Hide)2'!FY1</f>
        <v>0</v>
      </c>
      <c r="JD6" s="211">
        <f>'Capacity Backing (Hide)2'!FZ1</f>
        <v>0</v>
      </c>
      <c r="JE6" s="211">
        <f>'Capacity Backing (Hide)2'!GA1</f>
        <v>0</v>
      </c>
      <c r="JF6" s="211">
        <f>'Capacity Backing (Hide)2'!GB1</f>
        <v>0</v>
      </c>
      <c r="JG6" s="211">
        <f>'Capacity Backing (Hide)2'!GC1</f>
        <v>0</v>
      </c>
      <c r="JH6" s="211">
        <f>'Capacity Backing (Hide)2'!GD1</f>
        <v>0</v>
      </c>
      <c r="JI6" s="211">
        <f>'Capacity Backing (Hide)2'!GE1</f>
        <v>0</v>
      </c>
      <c r="JJ6" s="211">
        <f>'Capacity Backing (Hide)2'!GF1</f>
        <v>0</v>
      </c>
      <c r="JK6" s="211">
        <f>'Capacity Backing (Hide)2'!GG1</f>
        <v>0</v>
      </c>
      <c r="JL6" s="211">
        <f>'Capacity Backing (Hide)2'!GH1</f>
        <v>0</v>
      </c>
      <c r="JM6" s="211">
        <f>'Capacity Backing (Hide)2'!GI1</f>
        <v>0</v>
      </c>
      <c r="JN6" s="211">
        <f>'Capacity Backing (Hide)2'!GJ1</f>
        <v>0</v>
      </c>
      <c r="JO6" s="211">
        <f>'Capacity Backing (Hide)2'!GK1</f>
        <v>0</v>
      </c>
      <c r="JP6" s="211">
        <f>'Capacity Backing (Hide)2'!GL1</f>
        <v>0</v>
      </c>
      <c r="JQ6" s="211">
        <f>'Capacity Backing (Hide)2'!GM1</f>
        <v>0</v>
      </c>
      <c r="JR6" s="211">
        <f>'Capacity Backing (Hide)2'!GN1</f>
        <v>0</v>
      </c>
      <c r="JS6" s="211">
        <f>'Capacity Backing (Hide)2'!GO1</f>
        <v>0</v>
      </c>
      <c r="JT6" s="211">
        <f>'Capacity Backing (Hide)2'!GP1</f>
        <v>0</v>
      </c>
      <c r="JU6" s="211">
        <f>'Capacity Backing (Hide)2'!GQ1</f>
        <v>0</v>
      </c>
      <c r="JV6" s="211">
        <f>'Capacity Backing (Hide)2'!GR1</f>
        <v>0</v>
      </c>
      <c r="JW6" s="211">
        <f>'Capacity Backing (Hide)2'!GS1</f>
        <v>0</v>
      </c>
      <c r="JX6" s="211">
        <f>'Capacity Backing (Hide)2'!GT1</f>
        <v>0</v>
      </c>
      <c r="JY6" s="211">
        <f>'Capacity Backing (Hide)2'!GU1</f>
        <v>0</v>
      </c>
      <c r="JZ6" s="211">
        <f>'Capacity Backing (Hide)2'!GV1</f>
        <v>0</v>
      </c>
      <c r="KA6" s="211">
        <f>'Capacity Backing (Hide)2'!GW1</f>
        <v>0</v>
      </c>
      <c r="KB6" s="211">
        <f>'Capacity Backing (Hide)2'!GX1</f>
        <v>0</v>
      </c>
      <c r="KC6" s="211">
        <f>'Capacity Backing (Hide)2'!GY1</f>
        <v>0</v>
      </c>
      <c r="KD6" s="211">
        <f>'Capacity Backing (Hide)2'!GZ1</f>
        <v>0</v>
      </c>
      <c r="KE6" s="211">
        <f>'Capacity Backing (Hide)2'!HA1</f>
        <v>0</v>
      </c>
      <c r="KF6" s="211">
        <f>'Capacity Backing (Hide)2'!HB1</f>
        <v>0</v>
      </c>
      <c r="KG6" s="211">
        <f>'Capacity Backing (Hide)2'!HC1</f>
        <v>0</v>
      </c>
      <c r="KH6" s="211">
        <f>'Capacity Backing (Hide)2'!HD1</f>
        <v>0</v>
      </c>
      <c r="KI6" s="211">
        <f>'Capacity Backing (Hide)2'!HE1</f>
        <v>0</v>
      </c>
      <c r="KJ6" s="211">
        <f>'Capacity Backing (Hide)2'!HF1</f>
        <v>0</v>
      </c>
      <c r="KK6" s="211">
        <f>'Capacity Backing (Hide)2'!HG1</f>
        <v>0</v>
      </c>
      <c r="KL6" s="211">
        <f>'Capacity Backing (Hide)2'!HH1</f>
        <v>0</v>
      </c>
      <c r="KM6" s="211">
        <f>'Capacity Backing (Hide)2'!HI1</f>
        <v>0</v>
      </c>
      <c r="KN6" s="211">
        <f>'Capacity Backing (Hide)2'!HJ1</f>
        <v>0</v>
      </c>
      <c r="KO6" s="211">
        <f>'Capacity Backing (Hide)2'!HK1</f>
        <v>0</v>
      </c>
      <c r="KP6" s="211">
        <f>'Capacity Backing (Hide)2'!HL1</f>
        <v>0</v>
      </c>
      <c r="KQ6" s="211">
        <f>'Capacity Backing (Hide)2'!HM1</f>
        <v>0</v>
      </c>
      <c r="KR6" s="211">
        <f>'Capacity Backing (Hide)2'!HN1</f>
        <v>0</v>
      </c>
      <c r="KS6" s="211">
        <f>'Capacity Backing (Hide)2'!HO1</f>
        <v>0</v>
      </c>
      <c r="KT6" s="211">
        <f>'Capacity Backing (Hide)2'!HP1</f>
        <v>0</v>
      </c>
      <c r="KU6" s="211">
        <f>'Capacity Backing (Hide)2'!HQ1</f>
        <v>0</v>
      </c>
      <c r="KV6" s="211">
        <f>'Capacity Backing (Hide)2'!HR1</f>
        <v>0</v>
      </c>
      <c r="KW6" s="211">
        <f>'Capacity Backing (Hide)2'!HS1</f>
        <v>0</v>
      </c>
      <c r="KX6" s="211">
        <f>'Capacity Backing (Hide)2'!HT1</f>
        <v>0</v>
      </c>
      <c r="KY6" s="211">
        <f>'Capacity Backing (Hide)2'!HU1</f>
        <v>0</v>
      </c>
      <c r="KZ6" s="211">
        <f>'Capacity Backing (Hide)2'!HV1</f>
        <v>0</v>
      </c>
      <c r="LA6" s="211">
        <f>'Capacity Backing (Hide)2'!HW1</f>
        <v>0</v>
      </c>
      <c r="LB6" s="211">
        <f>'Capacity Backing (Hide)2'!HX1</f>
        <v>0</v>
      </c>
      <c r="LC6" s="211">
        <f>'Capacity Backing (Hide)2'!HY1</f>
        <v>0</v>
      </c>
      <c r="LD6" s="211">
        <f>'Capacity Backing (Hide)2'!HZ1</f>
        <v>0</v>
      </c>
      <c r="LE6" s="211">
        <f>'Capacity Backing (Hide)2'!IA1</f>
        <v>0</v>
      </c>
      <c r="LF6" s="211">
        <f>'Capacity Backing (Hide)2'!IB1</f>
        <v>0</v>
      </c>
      <c r="LG6" s="211">
        <f>'Capacity Backing (Hide)2'!IC1</f>
        <v>0</v>
      </c>
      <c r="LH6" s="211">
        <f>'Capacity Backing (Hide)2'!ID1</f>
        <v>0</v>
      </c>
      <c r="LI6" s="211">
        <f>'Capacity Backing (Hide)2'!IE1</f>
        <v>0</v>
      </c>
      <c r="LJ6" s="211">
        <f>'Capacity Backing (Hide)2'!IF1</f>
        <v>0</v>
      </c>
      <c r="LK6" s="211">
        <f>'Capacity Backing (Hide)2'!IG1</f>
        <v>0</v>
      </c>
      <c r="LL6" s="211">
        <f>'Capacity Backing (Hide)2'!IH1</f>
        <v>0</v>
      </c>
      <c r="LM6" s="211">
        <f>'Capacity Backing (Hide)2'!II1</f>
        <v>0</v>
      </c>
      <c r="LN6" s="211">
        <f>'Capacity Backing (Hide)2'!IJ1</f>
        <v>0</v>
      </c>
      <c r="LO6" s="211">
        <f>'Capacity Backing (Hide)2'!IK1</f>
        <v>0</v>
      </c>
      <c r="LP6" s="211">
        <f>'Capacity Backing (Hide)2'!IL1</f>
        <v>0</v>
      </c>
      <c r="LQ6" s="211">
        <f>'Capacity Backing (Hide)2'!IM1</f>
        <v>0</v>
      </c>
      <c r="LR6" s="211">
        <f>'Capacity Backing (Hide)2'!IN1</f>
        <v>0</v>
      </c>
      <c r="LS6" s="211">
        <f>'Capacity Backing (Hide)2'!IO1</f>
        <v>0</v>
      </c>
      <c r="LT6" s="211">
        <f>'Capacity Backing (Hide)2'!IP1</f>
        <v>0</v>
      </c>
      <c r="LU6" s="211">
        <f>'Capacity Backing (Hide)2'!IQ1</f>
        <v>0</v>
      </c>
      <c r="LV6" s="211">
        <f>'Capacity Backing (Hide)2'!IR1</f>
        <v>0</v>
      </c>
      <c r="LW6" s="211">
        <f>'Capacity Backing (Hide)2'!IS1</f>
        <v>0</v>
      </c>
      <c r="LX6" s="211">
        <f>'Capacity Backing (Hide)2'!IT1</f>
        <v>0</v>
      </c>
      <c r="LY6" s="211">
        <f>'Capacity Backing (Hide)2'!IU1</f>
        <v>0</v>
      </c>
      <c r="LZ6" s="211">
        <f>'Capacity Backing (Hide)2'!IV1</f>
        <v>0</v>
      </c>
      <c r="MA6" s="211">
        <f>'Capacity Backing (Hide)2'!IW1</f>
        <v>0</v>
      </c>
      <c r="MB6" s="211">
        <f>'Capacity Backing (Hide)2'!IX1</f>
        <v>0</v>
      </c>
      <c r="MC6" s="211">
        <f>'Capacity Backing (Hide)2'!IY1</f>
        <v>0</v>
      </c>
      <c r="MD6" s="211">
        <f>'Capacity Backing (Hide)2'!IZ1</f>
        <v>0</v>
      </c>
      <c r="ME6" s="211">
        <f>'Capacity Backing (Hide)2'!JA1</f>
        <v>0</v>
      </c>
      <c r="MF6" s="211">
        <f>'Capacity Backing (Hide)2'!JB1</f>
        <v>0</v>
      </c>
      <c r="MG6" s="211">
        <f>'Capacity Backing (Hide)2'!JC1</f>
        <v>0</v>
      </c>
      <c r="MH6" s="211">
        <f>'Capacity Backing (Hide)2'!JD1</f>
        <v>0</v>
      </c>
      <c r="MI6" s="211">
        <f>'Capacity Backing (Hide)2'!JE1</f>
        <v>0</v>
      </c>
      <c r="MJ6" s="211">
        <f>'Capacity Backing (Hide)2'!JF1</f>
        <v>0</v>
      </c>
      <c r="MK6" s="211">
        <f>'Capacity Backing (Hide)2'!JG1</f>
        <v>0</v>
      </c>
      <c r="ML6" s="211">
        <f>'Capacity Backing (Hide)2'!JH1</f>
        <v>0</v>
      </c>
      <c r="MM6" s="211">
        <f>'Capacity Backing (Hide)2'!JI1</f>
        <v>0</v>
      </c>
      <c r="MN6" s="211">
        <f>'Capacity Backing (Hide)2'!JJ1</f>
        <v>0</v>
      </c>
      <c r="MO6" s="211">
        <f>'Capacity Backing (Hide)2'!JK1</f>
        <v>0</v>
      </c>
      <c r="MP6" s="211">
        <f>'Capacity Backing (Hide)2'!JL1</f>
        <v>0</v>
      </c>
      <c r="MQ6" s="211">
        <f>'Capacity Backing (Hide)2'!JM1</f>
        <v>0</v>
      </c>
      <c r="MR6" s="211">
        <f>'Capacity Backing (Hide)2'!JN1</f>
        <v>0</v>
      </c>
      <c r="MS6" s="211">
        <f>'Capacity Backing (Hide)2'!JO1</f>
        <v>0</v>
      </c>
      <c r="MT6" s="211">
        <f>'Capacity Backing (Hide)2'!JP1</f>
        <v>0</v>
      </c>
      <c r="MU6" s="211">
        <f>'Capacity Backing (Hide)2'!JQ1</f>
        <v>0</v>
      </c>
      <c r="MV6" s="211">
        <f>'Capacity Backing (Hide)2'!JR1</f>
        <v>0</v>
      </c>
      <c r="MW6" s="211">
        <f>'Capacity Backing (Hide)2'!JS1</f>
        <v>0</v>
      </c>
      <c r="MX6" s="211">
        <f>'Capacity Backing (Hide)2'!JT1</f>
        <v>0</v>
      </c>
      <c r="MY6" s="211">
        <f>'Capacity Backing (Hide)2'!JU1</f>
        <v>0</v>
      </c>
      <c r="MZ6" s="211">
        <f>'Capacity Backing (Hide)2'!JV1</f>
        <v>0</v>
      </c>
      <c r="NA6" s="211">
        <f>'Capacity Backing (Hide)2'!JW1</f>
        <v>0</v>
      </c>
      <c r="NB6" s="211">
        <f>'Capacity Backing (Hide)2'!JX1</f>
        <v>0</v>
      </c>
      <c r="NC6" s="211">
        <f>'Capacity Backing (Hide)2'!JY1</f>
        <v>0</v>
      </c>
      <c r="ND6" s="211">
        <f>'Capacity Backing (Hide)2'!JZ1</f>
        <v>0</v>
      </c>
      <c r="NE6" s="211">
        <f>'Capacity Backing (Hide)2'!KA1</f>
        <v>0</v>
      </c>
      <c r="NF6" s="211">
        <f>'Capacity Backing (Hide)2'!KB1</f>
        <v>0</v>
      </c>
      <c r="NG6" s="211">
        <f>'Capacity Backing (Hide)2'!KC1</f>
        <v>0</v>
      </c>
      <c r="NH6" s="211">
        <f>'Capacity Backing (Hide)2'!KD1</f>
        <v>0</v>
      </c>
      <c r="NI6" s="211">
        <f>'Capacity Backing (Hide)2'!KE1</f>
        <v>0</v>
      </c>
      <c r="NJ6" s="211">
        <f>'Capacity Backing (Hide)2'!KF1</f>
        <v>0</v>
      </c>
      <c r="NK6" s="211">
        <f>'Capacity Backing (Hide)2'!KG1</f>
        <v>0</v>
      </c>
      <c r="NL6" s="211">
        <f>'Capacity Backing (Hide)2'!KH1</f>
        <v>0</v>
      </c>
      <c r="NM6" s="211">
        <f>'Capacity Backing (Hide)2'!KI1</f>
        <v>0</v>
      </c>
      <c r="NN6" s="211">
        <f>'Capacity Backing (Hide)2'!KJ1</f>
        <v>0</v>
      </c>
      <c r="NO6" s="211">
        <f>'Capacity Backing (Hide)2'!KK1</f>
        <v>0</v>
      </c>
      <c r="NP6" s="211">
        <f>'Capacity Backing (Hide)2'!KL1</f>
        <v>0</v>
      </c>
      <c r="NQ6" s="211">
        <f>'Capacity Backing (Hide)2'!KM1</f>
        <v>0</v>
      </c>
      <c r="NR6" s="211">
        <f>'Capacity Backing (Hide)2'!KN1</f>
        <v>0</v>
      </c>
      <c r="NS6" s="217">
        <f>'Capacity Backing (Hide)2'!KO1</f>
        <v>0</v>
      </c>
      <c r="NT6" s="208" t="s">
        <v>298</v>
      </c>
      <c r="NU6" s="211"/>
      <c r="NV6" s="211">
        <f>'Capacity Backing (Hide)2'!KS1</f>
        <v>0</v>
      </c>
      <c r="NW6" s="211">
        <f>'Capacity Backing (Hide)2'!KT1</f>
        <v>0</v>
      </c>
      <c r="NX6" s="211">
        <f>'Capacity Backing (Hide)2'!KU1</f>
        <v>0</v>
      </c>
      <c r="NY6" s="211">
        <f>'Capacity Backing (Hide)2'!KV1</f>
        <v>0</v>
      </c>
      <c r="NZ6" s="211">
        <f>'Capacity Backing (Hide)2'!KW1</f>
        <v>0</v>
      </c>
      <c r="OA6" s="211">
        <f>'Capacity Backing (Hide)2'!KX1</f>
        <v>0</v>
      </c>
      <c r="OB6" s="211">
        <f>'Capacity Backing (Hide)2'!KY1</f>
        <v>0</v>
      </c>
      <c r="OC6" s="211">
        <f>'Capacity Backing (Hide)2'!KZ1</f>
        <v>0</v>
      </c>
      <c r="OD6" s="211">
        <f>'Capacity Backing (Hide)2'!LA1</f>
        <v>0</v>
      </c>
      <c r="OE6" s="211">
        <f>'Capacity Backing (Hide)2'!LB1</f>
        <v>0</v>
      </c>
      <c r="OF6" s="211">
        <f>'Capacity Backing (Hide)2'!LC1</f>
        <v>0</v>
      </c>
      <c r="OG6" s="211">
        <f>'Capacity Backing (Hide)2'!LD1</f>
        <v>0</v>
      </c>
      <c r="OH6" s="211">
        <f>'Capacity Backing (Hide)2'!LE1</f>
        <v>0</v>
      </c>
      <c r="OI6" s="211">
        <f>'Capacity Backing (Hide)2'!LF1</f>
        <v>0</v>
      </c>
      <c r="OJ6" s="211">
        <f>'Capacity Backing (Hide)2'!LG1</f>
        <v>0</v>
      </c>
      <c r="OK6" s="211">
        <f>'Capacity Backing (Hide)2'!LH1</f>
        <v>0</v>
      </c>
      <c r="OL6" s="211">
        <f>'Capacity Backing (Hide)2'!LI1</f>
        <v>0</v>
      </c>
      <c r="OM6" s="211">
        <f>'Capacity Backing (Hide)2'!LJ1</f>
        <v>0</v>
      </c>
      <c r="ON6" s="211">
        <f>'Capacity Backing (Hide)2'!LK1</f>
        <v>0</v>
      </c>
      <c r="OO6" s="211">
        <f>'Capacity Backing (Hide)2'!LL1</f>
        <v>0</v>
      </c>
      <c r="OP6" s="211">
        <f>'Capacity Backing (Hide)2'!LM1</f>
        <v>0</v>
      </c>
      <c r="OQ6" s="211">
        <f>'Capacity Backing (Hide)2'!LN1</f>
        <v>0</v>
      </c>
      <c r="OR6" s="211">
        <f>'Capacity Backing (Hide)2'!LO1</f>
        <v>0</v>
      </c>
      <c r="OS6" s="211">
        <f>'Capacity Backing (Hide)2'!LP1</f>
        <v>0</v>
      </c>
      <c r="OT6" s="211">
        <f>'Capacity Backing (Hide)2'!LQ1</f>
        <v>0</v>
      </c>
      <c r="OU6" s="211">
        <f>'Capacity Backing (Hide)2'!LR1</f>
        <v>0</v>
      </c>
      <c r="OV6" s="211">
        <f>'Capacity Backing (Hide)2'!LS1</f>
        <v>0</v>
      </c>
      <c r="OW6" s="211">
        <f>'Capacity Backing (Hide)2'!LT1</f>
        <v>0</v>
      </c>
      <c r="OX6" s="211">
        <f>'Capacity Backing (Hide)2'!LU1</f>
        <v>0</v>
      </c>
      <c r="OY6" s="211">
        <f>'Capacity Backing (Hide)2'!LV1</f>
        <v>0</v>
      </c>
      <c r="OZ6" s="211">
        <f>'Capacity Backing (Hide)2'!LW1</f>
        <v>0</v>
      </c>
      <c r="PA6" s="211">
        <f>'Capacity Backing (Hide)2'!LX1</f>
        <v>0</v>
      </c>
      <c r="PB6" s="211">
        <f>'Capacity Backing (Hide)2'!LY1</f>
        <v>0</v>
      </c>
      <c r="PC6" s="211">
        <f>'Capacity Backing (Hide)2'!LZ1</f>
        <v>0</v>
      </c>
      <c r="PD6" s="211">
        <f>'Capacity Backing (Hide)2'!MA1</f>
        <v>0</v>
      </c>
      <c r="PE6" s="211">
        <f>'Capacity Backing (Hide)2'!MB1</f>
        <v>0</v>
      </c>
      <c r="PF6" s="211">
        <f>'Capacity Backing (Hide)2'!MC1</f>
        <v>0</v>
      </c>
      <c r="PG6" s="211">
        <f>'Capacity Backing (Hide)2'!MD1</f>
        <v>0</v>
      </c>
      <c r="PH6" s="211">
        <f>'Capacity Backing (Hide)2'!ME1</f>
        <v>0</v>
      </c>
      <c r="PI6" s="211">
        <f>'Capacity Backing (Hide)2'!MF1</f>
        <v>0</v>
      </c>
      <c r="PJ6" s="211">
        <f>'Capacity Backing (Hide)2'!MG1</f>
        <v>0</v>
      </c>
      <c r="PK6" s="211">
        <f>'Capacity Backing (Hide)2'!MH1</f>
        <v>0</v>
      </c>
      <c r="PL6" s="211">
        <f>'Capacity Backing (Hide)2'!MI1</f>
        <v>0</v>
      </c>
      <c r="PM6" s="211">
        <f>'Capacity Backing (Hide)2'!MJ1</f>
        <v>0</v>
      </c>
      <c r="PN6" s="211">
        <f>'Capacity Backing (Hide)2'!MK1</f>
        <v>0</v>
      </c>
      <c r="PO6" s="211">
        <f>'Capacity Backing (Hide)2'!ML1</f>
        <v>0</v>
      </c>
      <c r="PP6" s="211">
        <f>'Capacity Backing (Hide)2'!MM1</f>
        <v>0</v>
      </c>
      <c r="PQ6" s="211">
        <f>'Capacity Backing (Hide)2'!MN1</f>
        <v>0</v>
      </c>
      <c r="PR6" s="211">
        <f>'Capacity Backing (Hide)2'!MO1</f>
        <v>0</v>
      </c>
      <c r="PS6" s="211">
        <f>'Capacity Backing (Hide)2'!MP1</f>
        <v>0</v>
      </c>
      <c r="PT6" s="211">
        <f>'Capacity Backing (Hide)2'!MQ1</f>
        <v>0</v>
      </c>
      <c r="PU6" s="211">
        <f>'Capacity Backing (Hide)2'!MR1</f>
        <v>0</v>
      </c>
      <c r="PV6" s="211">
        <f>'Capacity Backing (Hide)2'!MS1</f>
        <v>0</v>
      </c>
      <c r="PW6" s="211">
        <f>'Capacity Backing (Hide)2'!MT1</f>
        <v>0</v>
      </c>
      <c r="PX6" s="211">
        <f>'Capacity Backing (Hide)2'!MU1</f>
        <v>0</v>
      </c>
      <c r="PY6" s="211">
        <f>'Capacity Backing (Hide)2'!MV1</f>
        <v>0</v>
      </c>
      <c r="PZ6" s="211">
        <f>'Capacity Backing (Hide)2'!MW1</f>
        <v>0</v>
      </c>
      <c r="QA6" s="211">
        <f>'Capacity Backing (Hide)2'!MX1</f>
        <v>0</v>
      </c>
      <c r="QB6" s="211">
        <f>'Capacity Backing (Hide)2'!MY1</f>
        <v>0</v>
      </c>
      <c r="QC6" s="211">
        <f>'Capacity Backing (Hide)2'!MZ1</f>
        <v>0</v>
      </c>
      <c r="QD6" s="211">
        <f>'Capacity Backing (Hide)2'!NA1</f>
        <v>0</v>
      </c>
      <c r="QE6" s="211">
        <f>'Capacity Backing (Hide)2'!NB1</f>
        <v>0</v>
      </c>
      <c r="QF6" s="211">
        <f>'Capacity Backing (Hide)2'!NC1</f>
        <v>0</v>
      </c>
      <c r="QG6" s="211">
        <f>'Capacity Backing (Hide)2'!ND1</f>
        <v>0</v>
      </c>
      <c r="QH6" s="211">
        <f>'Capacity Backing (Hide)2'!NE1</f>
        <v>0</v>
      </c>
      <c r="QI6" s="211">
        <f>'Capacity Backing (Hide)2'!NF1</f>
        <v>0</v>
      </c>
      <c r="QJ6" s="211">
        <f>'Capacity Backing (Hide)2'!NG1</f>
        <v>0</v>
      </c>
      <c r="QK6" s="211">
        <f>'Capacity Backing (Hide)2'!NH1</f>
        <v>0</v>
      </c>
      <c r="QL6" s="211">
        <f>'Capacity Backing (Hide)2'!NI1</f>
        <v>0</v>
      </c>
      <c r="QM6" s="211">
        <f>'Capacity Backing (Hide)2'!NJ1</f>
        <v>0</v>
      </c>
      <c r="QN6" s="211">
        <f>'Capacity Backing (Hide)2'!NK1</f>
        <v>0</v>
      </c>
      <c r="QO6" s="211">
        <f>'Capacity Backing (Hide)2'!NL1</f>
        <v>0</v>
      </c>
      <c r="QP6" s="211">
        <f>'Capacity Backing (Hide)2'!NM1</f>
        <v>0</v>
      </c>
      <c r="QQ6" s="211">
        <f>'Capacity Backing (Hide)2'!NN1</f>
        <v>0</v>
      </c>
      <c r="QR6" s="211">
        <f>'Capacity Backing (Hide)2'!NO1</f>
        <v>0</v>
      </c>
      <c r="QS6" s="211">
        <f>'Capacity Backing (Hide)2'!NP1</f>
        <v>0</v>
      </c>
      <c r="QT6" s="211">
        <f>'Capacity Backing (Hide)2'!NQ1</f>
        <v>0</v>
      </c>
      <c r="QU6" s="211">
        <f>'Capacity Backing (Hide)2'!NR1</f>
        <v>0</v>
      </c>
      <c r="QV6" s="211">
        <f>'Capacity Backing (Hide)2'!NS1</f>
        <v>0</v>
      </c>
      <c r="QW6" s="211">
        <f>'Capacity Backing (Hide)2'!NT1</f>
        <v>0</v>
      </c>
      <c r="QX6" s="211">
        <f>'Capacity Backing (Hide)2'!NU1</f>
        <v>0</v>
      </c>
      <c r="QY6" s="211">
        <f>'Capacity Backing (Hide)2'!NV1</f>
        <v>0</v>
      </c>
      <c r="QZ6" s="211">
        <f>'Capacity Backing (Hide)2'!NW1</f>
        <v>0</v>
      </c>
      <c r="RA6" s="211">
        <f>'Capacity Backing (Hide)2'!NX1</f>
        <v>0</v>
      </c>
      <c r="RB6" s="211">
        <f>'Capacity Backing (Hide)2'!NY1</f>
        <v>0</v>
      </c>
      <c r="RC6" s="211">
        <f>'Capacity Backing (Hide)2'!NZ1</f>
        <v>0</v>
      </c>
      <c r="RD6" s="211">
        <f>'Capacity Backing (Hide)2'!OA1</f>
        <v>0</v>
      </c>
      <c r="RE6" s="211">
        <f>'Capacity Backing (Hide)2'!OB1</f>
        <v>0</v>
      </c>
      <c r="RF6" s="211">
        <f>'Capacity Backing (Hide)2'!OC1</f>
        <v>0</v>
      </c>
      <c r="RG6" s="211">
        <f>'Capacity Backing (Hide)2'!OD1</f>
        <v>0</v>
      </c>
      <c r="RH6" s="211">
        <f>'Capacity Backing (Hide)2'!OE1</f>
        <v>0</v>
      </c>
      <c r="RI6" s="211">
        <f>'Capacity Backing (Hide)2'!OF1</f>
        <v>0</v>
      </c>
      <c r="RJ6" s="211">
        <f>'Capacity Backing (Hide)2'!OG1</f>
        <v>0</v>
      </c>
      <c r="RK6" s="211">
        <f>'Capacity Backing (Hide)2'!OH1</f>
        <v>0</v>
      </c>
      <c r="RL6" s="211">
        <f>'Capacity Backing (Hide)2'!OI1</f>
        <v>0</v>
      </c>
      <c r="RM6" s="211">
        <f>'Capacity Backing (Hide)2'!OJ1</f>
        <v>0</v>
      </c>
      <c r="RN6" s="211">
        <f>'Capacity Backing (Hide)2'!OK1</f>
        <v>0</v>
      </c>
      <c r="RO6" s="211">
        <f>'Capacity Backing (Hide)2'!OL1</f>
        <v>0</v>
      </c>
      <c r="RP6" s="211">
        <f>'Capacity Backing (Hide)2'!OM1</f>
        <v>0</v>
      </c>
      <c r="RQ6" s="187"/>
      <c r="RR6" s="214">
        <f>'Capacity Backing (Hide)2'!ON1</f>
        <v>0</v>
      </c>
      <c r="RS6" s="211">
        <f>'Capacity Backing (Hide)2'!OO1</f>
        <v>0</v>
      </c>
      <c r="RT6" s="211">
        <f>'Capacity Backing (Hide)2'!OP1</f>
        <v>0</v>
      </c>
      <c r="RU6" s="211">
        <f>'Capacity Backing (Hide)2'!OQ1</f>
        <v>0</v>
      </c>
      <c r="RV6" s="211">
        <f>'Capacity Backing (Hide)2'!OR1</f>
        <v>0</v>
      </c>
      <c r="RW6" s="211">
        <f>'Capacity Backing (Hide)2'!OS1</f>
        <v>0</v>
      </c>
      <c r="RX6" s="211">
        <f>'Capacity Backing (Hide)2'!OT1</f>
        <v>0</v>
      </c>
      <c r="RY6" s="211">
        <f>'Capacity Backing (Hide)2'!OU1</f>
        <v>0</v>
      </c>
      <c r="RZ6" s="211">
        <f>'Capacity Backing (Hide)2'!OV1</f>
        <v>0</v>
      </c>
      <c r="SA6" s="211">
        <f>'Capacity Backing (Hide)2'!OW1</f>
        <v>0</v>
      </c>
      <c r="SB6" s="211">
        <f>'Capacity Backing (Hide)2'!OX1</f>
        <v>0</v>
      </c>
      <c r="SC6" s="211">
        <f>'Capacity Backing (Hide)2'!OY1</f>
        <v>0</v>
      </c>
      <c r="SD6" s="211">
        <f>'Capacity Backing (Hide)2'!OZ1</f>
        <v>0</v>
      </c>
      <c r="SE6" s="211">
        <f>'Capacity Backing (Hide)2'!PA1</f>
        <v>0</v>
      </c>
      <c r="SF6" s="211">
        <f>'Capacity Backing (Hide)2'!PB1</f>
        <v>0</v>
      </c>
      <c r="SG6" s="211">
        <f>'Capacity Backing (Hide)2'!PC1</f>
        <v>0</v>
      </c>
      <c r="SH6" s="211">
        <f>'Capacity Backing (Hide)2'!PD1</f>
        <v>0</v>
      </c>
      <c r="SI6" s="211">
        <f>'Capacity Backing (Hide)2'!PE1</f>
        <v>0</v>
      </c>
      <c r="SJ6" s="211">
        <f>'Capacity Backing (Hide)2'!PF1</f>
        <v>0</v>
      </c>
      <c r="SK6" s="211">
        <f>'Capacity Backing (Hide)2'!PG1</f>
        <v>0</v>
      </c>
      <c r="SL6" s="211">
        <f>'Capacity Backing (Hide)2'!PH1</f>
        <v>0</v>
      </c>
      <c r="SM6" s="211">
        <f>'Capacity Backing (Hide)2'!PI1</f>
        <v>0</v>
      </c>
      <c r="SN6" s="211">
        <f>'Capacity Backing (Hide)2'!PJ1</f>
        <v>0</v>
      </c>
      <c r="SO6" s="211">
        <f>'Capacity Backing (Hide)2'!PK1</f>
        <v>0</v>
      </c>
      <c r="SP6" s="211">
        <f>'Capacity Backing (Hide)2'!PL1</f>
        <v>0</v>
      </c>
      <c r="SQ6" s="211">
        <f>'Capacity Backing (Hide)2'!PM1</f>
        <v>0</v>
      </c>
      <c r="SR6" s="211">
        <f>'Capacity Backing (Hide)2'!PN1</f>
        <v>0</v>
      </c>
      <c r="SS6" s="211">
        <f>'Capacity Backing (Hide)2'!PO1</f>
        <v>0</v>
      </c>
      <c r="ST6" s="211">
        <f>'Capacity Backing (Hide)2'!PP1</f>
        <v>0</v>
      </c>
      <c r="SU6" s="211">
        <f>'Capacity Backing (Hide)2'!PQ1</f>
        <v>0</v>
      </c>
      <c r="SV6" s="211">
        <f>'Capacity Backing (Hide)2'!PR1</f>
        <v>0</v>
      </c>
      <c r="SW6" s="211">
        <f>'Capacity Backing (Hide)2'!PS1</f>
        <v>0</v>
      </c>
      <c r="SX6" s="211">
        <f>'Capacity Backing (Hide)2'!PT1</f>
        <v>0</v>
      </c>
      <c r="SY6" s="211">
        <f>'Capacity Backing (Hide)2'!PU1</f>
        <v>0</v>
      </c>
      <c r="SZ6" s="211">
        <f>'Capacity Backing (Hide)2'!PV1</f>
        <v>0</v>
      </c>
      <c r="TA6" s="211">
        <f>'Capacity Backing (Hide)2'!PW1</f>
        <v>0</v>
      </c>
      <c r="TB6" s="211">
        <f>'Capacity Backing (Hide)2'!PX1</f>
        <v>0</v>
      </c>
      <c r="TC6" s="211">
        <f>'Capacity Backing (Hide)2'!PY1</f>
        <v>0</v>
      </c>
      <c r="TD6" s="211">
        <f>'Capacity Backing (Hide)2'!PZ1</f>
        <v>0</v>
      </c>
      <c r="TE6" s="211">
        <f>'Capacity Backing (Hide)2'!QA1</f>
        <v>0</v>
      </c>
      <c r="TF6" s="211">
        <f>'Capacity Backing (Hide)2'!QB1</f>
        <v>0</v>
      </c>
      <c r="TG6" s="211">
        <f>'Capacity Backing (Hide)2'!QC1</f>
        <v>0</v>
      </c>
      <c r="TH6" s="211">
        <f>'Capacity Backing (Hide)2'!QD1</f>
        <v>0</v>
      </c>
      <c r="TI6" s="211">
        <f>'Capacity Backing (Hide)2'!QE1</f>
        <v>0</v>
      </c>
      <c r="TJ6" s="211">
        <f>'Capacity Backing (Hide)2'!QF1</f>
        <v>0</v>
      </c>
      <c r="TK6" s="211">
        <f>'Capacity Backing (Hide)2'!QG1</f>
        <v>0</v>
      </c>
      <c r="TL6" s="211">
        <f>'Capacity Backing (Hide)2'!QH1</f>
        <v>0</v>
      </c>
      <c r="TM6" s="211">
        <f>'Capacity Backing (Hide)2'!QI1</f>
        <v>0</v>
      </c>
      <c r="TN6" s="211">
        <f>'Capacity Backing (Hide)2'!QJ1</f>
        <v>0</v>
      </c>
      <c r="TO6" s="211">
        <f>'Capacity Backing (Hide)2'!QK1</f>
        <v>0</v>
      </c>
      <c r="TP6" s="211">
        <f>'Capacity Backing (Hide)2'!QL1</f>
        <v>0</v>
      </c>
      <c r="TQ6" s="211">
        <f>'Capacity Backing (Hide)2'!QM1</f>
        <v>0</v>
      </c>
      <c r="TR6" s="211">
        <f>'Capacity Backing (Hide)2'!QN1</f>
        <v>0</v>
      </c>
      <c r="TS6" s="211">
        <f>'Capacity Backing (Hide)2'!QO1</f>
        <v>0</v>
      </c>
      <c r="TT6" s="211">
        <f>'Capacity Backing (Hide)2'!QP1</f>
        <v>0</v>
      </c>
      <c r="TU6" s="211">
        <f>'Capacity Backing (Hide)2'!QQ1</f>
        <v>0</v>
      </c>
      <c r="TV6" s="211">
        <f>'Capacity Backing (Hide)2'!QR1</f>
        <v>0</v>
      </c>
      <c r="TW6" s="211">
        <f>'Capacity Backing (Hide)2'!QS1</f>
        <v>0</v>
      </c>
      <c r="TX6" s="211">
        <f>'Capacity Backing (Hide)2'!QT1</f>
        <v>0</v>
      </c>
      <c r="TY6" s="211">
        <f>'Capacity Backing (Hide)2'!QU1</f>
        <v>0</v>
      </c>
      <c r="TZ6" s="211">
        <f>'Capacity Backing (Hide)2'!QV1</f>
        <v>0</v>
      </c>
      <c r="UA6" s="211">
        <f>'Capacity Backing (Hide)2'!QW1</f>
        <v>0</v>
      </c>
      <c r="UB6" s="211">
        <f>'Capacity Backing (Hide)2'!QX1</f>
        <v>0</v>
      </c>
      <c r="UC6" s="211">
        <f>'Capacity Backing (Hide)2'!QY1</f>
        <v>0</v>
      </c>
      <c r="UD6" s="211">
        <f>'Capacity Backing (Hide)2'!QZ1</f>
        <v>0</v>
      </c>
      <c r="UE6" s="211">
        <f>'Capacity Backing (Hide)2'!RA1</f>
        <v>0</v>
      </c>
      <c r="UF6" s="211">
        <f>'Capacity Backing (Hide)2'!RB1</f>
        <v>0</v>
      </c>
      <c r="UG6" s="211">
        <f>'Capacity Backing (Hide)2'!RC1</f>
        <v>0</v>
      </c>
      <c r="UH6" s="211">
        <f>'Capacity Backing (Hide)2'!RD1</f>
        <v>0</v>
      </c>
      <c r="UI6" s="211">
        <f>'Capacity Backing (Hide)2'!RE1</f>
        <v>0</v>
      </c>
      <c r="UJ6" s="211">
        <f>'Capacity Backing (Hide)2'!RF1</f>
        <v>0</v>
      </c>
      <c r="UK6" s="211">
        <f>'Capacity Backing (Hide)2'!RG1</f>
        <v>0</v>
      </c>
      <c r="UL6" s="211">
        <f>'Capacity Backing (Hide)2'!RH1</f>
        <v>0</v>
      </c>
      <c r="UM6" s="211">
        <f>'Capacity Backing (Hide)2'!RI1</f>
        <v>0</v>
      </c>
      <c r="UN6" s="211">
        <f>'Capacity Backing (Hide)2'!RJ1</f>
        <v>0</v>
      </c>
      <c r="UO6" s="211">
        <f>'Capacity Backing (Hide)2'!RK1</f>
        <v>0</v>
      </c>
      <c r="UP6" s="211">
        <f>'Capacity Backing (Hide)2'!RL1</f>
        <v>0</v>
      </c>
      <c r="UQ6" s="211">
        <f>'Capacity Backing (Hide)2'!RM1</f>
        <v>0</v>
      </c>
      <c r="UR6" s="211">
        <f>'Capacity Backing (Hide)2'!RN1</f>
        <v>0</v>
      </c>
      <c r="US6" s="211">
        <f>'Capacity Backing (Hide)2'!RO1</f>
        <v>0</v>
      </c>
      <c r="UT6" s="211">
        <f>'Capacity Backing (Hide)2'!RP1</f>
        <v>0</v>
      </c>
      <c r="UU6" s="211">
        <f>'Capacity Backing (Hide)2'!RQ1</f>
        <v>0</v>
      </c>
      <c r="UV6" s="211">
        <f>'Capacity Backing (Hide)2'!RR1</f>
        <v>0</v>
      </c>
      <c r="UW6" s="211">
        <f>'Capacity Backing (Hide)2'!RS1</f>
        <v>0</v>
      </c>
      <c r="UX6" s="211">
        <f>'Capacity Backing (Hide)2'!RT1</f>
        <v>0</v>
      </c>
      <c r="UY6" s="211">
        <f>'Capacity Backing (Hide)2'!RU1</f>
        <v>0</v>
      </c>
      <c r="UZ6" s="211">
        <f>'Capacity Backing (Hide)2'!RV1</f>
        <v>0</v>
      </c>
      <c r="VA6" s="211">
        <f>'Capacity Backing (Hide)2'!RW1</f>
        <v>0</v>
      </c>
      <c r="VB6" s="211">
        <f>'Capacity Backing (Hide)2'!RX1</f>
        <v>0</v>
      </c>
      <c r="VC6" s="211">
        <f>'Capacity Backing (Hide)2'!RY1</f>
        <v>0</v>
      </c>
      <c r="VD6" s="211">
        <f>'Capacity Backing (Hide)2'!RZ1</f>
        <v>0</v>
      </c>
      <c r="VE6" s="211">
        <f>'Capacity Backing (Hide)2'!SA1</f>
        <v>0</v>
      </c>
      <c r="VF6" s="211">
        <f>'Capacity Backing (Hide)2'!SB1</f>
        <v>0</v>
      </c>
      <c r="VG6" s="211">
        <f>'Capacity Backing (Hide)2'!SC1</f>
        <v>0</v>
      </c>
      <c r="VH6" s="211">
        <f>'Capacity Backing (Hide)2'!SD1</f>
        <v>0</v>
      </c>
      <c r="VI6" s="211">
        <f>'Capacity Backing (Hide)2'!SE1</f>
        <v>0</v>
      </c>
      <c r="VJ6" s="211">
        <f>'Capacity Backing (Hide)2'!SF1</f>
        <v>0</v>
      </c>
      <c r="VK6" s="211">
        <f>'Capacity Backing (Hide)2'!SG1</f>
        <v>0</v>
      </c>
      <c r="VL6" s="211">
        <f>'Capacity Backing (Hide)2'!SH1</f>
        <v>0</v>
      </c>
      <c r="VM6" s="211">
        <f>'Capacity Backing (Hide)2'!SI1</f>
        <v>0</v>
      </c>
      <c r="VN6" s="211">
        <f>'Capacity Backing (Hide)2'!SJ1</f>
        <v>0</v>
      </c>
      <c r="VO6" s="211">
        <f>'Capacity Backing (Hide)2'!SK1</f>
        <v>0</v>
      </c>
      <c r="VP6" s="211">
        <f>'Capacity Backing (Hide)2'!SL1</f>
        <v>0</v>
      </c>
      <c r="VQ6" s="211">
        <f>'Capacity Backing (Hide)2'!SM1</f>
        <v>0</v>
      </c>
      <c r="VR6" s="211">
        <f>'Capacity Backing (Hide)2'!SN1</f>
        <v>0</v>
      </c>
      <c r="VS6" s="211">
        <f>'Capacity Backing (Hide)2'!SO1</f>
        <v>0</v>
      </c>
      <c r="VT6" s="211">
        <f>'Capacity Backing (Hide)2'!SP1</f>
        <v>0</v>
      </c>
      <c r="VU6" s="211">
        <f>'Capacity Backing (Hide)2'!SQ1</f>
        <v>0</v>
      </c>
      <c r="VV6" s="211">
        <f>'Capacity Backing (Hide)2'!SR1</f>
        <v>0</v>
      </c>
      <c r="VW6" s="211">
        <f>'Capacity Backing (Hide)2'!SS1</f>
        <v>0</v>
      </c>
      <c r="VX6" s="211">
        <f>'Capacity Backing (Hide)2'!ST1</f>
        <v>0</v>
      </c>
      <c r="VY6" s="211">
        <f>'Capacity Backing (Hide)2'!SU1</f>
        <v>0</v>
      </c>
      <c r="VZ6" s="211">
        <f>'Capacity Backing (Hide)2'!SV1</f>
        <v>0</v>
      </c>
      <c r="WA6" s="211">
        <f>'Capacity Backing (Hide)2'!SW1</f>
        <v>0</v>
      </c>
      <c r="WB6" s="211">
        <f>'Capacity Backing (Hide)2'!SX1</f>
        <v>0</v>
      </c>
      <c r="WC6" s="211">
        <f>'Capacity Backing (Hide)2'!SY1</f>
        <v>0</v>
      </c>
      <c r="WD6" s="211">
        <f>'Capacity Backing (Hide)2'!SZ1</f>
        <v>0</v>
      </c>
      <c r="WE6" s="211">
        <f>'Capacity Backing (Hide)2'!TA1</f>
        <v>0</v>
      </c>
      <c r="WF6" s="211">
        <f>'Capacity Backing (Hide)2'!TB1</f>
        <v>0</v>
      </c>
      <c r="WG6" s="211">
        <f>'Capacity Backing (Hide)2'!TC1</f>
        <v>0</v>
      </c>
      <c r="WH6" s="211">
        <f>'Capacity Backing (Hide)2'!TD1</f>
        <v>0</v>
      </c>
      <c r="WI6" s="211">
        <f>'Capacity Backing (Hide)2'!TE1</f>
        <v>0</v>
      </c>
      <c r="WJ6" s="211">
        <f>'Capacity Backing (Hide)2'!TF1</f>
        <v>0</v>
      </c>
      <c r="WK6" s="211">
        <f>'Capacity Backing (Hide)2'!TG1</f>
        <v>0</v>
      </c>
      <c r="WL6" s="211">
        <f>'Capacity Backing (Hide)2'!TH1</f>
        <v>0</v>
      </c>
      <c r="WM6" s="211">
        <f>'Capacity Backing (Hide)2'!TI1</f>
        <v>0</v>
      </c>
      <c r="WN6" s="211">
        <f>'Capacity Backing (Hide)2'!TJ1</f>
        <v>0</v>
      </c>
      <c r="WO6" s="211">
        <f>'Capacity Backing (Hide)2'!TK1</f>
        <v>0</v>
      </c>
      <c r="WP6" s="211">
        <f>'Capacity Backing (Hide)2'!TL1</f>
        <v>0</v>
      </c>
      <c r="WQ6" s="211">
        <f>'Capacity Backing (Hide)2'!TM1</f>
        <v>0</v>
      </c>
      <c r="WR6" s="211">
        <f>'Capacity Backing (Hide)2'!TN1</f>
        <v>0</v>
      </c>
      <c r="WS6" s="211">
        <f>'Capacity Backing (Hide)2'!TO1</f>
        <v>0</v>
      </c>
      <c r="WT6" s="211">
        <f>'Capacity Backing (Hide)2'!TP1</f>
        <v>0</v>
      </c>
      <c r="WU6" s="211">
        <f>'Capacity Backing (Hide)2'!TQ1</f>
        <v>0</v>
      </c>
      <c r="WV6" s="211">
        <f>'Capacity Backing (Hide)2'!TR1</f>
        <v>0</v>
      </c>
      <c r="WW6" s="211">
        <f>'Capacity Backing (Hide)2'!TS1</f>
        <v>0</v>
      </c>
      <c r="WX6" s="211">
        <f>'Capacity Backing (Hide)2'!TT1</f>
        <v>0</v>
      </c>
      <c r="WY6" s="211">
        <f>'Capacity Backing (Hide)2'!TU1</f>
        <v>0</v>
      </c>
      <c r="WZ6" s="211">
        <f>'Capacity Backing (Hide)2'!TV1</f>
        <v>0</v>
      </c>
      <c r="XA6" s="211">
        <f>'Capacity Backing (Hide)2'!TW1</f>
        <v>0</v>
      </c>
      <c r="XB6" s="211">
        <f>'Capacity Backing (Hide)2'!TX1</f>
        <v>0</v>
      </c>
      <c r="XC6" s="211">
        <f>'Capacity Backing (Hide)2'!TY1</f>
        <v>0</v>
      </c>
      <c r="XD6" s="211">
        <f>'Capacity Backing (Hide)2'!TZ1</f>
        <v>0</v>
      </c>
      <c r="XE6" s="211">
        <f>'Capacity Backing (Hide)2'!UA1</f>
        <v>0</v>
      </c>
      <c r="XF6" s="211">
        <f>'Capacity Backing (Hide)2'!UB1</f>
        <v>0</v>
      </c>
      <c r="XG6" s="211">
        <f>'Capacity Backing (Hide)2'!UC1</f>
        <v>0</v>
      </c>
      <c r="XH6" s="211">
        <f>'Capacity Backing (Hide)2'!UD1</f>
        <v>0</v>
      </c>
      <c r="XI6" s="211">
        <f>'Capacity Backing (Hide)2'!UE1</f>
        <v>0</v>
      </c>
      <c r="XJ6" s="211">
        <f>'Capacity Backing (Hide)2'!UF1</f>
        <v>0</v>
      </c>
      <c r="XK6" s="211">
        <f>'Capacity Backing (Hide)2'!UG1</f>
        <v>0</v>
      </c>
      <c r="XL6" s="211">
        <f>'Capacity Backing (Hide)2'!UH1</f>
        <v>0</v>
      </c>
      <c r="XM6" s="211">
        <f>'Capacity Backing (Hide)2'!UI1</f>
        <v>0</v>
      </c>
      <c r="XN6" s="211">
        <f>'Capacity Backing (Hide)2'!UJ1</f>
        <v>0</v>
      </c>
      <c r="XO6" s="211">
        <f>'Capacity Backing (Hide)2'!UK1</f>
        <v>0</v>
      </c>
      <c r="XP6" s="211">
        <f>'Capacity Backing (Hide)2'!UL1</f>
        <v>0</v>
      </c>
      <c r="XQ6" s="211">
        <f>'Capacity Backing (Hide)2'!UM1</f>
        <v>0</v>
      </c>
      <c r="XR6" s="211">
        <f>'Capacity Backing (Hide)2'!UN1</f>
        <v>0</v>
      </c>
      <c r="XS6" s="211">
        <f>'Capacity Backing (Hide)2'!UO1</f>
        <v>0</v>
      </c>
      <c r="XT6" s="211">
        <f>'Capacity Backing (Hide)2'!UP1</f>
        <v>0</v>
      </c>
      <c r="XU6" s="211">
        <f>'Capacity Backing (Hide)2'!UQ1</f>
        <v>0</v>
      </c>
      <c r="XV6" s="211">
        <f>'Capacity Backing (Hide)2'!UR1</f>
        <v>0</v>
      </c>
      <c r="XW6" s="211">
        <f>'Capacity Backing (Hide)2'!US1</f>
        <v>0</v>
      </c>
      <c r="XX6" s="211">
        <f>'Capacity Backing (Hide)2'!UT1</f>
        <v>0</v>
      </c>
      <c r="XY6" s="211">
        <f>'Capacity Backing (Hide)2'!UU1</f>
        <v>0</v>
      </c>
      <c r="XZ6" s="211">
        <f>'Capacity Backing (Hide)2'!UV1</f>
        <v>0</v>
      </c>
      <c r="YA6" s="211">
        <f>'Capacity Backing (Hide)2'!UW1</f>
        <v>0</v>
      </c>
      <c r="YB6" s="211">
        <f>'Capacity Backing (Hide)2'!UX1</f>
        <v>0</v>
      </c>
      <c r="YC6" s="211">
        <f>'Capacity Backing (Hide)2'!UY1</f>
        <v>0</v>
      </c>
      <c r="YD6" s="211">
        <f>'Capacity Backing (Hide)2'!UZ1</f>
        <v>0</v>
      </c>
      <c r="YE6" s="211">
        <f>'Capacity Backing (Hide)2'!VA1</f>
        <v>0</v>
      </c>
      <c r="YF6" s="211">
        <f>'Capacity Backing (Hide)2'!VB1</f>
        <v>0</v>
      </c>
      <c r="YG6" s="211">
        <f>'Capacity Backing (Hide)2'!VC1</f>
        <v>0</v>
      </c>
      <c r="YH6" s="211">
        <f>'Capacity Backing (Hide)2'!VD1</f>
        <v>0</v>
      </c>
      <c r="YI6" s="211">
        <f>'Capacity Backing (Hide)2'!VE1</f>
        <v>0</v>
      </c>
      <c r="YJ6" s="211">
        <f>'Capacity Backing (Hide)2'!VF1</f>
        <v>0</v>
      </c>
      <c r="YK6" s="211">
        <f>'Capacity Backing (Hide)2'!VG1</f>
        <v>0</v>
      </c>
      <c r="YL6" s="211">
        <f>'Capacity Backing (Hide)2'!VH1</f>
        <v>0</v>
      </c>
      <c r="YM6" s="211">
        <f>'Capacity Backing (Hide)2'!VI1</f>
        <v>0</v>
      </c>
      <c r="YN6" s="211">
        <f>'Capacity Backing (Hide)2'!VJ1</f>
        <v>0</v>
      </c>
      <c r="YO6" s="211">
        <f>'Capacity Backing (Hide)2'!VK1</f>
        <v>0</v>
      </c>
      <c r="YP6" s="211">
        <f>'Capacity Backing (Hide)2'!VL1</f>
        <v>0</v>
      </c>
      <c r="YQ6" s="211">
        <f>'Capacity Backing (Hide)2'!VM1</f>
        <v>0</v>
      </c>
      <c r="YR6" s="211">
        <f>'Capacity Backing (Hide)2'!VN1</f>
        <v>0</v>
      </c>
      <c r="YS6" s="211">
        <f>'Capacity Backing (Hide)2'!VO1</f>
        <v>0</v>
      </c>
      <c r="YT6" s="211">
        <f>'Capacity Backing (Hide)2'!VP1</f>
        <v>0</v>
      </c>
      <c r="YU6" s="211">
        <f>'Capacity Backing (Hide)2'!VQ1</f>
        <v>0</v>
      </c>
      <c r="YV6" s="211">
        <f>'Capacity Backing (Hide)2'!VR1</f>
        <v>0</v>
      </c>
      <c r="YW6" s="211">
        <f>'Capacity Backing (Hide)2'!VS1</f>
        <v>0</v>
      </c>
      <c r="YX6" s="211">
        <f>'Capacity Backing (Hide)2'!VT1</f>
        <v>0</v>
      </c>
      <c r="YY6" s="211">
        <f>'Capacity Backing (Hide)2'!VU1</f>
        <v>0</v>
      </c>
      <c r="YZ6" s="211">
        <f>'Capacity Backing (Hide)2'!VV1</f>
        <v>0</v>
      </c>
      <c r="ZA6" s="211">
        <f>'Capacity Backing (Hide)2'!VW1</f>
        <v>0</v>
      </c>
      <c r="ZB6" s="211">
        <f>'Capacity Backing (Hide)2'!VX1</f>
        <v>0</v>
      </c>
      <c r="ZC6" s="211">
        <f>'Capacity Backing (Hide)2'!VY1</f>
        <v>0</v>
      </c>
      <c r="ZD6" s="211">
        <f>'Capacity Backing (Hide)2'!VZ1</f>
        <v>0</v>
      </c>
      <c r="ZE6" s="211">
        <f>'Capacity Backing (Hide)2'!WA1</f>
        <v>0</v>
      </c>
      <c r="ZF6" s="211">
        <f>'Capacity Backing (Hide)2'!WB1</f>
        <v>0</v>
      </c>
      <c r="ZG6" s="211">
        <f>'Capacity Backing (Hide)2'!WC1</f>
        <v>0</v>
      </c>
      <c r="ZH6" s="211">
        <f>'Capacity Backing (Hide)2'!WD1</f>
        <v>0</v>
      </c>
      <c r="ZI6" s="211">
        <f>'Capacity Backing (Hide)2'!WE1</f>
        <v>0</v>
      </c>
      <c r="ZJ6" s="208" t="s">
        <v>299</v>
      </c>
      <c r="ZK6" s="186">
        <f ca="1">'Capacity Summary'!H35</f>
        <v>44228</v>
      </c>
      <c r="ZL6" s="186">
        <f ca="1">'Capacity Summary'!I35</f>
        <v>44235</v>
      </c>
      <c r="ZM6" s="186">
        <f ca="1">'Capacity Summary'!J35</f>
        <v>44242</v>
      </c>
      <c r="ZN6" s="186">
        <f ca="1">'Capacity Summary'!K35</f>
        <v>44249</v>
      </c>
      <c r="ZO6" s="186">
        <f ca="1">'Capacity Summary'!L35</f>
        <v>44256</v>
      </c>
      <c r="ZP6" s="186">
        <f ca="1">'Capacity Summary'!M35</f>
        <v>44263</v>
      </c>
      <c r="ZQ6" s="186">
        <f ca="1">'Capacity Summary'!N35</f>
        <v>44270</v>
      </c>
      <c r="ZR6" s="186">
        <f ca="1">'Capacity Summary'!O35</f>
        <v>44277</v>
      </c>
      <c r="ZS6" s="186">
        <f ca="1">'Capacity Summary'!P35</f>
        <v>44284</v>
      </c>
      <c r="ZT6" s="186">
        <f ca="1">'Capacity Summary'!Q35</f>
        <v>44291</v>
      </c>
      <c r="ZU6" s="186">
        <f ca="1">'Capacity Summary'!R35</f>
        <v>44298</v>
      </c>
      <c r="ZV6" s="186">
        <f ca="1">'Capacity Summary'!S35</f>
        <v>44305</v>
      </c>
      <c r="ZW6" s="186">
        <f ca="1">'Capacity Summary'!T35</f>
        <v>44312</v>
      </c>
      <c r="ZX6" s="186">
        <f ca="1">'Capacity Summary'!U35</f>
        <v>44319</v>
      </c>
      <c r="ZY6" s="186">
        <f ca="1">'Capacity Summary'!V35</f>
        <v>44326</v>
      </c>
      <c r="ZZ6" s="186">
        <f ca="1">'Capacity Summary'!W35</f>
        <v>44333</v>
      </c>
      <c r="AAA6" s="186">
        <f ca="1">'Capacity Summary'!X35</f>
        <v>44340</v>
      </c>
      <c r="AAB6" s="186">
        <f ca="1">'Capacity Summary'!Y35</f>
        <v>44347</v>
      </c>
      <c r="AAC6" s="186">
        <f ca="1">'Capacity Summary'!Z35</f>
        <v>44354</v>
      </c>
      <c r="AAD6" s="186">
        <f ca="1">'Capacity Summary'!AA35</f>
        <v>44361</v>
      </c>
      <c r="AAE6" s="186">
        <f ca="1">'Capacity Summary'!AB35</f>
        <v>44368</v>
      </c>
      <c r="AAF6" s="186">
        <f ca="1">'Capacity Summary'!AC35</f>
        <v>44375</v>
      </c>
      <c r="AAG6" s="186">
        <f ca="1">'Capacity Summary'!AD35</f>
        <v>44382</v>
      </c>
      <c r="AAH6" s="186">
        <f ca="1">'Capacity Summary'!AE35</f>
        <v>44389</v>
      </c>
      <c r="AAI6" s="186">
        <f ca="1">'Capacity Summary'!AF35</f>
        <v>44396</v>
      </c>
      <c r="AAJ6" s="186">
        <f ca="1">'Capacity Summary'!AG35</f>
        <v>44403</v>
      </c>
      <c r="AAK6" s="186">
        <f ca="1">'Capacity Summary'!AH35</f>
        <v>44410</v>
      </c>
      <c r="AAL6" s="186">
        <f ca="1">'Capacity Summary'!AI35</f>
        <v>44417</v>
      </c>
      <c r="AAM6" s="186">
        <f ca="1">'Capacity Summary'!AJ35</f>
        <v>44424</v>
      </c>
      <c r="AAN6" s="186">
        <f ca="1">'Capacity Summary'!AK35</f>
        <v>44431</v>
      </c>
      <c r="AAO6" s="186">
        <f ca="1">'Capacity Summary'!AL35</f>
        <v>44438</v>
      </c>
      <c r="AAP6" s="186">
        <f ca="1">'Capacity Summary'!AM35</f>
        <v>44445</v>
      </c>
      <c r="AAQ6" s="186">
        <f ca="1">'Capacity Summary'!AN35</f>
        <v>44452</v>
      </c>
      <c r="AAR6" s="186">
        <f ca="1">'Capacity Summary'!AO35</f>
        <v>44459</v>
      </c>
      <c r="AAS6" s="186">
        <f ca="1">'Capacity Summary'!AP35</f>
        <v>44466</v>
      </c>
      <c r="AAT6" s="186">
        <f ca="1">'Capacity Summary'!AQ35</f>
        <v>44473</v>
      </c>
      <c r="AAU6" s="186">
        <f ca="1">'Capacity Summary'!AR35</f>
        <v>44480</v>
      </c>
      <c r="AAV6" s="186">
        <f ca="1">'Capacity Summary'!AS35</f>
        <v>44487</v>
      </c>
      <c r="AAW6" s="186">
        <f ca="1">'Capacity Summary'!AT35</f>
        <v>44494</v>
      </c>
      <c r="AAX6" s="186">
        <f ca="1">'Capacity Summary'!AU35</f>
        <v>44501</v>
      </c>
      <c r="AAY6" s="186">
        <f ca="1">'Capacity Summary'!AV35</f>
        <v>44508</v>
      </c>
      <c r="AAZ6" s="186">
        <f ca="1">'Capacity Summary'!AW35</f>
        <v>44515</v>
      </c>
      <c r="ABA6" s="186">
        <f ca="1">'Capacity Summary'!AX35</f>
        <v>44522</v>
      </c>
      <c r="ABB6" s="186">
        <f ca="1">'Capacity Summary'!AY35</f>
        <v>44529</v>
      </c>
      <c r="ABC6" s="186">
        <f ca="1">'Capacity Summary'!AZ35</f>
        <v>44536</v>
      </c>
      <c r="ABD6" s="186">
        <f ca="1">'Capacity Summary'!BA35</f>
        <v>44543</v>
      </c>
      <c r="ABE6" s="186">
        <f ca="1">'Capacity Summary'!BB35</f>
        <v>44550</v>
      </c>
      <c r="ABF6" s="186">
        <f ca="1">'Capacity Summary'!BC35</f>
        <v>44557</v>
      </c>
      <c r="ABG6" s="186">
        <f ca="1">'Capacity Summary'!BD35</f>
        <v>44564</v>
      </c>
      <c r="ABH6" s="186">
        <f ca="1">'Capacity Summary'!BE35</f>
        <v>44571</v>
      </c>
      <c r="ABI6" s="186">
        <f ca="1">'Capacity Summary'!BF35</f>
        <v>44578</v>
      </c>
      <c r="ABJ6" s="186">
        <f ca="1">'Capacity Summary'!BG35</f>
        <v>44585</v>
      </c>
    </row>
    <row r="7" spans="1:738" x14ac:dyDescent="0.25">
      <c r="A7">
        <f>IF(B7&lt;&gt;"",ROW(A1),0)</f>
        <v>0</v>
      </c>
    </row>
    <row r="8" spans="1:738" x14ac:dyDescent="0.25">
      <c r="A8">
        <f t="shared" ref="A8:A71" si="0">IF(B8&lt;&gt;"",ROW(A2),0)</f>
        <v>0</v>
      </c>
    </row>
    <row r="9" spans="1:738" x14ac:dyDescent="0.25">
      <c r="A9">
        <f t="shared" si="0"/>
        <v>0</v>
      </c>
    </row>
    <row r="10" spans="1:738" x14ac:dyDescent="0.25">
      <c r="A10">
        <f t="shared" si="0"/>
        <v>0</v>
      </c>
    </row>
    <row r="11" spans="1:738" x14ac:dyDescent="0.25">
      <c r="A11">
        <f t="shared" si="0"/>
        <v>0</v>
      </c>
    </row>
    <row r="12" spans="1:738" x14ac:dyDescent="0.25">
      <c r="A12">
        <f t="shared" si="0"/>
        <v>0</v>
      </c>
    </row>
    <row r="13" spans="1:738" x14ac:dyDescent="0.25">
      <c r="A13">
        <f t="shared" si="0"/>
        <v>0</v>
      </c>
    </row>
    <row r="14" spans="1:738" x14ac:dyDescent="0.25">
      <c r="A14">
        <f t="shared" si="0"/>
        <v>0</v>
      </c>
    </row>
    <row r="15" spans="1:738" x14ac:dyDescent="0.25">
      <c r="A15">
        <f t="shared" si="0"/>
        <v>0</v>
      </c>
    </row>
    <row r="16" spans="1:738" x14ac:dyDescent="0.25">
      <c r="A16">
        <f t="shared" si="0"/>
        <v>0</v>
      </c>
    </row>
    <row r="17" spans="1:1" x14ac:dyDescent="0.25">
      <c r="A17">
        <f t="shared" si="0"/>
        <v>0</v>
      </c>
    </row>
    <row r="18" spans="1:1" x14ac:dyDescent="0.25">
      <c r="A18">
        <f t="shared" si="0"/>
        <v>0</v>
      </c>
    </row>
    <row r="19" spans="1:1" x14ac:dyDescent="0.25">
      <c r="A19">
        <f t="shared" si="0"/>
        <v>0</v>
      </c>
    </row>
    <row r="20" spans="1:1" x14ac:dyDescent="0.25">
      <c r="A20">
        <f t="shared" si="0"/>
        <v>0</v>
      </c>
    </row>
    <row r="21" spans="1:1" x14ac:dyDescent="0.25">
      <c r="A21">
        <f t="shared" si="0"/>
        <v>0</v>
      </c>
    </row>
    <row r="22" spans="1:1" x14ac:dyDescent="0.25">
      <c r="A22">
        <f t="shared" si="0"/>
        <v>0</v>
      </c>
    </row>
    <row r="23" spans="1:1" x14ac:dyDescent="0.25">
      <c r="A23">
        <f t="shared" si="0"/>
        <v>0</v>
      </c>
    </row>
    <row r="24" spans="1:1" x14ac:dyDescent="0.25">
      <c r="A24">
        <f t="shared" si="0"/>
        <v>0</v>
      </c>
    </row>
    <row r="25" spans="1:1" x14ac:dyDescent="0.25">
      <c r="A25">
        <f t="shared" si="0"/>
        <v>0</v>
      </c>
    </row>
    <row r="26" spans="1:1" x14ac:dyDescent="0.25">
      <c r="A26">
        <f t="shared" si="0"/>
        <v>0</v>
      </c>
    </row>
    <row r="27" spans="1:1" x14ac:dyDescent="0.25">
      <c r="A27">
        <f t="shared" si="0"/>
        <v>0</v>
      </c>
    </row>
    <row r="28" spans="1:1" x14ac:dyDescent="0.25">
      <c r="A28">
        <f t="shared" si="0"/>
        <v>0</v>
      </c>
    </row>
    <row r="29" spans="1:1" x14ac:dyDescent="0.25">
      <c r="A29">
        <f t="shared" si="0"/>
        <v>0</v>
      </c>
    </row>
    <row r="30" spans="1:1" x14ac:dyDescent="0.25">
      <c r="A30">
        <f t="shared" si="0"/>
        <v>0</v>
      </c>
    </row>
    <row r="31" spans="1:1" x14ac:dyDescent="0.25">
      <c r="A31">
        <f t="shared" si="0"/>
        <v>0</v>
      </c>
    </row>
    <row r="32" spans="1:1" x14ac:dyDescent="0.25">
      <c r="A32">
        <f t="shared" si="0"/>
        <v>0</v>
      </c>
    </row>
    <row r="33" spans="1:1" x14ac:dyDescent="0.25">
      <c r="A33">
        <f t="shared" si="0"/>
        <v>0</v>
      </c>
    </row>
    <row r="34" spans="1:1" x14ac:dyDescent="0.25">
      <c r="A34">
        <f t="shared" si="0"/>
        <v>0</v>
      </c>
    </row>
    <row r="35" spans="1:1" x14ac:dyDescent="0.25">
      <c r="A35">
        <f t="shared" si="0"/>
        <v>0</v>
      </c>
    </row>
    <row r="36" spans="1:1" x14ac:dyDescent="0.25">
      <c r="A36">
        <f t="shared" si="0"/>
        <v>0</v>
      </c>
    </row>
    <row r="37" spans="1:1" x14ac:dyDescent="0.25">
      <c r="A37">
        <f t="shared" si="0"/>
        <v>0</v>
      </c>
    </row>
    <row r="38" spans="1:1" x14ac:dyDescent="0.25">
      <c r="A38">
        <f t="shared" si="0"/>
        <v>0</v>
      </c>
    </row>
    <row r="39" spans="1:1" x14ac:dyDescent="0.25">
      <c r="A39">
        <f t="shared" si="0"/>
        <v>0</v>
      </c>
    </row>
    <row r="40" spans="1:1" x14ac:dyDescent="0.25">
      <c r="A40">
        <f t="shared" si="0"/>
        <v>0</v>
      </c>
    </row>
    <row r="41" spans="1:1" x14ac:dyDescent="0.25">
      <c r="A41">
        <f t="shared" si="0"/>
        <v>0</v>
      </c>
    </row>
    <row r="42" spans="1:1" x14ac:dyDescent="0.25">
      <c r="A42">
        <f t="shared" si="0"/>
        <v>0</v>
      </c>
    </row>
    <row r="43" spans="1:1" x14ac:dyDescent="0.25">
      <c r="A43">
        <f t="shared" si="0"/>
        <v>0</v>
      </c>
    </row>
    <row r="44" spans="1:1" x14ac:dyDescent="0.25">
      <c r="A44">
        <f t="shared" si="0"/>
        <v>0</v>
      </c>
    </row>
    <row r="45" spans="1:1" x14ac:dyDescent="0.25">
      <c r="A45">
        <f t="shared" si="0"/>
        <v>0</v>
      </c>
    </row>
    <row r="46" spans="1:1" x14ac:dyDescent="0.25">
      <c r="A46">
        <f t="shared" si="0"/>
        <v>0</v>
      </c>
    </row>
    <row r="47" spans="1:1" x14ac:dyDescent="0.25">
      <c r="A47">
        <f t="shared" si="0"/>
        <v>0</v>
      </c>
    </row>
    <row r="48" spans="1:1" x14ac:dyDescent="0.25">
      <c r="A48">
        <f t="shared" si="0"/>
        <v>0</v>
      </c>
    </row>
    <row r="49" spans="1:1" x14ac:dyDescent="0.25">
      <c r="A49">
        <f t="shared" si="0"/>
        <v>0</v>
      </c>
    </row>
    <row r="50" spans="1:1" x14ac:dyDescent="0.25">
      <c r="A50">
        <f t="shared" si="0"/>
        <v>0</v>
      </c>
    </row>
    <row r="51" spans="1:1" x14ac:dyDescent="0.25">
      <c r="A51">
        <f t="shared" si="0"/>
        <v>0</v>
      </c>
    </row>
    <row r="52" spans="1:1" x14ac:dyDescent="0.25">
      <c r="A52">
        <f t="shared" si="0"/>
        <v>0</v>
      </c>
    </row>
    <row r="53" spans="1:1" x14ac:dyDescent="0.25">
      <c r="A53">
        <f t="shared" si="0"/>
        <v>0</v>
      </c>
    </row>
    <row r="54" spans="1:1" x14ac:dyDescent="0.25">
      <c r="A54">
        <f t="shared" si="0"/>
        <v>0</v>
      </c>
    </row>
    <row r="55" spans="1:1" x14ac:dyDescent="0.25">
      <c r="A55">
        <f t="shared" si="0"/>
        <v>0</v>
      </c>
    </row>
    <row r="56" spans="1:1" x14ac:dyDescent="0.25">
      <c r="A56">
        <f t="shared" si="0"/>
        <v>0</v>
      </c>
    </row>
    <row r="57" spans="1:1" x14ac:dyDescent="0.25">
      <c r="A57">
        <f t="shared" si="0"/>
        <v>0</v>
      </c>
    </row>
    <row r="58" spans="1:1" x14ac:dyDescent="0.25">
      <c r="A58">
        <f t="shared" si="0"/>
        <v>0</v>
      </c>
    </row>
    <row r="59" spans="1:1" x14ac:dyDescent="0.25">
      <c r="A59">
        <f t="shared" si="0"/>
        <v>0</v>
      </c>
    </row>
    <row r="60" spans="1:1" x14ac:dyDescent="0.25">
      <c r="A60">
        <f t="shared" si="0"/>
        <v>0</v>
      </c>
    </row>
    <row r="61" spans="1:1" x14ac:dyDescent="0.25">
      <c r="A61">
        <f t="shared" si="0"/>
        <v>0</v>
      </c>
    </row>
    <row r="62" spans="1:1" x14ac:dyDescent="0.25">
      <c r="A62">
        <f t="shared" si="0"/>
        <v>0</v>
      </c>
    </row>
    <row r="63" spans="1:1" x14ac:dyDescent="0.25">
      <c r="A63">
        <f t="shared" si="0"/>
        <v>0</v>
      </c>
    </row>
    <row r="64" spans="1:1" x14ac:dyDescent="0.25">
      <c r="A64">
        <f t="shared" si="0"/>
        <v>0</v>
      </c>
    </row>
    <row r="65" spans="1:1" x14ac:dyDescent="0.25">
      <c r="A65">
        <f t="shared" si="0"/>
        <v>0</v>
      </c>
    </row>
    <row r="66" spans="1:1" x14ac:dyDescent="0.25">
      <c r="A66">
        <f t="shared" si="0"/>
        <v>0</v>
      </c>
    </row>
    <row r="67" spans="1:1" x14ac:dyDescent="0.25">
      <c r="A67">
        <f t="shared" si="0"/>
        <v>0</v>
      </c>
    </row>
    <row r="68" spans="1:1" x14ac:dyDescent="0.25">
      <c r="A68">
        <f t="shared" si="0"/>
        <v>0</v>
      </c>
    </row>
    <row r="69" spans="1:1" x14ac:dyDescent="0.25">
      <c r="A69">
        <f t="shared" si="0"/>
        <v>0</v>
      </c>
    </row>
    <row r="70" spans="1:1" x14ac:dyDescent="0.25">
      <c r="A70">
        <f t="shared" si="0"/>
        <v>0</v>
      </c>
    </row>
    <row r="71" spans="1:1" x14ac:dyDescent="0.25">
      <c r="A71">
        <f t="shared" si="0"/>
        <v>0</v>
      </c>
    </row>
    <row r="72" spans="1:1" x14ac:dyDescent="0.25">
      <c r="A72">
        <f t="shared" ref="A72:A135" si="1">IF(B72&lt;&gt;"",ROW(A66),0)</f>
        <v>0</v>
      </c>
    </row>
    <row r="73" spans="1:1" x14ac:dyDescent="0.25">
      <c r="A73">
        <f t="shared" si="1"/>
        <v>0</v>
      </c>
    </row>
    <row r="74" spans="1:1" x14ac:dyDescent="0.25">
      <c r="A74">
        <f t="shared" si="1"/>
        <v>0</v>
      </c>
    </row>
    <row r="75" spans="1:1" x14ac:dyDescent="0.25">
      <c r="A75">
        <f t="shared" si="1"/>
        <v>0</v>
      </c>
    </row>
    <row r="76" spans="1:1" x14ac:dyDescent="0.25">
      <c r="A76">
        <f t="shared" si="1"/>
        <v>0</v>
      </c>
    </row>
    <row r="77" spans="1:1" x14ac:dyDescent="0.25">
      <c r="A77">
        <f t="shared" si="1"/>
        <v>0</v>
      </c>
    </row>
    <row r="78" spans="1:1" x14ac:dyDescent="0.25">
      <c r="A78">
        <f t="shared" si="1"/>
        <v>0</v>
      </c>
    </row>
    <row r="79" spans="1:1" x14ac:dyDescent="0.25">
      <c r="A79">
        <f t="shared" si="1"/>
        <v>0</v>
      </c>
    </row>
    <row r="80" spans="1:1" x14ac:dyDescent="0.25">
      <c r="A80">
        <f t="shared" si="1"/>
        <v>0</v>
      </c>
    </row>
    <row r="81" spans="1:1" x14ac:dyDescent="0.25">
      <c r="A81">
        <f t="shared" si="1"/>
        <v>0</v>
      </c>
    </row>
    <row r="82" spans="1:1" x14ac:dyDescent="0.25">
      <c r="A82">
        <f t="shared" si="1"/>
        <v>0</v>
      </c>
    </row>
    <row r="83" spans="1:1" x14ac:dyDescent="0.25">
      <c r="A83">
        <f t="shared" si="1"/>
        <v>0</v>
      </c>
    </row>
    <row r="84" spans="1:1" x14ac:dyDescent="0.25">
      <c r="A84">
        <f t="shared" si="1"/>
        <v>0</v>
      </c>
    </row>
    <row r="85" spans="1:1" x14ac:dyDescent="0.25">
      <c r="A85">
        <f t="shared" si="1"/>
        <v>0</v>
      </c>
    </row>
    <row r="86" spans="1:1" x14ac:dyDescent="0.25">
      <c r="A86">
        <f t="shared" si="1"/>
        <v>0</v>
      </c>
    </row>
    <row r="87" spans="1:1" x14ac:dyDescent="0.25">
      <c r="A87">
        <f t="shared" si="1"/>
        <v>0</v>
      </c>
    </row>
    <row r="88" spans="1:1" x14ac:dyDescent="0.25">
      <c r="A88">
        <f t="shared" si="1"/>
        <v>0</v>
      </c>
    </row>
    <row r="89" spans="1:1" x14ac:dyDescent="0.25">
      <c r="A89">
        <f t="shared" si="1"/>
        <v>0</v>
      </c>
    </row>
    <row r="90" spans="1:1" x14ac:dyDescent="0.25">
      <c r="A90">
        <f t="shared" si="1"/>
        <v>0</v>
      </c>
    </row>
    <row r="91" spans="1:1" x14ac:dyDescent="0.25">
      <c r="A91">
        <f t="shared" si="1"/>
        <v>0</v>
      </c>
    </row>
    <row r="92" spans="1:1" x14ac:dyDescent="0.25">
      <c r="A92">
        <f t="shared" si="1"/>
        <v>0</v>
      </c>
    </row>
    <row r="93" spans="1:1" x14ac:dyDescent="0.25">
      <c r="A93">
        <f t="shared" si="1"/>
        <v>0</v>
      </c>
    </row>
    <row r="94" spans="1:1" x14ac:dyDescent="0.25">
      <c r="A94">
        <f t="shared" si="1"/>
        <v>0</v>
      </c>
    </row>
    <row r="95" spans="1:1" x14ac:dyDescent="0.25">
      <c r="A95">
        <f t="shared" si="1"/>
        <v>0</v>
      </c>
    </row>
    <row r="96" spans="1:1" x14ac:dyDescent="0.25">
      <c r="A96">
        <f t="shared" si="1"/>
        <v>0</v>
      </c>
    </row>
    <row r="97" spans="1:1" x14ac:dyDescent="0.25">
      <c r="A97">
        <f t="shared" si="1"/>
        <v>0</v>
      </c>
    </row>
    <row r="98" spans="1:1" x14ac:dyDescent="0.25">
      <c r="A98">
        <f t="shared" si="1"/>
        <v>0</v>
      </c>
    </row>
    <row r="99" spans="1:1" x14ac:dyDescent="0.25">
      <c r="A99">
        <f t="shared" si="1"/>
        <v>0</v>
      </c>
    </row>
    <row r="100" spans="1:1" x14ac:dyDescent="0.25">
      <c r="A100">
        <f t="shared" si="1"/>
        <v>0</v>
      </c>
    </row>
    <row r="101" spans="1:1" x14ac:dyDescent="0.25">
      <c r="A101">
        <f t="shared" si="1"/>
        <v>0</v>
      </c>
    </row>
    <row r="102" spans="1:1" x14ac:dyDescent="0.25">
      <c r="A102">
        <f t="shared" si="1"/>
        <v>0</v>
      </c>
    </row>
    <row r="103" spans="1:1" x14ac:dyDescent="0.25">
      <c r="A103">
        <f t="shared" si="1"/>
        <v>0</v>
      </c>
    </row>
    <row r="104" spans="1:1" x14ac:dyDescent="0.25">
      <c r="A104">
        <f t="shared" si="1"/>
        <v>0</v>
      </c>
    </row>
    <row r="105" spans="1:1" x14ac:dyDescent="0.25">
      <c r="A105">
        <f t="shared" si="1"/>
        <v>0</v>
      </c>
    </row>
    <row r="106" spans="1:1" x14ac:dyDescent="0.25">
      <c r="A106">
        <f t="shared" si="1"/>
        <v>0</v>
      </c>
    </row>
  </sheetData>
  <mergeCells count="620">
    <mergeCell ref="AE5:AI5"/>
    <mergeCell ref="F5:J5"/>
    <mergeCell ref="K5:O5"/>
    <mergeCell ref="P5:T5"/>
    <mergeCell ref="U5:Y5"/>
    <mergeCell ref="Z5:AD5"/>
    <mergeCell ref="BN5:BR5"/>
    <mergeCell ref="BS5:BW5"/>
    <mergeCell ref="BX5:CB5"/>
    <mergeCell ref="AJ5:AN5"/>
    <mergeCell ref="AO5:AS5"/>
    <mergeCell ref="AT5:AX5"/>
    <mergeCell ref="AY5:BC5"/>
    <mergeCell ref="BD5:BH5"/>
    <mergeCell ref="BI5:BM5"/>
    <mergeCell ref="CJ2:CJ6"/>
    <mergeCell ref="CK2:CK6"/>
    <mergeCell ref="CL2:CL6"/>
    <mergeCell ref="CM2:CM6"/>
    <mergeCell ref="CN2:CN6"/>
    <mergeCell ref="CE2:CE6"/>
    <mergeCell ref="CF2:CF6"/>
    <mergeCell ref="CG2:CG6"/>
    <mergeCell ref="CH2:CH6"/>
    <mergeCell ref="CI2:CI6"/>
    <mergeCell ref="CT2:CT6"/>
    <mergeCell ref="CU2:CU6"/>
    <mergeCell ref="CV2:CV6"/>
    <mergeCell ref="CW2:CW6"/>
    <mergeCell ref="CX2:CX6"/>
    <mergeCell ref="CO2:CO6"/>
    <mergeCell ref="CP2:CP6"/>
    <mergeCell ref="CQ2:CQ6"/>
    <mergeCell ref="CR2:CR6"/>
    <mergeCell ref="CS2:CS6"/>
    <mergeCell ref="DD2:DD6"/>
    <mergeCell ref="DE2:DE6"/>
    <mergeCell ref="DF2:DF6"/>
    <mergeCell ref="DG2:DG6"/>
    <mergeCell ref="DH2:DH6"/>
    <mergeCell ref="CY2:CY6"/>
    <mergeCell ref="CZ2:CZ6"/>
    <mergeCell ref="DA2:DA6"/>
    <mergeCell ref="DB2:DB6"/>
    <mergeCell ref="DC2:DC6"/>
    <mergeCell ref="DN2:DN6"/>
    <mergeCell ref="DO2:DO6"/>
    <mergeCell ref="DP2:DP6"/>
    <mergeCell ref="DQ2:DQ6"/>
    <mergeCell ref="DR2:DR6"/>
    <mergeCell ref="DI2:DI6"/>
    <mergeCell ref="DJ2:DJ6"/>
    <mergeCell ref="DK2:DK6"/>
    <mergeCell ref="DL2:DL6"/>
    <mergeCell ref="DM2:DM6"/>
    <mergeCell ref="DX2:DX6"/>
    <mergeCell ref="DY2:DY6"/>
    <mergeCell ref="DZ2:DZ6"/>
    <mergeCell ref="EA2:EA6"/>
    <mergeCell ref="EB2:EB6"/>
    <mergeCell ref="DS2:DS6"/>
    <mergeCell ref="DT2:DT6"/>
    <mergeCell ref="DU2:DU6"/>
    <mergeCell ref="DV2:DV6"/>
    <mergeCell ref="DW2:DW6"/>
    <mergeCell ref="EH2:EH6"/>
    <mergeCell ref="EI2:EI6"/>
    <mergeCell ref="EJ2:EJ6"/>
    <mergeCell ref="EK2:EK6"/>
    <mergeCell ref="EL2:EL6"/>
    <mergeCell ref="EC2:EC6"/>
    <mergeCell ref="ED2:ED6"/>
    <mergeCell ref="EE2:EE6"/>
    <mergeCell ref="EF2:EF6"/>
    <mergeCell ref="EG2:EG6"/>
    <mergeCell ref="ER2:ER6"/>
    <mergeCell ref="ES2:ES6"/>
    <mergeCell ref="ET2:ET6"/>
    <mergeCell ref="EU2:EU6"/>
    <mergeCell ref="EV2:EV6"/>
    <mergeCell ref="EM2:EM6"/>
    <mergeCell ref="EN2:EN6"/>
    <mergeCell ref="EO2:EO6"/>
    <mergeCell ref="EP2:EP6"/>
    <mergeCell ref="EQ2:EQ6"/>
    <mergeCell ref="FB2:FB6"/>
    <mergeCell ref="FC2:FC6"/>
    <mergeCell ref="FD2:FD6"/>
    <mergeCell ref="FE2:FE6"/>
    <mergeCell ref="FF2:FF6"/>
    <mergeCell ref="EW2:EW6"/>
    <mergeCell ref="EX2:EX6"/>
    <mergeCell ref="EY2:EY6"/>
    <mergeCell ref="EZ2:EZ6"/>
    <mergeCell ref="FA2:FA6"/>
    <mergeCell ref="FL2:FL6"/>
    <mergeCell ref="FM2:FM6"/>
    <mergeCell ref="FN2:FN6"/>
    <mergeCell ref="FO2:FO6"/>
    <mergeCell ref="FP2:FP6"/>
    <mergeCell ref="FG2:FG6"/>
    <mergeCell ref="FH2:FH6"/>
    <mergeCell ref="FI2:FI6"/>
    <mergeCell ref="FJ2:FJ6"/>
    <mergeCell ref="FK2:FK6"/>
    <mergeCell ref="FV2:FV6"/>
    <mergeCell ref="FW2:FW6"/>
    <mergeCell ref="FX2:FX6"/>
    <mergeCell ref="FY2:FY6"/>
    <mergeCell ref="FZ2:FZ6"/>
    <mergeCell ref="FQ2:FQ6"/>
    <mergeCell ref="FR2:FR6"/>
    <mergeCell ref="FS2:FS6"/>
    <mergeCell ref="FT2:FT6"/>
    <mergeCell ref="FU2:FU6"/>
    <mergeCell ref="GG2:GG6"/>
    <mergeCell ref="GH2:GH6"/>
    <mergeCell ref="GI2:GI6"/>
    <mergeCell ref="GJ2:GJ6"/>
    <mergeCell ref="GK2:GK6"/>
    <mergeCell ref="GB2:GB6"/>
    <mergeCell ref="GC2:GC6"/>
    <mergeCell ref="GD2:GD6"/>
    <mergeCell ref="GE2:GE6"/>
    <mergeCell ref="GF2:GF6"/>
    <mergeCell ref="GQ2:GQ6"/>
    <mergeCell ref="GR2:GR6"/>
    <mergeCell ref="GS2:GS6"/>
    <mergeCell ref="GT2:GT6"/>
    <mergeCell ref="GU2:GU6"/>
    <mergeCell ref="GL2:GL6"/>
    <mergeCell ref="GM2:GM6"/>
    <mergeCell ref="GN2:GN6"/>
    <mergeCell ref="GO2:GO6"/>
    <mergeCell ref="GP2:GP6"/>
    <mergeCell ref="HA2:HA6"/>
    <mergeCell ref="HB2:HB6"/>
    <mergeCell ref="HC2:HC6"/>
    <mergeCell ref="HD2:HD6"/>
    <mergeCell ref="HE2:HE6"/>
    <mergeCell ref="GV2:GV6"/>
    <mergeCell ref="GW2:GW6"/>
    <mergeCell ref="GX2:GX6"/>
    <mergeCell ref="GY2:GY6"/>
    <mergeCell ref="GZ2:GZ6"/>
    <mergeCell ref="HK2:HK6"/>
    <mergeCell ref="HL2:HL6"/>
    <mergeCell ref="HM2:HM6"/>
    <mergeCell ref="HN2:HN6"/>
    <mergeCell ref="HO2:HO6"/>
    <mergeCell ref="HF2:HF6"/>
    <mergeCell ref="HG2:HG6"/>
    <mergeCell ref="HH2:HH6"/>
    <mergeCell ref="HI2:HI6"/>
    <mergeCell ref="HJ2:HJ6"/>
    <mergeCell ref="HU2:HU6"/>
    <mergeCell ref="HV2:HV6"/>
    <mergeCell ref="HW2:HW6"/>
    <mergeCell ref="HX2:HX6"/>
    <mergeCell ref="HY2:HY6"/>
    <mergeCell ref="HP2:HP6"/>
    <mergeCell ref="HQ2:HQ6"/>
    <mergeCell ref="HR2:HR6"/>
    <mergeCell ref="HS2:HS6"/>
    <mergeCell ref="HT2:HT6"/>
    <mergeCell ref="IE2:IE6"/>
    <mergeCell ref="IF2:IF6"/>
    <mergeCell ref="IG2:IG6"/>
    <mergeCell ref="IH2:IH6"/>
    <mergeCell ref="II2:II6"/>
    <mergeCell ref="HZ2:HZ6"/>
    <mergeCell ref="IA2:IA6"/>
    <mergeCell ref="IB2:IB6"/>
    <mergeCell ref="IC2:IC6"/>
    <mergeCell ref="ID2:ID6"/>
    <mergeCell ref="IO2:IO6"/>
    <mergeCell ref="IP2:IP6"/>
    <mergeCell ref="IQ2:IQ6"/>
    <mergeCell ref="IR2:IR6"/>
    <mergeCell ref="IS2:IS6"/>
    <mergeCell ref="IJ2:IJ6"/>
    <mergeCell ref="IK2:IK6"/>
    <mergeCell ref="IL2:IL6"/>
    <mergeCell ref="IM2:IM6"/>
    <mergeCell ref="IN2:IN6"/>
    <mergeCell ref="IY2:IY6"/>
    <mergeCell ref="IZ2:IZ6"/>
    <mergeCell ref="JA2:JA6"/>
    <mergeCell ref="JB2:JB6"/>
    <mergeCell ref="JC2:JC6"/>
    <mergeCell ref="IT2:IT6"/>
    <mergeCell ref="IU2:IU6"/>
    <mergeCell ref="IV2:IV6"/>
    <mergeCell ref="IW2:IW6"/>
    <mergeCell ref="IX2:IX6"/>
    <mergeCell ref="JI2:JI6"/>
    <mergeCell ref="JJ2:JJ6"/>
    <mergeCell ref="JK2:JK6"/>
    <mergeCell ref="JL2:JL6"/>
    <mergeCell ref="JM2:JM6"/>
    <mergeCell ref="JD2:JD6"/>
    <mergeCell ref="JE2:JE6"/>
    <mergeCell ref="JF2:JF6"/>
    <mergeCell ref="JG2:JG6"/>
    <mergeCell ref="JH2:JH6"/>
    <mergeCell ref="JS2:JS6"/>
    <mergeCell ref="JT2:JT6"/>
    <mergeCell ref="JU2:JU6"/>
    <mergeCell ref="JV2:JV6"/>
    <mergeCell ref="JW2:JW6"/>
    <mergeCell ref="JN2:JN6"/>
    <mergeCell ref="JO2:JO6"/>
    <mergeCell ref="JP2:JP6"/>
    <mergeCell ref="JQ2:JQ6"/>
    <mergeCell ref="JR2:JR6"/>
    <mergeCell ref="KC2:KC6"/>
    <mergeCell ref="KD2:KD6"/>
    <mergeCell ref="KE2:KE6"/>
    <mergeCell ref="KF2:KF6"/>
    <mergeCell ref="KG2:KG6"/>
    <mergeCell ref="JX2:JX6"/>
    <mergeCell ref="JY2:JY6"/>
    <mergeCell ref="JZ2:JZ6"/>
    <mergeCell ref="KA2:KA6"/>
    <mergeCell ref="KB2:KB6"/>
    <mergeCell ref="KM2:KM6"/>
    <mergeCell ref="KN2:KN6"/>
    <mergeCell ref="KO2:KO6"/>
    <mergeCell ref="KP2:KP6"/>
    <mergeCell ref="KQ2:KQ6"/>
    <mergeCell ref="KH2:KH6"/>
    <mergeCell ref="KI2:KI6"/>
    <mergeCell ref="KJ2:KJ6"/>
    <mergeCell ref="KK2:KK6"/>
    <mergeCell ref="KL2:KL6"/>
    <mergeCell ref="KW2:KW6"/>
    <mergeCell ref="KX2:KX6"/>
    <mergeCell ref="KY2:KY6"/>
    <mergeCell ref="KZ2:KZ6"/>
    <mergeCell ref="LA2:LA6"/>
    <mergeCell ref="KR2:KR6"/>
    <mergeCell ref="KS2:KS6"/>
    <mergeCell ref="KT2:KT6"/>
    <mergeCell ref="KU2:KU6"/>
    <mergeCell ref="KV2:KV6"/>
    <mergeCell ref="LG2:LG6"/>
    <mergeCell ref="LH2:LH6"/>
    <mergeCell ref="LI2:LI6"/>
    <mergeCell ref="LJ2:LJ6"/>
    <mergeCell ref="LK2:LK6"/>
    <mergeCell ref="LB2:LB6"/>
    <mergeCell ref="LC2:LC6"/>
    <mergeCell ref="LD2:LD6"/>
    <mergeCell ref="LE2:LE6"/>
    <mergeCell ref="LF2:LF6"/>
    <mergeCell ref="LQ2:LQ6"/>
    <mergeCell ref="LR2:LR6"/>
    <mergeCell ref="LS2:LS6"/>
    <mergeCell ref="LT2:LT6"/>
    <mergeCell ref="LU2:LU6"/>
    <mergeCell ref="LL2:LL6"/>
    <mergeCell ref="LM2:LM6"/>
    <mergeCell ref="LN2:LN6"/>
    <mergeCell ref="LO2:LO6"/>
    <mergeCell ref="LP2:LP6"/>
    <mergeCell ref="MA2:MA6"/>
    <mergeCell ref="MB2:MB6"/>
    <mergeCell ref="MC2:MC6"/>
    <mergeCell ref="MD2:MD6"/>
    <mergeCell ref="ME2:ME6"/>
    <mergeCell ref="LV2:LV6"/>
    <mergeCell ref="LW2:LW6"/>
    <mergeCell ref="LX2:LX6"/>
    <mergeCell ref="LY2:LY6"/>
    <mergeCell ref="LZ2:LZ6"/>
    <mergeCell ref="MK2:MK6"/>
    <mergeCell ref="ML2:ML6"/>
    <mergeCell ref="MM2:MM6"/>
    <mergeCell ref="MN2:MN6"/>
    <mergeCell ref="MO2:MO6"/>
    <mergeCell ref="MF2:MF6"/>
    <mergeCell ref="MG2:MG6"/>
    <mergeCell ref="MH2:MH6"/>
    <mergeCell ref="MI2:MI6"/>
    <mergeCell ref="MJ2:MJ6"/>
    <mergeCell ref="MU2:MU6"/>
    <mergeCell ref="MV2:MV6"/>
    <mergeCell ref="MW2:MW6"/>
    <mergeCell ref="MX2:MX6"/>
    <mergeCell ref="MY2:MY6"/>
    <mergeCell ref="MP2:MP6"/>
    <mergeCell ref="MQ2:MQ6"/>
    <mergeCell ref="MR2:MR6"/>
    <mergeCell ref="MS2:MS6"/>
    <mergeCell ref="MT2:MT6"/>
    <mergeCell ref="NE2:NE6"/>
    <mergeCell ref="NF2:NF6"/>
    <mergeCell ref="NG2:NG6"/>
    <mergeCell ref="NH2:NH6"/>
    <mergeCell ref="NI2:NI6"/>
    <mergeCell ref="MZ2:MZ6"/>
    <mergeCell ref="NA2:NA6"/>
    <mergeCell ref="NB2:NB6"/>
    <mergeCell ref="NC2:NC6"/>
    <mergeCell ref="ND2:ND6"/>
    <mergeCell ref="NO2:NO6"/>
    <mergeCell ref="NP2:NP6"/>
    <mergeCell ref="NQ2:NQ6"/>
    <mergeCell ref="NR2:NR6"/>
    <mergeCell ref="NS2:NS6"/>
    <mergeCell ref="NJ2:NJ6"/>
    <mergeCell ref="NK2:NK6"/>
    <mergeCell ref="NL2:NL6"/>
    <mergeCell ref="NM2:NM6"/>
    <mergeCell ref="NN2:NN6"/>
    <mergeCell ref="NZ2:NZ6"/>
    <mergeCell ref="OA2:OA6"/>
    <mergeCell ref="OB2:OB6"/>
    <mergeCell ref="OC2:OC6"/>
    <mergeCell ref="OD2:OD6"/>
    <mergeCell ref="NU2:NU6"/>
    <mergeCell ref="NV2:NV6"/>
    <mergeCell ref="NW2:NW6"/>
    <mergeCell ref="NX2:NX6"/>
    <mergeCell ref="NY2:NY6"/>
    <mergeCell ref="OJ2:OJ6"/>
    <mergeCell ref="OK2:OK6"/>
    <mergeCell ref="OL2:OL6"/>
    <mergeCell ref="OM2:OM6"/>
    <mergeCell ref="ON2:ON6"/>
    <mergeCell ref="OE2:OE6"/>
    <mergeCell ref="OF2:OF6"/>
    <mergeCell ref="OG2:OG6"/>
    <mergeCell ref="OH2:OH6"/>
    <mergeCell ref="OI2:OI6"/>
    <mergeCell ref="OT2:OT6"/>
    <mergeCell ref="OU2:OU6"/>
    <mergeCell ref="OV2:OV6"/>
    <mergeCell ref="OW2:OW6"/>
    <mergeCell ref="OX2:OX6"/>
    <mergeCell ref="OO2:OO6"/>
    <mergeCell ref="OP2:OP6"/>
    <mergeCell ref="OQ2:OQ6"/>
    <mergeCell ref="OR2:OR6"/>
    <mergeCell ref="OS2:OS6"/>
    <mergeCell ref="PD2:PD6"/>
    <mergeCell ref="PE2:PE6"/>
    <mergeCell ref="PF2:PF6"/>
    <mergeCell ref="PG2:PG6"/>
    <mergeCell ref="PH2:PH6"/>
    <mergeCell ref="OY2:OY6"/>
    <mergeCell ref="OZ2:OZ6"/>
    <mergeCell ref="PA2:PA6"/>
    <mergeCell ref="PB2:PB6"/>
    <mergeCell ref="PC2:PC6"/>
    <mergeCell ref="PN2:PN6"/>
    <mergeCell ref="PO2:PO6"/>
    <mergeCell ref="PP2:PP6"/>
    <mergeCell ref="PQ2:PQ6"/>
    <mergeCell ref="PR2:PR6"/>
    <mergeCell ref="PI2:PI6"/>
    <mergeCell ref="PJ2:PJ6"/>
    <mergeCell ref="PK2:PK6"/>
    <mergeCell ref="PL2:PL6"/>
    <mergeCell ref="PM2:PM6"/>
    <mergeCell ref="PX2:PX6"/>
    <mergeCell ref="PY2:PY6"/>
    <mergeCell ref="PZ2:PZ6"/>
    <mergeCell ref="QA2:QA6"/>
    <mergeCell ref="QB2:QB6"/>
    <mergeCell ref="PS2:PS6"/>
    <mergeCell ref="PT2:PT6"/>
    <mergeCell ref="PU2:PU6"/>
    <mergeCell ref="PV2:PV6"/>
    <mergeCell ref="PW2:PW6"/>
    <mergeCell ref="QH2:QH6"/>
    <mergeCell ref="QI2:QI6"/>
    <mergeCell ref="QJ2:QJ6"/>
    <mergeCell ref="QK2:QK6"/>
    <mergeCell ref="QL2:QL6"/>
    <mergeCell ref="QC2:QC6"/>
    <mergeCell ref="QD2:QD6"/>
    <mergeCell ref="QE2:QE6"/>
    <mergeCell ref="QF2:QF6"/>
    <mergeCell ref="QG2:QG6"/>
    <mergeCell ref="QR2:QR6"/>
    <mergeCell ref="QS2:QS6"/>
    <mergeCell ref="QT2:QT6"/>
    <mergeCell ref="QU2:QU6"/>
    <mergeCell ref="QV2:QV6"/>
    <mergeCell ref="QM2:QM6"/>
    <mergeCell ref="QN2:QN6"/>
    <mergeCell ref="QO2:QO6"/>
    <mergeCell ref="QP2:QP6"/>
    <mergeCell ref="QQ2:QQ6"/>
    <mergeCell ref="RB2:RB6"/>
    <mergeCell ref="RC2:RC6"/>
    <mergeCell ref="RD2:RD6"/>
    <mergeCell ref="RE2:RE6"/>
    <mergeCell ref="RF2:RF6"/>
    <mergeCell ref="QW2:QW6"/>
    <mergeCell ref="QX2:QX6"/>
    <mergeCell ref="QY2:QY6"/>
    <mergeCell ref="QZ2:QZ6"/>
    <mergeCell ref="RA2:RA6"/>
    <mergeCell ref="RL2:RL6"/>
    <mergeCell ref="RM2:RM6"/>
    <mergeCell ref="RN2:RN6"/>
    <mergeCell ref="RO2:RO6"/>
    <mergeCell ref="RP2:RP6"/>
    <mergeCell ref="RG2:RG6"/>
    <mergeCell ref="RH2:RH6"/>
    <mergeCell ref="RI2:RI6"/>
    <mergeCell ref="RJ2:RJ6"/>
    <mergeCell ref="RK2:RK6"/>
    <mergeCell ref="RW2:RW6"/>
    <mergeCell ref="RX2:RX6"/>
    <mergeCell ref="RY2:RY6"/>
    <mergeCell ref="RZ2:RZ6"/>
    <mergeCell ref="SA2:SA6"/>
    <mergeCell ref="RR2:RR6"/>
    <mergeCell ref="RS2:RS6"/>
    <mergeCell ref="RT2:RT6"/>
    <mergeCell ref="RU2:RU6"/>
    <mergeCell ref="RV2:RV6"/>
    <mergeCell ref="SG2:SG6"/>
    <mergeCell ref="SH2:SH6"/>
    <mergeCell ref="SI2:SI6"/>
    <mergeCell ref="SJ2:SJ6"/>
    <mergeCell ref="SK2:SK6"/>
    <mergeCell ref="SB2:SB6"/>
    <mergeCell ref="SC2:SC6"/>
    <mergeCell ref="SD2:SD6"/>
    <mergeCell ref="SE2:SE6"/>
    <mergeCell ref="SF2:SF6"/>
    <mergeCell ref="SQ2:SQ6"/>
    <mergeCell ref="SR2:SR6"/>
    <mergeCell ref="SS2:SS6"/>
    <mergeCell ref="ST2:ST6"/>
    <mergeCell ref="SU2:SU6"/>
    <mergeCell ref="SL2:SL6"/>
    <mergeCell ref="SM2:SM6"/>
    <mergeCell ref="SN2:SN6"/>
    <mergeCell ref="SO2:SO6"/>
    <mergeCell ref="SP2:SP6"/>
    <mergeCell ref="TA2:TA6"/>
    <mergeCell ref="TB2:TB6"/>
    <mergeCell ref="TC2:TC6"/>
    <mergeCell ref="TD2:TD6"/>
    <mergeCell ref="TE2:TE6"/>
    <mergeCell ref="SV2:SV6"/>
    <mergeCell ref="SW2:SW6"/>
    <mergeCell ref="SX2:SX6"/>
    <mergeCell ref="SY2:SY6"/>
    <mergeCell ref="SZ2:SZ6"/>
    <mergeCell ref="TK2:TK6"/>
    <mergeCell ref="TL2:TL6"/>
    <mergeCell ref="TM2:TM6"/>
    <mergeCell ref="TN2:TN6"/>
    <mergeCell ref="TO2:TO6"/>
    <mergeCell ref="TF2:TF6"/>
    <mergeCell ref="TG2:TG6"/>
    <mergeCell ref="TH2:TH6"/>
    <mergeCell ref="TI2:TI6"/>
    <mergeCell ref="TJ2:TJ6"/>
    <mergeCell ref="TU2:TU6"/>
    <mergeCell ref="TV2:TV6"/>
    <mergeCell ref="TW2:TW6"/>
    <mergeCell ref="TX2:TX6"/>
    <mergeCell ref="TY2:TY6"/>
    <mergeCell ref="TP2:TP6"/>
    <mergeCell ref="TQ2:TQ6"/>
    <mergeCell ref="TR2:TR6"/>
    <mergeCell ref="TS2:TS6"/>
    <mergeCell ref="TT2:TT6"/>
    <mergeCell ref="UE2:UE6"/>
    <mergeCell ref="UF2:UF6"/>
    <mergeCell ref="UG2:UG6"/>
    <mergeCell ref="UH2:UH6"/>
    <mergeCell ref="UI2:UI6"/>
    <mergeCell ref="TZ2:TZ6"/>
    <mergeCell ref="UA2:UA6"/>
    <mergeCell ref="UB2:UB6"/>
    <mergeCell ref="UC2:UC6"/>
    <mergeCell ref="UD2:UD6"/>
    <mergeCell ref="UO2:UO6"/>
    <mergeCell ref="UP2:UP6"/>
    <mergeCell ref="UQ2:UQ6"/>
    <mergeCell ref="UR2:UR6"/>
    <mergeCell ref="US2:US6"/>
    <mergeCell ref="UJ2:UJ6"/>
    <mergeCell ref="UK2:UK6"/>
    <mergeCell ref="UL2:UL6"/>
    <mergeCell ref="UM2:UM6"/>
    <mergeCell ref="UN2:UN6"/>
    <mergeCell ref="UY2:UY6"/>
    <mergeCell ref="UZ2:UZ6"/>
    <mergeCell ref="VA2:VA6"/>
    <mergeCell ref="VB2:VB6"/>
    <mergeCell ref="VC2:VC6"/>
    <mergeCell ref="UT2:UT6"/>
    <mergeCell ref="UU2:UU6"/>
    <mergeCell ref="UV2:UV6"/>
    <mergeCell ref="UW2:UW6"/>
    <mergeCell ref="UX2:UX6"/>
    <mergeCell ref="VI2:VI6"/>
    <mergeCell ref="VJ2:VJ6"/>
    <mergeCell ref="VK2:VK6"/>
    <mergeCell ref="VL2:VL6"/>
    <mergeCell ref="VM2:VM6"/>
    <mergeCell ref="VD2:VD6"/>
    <mergeCell ref="VE2:VE6"/>
    <mergeCell ref="VF2:VF6"/>
    <mergeCell ref="VG2:VG6"/>
    <mergeCell ref="VH2:VH6"/>
    <mergeCell ref="VS2:VS6"/>
    <mergeCell ref="VT2:VT6"/>
    <mergeCell ref="VU2:VU6"/>
    <mergeCell ref="VV2:VV6"/>
    <mergeCell ref="VW2:VW6"/>
    <mergeCell ref="VN2:VN6"/>
    <mergeCell ref="VO2:VO6"/>
    <mergeCell ref="VP2:VP6"/>
    <mergeCell ref="VQ2:VQ6"/>
    <mergeCell ref="VR2:VR6"/>
    <mergeCell ref="WC2:WC6"/>
    <mergeCell ref="WD2:WD6"/>
    <mergeCell ref="WE2:WE6"/>
    <mergeCell ref="WF2:WF6"/>
    <mergeCell ref="WG2:WG6"/>
    <mergeCell ref="VX2:VX6"/>
    <mergeCell ref="VY2:VY6"/>
    <mergeCell ref="VZ2:VZ6"/>
    <mergeCell ref="WA2:WA6"/>
    <mergeCell ref="WB2:WB6"/>
    <mergeCell ref="WM2:WM6"/>
    <mergeCell ref="WN2:WN6"/>
    <mergeCell ref="WO2:WO6"/>
    <mergeCell ref="WP2:WP6"/>
    <mergeCell ref="WQ2:WQ6"/>
    <mergeCell ref="WH2:WH6"/>
    <mergeCell ref="WI2:WI6"/>
    <mergeCell ref="WJ2:WJ6"/>
    <mergeCell ref="WK2:WK6"/>
    <mergeCell ref="WL2:WL6"/>
    <mergeCell ref="WW2:WW6"/>
    <mergeCell ref="WX2:WX6"/>
    <mergeCell ref="WY2:WY6"/>
    <mergeCell ref="WZ2:WZ6"/>
    <mergeCell ref="XA2:XA6"/>
    <mergeCell ref="WR2:WR6"/>
    <mergeCell ref="WS2:WS6"/>
    <mergeCell ref="WT2:WT6"/>
    <mergeCell ref="WU2:WU6"/>
    <mergeCell ref="WV2:WV6"/>
    <mergeCell ref="XG2:XG6"/>
    <mergeCell ref="XH2:XH6"/>
    <mergeCell ref="XI2:XI6"/>
    <mergeCell ref="XJ2:XJ6"/>
    <mergeCell ref="XK2:XK6"/>
    <mergeCell ref="XB2:XB6"/>
    <mergeCell ref="XC2:XC6"/>
    <mergeCell ref="XD2:XD6"/>
    <mergeCell ref="XE2:XE6"/>
    <mergeCell ref="XF2:XF6"/>
    <mergeCell ref="XQ2:XQ6"/>
    <mergeCell ref="XR2:XR6"/>
    <mergeCell ref="XS2:XS6"/>
    <mergeCell ref="XT2:XT6"/>
    <mergeCell ref="XU2:XU6"/>
    <mergeCell ref="XL2:XL6"/>
    <mergeCell ref="XM2:XM6"/>
    <mergeCell ref="XN2:XN6"/>
    <mergeCell ref="XO2:XO6"/>
    <mergeCell ref="XP2:XP6"/>
    <mergeCell ref="YA2:YA6"/>
    <mergeCell ref="YB2:YB6"/>
    <mergeCell ref="YC2:YC6"/>
    <mergeCell ref="YD2:YD6"/>
    <mergeCell ref="YE2:YE6"/>
    <mergeCell ref="XV2:XV6"/>
    <mergeCell ref="XW2:XW6"/>
    <mergeCell ref="XX2:XX6"/>
    <mergeCell ref="XY2:XY6"/>
    <mergeCell ref="XZ2:XZ6"/>
    <mergeCell ref="YT2:YT6"/>
    <mergeCell ref="YK2:YK6"/>
    <mergeCell ref="YL2:YL6"/>
    <mergeCell ref="YM2:YM6"/>
    <mergeCell ref="YN2:YN6"/>
    <mergeCell ref="YO2:YO6"/>
    <mergeCell ref="YF2:YF6"/>
    <mergeCell ref="YG2:YG6"/>
    <mergeCell ref="YH2:YH6"/>
    <mergeCell ref="YI2:YI6"/>
    <mergeCell ref="YJ2:YJ6"/>
    <mergeCell ref="C5:C6"/>
    <mergeCell ref="E5:E6"/>
    <mergeCell ref="CD5:CD6"/>
    <mergeCell ref="NT5:NT6"/>
    <mergeCell ref="ZJ5:ZJ6"/>
    <mergeCell ref="ZE2:ZE6"/>
    <mergeCell ref="ZF2:ZF6"/>
    <mergeCell ref="ZG2:ZG6"/>
    <mergeCell ref="ZH2:ZH6"/>
    <mergeCell ref="ZI2:ZI6"/>
    <mergeCell ref="YZ2:YZ6"/>
    <mergeCell ref="ZA2:ZA6"/>
    <mergeCell ref="ZB2:ZB6"/>
    <mergeCell ref="ZC2:ZC6"/>
    <mergeCell ref="ZD2:ZD6"/>
    <mergeCell ref="YU2:YU6"/>
    <mergeCell ref="YV2:YV6"/>
    <mergeCell ref="YW2:YW6"/>
    <mergeCell ref="YX2:YX6"/>
    <mergeCell ref="YY2:YY6"/>
    <mergeCell ref="YP2:YP6"/>
    <mergeCell ref="YQ2:YQ6"/>
    <mergeCell ref="YR2:YR6"/>
    <mergeCell ref="YS2:YS6"/>
  </mergeCells>
  <conditionalFormatting sqref="F6:J6 CE2">
    <cfRule type="expression" dxfId="15" priority="6">
      <formula>IF(F2=0,TRUE,FALSE)</formula>
    </cfRule>
  </conditionalFormatting>
  <conditionalFormatting sqref="K6:CB6">
    <cfRule type="expression" dxfId="14" priority="5">
      <formula>IF(K6=0,TRUE,FALSE)</formula>
    </cfRule>
  </conditionalFormatting>
  <conditionalFormatting sqref="CF2:NS2">
    <cfRule type="expression" dxfId="13" priority="4">
      <formula>IF(CF2=0,TRUE,FALSE)</formula>
    </cfRule>
  </conditionalFormatting>
  <conditionalFormatting sqref="NU2">
    <cfRule type="expression" dxfId="12" priority="3">
      <formula>IF(NU2=0,TRUE,FALSE)</formula>
    </cfRule>
  </conditionalFormatting>
  <conditionalFormatting sqref="NV2:RQ2">
    <cfRule type="expression" dxfId="11" priority="2">
      <formula>IF(NV2=0,TRUE,FALSE)</formula>
    </cfRule>
  </conditionalFormatting>
  <conditionalFormatting sqref="RR2:ZI2">
    <cfRule type="expression" dxfId="10" priority="1">
      <formula>IF(RR2=0,TRUE,FALSE)</formula>
    </cfRule>
  </conditionalFormatting>
  <pageMargins left="0.7" right="0.7" top="0.75" bottom="0.75" header="0.3" footer="0.3"/>
  <pageSetup paperSize="9"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C1:ABK103"/>
  <sheetViews>
    <sheetView workbookViewId="0">
      <selection activeCell="A4" sqref="A4"/>
    </sheetView>
  </sheetViews>
  <sheetFormatPr defaultRowHeight="15" x14ac:dyDescent="0.25"/>
  <cols>
    <col min="5" max="5" width="15.42578125" bestFit="1" customWidth="1"/>
    <col min="6" max="80" width="2.85546875" customWidth="1"/>
    <col min="83" max="183" width="2.7109375" customWidth="1"/>
    <col min="184" max="383" width="2.7109375" hidden="1" customWidth="1"/>
    <col min="386" max="485" width="2.7109375" customWidth="1"/>
    <col min="486" max="686" width="0" hidden="1" customWidth="1"/>
    <col min="688" max="688" width="3.7109375" bestFit="1" customWidth="1"/>
    <col min="689" max="739" width="2.7109375" customWidth="1"/>
  </cols>
  <sheetData>
    <row r="1" spans="3:739" x14ac:dyDescent="0.25">
      <c r="E1" t="s">
        <v>305</v>
      </c>
    </row>
    <row r="2" spans="3:739" ht="52.5" customHeight="1" x14ac:dyDescent="0.25">
      <c r="F2" t="str">
        <f>'Clinical resources'!F5</f>
        <v>Caseload 1</v>
      </c>
      <c r="G2" t="str">
        <f>F2</f>
        <v>Caseload 1</v>
      </c>
      <c r="H2" t="str">
        <f>G2</f>
        <v>Caseload 1</v>
      </c>
      <c r="I2" t="str">
        <f>H2</f>
        <v>Caseload 1</v>
      </c>
      <c r="J2" t="str">
        <f>I2</f>
        <v>Caseload 1</v>
      </c>
      <c r="K2" t="str">
        <f>'Clinical resources'!K5</f>
        <v>Caseload 2</v>
      </c>
      <c r="L2" t="str">
        <f t="shared" ref="L2:O2" si="0">K2</f>
        <v>Caseload 2</v>
      </c>
      <c r="M2" t="str">
        <f t="shared" si="0"/>
        <v>Caseload 2</v>
      </c>
      <c r="N2" t="str">
        <f t="shared" si="0"/>
        <v>Caseload 2</v>
      </c>
      <c r="O2" t="str">
        <f t="shared" si="0"/>
        <v>Caseload 2</v>
      </c>
      <c r="P2" t="str">
        <f>'Clinical resources'!P5</f>
        <v>Caseload 3</v>
      </c>
      <c r="Q2" t="str">
        <f t="shared" ref="Q2:T2" si="1">P2</f>
        <v>Caseload 3</v>
      </c>
      <c r="R2" t="str">
        <f t="shared" si="1"/>
        <v>Caseload 3</v>
      </c>
      <c r="S2" t="str">
        <f t="shared" si="1"/>
        <v>Caseload 3</v>
      </c>
      <c r="T2" t="str">
        <f t="shared" si="1"/>
        <v>Caseload 3</v>
      </c>
      <c r="U2" t="str">
        <f>'Clinical resources'!U5</f>
        <v>Caseload 4</v>
      </c>
      <c r="V2" t="str">
        <f t="shared" ref="V2:Y2" si="2">U2</f>
        <v>Caseload 4</v>
      </c>
      <c r="W2" t="str">
        <f t="shared" si="2"/>
        <v>Caseload 4</v>
      </c>
      <c r="X2" t="str">
        <f t="shared" si="2"/>
        <v>Caseload 4</v>
      </c>
      <c r="Y2" t="str">
        <f t="shared" si="2"/>
        <v>Caseload 4</v>
      </c>
      <c r="Z2" t="str">
        <f>'Clinical resources'!Z5</f>
        <v>Caseload 5</v>
      </c>
      <c r="AA2" t="str">
        <f t="shared" ref="AA2:AD2" si="3">Z2</f>
        <v>Caseload 5</v>
      </c>
      <c r="AB2" t="str">
        <f t="shared" si="3"/>
        <v>Caseload 5</v>
      </c>
      <c r="AC2" t="str">
        <f t="shared" si="3"/>
        <v>Caseload 5</v>
      </c>
      <c r="AD2" t="str">
        <f t="shared" si="3"/>
        <v>Caseload 5</v>
      </c>
      <c r="AE2" t="str">
        <f>'Clinical resources'!AE5</f>
        <v>Caseload 6</v>
      </c>
      <c r="AF2" t="str">
        <f t="shared" ref="AF2:AI2" si="4">AE2</f>
        <v>Caseload 6</v>
      </c>
      <c r="AG2" t="str">
        <f t="shared" si="4"/>
        <v>Caseload 6</v>
      </c>
      <c r="AH2" t="str">
        <f t="shared" si="4"/>
        <v>Caseload 6</v>
      </c>
      <c r="AI2" t="str">
        <f t="shared" si="4"/>
        <v>Caseload 6</v>
      </c>
      <c r="AJ2" t="str">
        <f>'Clinical resources'!AJ5</f>
        <v>Caseload 7</v>
      </c>
      <c r="AK2" t="str">
        <f t="shared" ref="AK2:AN2" si="5">AJ2</f>
        <v>Caseload 7</v>
      </c>
      <c r="AL2" t="str">
        <f t="shared" si="5"/>
        <v>Caseload 7</v>
      </c>
      <c r="AM2" t="str">
        <f t="shared" si="5"/>
        <v>Caseload 7</v>
      </c>
      <c r="AN2" t="str">
        <f t="shared" si="5"/>
        <v>Caseload 7</v>
      </c>
      <c r="AO2" t="str">
        <f>'Clinical resources'!AO5</f>
        <v>Caseload 8</v>
      </c>
      <c r="AP2" t="str">
        <f t="shared" ref="AP2:AS2" si="6">AO2</f>
        <v>Caseload 8</v>
      </c>
      <c r="AQ2" t="str">
        <f t="shared" si="6"/>
        <v>Caseload 8</v>
      </c>
      <c r="AR2" t="str">
        <f t="shared" si="6"/>
        <v>Caseload 8</v>
      </c>
      <c r="AS2" t="str">
        <f t="shared" si="6"/>
        <v>Caseload 8</v>
      </c>
      <c r="AT2" t="str">
        <f>'Clinical resources'!AT5</f>
        <v>Caseload 9</v>
      </c>
      <c r="AU2" t="str">
        <f t="shared" ref="AU2:AX2" si="7">AT2</f>
        <v>Caseload 9</v>
      </c>
      <c r="AV2" t="str">
        <f t="shared" si="7"/>
        <v>Caseload 9</v>
      </c>
      <c r="AW2" t="str">
        <f t="shared" si="7"/>
        <v>Caseload 9</v>
      </c>
      <c r="AX2" t="str">
        <f t="shared" si="7"/>
        <v>Caseload 9</v>
      </c>
      <c r="AY2" t="str">
        <f>'Clinical resources'!AY5</f>
        <v>Caseload 10</v>
      </c>
      <c r="AZ2" t="str">
        <f t="shared" ref="AZ2:BC2" si="8">AY2</f>
        <v>Caseload 10</v>
      </c>
      <c r="BA2" t="str">
        <f t="shared" si="8"/>
        <v>Caseload 10</v>
      </c>
      <c r="BB2" t="str">
        <f t="shared" si="8"/>
        <v>Caseload 10</v>
      </c>
      <c r="BC2" t="str">
        <f t="shared" si="8"/>
        <v>Caseload 10</v>
      </c>
      <c r="BD2" t="str">
        <f>'Clinical resources'!BD5</f>
        <v>Caseload 11</v>
      </c>
      <c r="BE2" t="str">
        <f t="shared" ref="BE2:BH2" si="9">BD2</f>
        <v>Caseload 11</v>
      </c>
      <c r="BF2" t="str">
        <f t="shared" si="9"/>
        <v>Caseload 11</v>
      </c>
      <c r="BG2" t="str">
        <f t="shared" si="9"/>
        <v>Caseload 11</v>
      </c>
      <c r="BH2" t="str">
        <f t="shared" si="9"/>
        <v>Caseload 11</v>
      </c>
      <c r="BI2" t="str">
        <f>'Clinical resources'!BI5</f>
        <v>Caseload 12</v>
      </c>
      <c r="BJ2" t="str">
        <f t="shared" ref="BJ2:BM2" si="10">BI2</f>
        <v>Caseload 12</v>
      </c>
      <c r="BK2" t="str">
        <f t="shared" si="10"/>
        <v>Caseload 12</v>
      </c>
      <c r="BL2" t="str">
        <f t="shared" si="10"/>
        <v>Caseload 12</v>
      </c>
      <c r="BM2" t="str">
        <f t="shared" si="10"/>
        <v>Caseload 12</v>
      </c>
      <c r="BN2" t="str">
        <f>'Clinical resources'!BN5</f>
        <v>Caseload 13</v>
      </c>
      <c r="BO2" t="str">
        <f t="shared" ref="BO2:BR2" si="11">BN2</f>
        <v>Caseload 13</v>
      </c>
      <c r="BP2" t="str">
        <f t="shared" si="11"/>
        <v>Caseload 13</v>
      </c>
      <c r="BQ2" t="str">
        <f t="shared" si="11"/>
        <v>Caseload 13</v>
      </c>
      <c r="BR2" t="str">
        <f t="shared" si="11"/>
        <v>Caseload 13</v>
      </c>
      <c r="BS2" t="str">
        <f>'Clinical resources'!BS5</f>
        <v>Caseload 14</v>
      </c>
      <c r="BT2" t="str">
        <f t="shared" ref="BT2:BW2" si="12">BS2</f>
        <v>Caseload 14</v>
      </c>
      <c r="BU2" t="str">
        <f t="shared" si="12"/>
        <v>Caseload 14</v>
      </c>
      <c r="BV2" t="str">
        <f t="shared" si="12"/>
        <v>Caseload 14</v>
      </c>
      <c r="BW2" t="str">
        <f t="shared" si="12"/>
        <v>Caseload 14</v>
      </c>
      <c r="BX2" t="str">
        <f>'Clinical resources'!BX5</f>
        <v>Caseload 15</v>
      </c>
      <c r="BY2" t="str">
        <f t="shared" ref="BY2:CB2" si="13">BX2</f>
        <v>Caseload 15</v>
      </c>
      <c r="BZ2" t="str">
        <f t="shared" si="13"/>
        <v>Caseload 15</v>
      </c>
      <c r="CA2" t="str">
        <f t="shared" si="13"/>
        <v>Caseload 15</v>
      </c>
      <c r="CB2" t="str">
        <f t="shared" si="13"/>
        <v>Caseload 15</v>
      </c>
    </row>
    <row r="3" spans="3:739" s="185" customFormat="1" ht="54.75" customHeight="1" x14ac:dyDescent="0.25">
      <c r="C3" s="185" t="s">
        <v>306</v>
      </c>
      <c r="E3" s="185" t="s">
        <v>295</v>
      </c>
      <c r="F3" s="188">
        <f>'Clinical resources'!F6</f>
        <v>0</v>
      </c>
      <c r="G3" s="188">
        <f>'Clinical resources'!G6</f>
        <v>0</v>
      </c>
      <c r="H3" s="188">
        <f>'Clinical resources'!H6</f>
        <v>0</v>
      </c>
      <c r="I3" s="188">
        <f>'Clinical resources'!I6</f>
        <v>0</v>
      </c>
      <c r="J3" s="188">
        <f>'Clinical resources'!J6</f>
        <v>0</v>
      </c>
      <c r="K3" s="188">
        <f>'Clinical resources'!K6</f>
        <v>0</v>
      </c>
      <c r="L3" s="188">
        <f>'Clinical resources'!L6</f>
        <v>0</v>
      </c>
      <c r="M3" s="188">
        <f>'Clinical resources'!M6</f>
        <v>0</v>
      </c>
      <c r="N3" s="188">
        <f>'Clinical resources'!N6</f>
        <v>0</v>
      </c>
      <c r="O3" s="188">
        <f>'Clinical resources'!O6</f>
        <v>0</v>
      </c>
      <c r="P3" s="188">
        <f>'Clinical resources'!P6</f>
        <v>0</v>
      </c>
      <c r="Q3" s="188">
        <f>'Clinical resources'!Q6</f>
        <v>0</v>
      </c>
      <c r="R3" s="188">
        <f>'Clinical resources'!R6</f>
        <v>0</v>
      </c>
      <c r="S3" s="188">
        <f>'Clinical resources'!S6</f>
        <v>0</v>
      </c>
      <c r="T3" s="188">
        <f>'Clinical resources'!T6</f>
        <v>0</v>
      </c>
      <c r="U3" s="188">
        <f>'Clinical resources'!U6</f>
        <v>0</v>
      </c>
      <c r="V3" s="188">
        <f>'Clinical resources'!V6</f>
        <v>0</v>
      </c>
      <c r="W3" s="188">
        <f>'Clinical resources'!W6</f>
        <v>0</v>
      </c>
      <c r="X3" s="188">
        <f>'Clinical resources'!X6</f>
        <v>0</v>
      </c>
      <c r="Y3" s="188">
        <f>'Clinical resources'!Y6</f>
        <v>0</v>
      </c>
      <c r="Z3" s="188">
        <f>'Clinical resources'!Z6</f>
        <v>0</v>
      </c>
      <c r="AA3" s="188">
        <f>'Clinical resources'!AA6</f>
        <v>0</v>
      </c>
      <c r="AB3" s="188">
        <f>'Clinical resources'!AB6</f>
        <v>0</v>
      </c>
      <c r="AC3" s="188">
        <f>'Clinical resources'!AC6</f>
        <v>0</v>
      </c>
      <c r="AD3" s="188">
        <f>'Clinical resources'!AD6</f>
        <v>0</v>
      </c>
      <c r="AE3" s="188">
        <f>'Clinical resources'!AE6</f>
        <v>0</v>
      </c>
      <c r="AF3" s="188">
        <f>'Clinical resources'!AF6</f>
        <v>0</v>
      </c>
      <c r="AG3" s="188">
        <f>'Clinical resources'!AG6</f>
        <v>0</v>
      </c>
      <c r="AH3" s="188">
        <f>'Clinical resources'!AH6</f>
        <v>0</v>
      </c>
      <c r="AI3" s="188">
        <f>'Clinical resources'!AI6</f>
        <v>0</v>
      </c>
      <c r="AJ3" s="188">
        <f>'Clinical resources'!AJ6</f>
        <v>0</v>
      </c>
      <c r="AK3" s="188">
        <f>'Clinical resources'!AK6</f>
        <v>0</v>
      </c>
      <c r="AL3" s="188">
        <f>'Clinical resources'!AL6</f>
        <v>0</v>
      </c>
      <c r="AM3" s="188">
        <f>'Clinical resources'!AM6</f>
        <v>0</v>
      </c>
      <c r="AN3" s="188">
        <f>'Clinical resources'!AN6</f>
        <v>0</v>
      </c>
      <c r="AO3" s="188">
        <f>'Clinical resources'!AO6</f>
        <v>0</v>
      </c>
      <c r="AP3" s="188">
        <f>'Clinical resources'!AP6</f>
        <v>0</v>
      </c>
      <c r="AQ3" s="188">
        <f>'Clinical resources'!AQ6</f>
        <v>0</v>
      </c>
      <c r="AR3" s="188">
        <f>'Clinical resources'!AR6</f>
        <v>0</v>
      </c>
      <c r="AS3" s="188">
        <f>'Clinical resources'!AS6</f>
        <v>0</v>
      </c>
      <c r="AT3" s="188">
        <f>'Clinical resources'!AT6</f>
        <v>0</v>
      </c>
      <c r="AU3" s="188">
        <f>'Clinical resources'!AU6</f>
        <v>0</v>
      </c>
      <c r="AV3" s="188">
        <f>'Clinical resources'!AV6</f>
        <v>0</v>
      </c>
      <c r="AW3" s="188">
        <f>'Clinical resources'!AW6</f>
        <v>0</v>
      </c>
      <c r="AX3" s="188">
        <f>'Clinical resources'!AX6</f>
        <v>0</v>
      </c>
      <c r="AY3" s="188">
        <f>'Clinical resources'!AY6</f>
        <v>0</v>
      </c>
      <c r="AZ3" s="188">
        <f>'Clinical resources'!AZ6</f>
        <v>0</v>
      </c>
      <c r="BA3" s="188">
        <f>'Clinical resources'!BA6</f>
        <v>0</v>
      </c>
      <c r="BB3" s="188">
        <f>'Clinical resources'!BB6</f>
        <v>0</v>
      </c>
      <c r="BC3" s="188">
        <f>'Clinical resources'!BC6</f>
        <v>0</v>
      </c>
      <c r="BD3" s="188">
        <f>'Clinical resources'!BD6</f>
        <v>0</v>
      </c>
      <c r="BE3" s="188">
        <f>'Clinical resources'!BE6</f>
        <v>0</v>
      </c>
      <c r="BF3" s="188">
        <f>'Clinical resources'!BF6</f>
        <v>0</v>
      </c>
      <c r="BG3" s="188">
        <f>'Clinical resources'!BG6</f>
        <v>0</v>
      </c>
      <c r="BH3" s="188">
        <f>'Clinical resources'!BH6</f>
        <v>0</v>
      </c>
      <c r="BI3" s="188">
        <f>'Clinical resources'!BI6</f>
        <v>0</v>
      </c>
      <c r="BJ3" s="188">
        <f>'Clinical resources'!BJ6</f>
        <v>0</v>
      </c>
      <c r="BK3" s="188">
        <f>'Clinical resources'!BK6</f>
        <v>0</v>
      </c>
      <c r="BL3" s="188">
        <f>'Clinical resources'!BL6</f>
        <v>0</v>
      </c>
      <c r="BM3" s="188">
        <f>'Clinical resources'!BM6</f>
        <v>0</v>
      </c>
      <c r="BN3" s="188">
        <f>'Clinical resources'!BN6</f>
        <v>0</v>
      </c>
      <c r="BO3" s="188">
        <f>'Clinical resources'!BO6</f>
        <v>0</v>
      </c>
      <c r="BP3" s="188">
        <f>'Clinical resources'!BP6</f>
        <v>0</v>
      </c>
      <c r="BQ3" s="188">
        <f>'Clinical resources'!BQ6</f>
        <v>0</v>
      </c>
      <c r="BR3" s="188">
        <f>'Clinical resources'!BR6</f>
        <v>0</v>
      </c>
      <c r="BS3" s="188">
        <f>'Clinical resources'!BS6</f>
        <v>0</v>
      </c>
      <c r="BT3" s="188">
        <f>'Clinical resources'!BT6</f>
        <v>0</v>
      </c>
      <c r="BU3" s="188">
        <f>'Clinical resources'!BU6</f>
        <v>0</v>
      </c>
      <c r="BV3" s="188">
        <f>'Clinical resources'!BV6</f>
        <v>0</v>
      </c>
      <c r="BW3" s="188">
        <f>'Clinical resources'!BW6</f>
        <v>0</v>
      </c>
      <c r="BX3" s="188">
        <f>'Clinical resources'!BX6</f>
        <v>0</v>
      </c>
      <c r="BY3" s="188">
        <f>'Clinical resources'!BY6</f>
        <v>0</v>
      </c>
      <c r="BZ3" s="188">
        <f>'Clinical resources'!BZ6</f>
        <v>0</v>
      </c>
      <c r="CA3" s="188">
        <f>'Clinical resources'!CA6</f>
        <v>0</v>
      </c>
      <c r="CB3" s="188">
        <f>'Clinical resources'!CB6</f>
        <v>0</v>
      </c>
      <c r="CE3" s="185" t="s">
        <v>300</v>
      </c>
      <c r="CF3" s="188">
        <f>'Clinical resources'!CE6</f>
        <v>0</v>
      </c>
      <c r="CG3" s="188">
        <f>'Clinical resources'!CF6</f>
        <v>0</v>
      </c>
      <c r="CH3" s="188">
        <f>'Clinical resources'!CG6</f>
        <v>0</v>
      </c>
      <c r="CI3" s="188">
        <f>'Clinical resources'!CH6</f>
        <v>0</v>
      </c>
      <c r="CJ3" s="188">
        <f>'Clinical resources'!CI6</f>
        <v>0</v>
      </c>
      <c r="CK3" s="188">
        <f>'Clinical resources'!CJ6</f>
        <v>0</v>
      </c>
      <c r="CL3" s="188">
        <f>'Clinical resources'!CK6</f>
        <v>0</v>
      </c>
      <c r="CM3" s="188">
        <f>'Clinical resources'!CL6</f>
        <v>0</v>
      </c>
      <c r="CN3" s="188">
        <f>'Clinical resources'!CM6</f>
        <v>0</v>
      </c>
      <c r="CO3" s="188">
        <f>'Clinical resources'!CN6</f>
        <v>0</v>
      </c>
      <c r="CP3" s="188">
        <f>'Clinical resources'!CO6</f>
        <v>0</v>
      </c>
      <c r="CQ3" s="188">
        <f>'Clinical resources'!CP6</f>
        <v>0</v>
      </c>
      <c r="CR3" s="188">
        <f>'Clinical resources'!CQ6</f>
        <v>0</v>
      </c>
      <c r="CS3" s="188">
        <f>'Clinical resources'!CR6</f>
        <v>0</v>
      </c>
      <c r="CT3" s="188">
        <f>'Clinical resources'!CS6</f>
        <v>0</v>
      </c>
      <c r="CU3" s="188">
        <f>'Clinical resources'!CT6</f>
        <v>0</v>
      </c>
      <c r="CV3" s="188">
        <f>'Clinical resources'!CU6</f>
        <v>0</v>
      </c>
      <c r="CW3" s="188">
        <f>'Clinical resources'!CV6</f>
        <v>0</v>
      </c>
      <c r="CX3" s="188">
        <f>'Clinical resources'!CW6</f>
        <v>0</v>
      </c>
      <c r="CY3" s="188">
        <f>'Clinical resources'!CX6</f>
        <v>0</v>
      </c>
      <c r="CZ3" s="188">
        <f>'Clinical resources'!CY6</f>
        <v>0</v>
      </c>
      <c r="DA3" s="188">
        <f>'Clinical resources'!CZ6</f>
        <v>0</v>
      </c>
      <c r="DB3" s="188">
        <f>'Clinical resources'!DA6</f>
        <v>0</v>
      </c>
      <c r="DC3" s="188">
        <f>'Clinical resources'!DB6</f>
        <v>0</v>
      </c>
      <c r="DD3" s="188">
        <f>'Clinical resources'!DC6</f>
        <v>0</v>
      </c>
      <c r="DE3" s="188">
        <f>'Clinical resources'!DD6</f>
        <v>0</v>
      </c>
      <c r="DF3" s="188">
        <f>'Clinical resources'!DE6</f>
        <v>0</v>
      </c>
      <c r="DG3" s="188">
        <f>'Clinical resources'!DF6</f>
        <v>0</v>
      </c>
      <c r="DH3" s="188">
        <f>'Clinical resources'!DG6</f>
        <v>0</v>
      </c>
      <c r="DI3" s="188">
        <f>'Clinical resources'!DH6</f>
        <v>0</v>
      </c>
      <c r="DJ3" s="188">
        <f>'Clinical resources'!DI6</f>
        <v>0</v>
      </c>
      <c r="DK3" s="188">
        <f>'Clinical resources'!DJ6</f>
        <v>0</v>
      </c>
      <c r="DL3" s="188">
        <f>'Clinical resources'!DK6</f>
        <v>0</v>
      </c>
      <c r="DM3" s="188">
        <f>'Clinical resources'!DL6</f>
        <v>0</v>
      </c>
      <c r="DN3" s="188">
        <f>'Clinical resources'!DM6</f>
        <v>0</v>
      </c>
      <c r="DO3" s="188">
        <f>'Clinical resources'!DN6</f>
        <v>0</v>
      </c>
      <c r="DP3" s="188">
        <f>'Clinical resources'!DO6</f>
        <v>0</v>
      </c>
      <c r="DQ3" s="188">
        <f>'Clinical resources'!DP6</f>
        <v>0</v>
      </c>
      <c r="DR3" s="188">
        <f>'Clinical resources'!DQ6</f>
        <v>0</v>
      </c>
      <c r="DS3" s="188">
        <f>'Clinical resources'!DR6</f>
        <v>0</v>
      </c>
      <c r="DT3" s="188">
        <f>'Clinical resources'!DS6</f>
        <v>0</v>
      </c>
      <c r="DU3" s="188">
        <f>'Clinical resources'!DT6</f>
        <v>0</v>
      </c>
      <c r="DV3" s="188">
        <f>'Clinical resources'!DU6</f>
        <v>0</v>
      </c>
      <c r="DW3" s="188">
        <f>'Clinical resources'!DV6</f>
        <v>0</v>
      </c>
      <c r="DX3" s="188">
        <f>'Clinical resources'!DW6</f>
        <v>0</v>
      </c>
      <c r="DY3" s="188">
        <f>'Clinical resources'!DX6</f>
        <v>0</v>
      </c>
      <c r="DZ3" s="188">
        <f>'Clinical resources'!DY6</f>
        <v>0</v>
      </c>
      <c r="EA3" s="188">
        <f>'Clinical resources'!DZ6</f>
        <v>0</v>
      </c>
      <c r="EB3" s="188">
        <f>'Clinical resources'!EA6</f>
        <v>0</v>
      </c>
      <c r="EC3" s="188">
        <f>'Clinical resources'!EB6</f>
        <v>0</v>
      </c>
      <c r="ED3" s="188">
        <f>'Clinical resources'!EC6</f>
        <v>0</v>
      </c>
      <c r="EE3" s="188">
        <f>'Clinical resources'!ED6</f>
        <v>0</v>
      </c>
      <c r="EF3" s="188">
        <f>'Clinical resources'!EE6</f>
        <v>0</v>
      </c>
      <c r="EG3" s="188">
        <f>'Clinical resources'!EF6</f>
        <v>0</v>
      </c>
      <c r="EH3" s="188">
        <f>'Clinical resources'!EG6</f>
        <v>0</v>
      </c>
      <c r="EI3" s="188">
        <f>'Clinical resources'!EH6</f>
        <v>0</v>
      </c>
      <c r="EJ3" s="188">
        <f>'Clinical resources'!EI6</f>
        <v>0</v>
      </c>
      <c r="EK3" s="188">
        <f>'Clinical resources'!EJ6</f>
        <v>0</v>
      </c>
      <c r="EL3" s="188">
        <f>'Clinical resources'!EK6</f>
        <v>0</v>
      </c>
      <c r="EM3" s="188">
        <f>'Clinical resources'!EL6</f>
        <v>0</v>
      </c>
      <c r="EN3" s="188">
        <f>'Clinical resources'!EM6</f>
        <v>0</v>
      </c>
      <c r="EO3" s="188">
        <f>'Clinical resources'!EN6</f>
        <v>0</v>
      </c>
      <c r="EP3" s="188">
        <f>'Clinical resources'!EO6</f>
        <v>0</v>
      </c>
      <c r="EQ3" s="188">
        <f>'Clinical resources'!EP6</f>
        <v>0</v>
      </c>
      <c r="ER3" s="188">
        <f>'Clinical resources'!EQ6</f>
        <v>0</v>
      </c>
      <c r="ES3" s="188">
        <f>'Clinical resources'!ER6</f>
        <v>0</v>
      </c>
      <c r="ET3" s="188">
        <f>'Clinical resources'!ES6</f>
        <v>0</v>
      </c>
      <c r="EU3" s="188">
        <f>'Clinical resources'!ET6</f>
        <v>0</v>
      </c>
      <c r="EV3" s="188">
        <f>'Clinical resources'!EU6</f>
        <v>0</v>
      </c>
      <c r="EW3" s="188">
        <f>'Clinical resources'!EV6</f>
        <v>0</v>
      </c>
      <c r="EX3" s="188">
        <f>'Clinical resources'!EW6</f>
        <v>0</v>
      </c>
      <c r="EY3" s="188">
        <f>'Clinical resources'!EX6</f>
        <v>0</v>
      </c>
      <c r="EZ3" s="188">
        <f>'Clinical resources'!EY6</f>
        <v>0</v>
      </c>
      <c r="FA3" s="188">
        <f>'Clinical resources'!EZ6</f>
        <v>0</v>
      </c>
      <c r="FB3" s="188">
        <f>'Clinical resources'!FA6</f>
        <v>0</v>
      </c>
      <c r="FC3" s="188">
        <f>'Clinical resources'!FB6</f>
        <v>0</v>
      </c>
      <c r="FD3" s="188">
        <f>'Clinical resources'!FC6</f>
        <v>0</v>
      </c>
      <c r="FE3" s="188">
        <f>'Clinical resources'!FD6</f>
        <v>0</v>
      </c>
      <c r="FF3" s="188">
        <f>'Clinical resources'!FE6</f>
        <v>0</v>
      </c>
      <c r="FG3" s="188">
        <f>'Clinical resources'!FF6</f>
        <v>0</v>
      </c>
      <c r="FH3" s="188">
        <f>'Clinical resources'!FG6</f>
        <v>0</v>
      </c>
      <c r="FI3" s="188">
        <f>'Clinical resources'!FH6</f>
        <v>0</v>
      </c>
      <c r="FJ3" s="188">
        <f>'Clinical resources'!FI6</f>
        <v>0</v>
      </c>
      <c r="FK3" s="188">
        <f>'Clinical resources'!FJ6</f>
        <v>0</v>
      </c>
      <c r="FL3" s="188">
        <f>'Clinical resources'!FK6</f>
        <v>0</v>
      </c>
      <c r="FM3" s="188">
        <f>'Clinical resources'!FL6</f>
        <v>0</v>
      </c>
      <c r="FN3" s="188">
        <f>'Clinical resources'!FM6</f>
        <v>0</v>
      </c>
      <c r="FO3" s="188">
        <f>'Clinical resources'!FN6</f>
        <v>0</v>
      </c>
      <c r="FP3" s="188">
        <f>'Clinical resources'!FO6</f>
        <v>0</v>
      </c>
      <c r="FQ3" s="188">
        <f>'Clinical resources'!FP6</f>
        <v>0</v>
      </c>
      <c r="FR3" s="188">
        <f>'Clinical resources'!FQ6</f>
        <v>0</v>
      </c>
      <c r="FS3" s="188">
        <f>'Clinical resources'!FR6</f>
        <v>0</v>
      </c>
      <c r="FT3" s="188">
        <f>'Clinical resources'!FS6</f>
        <v>0</v>
      </c>
      <c r="FU3" s="188">
        <f>'Clinical resources'!FT6</f>
        <v>0</v>
      </c>
      <c r="FV3" s="188">
        <f>'Clinical resources'!FU6</f>
        <v>0</v>
      </c>
      <c r="FW3" s="188">
        <f>'Clinical resources'!FV6</f>
        <v>0</v>
      </c>
      <c r="FX3" s="188">
        <f>'Clinical resources'!FW6</f>
        <v>0</v>
      </c>
      <c r="FY3" s="188">
        <f>'Clinical resources'!FX6</f>
        <v>0</v>
      </c>
      <c r="FZ3" s="188">
        <f>'Clinical resources'!FY6</f>
        <v>0</v>
      </c>
      <c r="GA3" s="188">
        <f>'Clinical resources'!FZ6</f>
        <v>0</v>
      </c>
      <c r="NU3" s="185" t="s">
        <v>301</v>
      </c>
      <c r="NV3" s="188">
        <f>'Clinical resources'!NU6</f>
        <v>0</v>
      </c>
      <c r="NW3" s="188">
        <f>'Clinical resources'!NV6</f>
        <v>0</v>
      </c>
      <c r="NX3" s="188">
        <f>'Clinical resources'!NW6</f>
        <v>0</v>
      </c>
      <c r="NY3" s="188">
        <f>'Clinical resources'!NX6</f>
        <v>0</v>
      </c>
      <c r="NZ3" s="188">
        <f>'Clinical resources'!NY6</f>
        <v>0</v>
      </c>
      <c r="OA3" s="188">
        <f>'Clinical resources'!NZ6</f>
        <v>0</v>
      </c>
      <c r="OB3" s="188">
        <f>'Clinical resources'!OA6</f>
        <v>0</v>
      </c>
      <c r="OC3" s="188">
        <f>'Clinical resources'!OB6</f>
        <v>0</v>
      </c>
      <c r="OD3" s="188">
        <f>'Clinical resources'!OC6</f>
        <v>0</v>
      </c>
      <c r="OE3" s="188">
        <f>'Clinical resources'!OD6</f>
        <v>0</v>
      </c>
      <c r="OF3" s="188">
        <f>'Clinical resources'!OE6</f>
        <v>0</v>
      </c>
      <c r="OG3" s="188">
        <f>'Clinical resources'!OF6</f>
        <v>0</v>
      </c>
      <c r="OH3" s="188">
        <f>'Clinical resources'!OG6</f>
        <v>0</v>
      </c>
      <c r="OI3" s="188">
        <f>'Clinical resources'!OH6</f>
        <v>0</v>
      </c>
      <c r="OJ3" s="188">
        <f>'Clinical resources'!OI6</f>
        <v>0</v>
      </c>
      <c r="OK3" s="188">
        <f>'Clinical resources'!OJ6</f>
        <v>0</v>
      </c>
      <c r="OL3" s="188">
        <f>'Clinical resources'!OK6</f>
        <v>0</v>
      </c>
      <c r="OM3" s="188">
        <f>'Clinical resources'!OL6</f>
        <v>0</v>
      </c>
      <c r="ON3" s="188">
        <f>'Clinical resources'!OM6</f>
        <v>0</v>
      </c>
      <c r="OO3" s="188">
        <f>'Clinical resources'!ON6</f>
        <v>0</v>
      </c>
      <c r="OP3" s="188">
        <f>'Clinical resources'!OO6</f>
        <v>0</v>
      </c>
      <c r="OQ3" s="188">
        <f>'Clinical resources'!OP6</f>
        <v>0</v>
      </c>
      <c r="OR3" s="188">
        <f>'Clinical resources'!OQ6</f>
        <v>0</v>
      </c>
      <c r="OS3" s="188">
        <f>'Clinical resources'!OR6</f>
        <v>0</v>
      </c>
      <c r="OT3" s="188">
        <f>'Clinical resources'!OS6</f>
        <v>0</v>
      </c>
      <c r="OU3" s="188">
        <f>'Clinical resources'!OT6</f>
        <v>0</v>
      </c>
      <c r="OV3" s="188">
        <f>'Clinical resources'!OU6</f>
        <v>0</v>
      </c>
      <c r="OW3" s="188">
        <f>'Clinical resources'!OV6</f>
        <v>0</v>
      </c>
      <c r="OX3" s="188">
        <f>'Clinical resources'!OW6</f>
        <v>0</v>
      </c>
      <c r="OY3" s="188">
        <f>'Clinical resources'!OX6</f>
        <v>0</v>
      </c>
      <c r="OZ3" s="188">
        <f>'Clinical resources'!OY6</f>
        <v>0</v>
      </c>
      <c r="PA3" s="188">
        <f>'Clinical resources'!OZ6</f>
        <v>0</v>
      </c>
      <c r="PB3" s="188">
        <f>'Clinical resources'!PA6</f>
        <v>0</v>
      </c>
      <c r="PC3" s="188">
        <f>'Clinical resources'!PB6</f>
        <v>0</v>
      </c>
      <c r="PD3" s="188">
        <f>'Clinical resources'!PC6</f>
        <v>0</v>
      </c>
      <c r="PE3" s="188">
        <f>'Clinical resources'!PD6</f>
        <v>0</v>
      </c>
      <c r="PF3" s="188">
        <f>'Clinical resources'!PE6</f>
        <v>0</v>
      </c>
      <c r="PG3" s="188">
        <f>'Clinical resources'!PF6</f>
        <v>0</v>
      </c>
      <c r="PH3" s="188">
        <f>'Clinical resources'!PG6</f>
        <v>0</v>
      </c>
      <c r="PI3" s="188">
        <f>'Clinical resources'!PH6</f>
        <v>0</v>
      </c>
      <c r="PJ3" s="188">
        <f>'Clinical resources'!PI6</f>
        <v>0</v>
      </c>
      <c r="PK3" s="188">
        <f>'Clinical resources'!PJ6</f>
        <v>0</v>
      </c>
      <c r="PL3" s="188">
        <f>'Clinical resources'!PK6</f>
        <v>0</v>
      </c>
      <c r="PM3" s="188">
        <f>'Clinical resources'!PL6</f>
        <v>0</v>
      </c>
      <c r="PN3" s="188">
        <f>'Clinical resources'!PM6</f>
        <v>0</v>
      </c>
      <c r="PO3" s="188">
        <f>'Clinical resources'!PN6</f>
        <v>0</v>
      </c>
      <c r="PP3" s="188">
        <f>'Clinical resources'!PO6</f>
        <v>0</v>
      </c>
      <c r="PQ3" s="188">
        <f>'Clinical resources'!PP6</f>
        <v>0</v>
      </c>
      <c r="PR3" s="188">
        <f>'Clinical resources'!PQ6</f>
        <v>0</v>
      </c>
      <c r="PS3" s="188">
        <f>'Clinical resources'!PR6</f>
        <v>0</v>
      </c>
      <c r="PT3" s="188">
        <f>'Clinical resources'!PS6</f>
        <v>0</v>
      </c>
      <c r="PU3" s="188">
        <f>'Clinical resources'!PT6</f>
        <v>0</v>
      </c>
      <c r="PV3" s="188">
        <f>'Clinical resources'!PU6</f>
        <v>0</v>
      </c>
      <c r="PW3" s="188">
        <f>'Clinical resources'!PV6</f>
        <v>0</v>
      </c>
      <c r="PX3" s="188">
        <f>'Clinical resources'!PW6</f>
        <v>0</v>
      </c>
      <c r="PY3" s="188">
        <f>'Clinical resources'!PX6</f>
        <v>0</v>
      </c>
      <c r="PZ3" s="188">
        <f>'Clinical resources'!PY6</f>
        <v>0</v>
      </c>
      <c r="QA3" s="188">
        <f>'Clinical resources'!PZ6</f>
        <v>0</v>
      </c>
      <c r="QB3" s="188">
        <f>'Clinical resources'!QA6</f>
        <v>0</v>
      </c>
      <c r="QC3" s="188">
        <f>'Clinical resources'!QB6</f>
        <v>0</v>
      </c>
      <c r="QD3" s="188">
        <f>'Clinical resources'!QC6</f>
        <v>0</v>
      </c>
      <c r="QE3" s="188">
        <f>'Clinical resources'!QD6</f>
        <v>0</v>
      </c>
      <c r="QF3" s="188">
        <f>'Clinical resources'!QE6</f>
        <v>0</v>
      </c>
      <c r="QG3" s="188">
        <f>'Clinical resources'!QF6</f>
        <v>0</v>
      </c>
      <c r="QH3" s="188">
        <f>'Clinical resources'!QG6</f>
        <v>0</v>
      </c>
      <c r="QI3" s="188">
        <f>'Clinical resources'!QH6</f>
        <v>0</v>
      </c>
      <c r="QJ3" s="188">
        <f>'Clinical resources'!QI6</f>
        <v>0</v>
      </c>
      <c r="QK3" s="188">
        <f>'Clinical resources'!QJ6</f>
        <v>0</v>
      </c>
      <c r="QL3" s="188">
        <f>'Clinical resources'!QK6</f>
        <v>0</v>
      </c>
      <c r="QM3" s="188">
        <f>'Clinical resources'!QL6</f>
        <v>0</v>
      </c>
      <c r="QN3" s="188">
        <f>'Clinical resources'!QM6</f>
        <v>0</v>
      </c>
      <c r="QO3" s="188">
        <f>'Clinical resources'!QN6</f>
        <v>0</v>
      </c>
      <c r="QP3" s="188">
        <f>'Clinical resources'!QO6</f>
        <v>0</v>
      </c>
      <c r="QQ3" s="188">
        <f>'Clinical resources'!QP6</f>
        <v>0</v>
      </c>
      <c r="QR3" s="188">
        <f>'Clinical resources'!QQ6</f>
        <v>0</v>
      </c>
      <c r="QS3" s="188">
        <f>'Clinical resources'!QR6</f>
        <v>0</v>
      </c>
      <c r="QT3" s="188">
        <f>'Clinical resources'!QS6</f>
        <v>0</v>
      </c>
      <c r="QU3" s="188">
        <f>'Clinical resources'!QT6</f>
        <v>0</v>
      </c>
      <c r="QV3" s="188">
        <f>'Clinical resources'!QU6</f>
        <v>0</v>
      </c>
      <c r="QW3" s="188">
        <f>'Clinical resources'!QV6</f>
        <v>0</v>
      </c>
      <c r="QX3" s="188">
        <f>'Clinical resources'!QW6</f>
        <v>0</v>
      </c>
      <c r="QY3" s="188">
        <f>'Clinical resources'!QX6</f>
        <v>0</v>
      </c>
      <c r="QZ3" s="188">
        <f>'Clinical resources'!QY6</f>
        <v>0</v>
      </c>
      <c r="RA3" s="188">
        <f>'Clinical resources'!QZ6</f>
        <v>0</v>
      </c>
      <c r="RB3" s="188">
        <f>'Clinical resources'!RA6</f>
        <v>0</v>
      </c>
      <c r="RC3" s="188">
        <f>'Clinical resources'!RB6</f>
        <v>0</v>
      </c>
      <c r="RD3" s="188">
        <f>'Clinical resources'!RC6</f>
        <v>0</v>
      </c>
      <c r="RE3" s="188">
        <f>'Clinical resources'!RD6</f>
        <v>0</v>
      </c>
      <c r="RF3" s="188">
        <f>'Clinical resources'!RE6</f>
        <v>0</v>
      </c>
      <c r="RG3" s="188">
        <f>'Clinical resources'!RF6</f>
        <v>0</v>
      </c>
      <c r="RH3" s="188">
        <f>'Clinical resources'!RG6</f>
        <v>0</v>
      </c>
      <c r="RI3" s="188">
        <f>'Clinical resources'!RH6</f>
        <v>0</v>
      </c>
      <c r="RJ3" s="188">
        <f>'Clinical resources'!RI6</f>
        <v>0</v>
      </c>
      <c r="RK3" s="188">
        <f>'Clinical resources'!RJ6</f>
        <v>0</v>
      </c>
      <c r="RL3" s="188">
        <f>'Clinical resources'!RK6</f>
        <v>0</v>
      </c>
      <c r="RM3" s="188">
        <f>'Clinical resources'!RL6</f>
        <v>0</v>
      </c>
      <c r="RN3" s="188">
        <f>'Clinical resources'!RM6</f>
        <v>0</v>
      </c>
      <c r="RO3" s="188">
        <f>'Clinical resources'!RN6</f>
        <v>0</v>
      </c>
      <c r="RP3" s="188">
        <f>'Clinical resources'!RO6</f>
        <v>0</v>
      </c>
      <c r="RQ3" s="188">
        <f>'Clinical resources'!RP6</f>
        <v>0</v>
      </c>
      <c r="ZL3" s="184">
        <f ca="1">'Clinical resources'!ZK6</f>
        <v>44228</v>
      </c>
      <c r="ZM3" s="184">
        <f ca="1">'Clinical resources'!ZL6</f>
        <v>44235</v>
      </c>
      <c r="ZN3" s="184">
        <f ca="1">'Clinical resources'!ZM6</f>
        <v>44242</v>
      </c>
      <c r="ZO3" s="184">
        <f ca="1">'Clinical resources'!ZN6</f>
        <v>44249</v>
      </c>
      <c r="ZP3" s="184">
        <f ca="1">'Clinical resources'!ZO6</f>
        <v>44256</v>
      </c>
      <c r="ZQ3" s="184">
        <f ca="1">'Clinical resources'!ZP6</f>
        <v>44263</v>
      </c>
      <c r="ZR3" s="184">
        <f ca="1">'Clinical resources'!ZQ6</f>
        <v>44270</v>
      </c>
      <c r="ZS3" s="184">
        <f ca="1">'Clinical resources'!ZR6</f>
        <v>44277</v>
      </c>
      <c r="ZT3" s="184">
        <f ca="1">'Clinical resources'!ZS6</f>
        <v>44284</v>
      </c>
      <c r="ZU3" s="184">
        <f ca="1">'Clinical resources'!ZT6</f>
        <v>44291</v>
      </c>
      <c r="ZV3" s="184">
        <f ca="1">'Clinical resources'!ZU6</f>
        <v>44298</v>
      </c>
      <c r="ZW3" s="184">
        <f ca="1">'Clinical resources'!ZV6</f>
        <v>44305</v>
      </c>
      <c r="ZX3" s="184">
        <f ca="1">'Clinical resources'!ZW6</f>
        <v>44312</v>
      </c>
      <c r="ZY3" s="184">
        <f ca="1">'Clinical resources'!ZX6</f>
        <v>44319</v>
      </c>
      <c r="ZZ3" s="184">
        <f ca="1">'Clinical resources'!ZY6</f>
        <v>44326</v>
      </c>
      <c r="AAA3" s="184">
        <f ca="1">'Clinical resources'!ZZ6</f>
        <v>44333</v>
      </c>
      <c r="AAB3" s="184">
        <f ca="1">'Clinical resources'!AAA6</f>
        <v>44340</v>
      </c>
      <c r="AAC3" s="184">
        <f ca="1">'Clinical resources'!AAB6</f>
        <v>44347</v>
      </c>
      <c r="AAD3" s="184">
        <f ca="1">'Clinical resources'!AAC6</f>
        <v>44354</v>
      </c>
      <c r="AAE3" s="184">
        <f ca="1">'Clinical resources'!AAD6</f>
        <v>44361</v>
      </c>
      <c r="AAF3" s="184">
        <f ca="1">'Clinical resources'!AAE6</f>
        <v>44368</v>
      </c>
      <c r="AAG3" s="184">
        <f ca="1">'Clinical resources'!AAF6</f>
        <v>44375</v>
      </c>
      <c r="AAH3" s="184">
        <f ca="1">'Clinical resources'!AAG6</f>
        <v>44382</v>
      </c>
      <c r="AAI3" s="184">
        <f ca="1">'Clinical resources'!AAH6</f>
        <v>44389</v>
      </c>
      <c r="AAJ3" s="184">
        <f ca="1">'Clinical resources'!AAI6</f>
        <v>44396</v>
      </c>
      <c r="AAK3" s="184">
        <f ca="1">'Clinical resources'!AAJ6</f>
        <v>44403</v>
      </c>
      <c r="AAL3" s="184">
        <f ca="1">'Clinical resources'!AAK6</f>
        <v>44410</v>
      </c>
      <c r="AAM3" s="184">
        <f ca="1">'Clinical resources'!AAL6</f>
        <v>44417</v>
      </c>
      <c r="AAN3" s="184">
        <f ca="1">'Clinical resources'!AAM6</f>
        <v>44424</v>
      </c>
      <c r="AAO3" s="184">
        <f ca="1">'Clinical resources'!AAN6</f>
        <v>44431</v>
      </c>
      <c r="AAP3" s="184">
        <f ca="1">'Clinical resources'!AAO6</f>
        <v>44438</v>
      </c>
      <c r="AAQ3" s="184">
        <f ca="1">'Clinical resources'!AAP6</f>
        <v>44445</v>
      </c>
      <c r="AAR3" s="184">
        <f ca="1">'Clinical resources'!AAQ6</f>
        <v>44452</v>
      </c>
      <c r="AAS3" s="184">
        <f ca="1">'Clinical resources'!AAR6</f>
        <v>44459</v>
      </c>
      <c r="AAT3" s="184">
        <f ca="1">'Clinical resources'!AAS6</f>
        <v>44466</v>
      </c>
      <c r="AAU3" s="184">
        <f ca="1">'Clinical resources'!AAT6</f>
        <v>44473</v>
      </c>
      <c r="AAV3" s="184">
        <f ca="1">'Clinical resources'!AAU6</f>
        <v>44480</v>
      </c>
      <c r="AAW3" s="184">
        <f ca="1">'Clinical resources'!AAV6</f>
        <v>44487</v>
      </c>
      <c r="AAX3" s="184">
        <f ca="1">'Clinical resources'!AAW6</f>
        <v>44494</v>
      </c>
      <c r="AAY3" s="184">
        <f ca="1">'Clinical resources'!AAX6</f>
        <v>44501</v>
      </c>
      <c r="AAZ3" s="184">
        <f ca="1">'Clinical resources'!AAY6</f>
        <v>44508</v>
      </c>
      <c r="ABA3" s="184">
        <f ca="1">'Clinical resources'!AAZ6</f>
        <v>44515</v>
      </c>
      <c r="ABB3" s="184">
        <f ca="1">'Clinical resources'!ABA6</f>
        <v>44522</v>
      </c>
      <c r="ABC3" s="184">
        <f ca="1">'Clinical resources'!ABB6</f>
        <v>44529</v>
      </c>
      <c r="ABD3" s="184">
        <f ca="1">'Clinical resources'!ABC6</f>
        <v>44536</v>
      </c>
      <c r="ABE3" s="184">
        <f ca="1">'Clinical resources'!ABD6</f>
        <v>44543</v>
      </c>
      <c r="ABF3" s="184">
        <f ca="1">'Clinical resources'!ABE6</f>
        <v>44550</v>
      </c>
      <c r="ABG3" s="184">
        <f ca="1">'Clinical resources'!ABF6</f>
        <v>44557</v>
      </c>
      <c r="ABH3" s="184">
        <f ca="1">'Clinical resources'!ABG6</f>
        <v>44564</v>
      </c>
      <c r="ABI3" s="184">
        <f ca="1">'Clinical resources'!ABH6</f>
        <v>44571</v>
      </c>
      <c r="ABJ3" s="184">
        <f ca="1">'Clinical resources'!ABI6</f>
        <v>44578</v>
      </c>
      <c r="ABK3" s="184">
        <f ca="1">'Clinical resources'!ABJ6</f>
        <v>44585</v>
      </c>
    </row>
    <row r="4" spans="3:739" x14ac:dyDescent="0.25">
      <c r="E4" t="str">
        <f>ROW(E1)&amp;". "&amp;'Clinical resources'!B7</f>
        <v xml:space="preserve">1. </v>
      </c>
      <c r="ZL4">
        <f>SUMIFS(INDEX('Capacity Backing (Hide)2'!$B$13:$CW$64,COLUMN(E1),0),'CR Backing (Hide)'!$CF4:$GA4,"X")</f>
        <v>0</v>
      </c>
    </row>
    <row r="5" spans="3:739" x14ac:dyDescent="0.25">
      <c r="E5" t="str">
        <f>ROW(E2)&amp;". "&amp;'Clinical resources'!B8</f>
        <v xml:space="preserve">2. </v>
      </c>
    </row>
    <row r="6" spans="3:739" x14ac:dyDescent="0.25">
      <c r="E6" t="str">
        <f>ROW(E3)&amp;". "&amp;'Clinical resources'!B9</f>
        <v xml:space="preserve">3. </v>
      </c>
    </row>
    <row r="7" spans="3:739" x14ac:dyDescent="0.25">
      <c r="E7" t="str">
        <f>ROW(E4)&amp;". "&amp;'Clinical resources'!B10</f>
        <v xml:space="preserve">4. </v>
      </c>
    </row>
    <row r="8" spans="3:739" x14ac:dyDescent="0.25">
      <c r="E8" t="str">
        <f>ROW(E5)&amp;". "&amp;'Clinical resources'!B11</f>
        <v xml:space="preserve">5. </v>
      </c>
    </row>
    <row r="9" spans="3:739" x14ac:dyDescent="0.25">
      <c r="E9" t="str">
        <f>ROW(E6)&amp;". "&amp;'Clinical resources'!B12</f>
        <v xml:space="preserve">6. </v>
      </c>
    </row>
    <row r="10" spans="3:739" x14ac:dyDescent="0.25">
      <c r="E10" t="str">
        <f>ROW(E7)&amp;". "&amp;'Clinical resources'!B13</f>
        <v xml:space="preserve">7. </v>
      </c>
    </row>
    <row r="11" spans="3:739" x14ac:dyDescent="0.25">
      <c r="E11" t="str">
        <f>ROW(E8)&amp;". "&amp;'Clinical resources'!B14</f>
        <v xml:space="preserve">8. </v>
      </c>
    </row>
    <row r="12" spans="3:739" x14ac:dyDescent="0.25">
      <c r="E12" t="str">
        <f>ROW(E9)&amp;". "&amp;'Clinical resources'!B15</f>
        <v xml:space="preserve">9. </v>
      </c>
    </row>
    <row r="13" spans="3:739" x14ac:dyDescent="0.25">
      <c r="E13" t="str">
        <f>ROW(E10)&amp;". "&amp;'Clinical resources'!B16</f>
        <v xml:space="preserve">10. </v>
      </c>
    </row>
    <row r="14" spans="3:739" x14ac:dyDescent="0.25">
      <c r="E14" t="str">
        <f>ROW(E11)&amp;". "&amp;'Clinical resources'!B17</f>
        <v xml:space="preserve">11. </v>
      </c>
    </row>
    <row r="15" spans="3:739" x14ac:dyDescent="0.25">
      <c r="E15" t="str">
        <f>ROW(E12)&amp;". "&amp;'Clinical resources'!B18</f>
        <v xml:space="preserve">12. </v>
      </c>
    </row>
    <row r="16" spans="3:739" x14ac:dyDescent="0.25">
      <c r="E16" t="str">
        <f>ROW(E13)&amp;". "&amp;'Clinical resources'!B19</f>
        <v xml:space="preserve">13. </v>
      </c>
    </row>
    <row r="17" spans="5:5" x14ac:dyDescent="0.25">
      <c r="E17" t="str">
        <f>ROW(E14)&amp;". "&amp;'Clinical resources'!B20</f>
        <v xml:space="preserve">14. </v>
      </c>
    </row>
    <row r="18" spans="5:5" x14ac:dyDescent="0.25">
      <c r="E18" t="str">
        <f>ROW(E15)&amp;". "&amp;'Clinical resources'!B21</f>
        <v xml:space="preserve">15. </v>
      </c>
    </row>
    <row r="19" spans="5:5" x14ac:dyDescent="0.25">
      <c r="E19" t="str">
        <f>ROW(E16)&amp;". "&amp;'Clinical resources'!B22</f>
        <v xml:space="preserve">16. </v>
      </c>
    </row>
    <row r="20" spans="5:5" x14ac:dyDescent="0.25">
      <c r="E20" t="str">
        <f>ROW(E17)&amp;". "&amp;'Clinical resources'!B23</f>
        <v xml:space="preserve">17. </v>
      </c>
    </row>
    <row r="21" spans="5:5" x14ac:dyDescent="0.25">
      <c r="E21" t="str">
        <f>ROW(E18)&amp;". "&amp;'Clinical resources'!B24</f>
        <v xml:space="preserve">18. </v>
      </c>
    </row>
    <row r="22" spans="5:5" x14ac:dyDescent="0.25">
      <c r="E22" t="str">
        <f>ROW(E19)&amp;". "&amp;'Clinical resources'!B25</f>
        <v xml:space="preserve">19. </v>
      </c>
    </row>
    <row r="23" spans="5:5" x14ac:dyDescent="0.25">
      <c r="E23" t="str">
        <f>ROW(E20)&amp;". "&amp;'Clinical resources'!B26</f>
        <v xml:space="preserve">20. </v>
      </c>
    </row>
    <row r="24" spans="5:5" x14ac:dyDescent="0.25">
      <c r="E24" t="str">
        <f>ROW(E21)&amp;". "&amp;'Clinical resources'!B27</f>
        <v xml:space="preserve">21. </v>
      </c>
    </row>
    <row r="25" spans="5:5" x14ac:dyDescent="0.25">
      <c r="E25" t="str">
        <f>ROW(E22)&amp;". "&amp;'Clinical resources'!B28</f>
        <v xml:space="preserve">22. </v>
      </c>
    </row>
    <row r="26" spans="5:5" x14ac:dyDescent="0.25">
      <c r="E26" t="str">
        <f>ROW(E23)&amp;". "&amp;'Clinical resources'!B29</f>
        <v xml:space="preserve">23. </v>
      </c>
    </row>
    <row r="27" spans="5:5" x14ac:dyDescent="0.25">
      <c r="E27" t="str">
        <f>ROW(E24)&amp;". "&amp;'Clinical resources'!B30</f>
        <v xml:space="preserve">24. </v>
      </c>
    </row>
    <row r="28" spans="5:5" x14ac:dyDescent="0.25">
      <c r="E28" t="str">
        <f>ROW(E25)&amp;". "&amp;'Clinical resources'!B31</f>
        <v xml:space="preserve">25. </v>
      </c>
    </row>
    <row r="29" spans="5:5" x14ac:dyDescent="0.25">
      <c r="E29" t="str">
        <f>ROW(E26)&amp;". "&amp;'Clinical resources'!B32</f>
        <v xml:space="preserve">26. </v>
      </c>
    </row>
    <row r="30" spans="5:5" x14ac:dyDescent="0.25">
      <c r="E30" t="str">
        <f>ROW(E27)&amp;". "&amp;'Clinical resources'!B33</f>
        <v xml:space="preserve">27. </v>
      </c>
    </row>
    <row r="31" spans="5:5" x14ac:dyDescent="0.25">
      <c r="E31" t="str">
        <f>ROW(E28)&amp;". "&amp;'Clinical resources'!B34</f>
        <v xml:space="preserve">28. </v>
      </c>
    </row>
    <row r="32" spans="5:5" x14ac:dyDescent="0.25">
      <c r="E32" t="str">
        <f>ROW(E29)&amp;". "&amp;'Clinical resources'!B35</f>
        <v xml:space="preserve">29. </v>
      </c>
    </row>
    <row r="33" spans="5:5" x14ac:dyDescent="0.25">
      <c r="E33" t="str">
        <f>ROW(E30)&amp;". "&amp;'Clinical resources'!B36</f>
        <v xml:space="preserve">30. </v>
      </c>
    </row>
    <row r="34" spans="5:5" x14ac:dyDescent="0.25">
      <c r="E34" t="str">
        <f>ROW(E31)&amp;". "&amp;'Clinical resources'!B37</f>
        <v xml:space="preserve">31. </v>
      </c>
    </row>
    <row r="35" spans="5:5" x14ac:dyDescent="0.25">
      <c r="E35" t="str">
        <f>ROW(E32)&amp;". "&amp;'Clinical resources'!B38</f>
        <v xml:space="preserve">32. </v>
      </c>
    </row>
    <row r="36" spans="5:5" x14ac:dyDescent="0.25">
      <c r="E36" t="str">
        <f>ROW(E33)&amp;". "&amp;'Clinical resources'!B39</f>
        <v xml:space="preserve">33. </v>
      </c>
    </row>
    <row r="37" spans="5:5" x14ac:dyDescent="0.25">
      <c r="E37" t="str">
        <f>ROW(E34)&amp;". "&amp;'Clinical resources'!B40</f>
        <v xml:space="preserve">34. </v>
      </c>
    </row>
    <row r="38" spans="5:5" x14ac:dyDescent="0.25">
      <c r="E38" t="str">
        <f>ROW(E35)&amp;". "&amp;'Clinical resources'!B41</f>
        <v xml:space="preserve">35. </v>
      </c>
    </row>
    <row r="39" spans="5:5" x14ac:dyDescent="0.25">
      <c r="E39" t="str">
        <f>ROW(E36)&amp;". "&amp;'Clinical resources'!B42</f>
        <v xml:space="preserve">36. </v>
      </c>
    </row>
    <row r="40" spans="5:5" x14ac:dyDescent="0.25">
      <c r="E40" t="str">
        <f>ROW(E37)&amp;". "&amp;'Clinical resources'!B43</f>
        <v xml:space="preserve">37. </v>
      </c>
    </row>
    <row r="41" spans="5:5" x14ac:dyDescent="0.25">
      <c r="E41" t="str">
        <f>ROW(E38)&amp;". "&amp;'Clinical resources'!B44</f>
        <v xml:space="preserve">38. </v>
      </c>
    </row>
    <row r="42" spans="5:5" x14ac:dyDescent="0.25">
      <c r="E42" t="str">
        <f>ROW(E39)&amp;". "&amp;'Clinical resources'!B45</f>
        <v xml:space="preserve">39. </v>
      </c>
    </row>
    <row r="43" spans="5:5" x14ac:dyDescent="0.25">
      <c r="E43" t="str">
        <f>ROW(E40)&amp;". "&amp;'Clinical resources'!B46</f>
        <v xml:space="preserve">40. </v>
      </c>
    </row>
    <row r="44" spans="5:5" x14ac:dyDescent="0.25">
      <c r="E44" t="str">
        <f>ROW(E41)&amp;". "&amp;'Clinical resources'!B47</f>
        <v xml:space="preserve">41. </v>
      </c>
    </row>
    <row r="45" spans="5:5" x14ac:dyDescent="0.25">
      <c r="E45" t="str">
        <f>ROW(E42)&amp;". "&amp;'Clinical resources'!B48</f>
        <v xml:space="preserve">42. </v>
      </c>
    </row>
    <row r="46" spans="5:5" x14ac:dyDescent="0.25">
      <c r="E46" t="str">
        <f>ROW(E43)&amp;". "&amp;'Clinical resources'!B49</f>
        <v xml:space="preserve">43. </v>
      </c>
    </row>
    <row r="47" spans="5:5" x14ac:dyDescent="0.25">
      <c r="E47" t="str">
        <f>ROW(E44)&amp;". "&amp;'Clinical resources'!B50</f>
        <v xml:space="preserve">44. </v>
      </c>
    </row>
    <row r="48" spans="5:5" x14ac:dyDescent="0.25">
      <c r="E48" t="str">
        <f>ROW(E45)&amp;". "&amp;'Clinical resources'!B51</f>
        <v xml:space="preserve">45. </v>
      </c>
    </row>
    <row r="49" spans="5:5" x14ac:dyDescent="0.25">
      <c r="E49" t="str">
        <f>ROW(E46)&amp;". "&amp;'Clinical resources'!B52</f>
        <v xml:space="preserve">46. </v>
      </c>
    </row>
    <row r="50" spans="5:5" x14ac:dyDescent="0.25">
      <c r="E50" t="str">
        <f>ROW(E47)&amp;". "&amp;'Clinical resources'!B53</f>
        <v xml:space="preserve">47. </v>
      </c>
    </row>
    <row r="51" spans="5:5" x14ac:dyDescent="0.25">
      <c r="E51" t="str">
        <f>ROW(E48)&amp;". "&amp;'Clinical resources'!B54</f>
        <v xml:space="preserve">48. </v>
      </c>
    </row>
    <row r="52" spans="5:5" x14ac:dyDescent="0.25">
      <c r="E52" t="str">
        <f>ROW(E49)&amp;". "&amp;'Clinical resources'!B55</f>
        <v xml:space="preserve">49. </v>
      </c>
    </row>
    <row r="53" spans="5:5" x14ac:dyDescent="0.25">
      <c r="E53" t="str">
        <f>ROW(E50)&amp;". "&amp;'Clinical resources'!B56</f>
        <v xml:space="preserve">50. </v>
      </c>
    </row>
    <row r="54" spans="5:5" x14ac:dyDescent="0.25">
      <c r="E54" t="str">
        <f>ROW(E51)&amp;". "&amp;'Clinical resources'!B57</f>
        <v xml:space="preserve">51. </v>
      </c>
    </row>
    <row r="55" spans="5:5" x14ac:dyDescent="0.25">
      <c r="E55" t="str">
        <f>ROW(E52)&amp;". "&amp;'Clinical resources'!B58</f>
        <v xml:space="preserve">52. </v>
      </c>
    </row>
    <row r="56" spans="5:5" x14ac:dyDescent="0.25">
      <c r="E56" t="str">
        <f>ROW(E53)&amp;". "&amp;'Clinical resources'!B59</f>
        <v xml:space="preserve">53. </v>
      </c>
    </row>
    <row r="57" spans="5:5" x14ac:dyDescent="0.25">
      <c r="E57" t="str">
        <f>ROW(E54)&amp;". "&amp;'Clinical resources'!B60</f>
        <v xml:space="preserve">54. </v>
      </c>
    </row>
    <row r="58" spans="5:5" x14ac:dyDescent="0.25">
      <c r="E58" t="str">
        <f>ROW(E55)&amp;". "&amp;'Clinical resources'!B61</f>
        <v xml:space="preserve">55. </v>
      </c>
    </row>
    <row r="59" spans="5:5" x14ac:dyDescent="0.25">
      <c r="E59" t="str">
        <f>ROW(E56)&amp;". "&amp;'Clinical resources'!B62</f>
        <v xml:space="preserve">56. </v>
      </c>
    </row>
    <row r="60" spans="5:5" x14ac:dyDescent="0.25">
      <c r="E60" t="str">
        <f>ROW(E57)&amp;". "&amp;'Clinical resources'!B63</f>
        <v xml:space="preserve">57. </v>
      </c>
    </row>
    <row r="61" spans="5:5" x14ac:dyDescent="0.25">
      <c r="E61" t="str">
        <f>ROW(E58)&amp;". "&amp;'Clinical resources'!B64</f>
        <v xml:space="preserve">58. </v>
      </c>
    </row>
    <row r="62" spans="5:5" x14ac:dyDescent="0.25">
      <c r="E62" t="str">
        <f>ROW(E59)&amp;". "&amp;'Clinical resources'!B65</f>
        <v xml:space="preserve">59. </v>
      </c>
    </row>
    <row r="63" spans="5:5" x14ac:dyDescent="0.25">
      <c r="E63" t="str">
        <f>ROW(E60)&amp;". "&amp;'Clinical resources'!B66</f>
        <v xml:space="preserve">60. </v>
      </c>
    </row>
    <row r="64" spans="5:5" x14ac:dyDescent="0.25">
      <c r="E64" t="str">
        <f>ROW(E61)&amp;". "&amp;'Clinical resources'!B67</f>
        <v xml:space="preserve">61. </v>
      </c>
    </row>
    <row r="65" spans="5:5" x14ac:dyDescent="0.25">
      <c r="E65" t="str">
        <f>ROW(E62)&amp;". "&amp;'Clinical resources'!B68</f>
        <v xml:space="preserve">62. </v>
      </c>
    </row>
    <row r="66" spans="5:5" x14ac:dyDescent="0.25">
      <c r="E66" t="str">
        <f>ROW(E63)&amp;". "&amp;'Clinical resources'!B69</f>
        <v xml:space="preserve">63. </v>
      </c>
    </row>
    <row r="67" spans="5:5" x14ac:dyDescent="0.25">
      <c r="E67" t="str">
        <f>ROW(E64)&amp;". "&amp;'Clinical resources'!B70</f>
        <v xml:space="preserve">64. </v>
      </c>
    </row>
    <row r="68" spans="5:5" x14ac:dyDescent="0.25">
      <c r="E68" t="str">
        <f>ROW(E65)&amp;". "&amp;'Clinical resources'!B71</f>
        <v xml:space="preserve">65. </v>
      </c>
    </row>
    <row r="69" spans="5:5" x14ac:dyDescent="0.25">
      <c r="E69" t="str">
        <f>ROW(E66)&amp;". "&amp;'Clinical resources'!B72</f>
        <v xml:space="preserve">66. </v>
      </c>
    </row>
    <row r="70" spans="5:5" x14ac:dyDescent="0.25">
      <c r="E70" t="str">
        <f>ROW(E67)&amp;". "&amp;'Clinical resources'!B73</f>
        <v xml:space="preserve">67. </v>
      </c>
    </row>
    <row r="71" spans="5:5" x14ac:dyDescent="0.25">
      <c r="E71" t="str">
        <f>ROW(E68)&amp;". "&amp;'Clinical resources'!B74</f>
        <v xml:space="preserve">68. </v>
      </c>
    </row>
    <row r="72" spans="5:5" x14ac:dyDescent="0.25">
      <c r="E72" t="str">
        <f>ROW(E69)&amp;". "&amp;'Clinical resources'!B75</f>
        <v xml:space="preserve">69. </v>
      </c>
    </row>
    <row r="73" spans="5:5" x14ac:dyDescent="0.25">
      <c r="E73" t="str">
        <f>ROW(E70)&amp;". "&amp;'Clinical resources'!B76</f>
        <v xml:space="preserve">70. </v>
      </c>
    </row>
    <row r="74" spans="5:5" x14ac:dyDescent="0.25">
      <c r="E74" t="str">
        <f>ROW(E71)&amp;". "&amp;'Clinical resources'!B77</f>
        <v xml:space="preserve">71. </v>
      </c>
    </row>
    <row r="75" spans="5:5" x14ac:dyDescent="0.25">
      <c r="E75" t="str">
        <f>ROW(E72)&amp;". "&amp;'Clinical resources'!B78</f>
        <v xml:space="preserve">72. </v>
      </c>
    </row>
    <row r="76" spans="5:5" x14ac:dyDescent="0.25">
      <c r="E76" t="str">
        <f>ROW(E73)&amp;". "&amp;'Clinical resources'!B79</f>
        <v xml:space="preserve">73. </v>
      </c>
    </row>
    <row r="77" spans="5:5" x14ac:dyDescent="0.25">
      <c r="E77" t="str">
        <f>ROW(E74)&amp;". "&amp;'Clinical resources'!B80</f>
        <v xml:space="preserve">74. </v>
      </c>
    </row>
    <row r="78" spans="5:5" x14ac:dyDescent="0.25">
      <c r="E78" t="str">
        <f>ROW(E75)&amp;". "&amp;'Clinical resources'!B81</f>
        <v xml:space="preserve">75. </v>
      </c>
    </row>
    <row r="79" spans="5:5" x14ac:dyDescent="0.25">
      <c r="E79" t="str">
        <f>ROW(E76)&amp;". "&amp;'Clinical resources'!B82</f>
        <v xml:space="preserve">76. </v>
      </c>
    </row>
    <row r="80" spans="5:5" x14ac:dyDescent="0.25">
      <c r="E80" t="str">
        <f>ROW(E77)&amp;". "&amp;'Clinical resources'!B83</f>
        <v xml:space="preserve">77. </v>
      </c>
    </row>
    <row r="81" spans="5:5" x14ac:dyDescent="0.25">
      <c r="E81" t="str">
        <f>ROW(E78)&amp;". "&amp;'Clinical resources'!B84</f>
        <v xml:space="preserve">78. </v>
      </c>
    </row>
    <row r="82" spans="5:5" x14ac:dyDescent="0.25">
      <c r="E82" t="str">
        <f>ROW(E79)&amp;". "&amp;'Clinical resources'!B85</f>
        <v xml:space="preserve">79. </v>
      </c>
    </row>
    <row r="83" spans="5:5" x14ac:dyDescent="0.25">
      <c r="E83" t="str">
        <f>ROW(E80)&amp;". "&amp;'Clinical resources'!B86</f>
        <v xml:space="preserve">80. </v>
      </c>
    </row>
    <row r="84" spans="5:5" x14ac:dyDescent="0.25">
      <c r="E84" t="str">
        <f>ROW(E81)&amp;". "&amp;'Clinical resources'!B87</f>
        <v xml:space="preserve">81. </v>
      </c>
    </row>
    <row r="85" spans="5:5" x14ac:dyDescent="0.25">
      <c r="E85" t="str">
        <f>ROW(E82)&amp;". "&amp;'Clinical resources'!B88</f>
        <v xml:space="preserve">82. </v>
      </c>
    </row>
    <row r="86" spans="5:5" x14ac:dyDescent="0.25">
      <c r="E86" t="str">
        <f>ROW(E83)&amp;". "&amp;'Clinical resources'!B89</f>
        <v xml:space="preserve">83. </v>
      </c>
    </row>
    <row r="87" spans="5:5" x14ac:dyDescent="0.25">
      <c r="E87" t="str">
        <f>ROW(E84)&amp;". "&amp;'Clinical resources'!B90</f>
        <v xml:space="preserve">84. </v>
      </c>
    </row>
    <row r="88" spans="5:5" x14ac:dyDescent="0.25">
      <c r="E88" t="str">
        <f>ROW(E85)&amp;". "&amp;'Clinical resources'!B91</f>
        <v xml:space="preserve">85. </v>
      </c>
    </row>
    <row r="89" spans="5:5" x14ac:dyDescent="0.25">
      <c r="E89" t="str">
        <f>ROW(E86)&amp;". "&amp;'Clinical resources'!B92</f>
        <v xml:space="preserve">86. </v>
      </c>
    </row>
    <row r="90" spans="5:5" x14ac:dyDescent="0.25">
      <c r="E90" t="str">
        <f>ROW(E87)&amp;". "&amp;'Clinical resources'!B93</f>
        <v xml:space="preserve">87. </v>
      </c>
    </row>
    <row r="91" spans="5:5" x14ac:dyDescent="0.25">
      <c r="E91" t="str">
        <f>ROW(E88)&amp;". "&amp;'Clinical resources'!B94</f>
        <v xml:space="preserve">88. </v>
      </c>
    </row>
    <row r="92" spans="5:5" x14ac:dyDescent="0.25">
      <c r="E92" t="str">
        <f>ROW(E89)&amp;". "&amp;'Clinical resources'!B95</f>
        <v xml:space="preserve">89. </v>
      </c>
    </row>
    <row r="93" spans="5:5" x14ac:dyDescent="0.25">
      <c r="E93" t="str">
        <f>ROW(E90)&amp;". "&amp;'Clinical resources'!B96</f>
        <v xml:space="preserve">90. </v>
      </c>
    </row>
    <row r="94" spans="5:5" x14ac:dyDescent="0.25">
      <c r="E94" t="str">
        <f>ROW(E91)&amp;". "&amp;'Clinical resources'!B97</f>
        <v xml:space="preserve">91. </v>
      </c>
    </row>
    <row r="95" spans="5:5" x14ac:dyDescent="0.25">
      <c r="E95" t="str">
        <f>ROW(E92)&amp;". "&amp;'Clinical resources'!B98</f>
        <v xml:space="preserve">92. </v>
      </c>
    </row>
    <row r="96" spans="5:5" x14ac:dyDescent="0.25">
      <c r="E96" t="str">
        <f>ROW(E93)&amp;". "&amp;'Clinical resources'!B99</f>
        <v xml:space="preserve">93. </v>
      </c>
    </row>
    <row r="97" spans="5:5" x14ac:dyDescent="0.25">
      <c r="E97" t="str">
        <f>ROW(E94)&amp;". "&amp;'Clinical resources'!B100</f>
        <v xml:space="preserve">94. </v>
      </c>
    </row>
    <row r="98" spans="5:5" x14ac:dyDescent="0.25">
      <c r="E98" t="str">
        <f>ROW(E95)&amp;". "&amp;'Clinical resources'!B101</f>
        <v xml:space="preserve">95. </v>
      </c>
    </row>
    <row r="99" spans="5:5" x14ac:dyDescent="0.25">
      <c r="E99" t="str">
        <f>ROW(E96)&amp;". "&amp;'Clinical resources'!B102</f>
        <v xml:space="preserve">96. </v>
      </c>
    </row>
    <row r="100" spans="5:5" x14ac:dyDescent="0.25">
      <c r="E100" t="str">
        <f>ROW(E97)&amp;". "&amp;'Clinical resources'!B103</f>
        <v xml:space="preserve">97. </v>
      </c>
    </row>
    <row r="101" spans="5:5" x14ac:dyDescent="0.25">
      <c r="E101" t="str">
        <f>ROW(E98)&amp;". "&amp;'Clinical resources'!B104</f>
        <v xml:space="preserve">98. </v>
      </c>
    </row>
    <row r="102" spans="5:5" x14ac:dyDescent="0.25">
      <c r="E102" t="str">
        <f>ROW(E99)&amp;". "&amp;'Clinical resources'!B105</f>
        <v xml:space="preserve">99. </v>
      </c>
    </row>
    <row r="103" spans="5:5" x14ac:dyDescent="0.25">
      <c r="E103" t="str">
        <f>ROW(E100)&amp;". "&amp;'Clinical resources'!B106</f>
        <v xml:space="preserve">100. </v>
      </c>
    </row>
  </sheetData>
  <sheetProtection algorithmName="SHA-512" hashValue="59TKZDjT+JzXfNLAEgYMUkjr4vwdSDW3UOCz40ixEEGyxkLoFmj62PhWjjU/7AiVgUhHcHrc/aWA2JqwwiWzDw==" saltValue="GN51xKKH00oYX2mJx/5xAA==" spinCount="100000"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zoomScaleNormal="100" workbookViewId="0">
      <selection activeCell="B36" sqref="B36"/>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277</v>
      </c>
      <c r="C3" s="5"/>
      <c r="D3" s="5"/>
      <c r="E3" s="5"/>
      <c r="F3" s="5"/>
      <c r="G3" s="5"/>
      <c r="H3" t="str">
        <f>"Capacity summary ("&amp;LOWER(B5)&amp;") for "&amp;LOWER(B3)&amp;", "&amp;IF(B4="Total","all types of session", LOWER(B4)&amp;" sessions")</f>
        <v>Capacity summary (minutes) for caseload 1, all types of session</v>
      </c>
    </row>
    <row r="4" spans="1:8" ht="15.75" thickBot="1" x14ac:dyDescent="0.3">
      <c r="A4" s="56" t="s">
        <v>59</v>
      </c>
      <c r="B4" s="125" t="s">
        <v>60</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21" t="s">
        <v>189</v>
      </c>
      <c r="D34" s="222"/>
      <c r="E34" s="221" t="s">
        <v>190</v>
      </c>
      <c r="F34" s="222"/>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
      </c>
      <c r="C36" s="29" t="str">
        <f>IF(Capacity!S10="","",Capacity!S10)</f>
        <v/>
      </c>
      <c r="D36" s="112" t="str">
        <f>IF(C36="","",Capacity!T10/IF($B$5="minutes",1,60))</f>
        <v/>
      </c>
      <c r="E36" s="29" t="str">
        <f>IF(B36="","",IF(COUNTBLANK($H36:$BG36)=52,52,COUNTA($H$36:$BG$36)))</f>
        <v/>
      </c>
      <c r="F36" s="112" t="str" cm="1">
        <f t="array" ref="F36">IFERROR(INDEX('Capacity Backing (Hide)2'!$B$8:$CW$8,1,ROW(A1))/IF($B$5="Minutes",1,60),"")</f>
        <v/>
      </c>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row>
    <row r="37" spans="1:70" x14ac:dyDescent="0.25">
      <c r="B37" t="str">
        <f>IF(Capacity!B11="","",'Capacity Backing (Hide)2'!D443)</f>
        <v/>
      </c>
      <c r="C37" s="29" t="str">
        <f>IF(Capacity!S11="","",Capacity!S11)</f>
        <v/>
      </c>
      <c r="D37" s="112" t="str">
        <f>IF(C37="","",Capacity!T11/IF($B$5="minutes",1,60))</f>
        <v/>
      </c>
      <c r="E37" s="29" t="str">
        <f t="shared" ref="E37:E68" si="0">IF(B37="","",IF(COUNTBLANK($H37:$BG37)=52,52,COUNTA(H37:BG37)))</f>
        <v/>
      </c>
      <c r="F37" s="112" t="str" cm="1">
        <f t="array" ref="F37">IFERROR(INDEX('Capacity Backing (Hide)2'!$B$8:$CW$8,1,ROW(A2))/IF($B$5="Minutes",1,60),"")</f>
        <v/>
      </c>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21" t="s">
        <v>202</v>
      </c>
      <c r="D137" s="222"/>
      <c r="E137" s="221" t="s">
        <v>190</v>
      </c>
      <c r="F137" s="222"/>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
      </c>
      <c r="C139" s="29" t="str">
        <f>IF(Capacity!AP10="","",Capacity!AP10)</f>
        <v/>
      </c>
      <c r="D139" s="112" t="str">
        <f>IF(C139="","",Capacity!AQ10/IF(B5="Minutes",1,60))</f>
        <v/>
      </c>
      <c r="E139" s="29" t="str">
        <f t="shared" ref="E139:E170" si="3">IF(B139="","",IF(COUNTBLANK($H139:$BG139)=52,52,COUNTA(H139:BG139)))</f>
        <v/>
      </c>
      <c r="F139" s="112" t="str" cm="1">
        <f t="array" ref="F139">IFERROR(INDEX('Capacity Backing (Hide)2'!$B$144:$M$144,1,ROW(A1))/IF($B$5="Minutes",1,60),"")</f>
        <v/>
      </c>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row>
    <row r="140" spans="1:59" hidden="1" x14ac:dyDescent="0.25">
      <c r="B140" t="str">
        <f>IF(Capacity!Y11="","",Capacity!Y11)</f>
        <v/>
      </c>
      <c r="C140" s="29" t="str">
        <f>IF(Capacity!AP11="","",Capacity!AP11)</f>
        <v/>
      </c>
      <c r="D140" s="112" t="str">
        <f>IF(C140="","",Capacity!AQ11/IF(B6="Minutes",1,60))</f>
        <v/>
      </c>
      <c r="E140" s="29" t="str">
        <f t="shared" si="3"/>
        <v/>
      </c>
      <c r="F140" s="112" t="str" cm="1">
        <f t="array" ref="F140">IFERROR(INDEX('Capacity Backing (Hide)2'!$B$144:$M$144,1,ROW(A2))/IF($B$5="Minutes",1,60),"")</f>
        <v/>
      </c>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(Hide)2'!$B$144:$M$144,1,ROW(A3))/IF($B$5="Minutes",1,60),"")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(Hide)2'!$B$144:$M$144,1,ROW(A4))/IF($B$5="Minutes",1,60),"")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(Hide)2'!$B$144:$M$144,1,ROW(A5))/IF($B$5="Minutes",1,60),"")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(Hide)2'!$B$144:$M$144,1,ROW(A6))/IF($B$5="Minutes",1,60),"")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(Hide)2'!$B$144:$M$144,1,ROW(A7))/IF($B$5="Minutes",1,60),"")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(Hide)2'!$B$144:$M$144,1,ROW(A8))/IF($B$5="Minutes",1,60),"")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(Hide)2'!$B$144:$M$144,1,ROW(A9))/IF($B$5="Minutes",1,60),"")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(Hide)2'!$B$144:$M$144,1,ROW(A10))/IF($B$5="Minutes",1,60),"")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(Hide)2'!$B$144:$M$144,1,ROW(A11))/IF($B$5="Minutes",1,60),"")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(Hide)2'!$B$144:$M$144,1,ROW(A12))/IF($B$5="Minutes",1,60),"")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(Hide)2'!$B$144:$M$144,1,ROW(A13))/IF($B$5="Minutes",1,60),"")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(Hide)2'!$B$144:$M$144,1,ROW(A14))/IF($B$5="Minutes",1,60),"")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(Hide)2'!$B$144:$M$144,1,ROW(A15))/IF($B$5="Minutes",1,60),"")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(Hide)2'!$B$144:$M$144,1,ROW(A16))/IF($B$5="Minutes",1,60),"")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(Hide)2'!$B$144:$M$144,1,ROW(A17))/IF($B$5="Minutes",1,60),"")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(Hide)2'!$B$144:$M$144,1,ROW(A18))/IF($B$5="Minutes",1,60),"")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(Hide)2'!$B$144:$M$144,1,ROW(A19))/IF($B$5="Minutes",1,60),"")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(Hide)2'!$B$144:$M$144,1,ROW(A20))/IF($B$5="Minutes",1,60),"")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(Hide)2'!$B$144:$M$144,1,ROW(A21))/IF($B$5="Minutes",1,60),"")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(Hide)2'!$B$144:$M$144,1,ROW(A22))/IF($B$5="Minutes",1,60),"")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(Hide)2'!$B$144:$M$144,1,ROW(A23))/IF($B$5="Minutes",1,60),"")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(Hide)2'!$B$144:$M$144,1,ROW(A24))/IF($B$5="Minutes",1,60),"")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(Hide)2'!$B$144:$M$144,1,ROW(A25))/IF($B$5="Minutes",1,60),"")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(Hide)2'!$B$144:$M$144,1,ROW(A26))/IF($B$5="Minutes",1,60),"")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(Hide)2'!$B$144:$M$144,1,ROW(A27))/IF($B$5="Minutes",1,60),"")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(Hide)2'!$B$144:$M$144,1,ROW(A28))/IF($B$5="Minutes",1,60),"")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(Hide)2'!$B$144:$M$144,1,ROW(A29))/IF($B$5="Minutes",1,60),"")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(Hide)2'!$B$144:$M$144,1,ROW(A30))/IF($B$5="Minutes",1,60),"")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(Hide)2'!$B$144:$M$144,1,ROW(A31))/IF($B$5="Minutes",1,60),"")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(Hide)2'!$B$144:$M$144,1,ROW(A32))/IF($B$5="Minutes",1,60),"")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(Hide)2'!$B$144:$M$144,1,ROW(A33))/IF($B$5="Minutes",1,60),"")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(Hide)2'!$B$144:$M$144,1,ROW(A34))/IF($B$5="Minutes",1,60),"")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(Hide)2'!$B$144:$M$144,1,ROW(A35))/IF($B$5="Minutes",1,60),"")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(Hide)2'!$B$144:$M$144,1,ROW(A36))/IF($B$5="Minutes",1,60),"")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(Hide)2'!$B$144:$M$144,1,ROW(A37))/IF($B$5="Minutes",1,60),"")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(Hide)2'!$B$144:$M$144,1,ROW(A38))/IF($B$5="Minutes",1,60),"")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(Hide)2'!$B$144:$M$144,1,ROW(A39))/IF($B$5="Minutes",1,60),"")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(Hide)2'!$B$144:$M$144,1,ROW(A40))/IF($B$5="Minutes",1,60),"")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(Hide)2'!$B$144:$M$144,1,ROW(A41))/IF($B$5="Minutes",1,60),"")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(Hide)2'!$B$144:$M$144,1,ROW(A42))/IF($B$5="Minutes",1,60),"")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(Hide)2'!$B$144:$M$144,1,ROW(A43))/IF($B$5="Minutes",1,60),"")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(Hide)2'!$B$144:$M$144,1,ROW(A44))/IF($B$5="Minutes",1,60),"")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(Hide)2'!$B$144:$M$144,1,ROW(A45))/IF($B$5="Minutes",1,60),"")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(Hide)2'!$B$144:$M$144,1,ROW(A46))/IF($B$5="Minutes",1,60),"")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(Hide)2'!$B$144:$M$144,1,ROW(A47))/IF($B$5="Minutes",1,60),"")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(Hide)2'!$B$144:$M$144,1,ROW(A48))/IF($B$5="Minutes",1,60),"")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(Hide)2'!$B$144:$M$144,1,ROW(A49))/IF($B$5="Minutes",1,60),"")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(Hide)2'!$B$144:$M$144,1,ROW(A50))/IF($B$5="Minutes",1,60),"")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(Hide)2'!$B$144:$M$144,1,ROW(A51))/IF($B$5="Minutes",1,60),"")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(Hide)2'!$B$144:$M$144,1,ROW(A52))/IF($B$5="Minutes",1,60),"")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(Hide)2'!$B$144:$M$144,1,ROW(A53))/IF($B$5="Minutes",1,60),"")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(Hide)2'!$B$144:$M$144,1,ROW(A54))/IF($B$5="Minutes",1,60),"")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(Hide)2'!$B$144:$M$144,1,ROW(A55))/IF($B$5="Minutes",1,60),"")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(Hide)2'!$B$144:$M$144,1,ROW(A56))/IF($B$5="Minutes",1,60),"")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(Hide)2'!$B$144:$M$144,1,ROW(A57))/IF($B$5="Minutes",1,60),"")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(Hide)2'!$B$144:$M$144,1,ROW(A58))/IF($B$5="Minutes",1,60),"")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(Hide)2'!$B$144:$M$144,1,ROW(A59))/IF($B$5="Minutes",1,60),"")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(Hide)2'!$B$144:$M$144,1,ROW(A60))/IF($B$5="Minutes",1,60),"")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(Hide)2'!$B$144:$M$144,1,ROW(A61))/IF($B$5="Minutes",1,60),"")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(Hide)2'!$B$144:$M$144,1,ROW(A62))/IF($B$5="Minutes",1,60),"")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(Hide)2'!$B$144:$M$144,1,ROW(A63))/IF($B$5="Minutes",1,60),"")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(Hide)2'!$B$144:$M$144,1,ROW(A64))/IF($B$5="Minutes",1,60),"")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(Hide)2'!$B$144:$M$144,1,ROW(A65))/IF($B$5="Minutes",1,60),"")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(Hide)2'!$B$144:$M$144,1,ROW(A66))/IF($B$5="Minutes",1,60),"")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(Hide)2'!$B$144:$M$144,1,ROW(A67))/IF($B$5="Minutes",1,60),"")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(Hide)2'!$B$144:$M$144,1,ROW(A68))/IF($B$5="Minutes",1,60),"")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(Hide)2'!$B$144:$M$144,1,ROW(A69))/IF($B$5="Minutes",1,60),"")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(Hide)2'!$B$144:$M$144,1,ROW(A70))/IF($B$5="Minutes",1,60),"")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(Hide)2'!$B$144:$M$144,1,ROW(A71))/IF($B$5="Minutes",1,60),"")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(Hide)2'!$B$144:$M$144,1,ROW(A72))/IF($B$5="Minutes",1,60),"")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(Hide)2'!$B$144:$M$144,1,ROW(A73))/IF($B$5="Minutes",1,60),"")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(Hide)2'!$B$144:$M$144,1,ROW(A74))/IF($B$5="Minutes",1,60),"")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(Hide)2'!$B$144:$M$144,1,ROW(A75))/IF($B$5="Minutes",1,60),"")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(Hide)2'!$B$144:$M$144,1,ROW(A76))/IF($B$5="Minutes",1,60),"")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(Hide)2'!$B$144:$M$144,1,ROW(A77))/IF($B$5="Minutes",1,60),"")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(Hide)2'!$B$144:$M$144,1,ROW(A78))/IF($B$5="Minutes",1,60),"")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(Hide)2'!$B$144:$M$144,1,ROW(A79))/IF($B$5="Minutes",1,60),"")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(Hide)2'!$B$144:$M$144,1,ROW(A80))/IF($B$5="Minutes",1,60),"")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(Hide)2'!$B$144:$M$144,1,ROW(A81))/IF($B$5="Minutes",1,60),"")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(Hide)2'!$B$144:$M$144,1,ROW(A82))/IF($B$5="Minutes",1,60),"")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(Hide)2'!$B$144:$M$144,1,ROW(A83))/IF($B$5="Minutes",1,60),"")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(Hide)2'!$B$144:$M$144,1,ROW(A84))/IF($B$5="Minutes",1,60),"")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(Hide)2'!$B$144:$M$144,1,ROW(A85))/IF($B$5="Minutes",1,60),"")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(Hide)2'!$B$144:$M$144,1,ROW(A86))/IF($B$5="Minutes",1,60),"")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(Hide)2'!$B$144:$M$144,1,ROW(A87))/IF($B$5="Minutes",1,60),"")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(Hide)2'!$B$144:$M$144,1,ROW(A88))/IF($B$5="Minutes",1,60),"")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(Hide)2'!$B$144:$M$144,1,ROW(A89))/IF($B$5="Minutes",1,60),"")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(Hide)2'!$B$144:$M$144,1,ROW(A90))/IF($B$5="Minutes",1,60),"")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(Hide)2'!$B$144:$M$144,1,ROW(A91))/IF($B$5="Minutes",1,60),"")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(Hide)2'!$B$144:$M$144,1,ROW(A92))/IF($B$5="Minutes",1,60),"")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(Hide)2'!$B$144:$M$144,1,ROW(A93))/IF($B$5="Minutes",1,60),"")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(Hide)2'!$B$144:$M$144,1,ROW(A94))/IF($B$5="Minutes",1,60),"")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(Hide)2'!$B$144:$M$144,1,ROW(A95))/IF($B$5="Minutes",1,60),"")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(Hide)2'!$B$144:$M$144,1,ROW(A96))/IF($B$5="Minutes",1,60),"")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(Hide)2'!$B$144:$M$144,1,ROW(A97))/IF($B$5="Minutes",1,60),"")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(Hide)2'!$B$144:$M$144,1,ROW(A98))/IF($B$5="Minutes",1,60),"")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(Hide)2'!$B$144:$M$144,1,ROW(A99))/IF($B$5="Minutes",1,60),"")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(Hide)2'!$B$144:$M$144,1,ROW(A100))/IF($B$5="Minutes",1,60),"")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bdbzS2GipgsvPLNqn+q3HMMcqiYJL81qVA8t1hcggu/eZFisnsvxMepCnkGF+5n8nuR4nVkUw5huidkPv/GD8g==" saltValue="ICFDLrH1LuuLksEGqQ8oJA==" spinCount="100000" sheet="1" objects="1" scenarios="1"/>
  <mergeCells count="4">
    <mergeCell ref="C34:D34"/>
    <mergeCell ref="C137:D137"/>
    <mergeCell ref="E34:F34"/>
    <mergeCell ref="E137:F137"/>
  </mergeCells>
  <conditionalFormatting sqref="F139:F238 B36:F135">
    <cfRule type="expression" dxfId="9" priority="11">
      <formula>IF(B36&lt;&gt;"",TRUE,FALSE)</formula>
    </cfRule>
  </conditionalFormatting>
  <conditionalFormatting sqref="H36:BG135">
    <cfRule type="expression" dxfId="8" priority="10">
      <formula>IF($B36&lt;&gt;"",TRUE,FALSE)</formula>
    </cfRule>
  </conditionalFormatting>
  <conditionalFormatting sqref="B139:B238">
    <cfRule type="expression" dxfId="7" priority="9">
      <formula>IF(B139&lt;&gt;"",TRUE,FALSE)</formula>
    </cfRule>
  </conditionalFormatting>
  <conditionalFormatting sqref="C139:C238">
    <cfRule type="expression" dxfId="6" priority="8">
      <formula>IF(C139&lt;&gt;"",TRUE,FALSE)</formula>
    </cfRule>
  </conditionalFormatting>
  <conditionalFormatting sqref="D139:D238">
    <cfRule type="expression" dxfId="5" priority="7">
      <formula>IF(D139&lt;&gt;"",TRUE,FALSE)</formula>
    </cfRule>
  </conditionalFormatting>
  <conditionalFormatting sqref="E139:E238">
    <cfRule type="expression" dxfId="4" priority="6">
      <formula>IF(E139&lt;&gt;"",TRUE,FALSE)</formula>
    </cfRule>
  </conditionalFormatting>
  <conditionalFormatting sqref="AD139:BG139">
    <cfRule type="expression" dxfId="3" priority="4">
      <formula>IF($B139&lt;&gt;"",TRUE,FALSE)</formula>
    </cfRule>
  </conditionalFormatting>
  <conditionalFormatting sqref="H139:AC238 H142:BG236">
    <cfRule type="expression" dxfId="2" priority="3">
      <formula>IF($B139&lt;&gt;"",TRUE,FALSE)</formula>
    </cfRule>
  </conditionalFormatting>
  <conditionalFormatting sqref="H140:BG140">
    <cfRule type="expression" dxfId="1" priority="2">
      <formula>IF($B140&lt;&gt;"",TRUE,FALSE)</formula>
    </cfRule>
  </conditionalFormatting>
  <conditionalFormatting sqref="AD141:BG141">
    <cfRule type="expression" dxfId="0" priority="1">
      <formula>IF($B141&lt;&gt;"",TRUE,FALSE)</formula>
    </cfRule>
  </conditionalFormatting>
  <dataValidations disablePrompts="1"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1"/>
  <sheetViews>
    <sheetView workbookViewId="0">
      <selection activeCell="B1" sqref="B1"/>
    </sheetView>
  </sheetViews>
  <sheetFormatPr defaultRowHeight="15" x14ac:dyDescent="0.25"/>
  <cols>
    <col min="1" max="1" width="23.7109375" bestFit="1" customWidth="1"/>
    <col min="2" max="53" width="10.42578125" bestFit="1" customWidth="1"/>
  </cols>
  <sheetData>
    <row r="1" spans="1:101" ht="18.75" x14ac:dyDescent="0.3">
      <c r="A1" s="87" t="s">
        <v>112</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0</v>
      </c>
      <c r="C4">
        <f t="shared" ref="C4:AT4" si="0">(C3*C2)/52</f>
        <v>0</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 si="1">(AU3*AU2)/52</f>
        <v>0</v>
      </c>
      <c r="AV4">
        <f t="shared" ref="AV4" si="2">(AV3*AV2)/52</f>
        <v>0</v>
      </c>
      <c r="AW4">
        <f t="shared" ref="AW4" si="3">(AW3*AW2)/52</f>
        <v>0</v>
      </c>
      <c r="AX4">
        <f t="shared" ref="AX4" si="4">(AX3*AX2)/52</f>
        <v>0</v>
      </c>
      <c r="AY4">
        <f t="shared" ref="AY4" si="5">(AY3*AY2)/52</f>
        <v>0</v>
      </c>
      <c r="AZ4">
        <f t="shared" ref="AZ4" si="6">(AZ3*AZ2)/52</f>
        <v>0</v>
      </c>
      <c r="BA4">
        <f t="shared" ref="BA4" si="7">(BA3*BA2)/52</f>
        <v>0</v>
      </c>
      <c r="BB4">
        <f t="shared" ref="BB4" si="8">(BB3*BB2)/52</f>
        <v>0</v>
      </c>
      <c r="BC4">
        <f t="shared" ref="BC4" si="9">(BC3*BC2)/52</f>
        <v>0</v>
      </c>
      <c r="BD4">
        <f t="shared" ref="BD4" si="10">(BD3*BD2)/52</f>
        <v>0</v>
      </c>
      <c r="BE4">
        <f t="shared" ref="BE4" si="11">(BE3*BE2)/52</f>
        <v>0</v>
      </c>
      <c r="BF4">
        <f t="shared" ref="BF4" si="12">(BF3*BF2)/52</f>
        <v>0</v>
      </c>
      <c r="BG4">
        <f t="shared" ref="BG4" si="13">(BG3*BG2)/52</f>
        <v>0</v>
      </c>
      <c r="BH4">
        <f t="shared" ref="BH4" si="14">(BH3*BH2)/52</f>
        <v>0</v>
      </c>
      <c r="BI4">
        <f t="shared" ref="BI4" si="15">(BI3*BI2)/52</f>
        <v>0</v>
      </c>
      <c r="BJ4">
        <f t="shared" ref="BJ4" si="16">(BJ3*BJ2)/52</f>
        <v>0</v>
      </c>
      <c r="BK4">
        <f t="shared" ref="BK4" si="17">(BK3*BK2)/52</f>
        <v>0</v>
      </c>
      <c r="BL4">
        <f t="shared" ref="BL4" si="18">(BL3*BL2)/52</f>
        <v>0</v>
      </c>
      <c r="BM4">
        <f t="shared" ref="BM4" si="19">(BM3*BM2)/52</f>
        <v>0</v>
      </c>
      <c r="BN4">
        <f t="shared" ref="BN4" si="20">(BN3*BN2)/52</f>
        <v>0</v>
      </c>
      <c r="BO4">
        <f t="shared" ref="BO4" si="21">(BO3*BO2)/52</f>
        <v>0</v>
      </c>
      <c r="BP4">
        <f t="shared" ref="BP4" si="22">(BP3*BP2)/52</f>
        <v>0</v>
      </c>
      <c r="BQ4">
        <f t="shared" ref="BQ4" si="23">(BQ3*BQ2)/52</f>
        <v>0</v>
      </c>
      <c r="BR4">
        <f t="shared" ref="BR4" si="24">(BR3*BR2)/52</f>
        <v>0</v>
      </c>
      <c r="BS4">
        <f t="shared" ref="BS4" si="25">(BS3*BS2)/52</f>
        <v>0</v>
      </c>
      <c r="BT4">
        <f t="shared" ref="BT4" si="26">(BT3*BT2)/52</f>
        <v>0</v>
      </c>
      <c r="BU4">
        <f t="shared" ref="BU4" si="27">(BU3*BU2)/52</f>
        <v>0</v>
      </c>
      <c r="BV4">
        <f t="shared" ref="BV4" si="28">(BV3*BV2)/52</f>
        <v>0</v>
      </c>
      <c r="BW4">
        <f t="shared" ref="BW4" si="29">(BW3*BW2)/52</f>
        <v>0</v>
      </c>
      <c r="BX4">
        <f t="shared" ref="BX4" si="30">(BX3*BX2)/52</f>
        <v>0</v>
      </c>
      <c r="BY4">
        <f t="shared" ref="BY4" si="31">(BY3*BY2)/52</f>
        <v>0</v>
      </c>
      <c r="BZ4">
        <f t="shared" ref="BZ4" si="32">(BZ3*BZ2)/52</f>
        <v>0</v>
      </c>
      <c r="CA4">
        <f t="shared" ref="CA4" si="33">(CA3*CA2)/52</f>
        <v>0</v>
      </c>
      <c r="CB4">
        <f t="shared" ref="CB4" si="34">(CB3*CB2)/52</f>
        <v>0</v>
      </c>
      <c r="CC4">
        <f t="shared" ref="CC4" si="35">(CC3*CC2)/52</f>
        <v>0</v>
      </c>
      <c r="CD4">
        <f t="shared" ref="CD4" si="36">(CD3*CD2)/52</f>
        <v>0</v>
      </c>
      <c r="CE4">
        <f t="shared" ref="CE4" si="37">(CE3*CE2)/52</f>
        <v>0</v>
      </c>
      <c r="CF4">
        <f t="shared" ref="CF4" si="38">(CF3*CF2)/52</f>
        <v>0</v>
      </c>
      <c r="CG4">
        <f t="shared" ref="CG4" si="39">(CG3*CG2)/52</f>
        <v>0</v>
      </c>
      <c r="CH4">
        <f t="shared" ref="CH4" si="40">(CH3*CH2)/52</f>
        <v>0</v>
      </c>
      <c r="CI4">
        <f t="shared" ref="CI4" si="41">(CI3*CI2)/52</f>
        <v>0</v>
      </c>
      <c r="CJ4">
        <f t="shared" ref="CJ4" si="42">(CJ3*CJ2)/52</f>
        <v>0</v>
      </c>
      <c r="CK4">
        <f t="shared" ref="CK4" si="43">(CK3*CK2)/52</f>
        <v>0</v>
      </c>
      <c r="CL4">
        <f t="shared" ref="CL4" si="44">(CL3*CL2)/52</f>
        <v>0</v>
      </c>
      <c r="CM4">
        <f t="shared" ref="CM4" si="45">(CM3*CM2)/52</f>
        <v>0</v>
      </c>
      <c r="CN4">
        <f t="shared" ref="CN4" si="46">(CN3*CN2)/52</f>
        <v>0</v>
      </c>
      <c r="CO4">
        <f t="shared" ref="CO4" si="47">(CO3*CO2)/52</f>
        <v>0</v>
      </c>
      <c r="CP4">
        <f t="shared" ref="CP4" si="48">(CP3*CP2)/52</f>
        <v>0</v>
      </c>
      <c r="CQ4">
        <f t="shared" ref="CQ4" si="49">(CQ3*CQ2)/52</f>
        <v>0</v>
      </c>
      <c r="CR4">
        <f t="shared" ref="CR4" si="50">(CR3*CR2)/52</f>
        <v>0</v>
      </c>
      <c r="CS4">
        <f t="shared" ref="CS4" si="51">(CS3*CS2)/52</f>
        <v>0</v>
      </c>
      <c r="CT4">
        <f t="shared" ref="CT4" si="52">(CT3*CT2)/52</f>
        <v>0</v>
      </c>
      <c r="CU4">
        <f t="shared" ref="CU4" si="53">(CU3*CU2)/52</f>
        <v>0</v>
      </c>
      <c r="CV4">
        <f t="shared" ref="CV4" si="54">(CV3*CV2)/52</f>
        <v>0</v>
      </c>
      <c r="CW4">
        <f t="shared" ref="CW4" si="55">(CW3*CW2)/52</f>
        <v>0</v>
      </c>
    </row>
    <row r="5" spans="1:101" x14ac:dyDescent="0.2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t="e">
        <f>B4/B5</f>
        <v>#DIV/0!</v>
      </c>
      <c r="C6" t="e">
        <f t="shared" ref="C6:AT6" si="56">C4/C5</f>
        <v>#DIV/0!</v>
      </c>
      <c r="D6" t="e">
        <f t="shared" si="56"/>
        <v>#DIV/0!</v>
      </c>
      <c r="E6" t="e">
        <f t="shared" si="56"/>
        <v>#DIV/0!</v>
      </c>
      <c r="F6" t="e">
        <f t="shared" si="56"/>
        <v>#DIV/0!</v>
      </c>
      <c r="G6" t="e">
        <f t="shared" si="56"/>
        <v>#DIV/0!</v>
      </c>
      <c r="H6" t="e">
        <f t="shared" si="56"/>
        <v>#DIV/0!</v>
      </c>
      <c r="I6" t="e">
        <f t="shared" si="56"/>
        <v>#DIV/0!</v>
      </c>
      <c r="J6" t="e">
        <f t="shared" si="56"/>
        <v>#DIV/0!</v>
      </c>
      <c r="K6" t="e">
        <f t="shared" si="56"/>
        <v>#DIV/0!</v>
      </c>
      <c r="L6" t="e">
        <f t="shared" si="56"/>
        <v>#DIV/0!</v>
      </c>
      <c r="M6" t="e">
        <f t="shared" si="56"/>
        <v>#DIV/0!</v>
      </c>
      <c r="N6" t="e">
        <f t="shared" si="56"/>
        <v>#DIV/0!</v>
      </c>
      <c r="O6" t="e">
        <f t="shared" si="56"/>
        <v>#DIV/0!</v>
      </c>
      <c r="P6" t="e">
        <f t="shared" si="56"/>
        <v>#DIV/0!</v>
      </c>
      <c r="Q6" t="e">
        <f t="shared" si="56"/>
        <v>#DIV/0!</v>
      </c>
      <c r="R6" t="e">
        <f t="shared" si="56"/>
        <v>#DIV/0!</v>
      </c>
      <c r="S6" t="e">
        <f t="shared" si="56"/>
        <v>#DIV/0!</v>
      </c>
      <c r="T6" t="e">
        <f t="shared" si="56"/>
        <v>#DIV/0!</v>
      </c>
      <c r="U6" t="e">
        <f t="shared" si="56"/>
        <v>#DIV/0!</v>
      </c>
      <c r="V6" t="e">
        <f t="shared" si="56"/>
        <v>#DIV/0!</v>
      </c>
      <c r="W6" t="e">
        <f t="shared" si="56"/>
        <v>#DIV/0!</v>
      </c>
      <c r="X6" t="e">
        <f t="shared" si="56"/>
        <v>#DIV/0!</v>
      </c>
      <c r="Y6" t="e">
        <f t="shared" si="56"/>
        <v>#DIV/0!</v>
      </c>
      <c r="Z6" t="e">
        <f t="shared" si="56"/>
        <v>#DIV/0!</v>
      </c>
      <c r="AA6" t="e">
        <f t="shared" si="56"/>
        <v>#DIV/0!</v>
      </c>
      <c r="AB6" t="e">
        <f t="shared" si="56"/>
        <v>#DIV/0!</v>
      </c>
      <c r="AC6" t="e">
        <f t="shared" si="56"/>
        <v>#DIV/0!</v>
      </c>
      <c r="AD6" t="e">
        <f t="shared" si="56"/>
        <v>#DIV/0!</v>
      </c>
      <c r="AE6" t="e">
        <f t="shared" si="56"/>
        <v>#DIV/0!</v>
      </c>
      <c r="AF6" t="e">
        <f t="shared" si="56"/>
        <v>#DIV/0!</v>
      </c>
      <c r="AG6" t="e">
        <f t="shared" si="56"/>
        <v>#DIV/0!</v>
      </c>
      <c r="AH6" t="e">
        <f t="shared" si="56"/>
        <v>#DIV/0!</v>
      </c>
      <c r="AI6" t="e">
        <f t="shared" si="56"/>
        <v>#DIV/0!</v>
      </c>
      <c r="AJ6" t="e">
        <f t="shared" si="56"/>
        <v>#DIV/0!</v>
      </c>
      <c r="AK6" t="e">
        <f t="shared" si="56"/>
        <v>#DIV/0!</v>
      </c>
      <c r="AL6" t="e">
        <f t="shared" si="56"/>
        <v>#DIV/0!</v>
      </c>
      <c r="AM6" t="e">
        <f t="shared" si="56"/>
        <v>#DIV/0!</v>
      </c>
      <c r="AN6" t="e">
        <f t="shared" si="56"/>
        <v>#DIV/0!</v>
      </c>
      <c r="AO6" t="e">
        <f t="shared" si="56"/>
        <v>#DIV/0!</v>
      </c>
      <c r="AP6" t="e">
        <f t="shared" si="56"/>
        <v>#DIV/0!</v>
      </c>
      <c r="AQ6" t="e">
        <f t="shared" si="56"/>
        <v>#DIV/0!</v>
      </c>
      <c r="AR6" t="e">
        <f t="shared" si="56"/>
        <v>#DIV/0!</v>
      </c>
      <c r="AS6" t="e">
        <f t="shared" si="56"/>
        <v>#DIV/0!</v>
      </c>
      <c r="AT6" t="e">
        <f t="shared" si="56"/>
        <v>#DIV/0!</v>
      </c>
      <c r="AU6" t="e">
        <f t="shared" ref="AU6" si="57">AU4/AU5</f>
        <v>#DIV/0!</v>
      </c>
      <c r="AV6" t="e">
        <f t="shared" ref="AV6" si="58">AV4/AV5</f>
        <v>#DIV/0!</v>
      </c>
      <c r="AW6" t="e">
        <f t="shared" ref="AW6" si="59">AW4/AW5</f>
        <v>#DIV/0!</v>
      </c>
      <c r="AX6" t="e">
        <f t="shared" ref="AX6" si="60">AX4/AX5</f>
        <v>#DIV/0!</v>
      </c>
      <c r="AY6" t="e">
        <f t="shared" ref="AY6" si="61">AY4/AY5</f>
        <v>#DIV/0!</v>
      </c>
      <c r="AZ6" t="e">
        <f t="shared" ref="AZ6" si="62">AZ4/AZ5</f>
        <v>#DIV/0!</v>
      </c>
      <c r="BA6" t="e">
        <f t="shared" ref="BA6" si="63">BA4/BA5</f>
        <v>#DIV/0!</v>
      </c>
      <c r="BB6" t="e">
        <f t="shared" ref="BB6" si="64">BB4/BB5</f>
        <v>#DIV/0!</v>
      </c>
      <c r="BC6" t="e">
        <f t="shared" ref="BC6" si="65">BC4/BC5</f>
        <v>#DIV/0!</v>
      </c>
      <c r="BD6" t="e">
        <f t="shared" ref="BD6" si="66">BD4/BD5</f>
        <v>#DIV/0!</v>
      </c>
      <c r="BE6" t="e">
        <f t="shared" ref="BE6" si="67">BE4/BE5</f>
        <v>#DIV/0!</v>
      </c>
      <c r="BF6" t="e">
        <f t="shared" ref="BF6" si="68">BF4/BF5</f>
        <v>#DIV/0!</v>
      </c>
      <c r="BG6" t="e">
        <f t="shared" ref="BG6" si="69">BG4/BG5</f>
        <v>#DIV/0!</v>
      </c>
      <c r="BH6" t="e">
        <f t="shared" ref="BH6" si="70">BH4/BH5</f>
        <v>#DIV/0!</v>
      </c>
      <c r="BI6" t="e">
        <f t="shared" ref="BI6" si="71">BI4/BI5</f>
        <v>#DIV/0!</v>
      </c>
      <c r="BJ6" t="e">
        <f t="shared" ref="BJ6" si="72">BJ4/BJ5</f>
        <v>#DIV/0!</v>
      </c>
      <c r="BK6" t="e">
        <f t="shared" ref="BK6" si="73">BK4/BK5</f>
        <v>#DIV/0!</v>
      </c>
      <c r="BL6" t="e">
        <f t="shared" ref="BL6" si="74">BL4/BL5</f>
        <v>#DIV/0!</v>
      </c>
      <c r="BM6" t="e">
        <f t="shared" ref="BM6" si="75">BM4/BM5</f>
        <v>#DIV/0!</v>
      </c>
      <c r="BN6" t="e">
        <f t="shared" ref="BN6" si="76">BN4/BN5</f>
        <v>#DIV/0!</v>
      </c>
      <c r="BO6" t="e">
        <f t="shared" ref="BO6" si="77">BO4/BO5</f>
        <v>#DIV/0!</v>
      </c>
      <c r="BP6" t="e">
        <f t="shared" ref="BP6" si="78">BP4/BP5</f>
        <v>#DIV/0!</v>
      </c>
      <c r="BQ6" t="e">
        <f t="shared" ref="BQ6" si="79">BQ4/BQ5</f>
        <v>#DIV/0!</v>
      </c>
      <c r="BR6" t="e">
        <f t="shared" ref="BR6" si="80">BR4/BR5</f>
        <v>#DIV/0!</v>
      </c>
      <c r="BS6" t="e">
        <f t="shared" ref="BS6" si="81">BS4/BS5</f>
        <v>#DIV/0!</v>
      </c>
      <c r="BT6" t="e">
        <f t="shared" ref="BT6" si="82">BT4/BT5</f>
        <v>#DIV/0!</v>
      </c>
      <c r="BU6" t="e">
        <f t="shared" ref="BU6" si="83">BU4/BU5</f>
        <v>#DIV/0!</v>
      </c>
      <c r="BV6" t="e">
        <f t="shared" ref="BV6" si="84">BV4/BV5</f>
        <v>#DIV/0!</v>
      </c>
      <c r="BW6" t="e">
        <f t="shared" ref="BW6" si="85">BW4/BW5</f>
        <v>#DIV/0!</v>
      </c>
      <c r="BX6" t="e">
        <f t="shared" ref="BX6" si="86">BX4/BX5</f>
        <v>#DIV/0!</v>
      </c>
      <c r="BY6" t="e">
        <f t="shared" ref="BY6" si="87">BY4/BY5</f>
        <v>#DIV/0!</v>
      </c>
      <c r="BZ6" t="e">
        <f t="shared" ref="BZ6" si="88">BZ4/BZ5</f>
        <v>#DIV/0!</v>
      </c>
      <c r="CA6" t="e">
        <f t="shared" ref="CA6" si="89">CA4/CA5</f>
        <v>#DIV/0!</v>
      </c>
      <c r="CB6" t="e">
        <f t="shared" ref="CB6" si="90">CB4/CB5</f>
        <v>#DIV/0!</v>
      </c>
      <c r="CC6" t="e">
        <f t="shared" ref="CC6" si="91">CC4/CC5</f>
        <v>#DIV/0!</v>
      </c>
      <c r="CD6" t="e">
        <f t="shared" ref="CD6" si="92">CD4/CD5</f>
        <v>#DIV/0!</v>
      </c>
      <c r="CE6" t="e">
        <f t="shared" ref="CE6" si="93">CE4/CE5</f>
        <v>#DIV/0!</v>
      </c>
      <c r="CF6" t="e">
        <f t="shared" ref="CF6" si="94">CF4/CF5</f>
        <v>#DIV/0!</v>
      </c>
      <c r="CG6" t="e">
        <f t="shared" ref="CG6" si="95">CG4/CG5</f>
        <v>#DIV/0!</v>
      </c>
      <c r="CH6" t="e">
        <f t="shared" ref="CH6" si="96">CH4/CH5</f>
        <v>#DIV/0!</v>
      </c>
      <c r="CI6" t="e">
        <f t="shared" ref="CI6" si="97">CI4/CI5</f>
        <v>#DIV/0!</v>
      </c>
      <c r="CJ6" t="e">
        <f t="shared" ref="CJ6" si="98">CJ4/CJ5</f>
        <v>#DIV/0!</v>
      </c>
      <c r="CK6" t="e">
        <f t="shared" ref="CK6" si="99">CK4/CK5</f>
        <v>#DIV/0!</v>
      </c>
      <c r="CL6" t="e">
        <f t="shared" ref="CL6" si="100">CL4/CL5</f>
        <v>#DIV/0!</v>
      </c>
      <c r="CM6" t="e">
        <f t="shared" ref="CM6" si="101">CM4/CM5</f>
        <v>#DIV/0!</v>
      </c>
      <c r="CN6" t="e">
        <f t="shared" ref="CN6" si="102">CN4/CN5</f>
        <v>#DIV/0!</v>
      </c>
      <c r="CO6" t="e">
        <f t="shared" ref="CO6" si="103">CO4/CO5</f>
        <v>#DIV/0!</v>
      </c>
      <c r="CP6" t="e">
        <f t="shared" ref="CP6" si="104">CP4/CP5</f>
        <v>#DIV/0!</v>
      </c>
      <c r="CQ6" t="e">
        <f t="shared" ref="CQ6" si="105">CQ4/CQ5</f>
        <v>#DIV/0!</v>
      </c>
      <c r="CR6" t="e">
        <f t="shared" ref="CR6" si="106">CR4/CR5</f>
        <v>#DIV/0!</v>
      </c>
      <c r="CS6" t="e">
        <f t="shared" ref="CS6" si="107">CS4/CS5</f>
        <v>#DIV/0!</v>
      </c>
      <c r="CT6" t="e">
        <f t="shared" ref="CT6" si="108">CT4/CT5</f>
        <v>#DIV/0!</v>
      </c>
      <c r="CU6" t="e">
        <f t="shared" ref="CU6" si="109">CU4/CU5</f>
        <v>#DIV/0!</v>
      </c>
      <c r="CV6" t="e">
        <f t="shared" ref="CV6" si="110">CV4/CV5</f>
        <v>#DIV/0!</v>
      </c>
      <c r="CW6" t="e">
        <f t="shared" ref="CW6" si="111">CW4/CW5</f>
        <v>#DIV/0!</v>
      </c>
    </row>
    <row r="7" spans="1:101" x14ac:dyDescent="0.25">
      <c r="A7" t="s">
        <v>248</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t="e">
        <f>MIN(B3,((B3*B2)/B7))</f>
        <v>#VALUE!</v>
      </c>
      <c r="C8" t="e">
        <f t="shared" ref="C8:AT8" si="112">MIN(C3,((C3*C2)/C7))</f>
        <v>#VALUE!</v>
      </c>
      <c r="D8" t="e">
        <f t="shared" si="112"/>
        <v>#VALUE!</v>
      </c>
      <c r="E8" t="e">
        <f t="shared" si="112"/>
        <v>#VALUE!</v>
      </c>
      <c r="F8" t="e">
        <f t="shared" si="112"/>
        <v>#VALUE!</v>
      </c>
      <c r="G8" t="e">
        <f t="shared" si="112"/>
        <v>#VALUE!</v>
      </c>
      <c r="H8" t="e">
        <f t="shared" si="112"/>
        <v>#VALUE!</v>
      </c>
      <c r="I8" t="e">
        <f t="shared" si="112"/>
        <v>#VALUE!</v>
      </c>
      <c r="J8" t="e">
        <f t="shared" si="112"/>
        <v>#VALUE!</v>
      </c>
      <c r="K8" t="e">
        <f t="shared" si="112"/>
        <v>#VALUE!</v>
      </c>
      <c r="L8" t="e">
        <f t="shared" si="112"/>
        <v>#VALUE!</v>
      </c>
      <c r="M8" t="e">
        <f t="shared" si="112"/>
        <v>#VALUE!</v>
      </c>
      <c r="N8" t="e">
        <f t="shared" si="112"/>
        <v>#VALUE!</v>
      </c>
      <c r="O8" t="e">
        <f t="shared" si="112"/>
        <v>#VALUE!</v>
      </c>
      <c r="P8" t="e">
        <f t="shared" si="112"/>
        <v>#VALUE!</v>
      </c>
      <c r="Q8" t="e">
        <f t="shared" si="112"/>
        <v>#VALUE!</v>
      </c>
      <c r="R8" t="e">
        <f t="shared" si="112"/>
        <v>#VALUE!</v>
      </c>
      <c r="S8" t="e">
        <f t="shared" si="112"/>
        <v>#VALUE!</v>
      </c>
      <c r="T8" t="e">
        <f t="shared" si="112"/>
        <v>#VALUE!</v>
      </c>
      <c r="U8" t="e">
        <f t="shared" si="112"/>
        <v>#VALUE!</v>
      </c>
      <c r="V8" t="e">
        <f t="shared" si="112"/>
        <v>#VALUE!</v>
      </c>
      <c r="W8" t="e">
        <f t="shared" si="112"/>
        <v>#VALUE!</v>
      </c>
      <c r="X8" t="e">
        <f t="shared" si="112"/>
        <v>#VALUE!</v>
      </c>
      <c r="Y8" t="e">
        <f t="shared" si="112"/>
        <v>#VALUE!</v>
      </c>
      <c r="Z8" t="e">
        <f t="shared" si="112"/>
        <v>#VALUE!</v>
      </c>
      <c r="AA8" t="e">
        <f t="shared" si="112"/>
        <v>#VALUE!</v>
      </c>
      <c r="AB8" t="e">
        <f t="shared" si="112"/>
        <v>#VALUE!</v>
      </c>
      <c r="AC8" t="e">
        <f t="shared" si="112"/>
        <v>#VALUE!</v>
      </c>
      <c r="AD8" t="e">
        <f t="shared" si="112"/>
        <v>#VALUE!</v>
      </c>
      <c r="AE8" t="e">
        <f t="shared" si="112"/>
        <v>#VALUE!</v>
      </c>
      <c r="AF8" t="e">
        <f t="shared" si="112"/>
        <v>#VALUE!</v>
      </c>
      <c r="AG8" t="e">
        <f t="shared" si="112"/>
        <v>#VALUE!</v>
      </c>
      <c r="AH8" t="e">
        <f t="shared" si="112"/>
        <v>#VALUE!</v>
      </c>
      <c r="AI8" t="e">
        <f t="shared" si="112"/>
        <v>#VALUE!</v>
      </c>
      <c r="AJ8" t="e">
        <f t="shared" si="112"/>
        <v>#VALUE!</v>
      </c>
      <c r="AK8" t="e">
        <f t="shared" si="112"/>
        <v>#VALUE!</v>
      </c>
      <c r="AL8" t="e">
        <f t="shared" si="112"/>
        <v>#VALUE!</v>
      </c>
      <c r="AM8" t="e">
        <f t="shared" si="112"/>
        <v>#VALUE!</v>
      </c>
      <c r="AN8" t="e">
        <f t="shared" si="112"/>
        <v>#VALUE!</v>
      </c>
      <c r="AO8" t="e">
        <f t="shared" si="112"/>
        <v>#VALUE!</v>
      </c>
      <c r="AP8" t="e">
        <f t="shared" si="112"/>
        <v>#VALUE!</v>
      </c>
      <c r="AQ8" t="e">
        <f t="shared" si="112"/>
        <v>#VALUE!</v>
      </c>
      <c r="AR8" t="e">
        <f t="shared" si="112"/>
        <v>#VALUE!</v>
      </c>
      <c r="AS8" t="e">
        <f t="shared" si="112"/>
        <v>#VALUE!</v>
      </c>
      <c r="AT8" t="e">
        <f t="shared" si="112"/>
        <v>#VALUE!</v>
      </c>
      <c r="AU8" t="e">
        <f t="shared" ref="AU8" si="113">MIN(AU3,((AU3*AU2)/AU7))</f>
        <v>#VALUE!</v>
      </c>
      <c r="AV8" t="e">
        <f t="shared" ref="AV8" si="114">MIN(AV3,((AV3*AV2)/AV7))</f>
        <v>#VALUE!</v>
      </c>
      <c r="AW8" t="e">
        <f t="shared" ref="AW8" si="115">MIN(AW3,((AW3*AW2)/AW7))</f>
        <v>#VALUE!</v>
      </c>
      <c r="AX8" t="e">
        <f t="shared" ref="AX8" si="116">MIN(AX3,((AX3*AX2)/AX7))</f>
        <v>#VALUE!</v>
      </c>
      <c r="AY8" t="e">
        <f t="shared" ref="AY8" si="117">MIN(AY3,((AY3*AY2)/AY7))</f>
        <v>#VALUE!</v>
      </c>
      <c r="AZ8" t="e">
        <f t="shared" ref="AZ8" si="118">MIN(AZ3,((AZ3*AZ2)/AZ7))</f>
        <v>#VALUE!</v>
      </c>
      <c r="BA8" t="e">
        <f t="shared" ref="BA8" si="119">MIN(BA3,((BA3*BA2)/BA7))</f>
        <v>#VALUE!</v>
      </c>
      <c r="BB8" t="e">
        <f t="shared" ref="BB8" si="120">MIN(BB3,((BB3*BB2)/BB7))</f>
        <v>#VALUE!</v>
      </c>
      <c r="BC8" t="e">
        <f t="shared" ref="BC8" si="121">MIN(BC3,((BC3*BC2)/BC7))</f>
        <v>#VALUE!</v>
      </c>
      <c r="BD8" t="e">
        <f t="shared" ref="BD8" si="122">MIN(BD3,((BD3*BD2)/BD7))</f>
        <v>#VALUE!</v>
      </c>
      <c r="BE8" t="e">
        <f t="shared" ref="BE8" si="123">MIN(BE3,((BE3*BE2)/BE7))</f>
        <v>#VALUE!</v>
      </c>
      <c r="BF8" t="e">
        <f t="shared" ref="BF8" si="124">MIN(BF3,((BF3*BF2)/BF7))</f>
        <v>#VALUE!</v>
      </c>
      <c r="BG8" t="e">
        <f t="shared" ref="BG8" si="125">MIN(BG3,((BG3*BG2)/BG7))</f>
        <v>#VALUE!</v>
      </c>
      <c r="BH8" t="e">
        <f t="shared" ref="BH8" si="126">MIN(BH3,((BH3*BH2)/BH7))</f>
        <v>#VALUE!</v>
      </c>
      <c r="BI8" t="e">
        <f t="shared" ref="BI8" si="127">MIN(BI3,((BI3*BI2)/BI7))</f>
        <v>#VALUE!</v>
      </c>
      <c r="BJ8" t="e">
        <f t="shared" ref="BJ8" si="128">MIN(BJ3,((BJ3*BJ2)/BJ7))</f>
        <v>#VALUE!</v>
      </c>
      <c r="BK8" t="e">
        <f t="shared" ref="BK8" si="129">MIN(BK3,((BK3*BK2)/BK7))</f>
        <v>#VALUE!</v>
      </c>
      <c r="BL8" t="e">
        <f t="shared" ref="BL8" si="130">MIN(BL3,((BL3*BL2)/BL7))</f>
        <v>#VALUE!</v>
      </c>
      <c r="BM8" t="e">
        <f t="shared" ref="BM8" si="131">MIN(BM3,((BM3*BM2)/BM7))</f>
        <v>#VALUE!</v>
      </c>
      <c r="BN8" t="e">
        <f t="shared" ref="BN8" si="132">MIN(BN3,((BN3*BN2)/BN7))</f>
        <v>#VALUE!</v>
      </c>
      <c r="BO8" t="e">
        <f t="shared" ref="BO8" si="133">MIN(BO3,((BO3*BO2)/BO7))</f>
        <v>#VALUE!</v>
      </c>
      <c r="BP8" t="e">
        <f t="shared" ref="BP8" si="134">MIN(BP3,((BP3*BP2)/BP7))</f>
        <v>#VALUE!</v>
      </c>
      <c r="BQ8" t="e">
        <f t="shared" ref="BQ8" si="135">MIN(BQ3,((BQ3*BQ2)/BQ7))</f>
        <v>#VALUE!</v>
      </c>
      <c r="BR8" t="e">
        <f t="shared" ref="BR8" si="136">MIN(BR3,((BR3*BR2)/BR7))</f>
        <v>#VALUE!</v>
      </c>
      <c r="BS8" t="e">
        <f t="shared" ref="BS8" si="137">MIN(BS3,((BS3*BS2)/BS7))</f>
        <v>#VALUE!</v>
      </c>
      <c r="BT8" t="e">
        <f t="shared" ref="BT8" si="138">MIN(BT3,((BT3*BT2)/BT7))</f>
        <v>#VALUE!</v>
      </c>
      <c r="BU8" t="e">
        <f t="shared" ref="BU8" si="139">MIN(BU3,((BU3*BU2)/BU7))</f>
        <v>#VALUE!</v>
      </c>
      <c r="BV8" t="e">
        <f t="shared" ref="BV8" si="140">MIN(BV3,((BV3*BV2)/BV7))</f>
        <v>#VALUE!</v>
      </c>
      <c r="BW8" t="e">
        <f t="shared" ref="BW8" si="141">MIN(BW3,((BW3*BW2)/BW7))</f>
        <v>#VALUE!</v>
      </c>
      <c r="BX8" t="e">
        <f t="shared" ref="BX8" si="142">MIN(BX3,((BX3*BX2)/BX7))</f>
        <v>#VALUE!</v>
      </c>
      <c r="BY8" t="e">
        <f t="shared" ref="BY8" si="143">MIN(BY3,((BY3*BY2)/BY7))</f>
        <v>#VALUE!</v>
      </c>
      <c r="BZ8" t="e">
        <f t="shared" ref="BZ8" si="144">MIN(BZ3,((BZ3*BZ2)/BZ7))</f>
        <v>#VALUE!</v>
      </c>
      <c r="CA8" t="e">
        <f t="shared" ref="CA8" si="145">MIN(CA3,((CA3*CA2)/CA7))</f>
        <v>#VALUE!</v>
      </c>
      <c r="CB8" t="e">
        <f t="shared" ref="CB8" si="146">MIN(CB3,((CB3*CB2)/CB7))</f>
        <v>#VALUE!</v>
      </c>
      <c r="CC8" t="e">
        <f t="shared" ref="CC8" si="147">MIN(CC3,((CC3*CC2)/CC7))</f>
        <v>#VALUE!</v>
      </c>
      <c r="CD8" t="e">
        <f t="shared" ref="CD8" si="148">MIN(CD3,((CD3*CD2)/CD7))</f>
        <v>#VALUE!</v>
      </c>
      <c r="CE8" t="e">
        <f t="shared" ref="CE8" si="149">MIN(CE3,((CE3*CE2)/CE7))</f>
        <v>#VALUE!</v>
      </c>
      <c r="CF8" t="e">
        <f t="shared" ref="CF8" si="150">MIN(CF3,((CF3*CF2)/CF7))</f>
        <v>#VALUE!</v>
      </c>
      <c r="CG8" t="e">
        <f t="shared" ref="CG8" si="151">MIN(CG3,((CG3*CG2)/CG7))</f>
        <v>#VALUE!</v>
      </c>
      <c r="CH8" t="e">
        <f t="shared" ref="CH8" si="152">MIN(CH3,((CH3*CH2)/CH7))</f>
        <v>#VALUE!</v>
      </c>
      <c r="CI8" t="e">
        <f t="shared" ref="CI8" si="153">MIN(CI3,((CI3*CI2)/CI7))</f>
        <v>#VALUE!</v>
      </c>
      <c r="CJ8" t="e">
        <f t="shared" ref="CJ8" si="154">MIN(CJ3,((CJ3*CJ2)/CJ7))</f>
        <v>#VALUE!</v>
      </c>
      <c r="CK8" t="e">
        <f t="shared" ref="CK8" si="155">MIN(CK3,((CK3*CK2)/CK7))</f>
        <v>#VALUE!</v>
      </c>
      <c r="CL8" t="e">
        <f t="shared" ref="CL8" si="156">MIN(CL3,((CL3*CL2)/CL7))</f>
        <v>#VALUE!</v>
      </c>
      <c r="CM8" t="e">
        <f t="shared" ref="CM8" si="157">MIN(CM3,((CM3*CM2)/CM7))</f>
        <v>#VALUE!</v>
      </c>
      <c r="CN8" t="e">
        <f t="shared" ref="CN8" si="158">MIN(CN3,((CN3*CN2)/CN7))</f>
        <v>#VALUE!</v>
      </c>
      <c r="CO8" t="e">
        <f t="shared" ref="CO8" si="159">MIN(CO3,((CO3*CO2)/CO7))</f>
        <v>#VALUE!</v>
      </c>
      <c r="CP8" t="e">
        <f t="shared" ref="CP8" si="160">MIN(CP3,((CP3*CP2)/CP7))</f>
        <v>#VALUE!</v>
      </c>
      <c r="CQ8" t="e">
        <f t="shared" ref="CQ8" si="161">MIN(CQ3,((CQ3*CQ2)/CQ7))</f>
        <v>#VALUE!</v>
      </c>
      <c r="CR8" t="e">
        <f t="shared" ref="CR8" si="162">MIN(CR3,((CR3*CR2)/CR7))</f>
        <v>#VALUE!</v>
      </c>
      <c r="CS8" t="e">
        <f t="shared" ref="CS8" si="163">MIN(CS3,((CS3*CS2)/CS7))</f>
        <v>#VALUE!</v>
      </c>
      <c r="CT8" t="e">
        <f t="shared" ref="CT8" si="164">MIN(CT3,((CT3*CT2)/CT7))</f>
        <v>#VALUE!</v>
      </c>
      <c r="CU8" t="e">
        <f t="shared" ref="CU8" si="165">MIN(CU3,((CU3*CU2)/CU7))</f>
        <v>#VALUE!</v>
      </c>
      <c r="CV8" t="e">
        <f t="shared" ref="CV8" si="166">MIN(CV3,((CV3*CV2)/CV7))</f>
        <v>#VALUE!</v>
      </c>
      <c r="CW8" t="e">
        <f t="shared" ref="CW8" si="167">MIN(CW3,((CW3*CW2)/CW7))</f>
        <v>#VALUE!</v>
      </c>
    </row>
    <row r="9" spans="1:101" x14ac:dyDescent="0.25">
      <c r="A9" t="s">
        <v>254</v>
      </c>
      <c r="B9" t="e">
        <f>B8/B5</f>
        <v>#VALUE!</v>
      </c>
      <c r="C9" t="e">
        <f t="shared" ref="C9:AT9" si="168">C8/C5</f>
        <v>#VALUE!</v>
      </c>
      <c r="D9" t="e">
        <f t="shared" si="168"/>
        <v>#VALUE!</v>
      </c>
      <c r="E9" t="e">
        <f t="shared" si="168"/>
        <v>#VALUE!</v>
      </c>
      <c r="F9" t="e">
        <f t="shared" si="168"/>
        <v>#VALUE!</v>
      </c>
      <c r="G9" t="e">
        <f t="shared" si="168"/>
        <v>#VALUE!</v>
      </c>
      <c r="H9" t="e">
        <f t="shared" si="168"/>
        <v>#VALUE!</v>
      </c>
      <c r="I9" t="e">
        <f t="shared" si="168"/>
        <v>#VALUE!</v>
      </c>
      <c r="J9" t="e">
        <f t="shared" si="168"/>
        <v>#VALUE!</v>
      </c>
      <c r="K9" t="e">
        <f t="shared" si="168"/>
        <v>#VALUE!</v>
      </c>
      <c r="L9" t="e">
        <f t="shared" si="168"/>
        <v>#VALUE!</v>
      </c>
      <c r="M9" t="e">
        <f t="shared" si="168"/>
        <v>#VALUE!</v>
      </c>
      <c r="N9" t="e">
        <f t="shared" si="168"/>
        <v>#VALUE!</v>
      </c>
      <c r="O9" t="e">
        <f t="shared" si="168"/>
        <v>#VALUE!</v>
      </c>
      <c r="P9" t="e">
        <f t="shared" si="168"/>
        <v>#VALUE!</v>
      </c>
      <c r="Q9" t="e">
        <f t="shared" si="168"/>
        <v>#VALUE!</v>
      </c>
      <c r="R9" t="e">
        <f t="shared" si="168"/>
        <v>#VALUE!</v>
      </c>
      <c r="S9" t="e">
        <f t="shared" si="168"/>
        <v>#VALUE!</v>
      </c>
      <c r="T9" t="e">
        <f t="shared" si="168"/>
        <v>#VALUE!</v>
      </c>
      <c r="U9" t="e">
        <f t="shared" si="168"/>
        <v>#VALUE!</v>
      </c>
      <c r="V9" t="e">
        <f t="shared" si="168"/>
        <v>#VALUE!</v>
      </c>
      <c r="W9" t="e">
        <f t="shared" si="168"/>
        <v>#VALUE!</v>
      </c>
      <c r="X9" t="e">
        <f t="shared" si="168"/>
        <v>#VALUE!</v>
      </c>
      <c r="Y9" t="e">
        <f t="shared" si="168"/>
        <v>#VALUE!</v>
      </c>
      <c r="Z9" t="e">
        <f t="shared" si="168"/>
        <v>#VALUE!</v>
      </c>
      <c r="AA9" t="e">
        <f t="shared" si="168"/>
        <v>#VALUE!</v>
      </c>
      <c r="AB9" t="e">
        <f t="shared" si="168"/>
        <v>#VALUE!</v>
      </c>
      <c r="AC9" t="e">
        <f t="shared" si="168"/>
        <v>#VALUE!</v>
      </c>
      <c r="AD9" t="e">
        <f t="shared" si="168"/>
        <v>#VALUE!</v>
      </c>
      <c r="AE9" t="e">
        <f t="shared" si="168"/>
        <v>#VALUE!</v>
      </c>
      <c r="AF9" t="e">
        <f t="shared" si="168"/>
        <v>#VALUE!</v>
      </c>
      <c r="AG9" t="e">
        <f t="shared" si="168"/>
        <v>#VALUE!</v>
      </c>
      <c r="AH9" t="e">
        <f t="shared" si="168"/>
        <v>#VALUE!</v>
      </c>
      <c r="AI9" t="e">
        <f t="shared" si="168"/>
        <v>#VALUE!</v>
      </c>
      <c r="AJ9" t="e">
        <f t="shared" si="168"/>
        <v>#VALUE!</v>
      </c>
      <c r="AK9" t="e">
        <f t="shared" si="168"/>
        <v>#VALUE!</v>
      </c>
      <c r="AL9" t="e">
        <f t="shared" si="168"/>
        <v>#VALUE!</v>
      </c>
      <c r="AM9" t="e">
        <f t="shared" si="168"/>
        <v>#VALUE!</v>
      </c>
      <c r="AN9" t="e">
        <f t="shared" si="168"/>
        <v>#VALUE!</v>
      </c>
      <c r="AO9" t="e">
        <f t="shared" si="168"/>
        <v>#VALUE!</v>
      </c>
      <c r="AP9" t="e">
        <f t="shared" si="168"/>
        <v>#VALUE!</v>
      </c>
      <c r="AQ9" t="e">
        <f t="shared" si="168"/>
        <v>#VALUE!</v>
      </c>
      <c r="AR9" t="e">
        <f t="shared" si="168"/>
        <v>#VALUE!</v>
      </c>
      <c r="AS9" t="e">
        <f t="shared" si="168"/>
        <v>#VALUE!</v>
      </c>
      <c r="AT9" t="e">
        <f t="shared" si="168"/>
        <v>#VALUE!</v>
      </c>
      <c r="AU9" t="e">
        <f t="shared" ref="AU9" si="169">AU8/AU5</f>
        <v>#VALUE!</v>
      </c>
      <c r="AV9" t="e">
        <f t="shared" ref="AV9" si="170">AV8/AV5</f>
        <v>#VALUE!</v>
      </c>
      <c r="AW9" t="e">
        <f t="shared" ref="AW9" si="171">AW8/AW5</f>
        <v>#VALUE!</v>
      </c>
      <c r="AX9" t="e">
        <f t="shared" ref="AX9" si="172">AX8/AX5</f>
        <v>#VALUE!</v>
      </c>
      <c r="AY9" t="e">
        <f t="shared" ref="AY9" si="173">AY8/AY5</f>
        <v>#VALUE!</v>
      </c>
      <c r="AZ9" t="e">
        <f t="shared" ref="AZ9" si="174">AZ8/AZ5</f>
        <v>#VALUE!</v>
      </c>
      <c r="BA9" t="e">
        <f t="shared" ref="BA9" si="175">BA8/BA5</f>
        <v>#VALUE!</v>
      </c>
      <c r="BB9" t="e">
        <f t="shared" ref="BB9" si="176">BB8/BB5</f>
        <v>#VALUE!</v>
      </c>
      <c r="BC9" t="e">
        <f t="shared" ref="BC9" si="177">BC8/BC5</f>
        <v>#VALUE!</v>
      </c>
      <c r="BD9" t="e">
        <f t="shared" ref="BD9" si="178">BD8/BD5</f>
        <v>#VALUE!</v>
      </c>
      <c r="BE9" t="e">
        <f t="shared" ref="BE9" si="179">BE8/BE5</f>
        <v>#VALUE!</v>
      </c>
      <c r="BF9" t="e">
        <f t="shared" ref="BF9" si="180">BF8/BF5</f>
        <v>#VALUE!</v>
      </c>
      <c r="BG9" t="e">
        <f t="shared" ref="BG9" si="181">BG8/BG5</f>
        <v>#VALUE!</v>
      </c>
      <c r="BH9" t="e">
        <f t="shared" ref="BH9" si="182">BH8/BH5</f>
        <v>#VALUE!</v>
      </c>
      <c r="BI9" t="e">
        <f t="shared" ref="BI9" si="183">BI8/BI5</f>
        <v>#VALUE!</v>
      </c>
      <c r="BJ9" t="e">
        <f t="shared" ref="BJ9" si="184">BJ8/BJ5</f>
        <v>#VALUE!</v>
      </c>
      <c r="BK9" t="e">
        <f t="shared" ref="BK9" si="185">BK8/BK5</f>
        <v>#VALUE!</v>
      </c>
      <c r="BL9" t="e">
        <f t="shared" ref="BL9" si="186">BL8/BL5</f>
        <v>#VALUE!</v>
      </c>
      <c r="BM9" t="e">
        <f t="shared" ref="BM9" si="187">BM8/BM5</f>
        <v>#VALUE!</v>
      </c>
      <c r="BN9" t="e">
        <f t="shared" ref="BN9" si="188">BN8/BN5</f>
        <v>#VALUE!</v>
      </c>
      <c r="BO9" t="e">
        <f t="shared" ref="BO9" si="189">BO8/BO5</f>
        <v>#VALUE!</v>
      </c>
      <c r="BP9" t="e">
        <f t="shared" ref="BP9" si="190">BP8/BP5</f>
        <v>#VALUE!</v>
      </c>
      <c r="BQ9" t="e">
        <f t="shared" ref="BQ9" si="191">BQ8/BQ5</f>
        <v>#VALUE!</v>
      </c>
      <c r="BR9" t="e">
        <f t="shared" ref="BR9" si="192">BR8/BR5</f>
        <v>#VALUE!</v>
      </c>
      <c r="BS9" t="e">
        <f t="shared" ref="BS9" si="193">BS8/BS5</f>
        <v>#VALUE!</v>
      </c>
      <c r="BT9" t="e">
        <f t="shared" ref="BT9" si="194">BT8/BT5</f>
        <v>#VALUE!</v>
      </c>
      <c r="BU9" t="e">
        <f t="shared" ref="BU9" si="195">BU8/BU5</f>
        <v>#VALUE!</v>
      </c>
      <c r="BV9" t="e">
        <f t="shared" ref="BV9" si="196">BV8/BV5</f>
        <v>#VALUE!</v>
      </c>
      <c r="BW9" t="e">
        <f t="shared" ref="BW9" si="197">BW8/BW5</f>
        <v>#VALUE!</v>
      </c>
      <c r="BX9" t="e">
        <f t="shared" ref="BX9" si="198">BX8/BX5</f>
        <v>#VALUE!</v>
      </c>
      <c r="BY9" t="e">
        <f t="shared" ref="BY9" si="199">BY8/BY5</f>
        <v>#VALUE!</v>
      </c>
      <c r="BZ9" t="e">
        <f t="shared" ref="BZ9" si="200">BZ8/BZ5</f>
        <v>#VALUE!</v>
      </c>
      <c r="CA9" t="e">
        <f t="shared" ref="CA9" si="201">CA8/CA5</f>
        <v>#VALUE!</v>
      </c>
      <c r="CB9" t="e">
        <f t="shared" ref="CB9" si="202">CB8/CB5</f>
        <v>#VALUE!</v>
      </c>
      <c r="CC9" t="e">
        <f t="shared" ref="CC9" si="203">CC8/CC5</f>
        <v>#VALUE!</v>
      </c>
      <c r="CD9" t="e">
        <f t="shared" ref="CD9" si="204">CD8/CD5</f>
        <v>#VALUE!</v>
      </c>
      <c r="CE9" t="e">
        <f t="shared" ref="CE9" si="205">CE8/CE5</f>
        <v>#VALUE!</v>
      </c>
      <c r="CF9" t="e">
        <f t="shared" ref="CF9" si="206">CF8/CF5</f>
        <v>#VALUE!</v>
      </c>
      <c r="CG9" t="e">
        <f t="shared" ref="CG9" si="207">CG8/CG5</f>
        <v>#VALUE!</v>
      </c>
      <c r="CH9" t="e">
        <f t="shared" ref="CH9" si="208">CH8/CH5</f>
        <v>#VALUE!</v>
      </c>
      <c r="CI9" t="e">
        <f t="shared" ref="CI9" si="209">CI8/CI5</f>
        <v>#VALUE!</v>
      </c>
      <c r="CJ9" t="e">
        <f t="shared" ref="CJ9" si="210">CJ8/CJ5</f>
        <v>#VALUE!</v>
      </c>
      <c r="CK9" t="e">
        <f t="shared" ref="CK9" si="211">CK8/CK5</f>
        <v>#VALUE!</v>
      </c>
      <c r="CL9" t="e">
        <f t="shared" ref="CL9" si="212">CL8/CL5</f>
        <v>#VALUE!</v>
      </c>
      <c r="CM9" t="e">
        <f t="shared" ref="CM9" si="213">CM8/CM5</f>
        <v>#VALUE!</v>
      </c>
      <c r="CN9" t="e">
        <f t="shared" ref="CN9" si="214">CN8/CN5</f>
        <v>#VALUE!</v>
      </c>
      <c r="CO9" t="e">
        <f t="shared" ref="CO9" si="215">CO8/CO5</f>
        <v>#VALUE!</v>
      </c>
      <c r="CP9" t="e">
        <f t="shared" ref="CP9" si="216">CP8/CP5</f>
        <v>#VALUE!</v>
      </c>
      <c r="CQ9" t="e">
        <f t="shared" ref="CQ9" si="217">CQ8/CQ5</f>
        <v>#VALUE!</v>
      </c>
      <c r="CR9" t="e">
        <f t="shared" ref="CR9" si="218">CR8/CR5</f>
        <v>#VALUE!</v>
      </c>
      <c r="CS9" t="e">
        <f t="shared" ref="CS9" si="219">CS8/CS5</f>
        <v>#VALUE!</v>
      </c>
      <c r="CT9" t="e">
        <f t="shared" ref="CT9" si="220">CT8/CT5</f>
        <v>#VALUE!</v>
      </c>
      <c r="CU9" t="e">
        <f t="shared" ref="CU9" si="221">CU8/CU5</f>
        <v>#VALUE!</v>
      </c>
      <c r="CV9" t="e">
        <f t="shared" ref="CV9" si="222">CV8/CV5</f>
        <v>#VALUE!</v>
      </c>
      <c r="CW9" t="e">
        <f t="shared" ref="CW9" si="223">CW8/CW5</f>
        <v>#VALUE!</v>
      </c>
    </row>
    <row r="10" spans="1:101" x14ac:dyDescent="0.25">
      <c r="A10" t="s">
        <v>250</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2" spans="1:101" x14ac:dyDescent="0.25">
      <c r="A12" t="s">
        <v>251</v>
      </c>
    </row>
    <row r="13" spans="1:101" x14ac:dyDescent="0.25">
      <c r="A13" s="2">
        <f ca="1">'Required Capacity (Hide)'!E5</f>
        <v>44228</v>
      </c>
      <c r="B13" cm="1">
        <f t="array" ref="B13">IF(INDEX('Capacity Summary'!$H$36:$BG$136,COLUMN(A1),ROW(A1))="x",'Capacity Backing (Hide)2'!B$9,0)</f>
        <v>0</v>
      </c>
      <c r="C13" cm="1">
        <f t="array" ref="C13">IF(INDEX('Capacity Summary'!$H$36:$BG$136,COLUMN(B1),ROW(B1))="x",'Capacity Backing (Hide)2'!C$9,0)</f>
        <v>0</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0</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0</v>
      </c>
      <c r="C15" cm="1">
        <f t="array" ref="C15">IF(INDEX('Capacity Summary'!$H$36:$BG$136,COLUMN(B3),ROW(B3))="x",'Capacity Backing (Hide)2'!C$9,0)</f>
        <v>0</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0</v>
      </c>
      <c r="C16" cm="1">
        <f t="array" ref="C16">IF(INDEX('Capacity Summary'!$H$36:$BG$136,COLUMN(B4),ROW(B4))="x",'Capacity Backing (Hide)2'!C$9,0)</f>
        <v>0</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0</v>
      </c>
      <c r="C17" cm="1">
        <f t="array" ref="C17">IF(INDEX('Capacity Summary'!$H$36:$BG$136,COLUMN(B5),ROW(B5))="x",'Capacity Backing (Hide)2'!C$9,0)</f>
        <v>0</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0</v>
      </c>
      <c r="C18" cm="1">
        <f t="array" ref="C18">IF(INDEX('Capacity Summary'!$H$36:$BG$136,COLUMN(B6),ROW(B6))="x",'Capacity Backing (Hide)2'!C$9,0)</f>
        <v>0</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0</v>
      </c>
      <c r="C19" cm="1">
        <f t="array" ref="C19">IF(INDEX('Capacity Summary'!$H$36:$BG$136,COLUMN(B7),ROW(B7))="x",'Capacity Backing (Hide)2'!C$9,0)</f>
        <v>0</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0</v>
      </c>
      <c r="C20" cm="1">
        <f t="array" ref="C20">IF(INDEX('Capacity Summary'!$H$36:$BG$136,COLUMN(B8),ROW(B8))="x",'Capacity Backing (Hide)2'!C$9,0)</f>
        <v>0</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0</v>
      </c>
      <c r="C21" cm="1">
        <f t="array" ref="C21">IF(INDEX('Capacity Summary'!$H$36:$BG$136,COLUMN(B9),ROW(B9))="x",'Capacity Backing (Hide)2'!C$9,0)</f>
        <v>0</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0</v>
      </c>
      <c r="C22" cm="1">
        <f t="array" ref="C22">IF(INDEX('Capacity Summary'!$H$36:$BG$136,COLUMN(B10),ROW(B10))="x",'Capacity Backing (Hide)2'!C$9,0)</f>
        <v>0</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0</v>
      </c>
      <c r="C23" cm="1">
        <f t="array" ref="C23">IF(INDEX('Capacity Summary'!$H$36:$BG$136,COLUMN(B11),ROW(B11))="x",'Capacity Backing (Hide)2'!C$9,0)</f>
        <v>0</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0</v>
      </c>
      <c r="C24" cm="1">
        <f t="array" ref="C24">IF(INDEX('Capacity Summary'!$H$36:$BG$136,COLUMN(B12),ROW(B12))="x",'Capacity Backing (Hide)2'!C$9,0)</f>
        <v>0</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0</v>
      </c>
      <c r="C25" cm="1">
        <f t="array" ref="C25">IF(INDEX('Capacity Summary'!$H$36:$BG$136,COLUMN(B13),ROW(B13))="x",'Capacity Backing (Hide)2'!C$9,0)</f>
        <v>0</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0</v>
      </c>
      <c r="C26" cm="1">
        <f t="array" ref="C26">IF(INDEX('Capacity Summary'!$H$36:$BG$136,COLUMN(B14),ROW(B14))="x",'Capacity Backing (Hide)2'!C$9,0)</f>
        <v>0</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0</v>
      </c>
      <c r="C27" cm="1">
        <f t="array" ref="C27">IF(INDEX('Capacity Summary'!$H$36:$BG$136,COLUMN(B15),ROW(B15))="x",'Capacity Backing (Hide)2'!C$9,0)</f>
        <v>0</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0</v>
      </c>
      <c r="C28" cm="1">
        <f t="array" ref="C28">IF(INDEX('Capacity Summary'!$H$36:$BG$136,COLUMN(B16),ROW(B16))="x",'Capacity Backing (Hide)2'!C$9,0)</f>
        <v>0</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0</v>
      </c>
      <c r="C29" cm="1">
        <f t="array" ref="C29">IF(INDEX('Capacity Summary'!$H$36:$BG$136,COLUMN(B17),ROW(B17))="x",'Capacity Backing (Hide)2'!C$9,0)</f>
        <v>0</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0</v>
      </c>
      <c r="C30" cm="1">
        <f t="array" ref="C30">IF(INDEX('Capacity Summary'!$H$36:$BG$136,COLUMN(B18),ROW(B18))="x",'Capacity Backing (Hide)2'!C$9,0)</f>
        <v>0</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0</v>
      </c>
      <c r="C31" cm="1">
        <f t="array" ref="C31">IF(INDEX('Capacity Summary'!$H$36:$BG$136,COLUMN(B19),ROW(B19))="x",'Capacity Backing (Hide)2'!C$9,0)</f>
        <v>0</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0</v>
      </c>
      <c r="C32" cm="1">
        <f t="array" ref="C32">IF(INDEX('Capacity Summary'!$H$36:$BG$136,COLUMN(B20),ROW(B20))="x",'Capacity Backing (Hide)2'!C$9,0)</f>
        <v>0</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0</v>
      </c>
      <c r="C33" cm="1">
        <f t="array" ref="C33">IF(INDEX('Capacity Summary'!$H$36:$BG$136,COLUMN(B21),ROW(B21))="x",'Capacity Backing (Hide)2'!C$9,0)</f>
        <v>0</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0</v>
      </c>
      <c r="C34" cm="1">
        <f t="array" ref="C34">IF(INDEX('Capacity Summary'!$H$36:$BG$136,COLUMN(B22),ROW(B22))="x",'Capacity Backing (Hide)2'!C$9,0)</f>
        <v>0</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0</v>
      </c>
      <c r="C35" cm="1">
        <f t="array" ref="C35">IF(INDEX('Capacity Summary'!$H$36:$BG$136,COLUMN(B23),ROW(B23))="x",'Capacity Backing (Hide)2'!C$9,0)</f>
        <v>0</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0</v>
      </c>
      <c r="C36" cm="1">
        <f t="array" ref="C36">IF(INDEX('Capacity Summary'!$H$36:$BG$136,COLUMN(B24),ROW(B24))="x",'Capacity Backing (Hide)2'!C$9,0)</f>
        <v>0</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0</v>
      </c>
      <c r="C37" cm="1">
        <f t="array" ref="C37">IF(INDEX('Capacity Summary'!$H$36:$BG$136,COLUMN(B25),ROW(B25))="x",'Capacity Backing (Hide)2'!C$9,0)</f>
        <v>0</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0</v>
      </c>
      <c r="C38" cm="1">
        <f t="array" ref="C38">IF(INDEX('Capacity Summary'!$H$36:$BG$136,COLUMN(B26),ROW(B26))="x",'Capacity Backing (Hide)2'!C$9,0)</f>
        <v>0</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0</v>
      </c>
      <c r="C39" cm="1">
        <f t="array" ref="C39">IF(INDEX('Capacity Summary'!$H$36:$BG$136,COLUMN(B27),ROW(B27))="x",'Capacity Backing (Hide)2'!C$9,0)</f>
        <v>0</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0</v>
      </c>
      <c r="C40" cm="1">
        <f t="array" ref="C40">IF(INDEX('Capacity Summary'!$H$36:$BG$136,COLUMN(B28),ROW(B28))="x",'Capacity Backing (Hide)2'!C$9,0)</f>
        <v>0</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0</v>
      </c>
      <c r="C41" cm="1">
        <f t="array" ref="C41">IF(INDEX('Capacity Summary'!$H$36:$BG$136,COLUMN(B29),ROW(B29))="x",'Capacity Backing (Hide)2'!C$9,0)</f>
        <v>0</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0</v>
      </c>
      <c r="C42" cm="1">
        <f t="array" ref="C42">IF(INDEX('Capacity Summary'!$H$36:$BG$136,COLUMN(B30),ROW(B30))="x",'Capacity Backing (Hide)2'!C$9,0)</f>
        <v>0</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0</v>
      </c>
      <c r="C43" cm="1">
        <f t="array" ref="C43">IF(INDEX('Capacity Summary'!$H$36:$BG$136,COLUMN(B31),ROW(B31))="x",'Capacity Backing (Hide)2'!C$9,0)</f>
        <v>0</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0</v>
      </c>
      <c r="C44" cm="1">
        <f t="array" ref="C44">IF(INDEX('Capacity Summary'!$H$36:$BG$136,COLUMN(B32),ROW(B32))="x",'Capacity Backing (Hide)2'!C$9,0)</f>
        <v>0</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0</v>
      </c>
      <c r="C45" cm="1">
        <f t="array" ref="C45">IF(INDEX('Capacity Summary'!$H$36:$BG$136,COLUMN(B33),ROW(B33))="x",'Capacity Backing (Hide)2'!C$9,0)</f>
        <v>0</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0</v>
      </c>
      <c r="C46" cm="1">
        <f t="array" ref="C46">IF(INDEX('Capacity Summary'!$H$36:$BG$136,COLUMN(B34),ROW(B34))="x",'Capacity Backing (Hide)2'!C$9,0)</f>
        <v>0</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0</v>
      </c>
      <c r="C47" cm="1">
        <f t="array" ref="C47">IF(INDEX('Capacity Summary'!$H$36:$BG$136,COLUMN(B35),ROW(B35))="x",'Capacity Backing (Hide)2'!C$9,0)</f>
        <v>0</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0</v>
      </c>
      <c r="C48" cm="1">
        <f t="array" ref="C48">IF(INDEX('Capacity Summary'!$H$36:$BG$136,COLUMN(B36),ROW(B36))="x",'Capacity Backing (Hide)2'!C$9,0)</f>
        <v>0</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0</v>
      </c>
      <c r="C49" cm="1">
        <f t="array" ref="C49">IF(INDEX('Capacity Summary'!$H$36:$BG$136,COLUMN(B37),ROW(B37))="x",'Capacity Backing (Hide)2'!C$9,0)</f>
        <v>0</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0</v>
      </c>
      <c r="C50" cm="1">
        <f t="array" ref="C50">IF(INDEX('Capacity Summary'!$H$36:$BG$136,COLUMN(B38),ROW(B38))="x",'Capacity Backing (Hide)2'!C$9,0)</f>
        <v>0</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0</v>
      </c>
      <c r="C51" cm="1">
        <f t="array" ref="C51">IF(INDEX('Capacity Summary'!$H$36:$BG$136,COLUMN(B39),ROW(B39))="x",'Capacity Backing (Hide)2'!C$9,0)</f>
        <v>0</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0</v>
      </c>
      <c r="C52" cm="1">
        <f t="array" ref="C52">IF(INDEX('Capacity Summary'!$H$36:$BG$136,COLUMN(B40),ROW(B40))="x",'Capacity Backing (Hide)2'!C$9,0)</f>
        <v>0</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0</v>
      </c>
      <c r="C53" cm="1">
        <f t="array" ref="C53">IF(INDEX('Capacity Summary'!$H$36:$BG$136,COLUMN(B41),ROW(B41))="x",'Capacity Backing (Hide)2'!C$9,0)</f>
        <v>0</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0</v>
      </c>
      <c r="C54" cm="1">
        <f t="array" ref="C54">IF(INDEX('Capacity Summary'!$H$36:$BG$136,COLUMN(B42),ROW(B42))="x",'Capacity Backing (Hide)2'!C$9,0)</f>
        <v>0</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0</v>
      </c>
      <c r="C55" cm="1">
        <f t="array" ref="C55">IF(INDEX('Capacity Summary'!$H$36:$BG$136,COLUMN(B43),ROW(B43))="x",'Capacity Backing (Hide)2'!C$9,0)</f>
        <v>0</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0</v>
      </c>
      <c r="C56" cm="1">
        <f t="array" ref="C56">IF(INDEX('Capacity Summary'!$H$36:$BG$136,COLUMN(B44),ROW(B44))="x",'Capacity Backing (Hide)2'!C$9,0)</f>
        <v>0</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0</v>
      </c>
      <c r="C57" cm="1">
        <f t="array" ref="C57">IF(INDEX('Capacity Summary'!$H$36:$BG$136,COLUMN(B45),ROW(B45))="x",'Capacity Backing (Hide)2'!C$9,0)</f>
        <v>0</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0</v>
      </c>
      <c r="C58" cm="1">
        <f t="array" ref="C58">IF(INDEX('Capacity Summary'!$H$36:$BG$136,COLUMN(B46),ROW(B46))="x",'Capacity Backing (Hide)2'!C$9,0)</f>
        <v>0</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0</v>
      </c>
      <c r="C59" cm="1">
        <f t="array" ref="C59">IF(INDEX('Capacity Summary'!$H$36:$BG$136,COLUMN(B47),ROW(B47))="x",'Capacity Backing (Hide)2'!C$9,0)</f>
        <v>0</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0</v>
      </c>
      <c r="C60" cm="1">
        <f t="array" ref="C60">IF(INDEX('Capacity Summary'!$H$36:$BG$136,COLUMN(B48),ROW(B48))="x",'Capacity Backing (Hide)2'!C$9,0)</f>
        <v>0</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0</v>
      </c>
      <c r="C61" cm="1">
        <f t="array" ref="C61">IF(INDEX('Capacity Summary'!$H$36:$BG$136,COLUMN(B49),ROW(B49))="x",'Capacity Backing (Hide)2'!C$9,0)</f>
        <v>0</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0</v>
      </c>
      <c r="C62" cm="1">
        <f t="array" ref="C62">IF(INDEX('Capacity Summary'!$H$36:$BG$136,COLUMN(B50),ROW(B50))="x",'Capacity Backing (Hide)2'!C$9,0)</f>
        <v>0</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0</v>
      </c>
      <c r="C63" cm="1">
        <f t="array" ref="C63">IF(INDEX('Capacity Summary'!$H$36:$BG$136,COLUMN(B51),ROW(B51))="x",'Capacity Backing (Hide)2'!C$9,0)</f>
        <v>0</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0</v>
      </c>
      <c r="C64" cm="1">
        <f t="array" ref="C64">IF(INDEX('Capacity Summary'!$H$36:$BG$136,COLUMN(B52),ROW(B52))="x",'Capacity Backing (Hide)2'!C$9,0)</f>
        <v>0</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0</v>
      </c>
      <c r="C84">
        <f ca="1">SUMIFS(INDEX($B$13:$CW$64,MATCH(C$83,$A$13:$A$64,0),1):INDEX($B$13:$CW$64,MATCH(C$83,$A$13:$A$64,0),100),$B67:$CW67,"="&amp;"X",$B$10:$CW$10,"="&amp;"N")</f>
        <v>0</v>
      </c>
      <c r="D84">
        <f ca="1">SUMIFS(INDEX($B$13:$CW$64,MATCH(D$83,$A$13:$A$64,0),1):INDEX($B$13:$CW$64,MATCH(D$83,$A$13:$A$64,0),100),$B67:$CW67,"="&amp;"X",$B$10:$CW$10,"="&amp;"N")</f>
        <v>0</v>
      </c>
      <c r="E84">
        <f ca="1">SUMIFS(INDEX($B$13:$CW$64,MATCH(E$83,$A$13:$A$64,0),1):INDEX($B$13:$CW$64,MATCH(E$83,$A$13:$A$64,0),100),$B67:$CW67,"="&amp;"X",$B$10:$CW$10,"="&amp;"N")</f>
        <v>0</v>
      </c>
      <c r="F84">
        <f ca="1">SUMIFS(INDEX($B$13:$CW$64,MATCH(F$83,$A$13:$A$64,0),1):INDEX($B$13:$CW$64,MATCH(F$83,$A$13:$A$64,0),100),$B67:$CW67,"="&amp;"X",$B$10:$CW$10,"="&amp;"N")</f>
        <v>0</v>
      </c>
      <c r="G84">
        <f ca="1">SUMIFS(INDEX($B$13:$CW$64,MATCH(G$83,$A$13:$A$64,0),1):INDEX($B$13:$CW$64,MATCH(G$83,$A$13:$A$64,0),100),$B67:$CW67,"="&amp;"X",$B$10:$CW$10,"="&amp;"N")</f>
        <v>0</v>
      </c>
      <c r="H84">
        <f ca="1">SUMIFS(INDEX($B$13:$CW$64,MATCH(H$83,$A$13:$A$64,0),1):INDEX($B$13:$CW$64,MATCH(H$83,$A$13:$A$64,0),100),$B67:$CW67,"="&amp;"X",$B$10:$CW$10,"="&amp;"N")</f>
        <v>0</v>
      </c>
      <c r="I84">
        <f ca="1">SUMIFS(INDEX($B$13:$CW$64,MATCH(I$83,$A$13:$A$64,0),1):INDEX($B$13:$CW$64,MATCH(I$83,$A$13:$A$64,0),100),$B67:$CW67,"="&amp;"X",$B$10:$CW$10,"="&amp;"N")</f>
        <v>0</v>
      </c>
      <c r="J84">
        <f ca="1">SUMIFS(INDEX($B$13:$CW$64,MATCH(J$83,$A$13:$A$64,0),1):INDEX($B$13:$CW$64,MATCH(J$83,$A$13:$A$64,0),100),$B67:$CW67,"="&amp;"X",$B$10:$CW$10,"="&amp;"N")</f>
        <v>0</v>
      </c>
      <c r="K84">
        <f ca="1">SUMIFS(INDEX($B$13:$CW$64,MATCH(K$83,$A$13:$A$64,0),1):INDEX($B$13:$CW$64,MATCH(K$83,$A$13:$A$64,0),100),$B67:$CW67,"="&amp;"X",$B$10:$CW$10,"="&amp;"N")</f>
        <v>0</v>
      </c>
      <c r="L84">
        <f ca="1">SUMIFS(INDEX($B$13:$CW$64,MATCH(L$83,$A$13:$A$64,0),1):INDEX($B$13:$CW$64,MATCH(L$83,$A$13:$A$64,0),100),$B67:$CW67,"="&amp;"X",$B$10:$CW$10,"="&amp;"N")</f>
        <v>0</v>
      </c>
      <c r="M84">
        <f ca="1">SUMIFS(INDEX($B$13:$CW$64,MATCH(M$83,$A$13:$A$64,0),1):INDEX($B$13:$CW$64,MATCH(M$83,$A$13:$A$64,0),100),$B67:$CW67,"="&amp;"X",$B$10:$CW$10,"="&amp;"N")</f>
        <v>0</v>
      </c>
      <c r="N84">
        <f ca="1">SUMIFS(INDEX($B$13:$CW$64,MATCH(N$83,$A$13:$A$64,0),1):INDEX($B$13:$CW$64,MATCH(N$83,$A$13:$A$64,0),100),$B67:$CW67,"="&amp;"X",$B$10:$CW$10,"="&amp;"N")</f>
        <v>0</v>
      </c>
      <c r="O84">
        <f ca="1">SUMIFS(INDEX($B$13:$CW$64,MATCH(O$83,$A$13:$A$64,0),1):INDEX($B$13:$CW$64,MATCH(O$83,$A$13:$A$64,0),100),$B67:$CW67,"="&amp;"X",$B$10:$CW$10,"="&amp;"N")</f>
        <v>0</v>
      </c>
      <c r="P84">
        <f ca="1">SUMIFS(INDEX($B$13:$CW$64,MATCH(P$83,$A$13:$A$64,0),1):INDEX($B$13:$CW$64,MATCH(P$83,$A$13:$A$64,0),100),$B67:$CW67,"="&amp;"X",$B$10:$CW$10,"="&amp;"N")</f>
        <v>0</v>
      </c>
      <c r="Q84">
        <f ca="1">SUMIFS(INDEX($B$13:$CW$64,MATCH(Q$83,$A$13:$A$64,0),1):INDEX($B$13:$CW$64,MATCH(Q$83,$A$13:$A$64,0),100),$B67:$CW67,"="&amp;"X",$B$10:$CW$10,"="&amp;"N")</f>
        <v>0</v>
      </c>
      <c r="R84">
        <f ca="1">SUMIFS(INDEX($B$13:$CW$64,MATCH(R$83,$A$13:$A$64,0),1):INDEX($B$13:$CW$64,MATCH(R$83,$A$13:$A$64,0),100),$B67:$CW67,"="&amp;"X",$B$10:$CW$10,"="&amp;"N")</f>
        <v>0</v>
      </c>
      <c r="S84">
        <f ca="1">SUMIFS(INDEX($B$13:$CW$64,MATCH(S$83,$A$13:$A$64,0),1):INDEX($B$13:$CW$64,MATCH(S$83,$A$13:$A$64,0),100),$B67:$CW67,"="&amp;"X",$B$10:$CW$10,"="&amp;"N")</f>
        <v>0</v>
      </c>
      <c r="T84">
        <f ca="1">SUMIFS(INDEX($B$13:$CW$64,MATCH(T$83,$A$13:$A$64,0),1):INDEX($B$13:$CW$64,MATCH(T$83,$A$13:$A$64,0),100),$B67:$CW67,"="&amp;"X",$B$10:$CW$10,"="&amp;"N")</f>
        <v>0</v>
      </c>
      <c r="U84">
        <f ca="1">SUMIFS(INDEX($B$13:$CW$64,MATCH(U$83,$A$13:$A$64,0),1):INDEX($B$13:$CW$64,MATCH(U$83,$A$13:$A$64,0),100),$B67:$CW67,"="&amp;"X",$B$10:$CW$10,"="&amp;"N")</f>
        <v>0</v>
      </c>
      <c r="V84">
        <f ca="1">SUMIFS(INDEX($B$13:$CW$64,MATCH(V$83,$A$13:$A$64,0),1):INDEX($B$13:$CW$64,MATCH(V$83,$A$13:$A$64,0),100),$B67:$CW67,"="&amp;"X",$B$10:$CW$10,"="&amp;"N")</f>
        <v>0</v>
      </c>
      <c r="W84">
        <f ca="1">SUMIFS(INDEX($B$13:$CW$64,MATCH(W$83,$A$13:$A$64,0),1):INDEX($B$13:$CW$64,MATCH(W$83,$A$13:$A$64,0),100),$B67:$CW67,"="&amp;"X",$B$10:$CW$10,"="&amp;"N")</f>
        <v>0</v>
      </c>
      <c r="X84">
        <f ca="1">SUMIFS(INDEX($B$13:$CW$64,MATCH(X$83,$A$13:$A$64,0),1):INDEX($B$13:$CW$64,MATCH(X$83,$A$13:$A$64,0),100),$B67:$CW67,"="&amp;"X",$B$10:$CW$10,"="&amp;"N")</f>
        <v>0</v>
      </c>
      <c r="Y84">
        <f ca="1">SUMIFS(INDEX($B$13:$CW$64,MATCH(Y$83,$A$13:$A$64,0),1):INDEX($B$13:$CW$64,MATCH(Y$83,$A$13:$A$64,0),100),$B67:$CW67,"="&amp;"X",$B$10:$CW$10,"="&amp;"N")</f>
        <v>0</v>
      </c>
      <c r="Z84">
        <f ca="1">SUMIFS(INDEX($B$13:$CW$64,MATCH(Z$83,$A$13:$A$64,0),1):INDEX($B$13:$CW$64,MATCH(Z$83,$A$13:$A$64,0),100),$B67:$CW67,"="&amp;"X",$B$10:$CW$10,"="&amp;"N")</f>
        <v>0</v>
      </c>
      <c r="AA84">
        <f ca="1">SUMIFS(INDEX($B$13:$CW$64,MATCH(AA$83,$A$13:$A$64,0),1):INDEX($B$13:$CW$64,MATCH(AA$83,$A$13:$A$64,0),100),$B67:$CW67,"="&amp;"X",$B$10:$CW$10,"="&amp;"N")</f>
        <v>0</v>
      </c>
      <c r="AB84">
        <f ca="1">SUMIFS(INDEX($B$13:$CW$64,MATCH(AB$83,$A$13:$A$64,0),1):INDEX($B$13:$CW$64,MATCH(AB$83,$A$13:$A$64,0),100),$B67:$CW67,"="&amp;"X",$B$10:$CW$10,"="&amp;"N")</f>
        <v>0</v>
      </c>
      <c r="AC84">
        <f ca="1">SUMIFS(INDEX($B$13:$CW$64,MATCH(AC$83,$A$13:$A$64,0),1):INDEX($B$13:$CW$64,MATCH(AC$83,$A$13:$A$64,0),100),$B67:$CW67,"="&amp;"X",$B$10:$CW$10,"="&amp;"N")</f>
        <v>0</v>
      </c>
      <c r="AD84">
        <f ca="1">SUMIFS(INDEX($B$13:$CW$64,MATCH(AD$83,$A$13:$A$64,0),1):INDEX($B$13:$CW$64,MATCH(AD$83,$A$13:$A$64,0),100),$B67:$CW67,"="&amp;"X",$B$10:$CW$10,"="&amp;"N")</f>
        <v>0</v>
      </c>
      <c r="AE84">
        <f ca="1">SUMIFS(INDEX($B$13:$CW$64,MATCH(AE$83,$A$13:$A$64,0),1):INDEX($B$13:$CW$64,MATCH(AE$83,$A$13:$A$64,0),100),$B67:$CW67,"="&amp;"X",$B$10:$CW$10,"="&amp;"N")</f>
        <v>0</v>
      </c>
      <c r="AF84">
        <f ca="1">SUMIFS(INDEX($B$13:$CW$64,MATCH(AF$83,$A$13:$A$64,0),1):INDEX($B$13:$CW$64,MATCH(AF$83,$A$13:$A$64,0),100),$B67:$CW67,"="&amp;"X",$B$10:$CW$10,"="&amp;"N")</f>
        <v>0</v>
      </c>
      <c r="AG84">
        <f ca="1">SUMIFS(INDEX($B$13:$CW$64,MATCH(AG$83,$A$13:$A$64,0),1):INDEX($B$13:$CW$64,MATCH(AG$83,$A$13:$A$64,0),100),$B67:$CW67,"="&amp;"X",$B$10:$CW$10,"="&amp;"N")</f>
        <v>0</v>
      </c>
      <c r="AH84">
        <f ca="1">SUMIFS(INDEX($B$13:$CW$64,MATCH(AH$83,$A$13:$A$64,0),1):INDEX($B$13:$CW$64,MATCH(AH$83,$A$13:$A$64,0),100),$B67:$CW67,"="&amp;"X",$B$10:$CW$10,"="&amp;"N")</f>
        <v>0</v>
      </c>
      <c r="AI84">
        <f ca="1">SUMIFS(INDEX($B$13:$CW$64,MATCH(AI$83,$A$13:$A$64,0),1):INDEX($B$13:$CW$64,MATCH(AI$83,$A$13:$A$64,0),100),$B67:$CW67,"="&amp;"X",$B$10:$CW$10,"="&amp;"N")</f>
        <v>0</v>
      </c>
      <c r="AJ84">
        <f ca="1">SUMIFS(INDEX($B$13:$CW$64,MATCH(AJ$83,$A$13:$A$64,0),1):INDEX($B$13:$CW$64,MATCH(AJ$83,$A$13:$A$64,0),100),$B67:$CW67,"="&amp;"X",$B$10:$CW$10,"="&amp;"N")</f>
        <v>0</v>
      </c>
      <c r="AK84">
        <f ca="1">SUMIFS(INDEX($B$13:$CW$64,MATCH(AK$83,$A$13:$A$64,0),1):INDEX($B$13:$CW$64,MATCH(AK$83,$A$13:$A$64,0),100),$B67:$CW67,"="&amp;"X",$B$10:$CW$10,"="&amp;"N")</f>
        <v>0</v>
      </c>
      <c r="AL84">
        <f ca="1">SUMIFS(INDEX($B$13:$CW$64,MATCH(AL$83,$A$13:$A$64,0),1):INDEX($B$13:$CW$64,MATCH(AL$83,$A$13:$A$64,0),100),$B67:$CW67,"="&amp;"X",$B$10:$CW$10,"="&amp;"N")</f>
        <v>0</v>
      </c>
      <c r="AM84">
        <f ca="1">SUMIFS(INDEX($B$13:$CW$64,MATCH(AM$83,$A$13:$A$64,0),1):INDEX($B$13:$CW$64,MATCH(AM$83,$A$13:$A$64,0),100),$B67:$CW67,"="&amp;"X",$B$10:$CW$10,"="&amp;"N")</f>
        <v>0</v>
      </c>
      <c r="AN84">
        <f ca="1">SUMIFS(INDEX($B$13:$CW$64,MATCH(AN$83,$A$13:$A$64,0),1):INDEX($B$13:$CW$64,MATCH(AN$83,$A$13:$A$64,0),100),$B67:$CW67,"="&amp;"X",$B$10:$CW$10,"="&amp;"N")</f>
        <v>0</v>
      </c>
      <c r="AO84">
        <f ca="1">SUMIFS(INDEX($B$13:$CW$64,MATCH(AO$83,$A$13:$A$64,0),1):INDEX($B$13:$CW$64,MATCH(AO$83,$A$13:$A$64,0),100),$B67:$CW67,"="&amp;"X",$B$10:$CW$10,"="&amp;"N")</f>
        <v>0</v>
      </c>
      <c r="AP84">
        <f ca="1">SUMIFS(INDEX($B$13:$CW$64,MATCH(AP$83,$A$13:$A$64,0),1):INDEX($B$13:$CW$64,MATCH(AP$83,$A$13:$A$64,0),100),$B67:$CW67,"="&amp;"X",$B$10:$CW$10,"="&amp;"N")</f>
        <v>0</v>
      </c>
      <c r="AQ84">
        <f ca="1">SUMIFS(INDEX($B$13:$CW$64,MATCH(AQ$83,$A$13:$A$64,0),1):INDEX($B$13:$CW$64,MATCH(AQ$83,$A$13:$A$64,0),100),$B67:$CW67,"="&amp;"X",$B$10:$CW$10,"="&amp;"N")</f>
        <v>0</v>
      </c>
      <c r="AR84">
        <f ca="1">SUMIFS(INDEX($B$13:$CW$64,MATCH(AR$83,$A$13:$A$64,0),1):INDEX($B$13:$CW$64,MATCH(AR$83,$A$13:$A$64,0),100),$B67:$CW67,"="&amp;"X",$B$10:$CW$10,"="&amp;"N")</f>
        <v>0</v>
      </c>
      <c r="AS84">
        <f ca="1">SUMIFS(INDEX($B$13:$CW$64,MATCH(AS$83,$A$13:$A$64,0),1):INDEX($B$13:$CW$64,MATCH(AS$83,$A$13:$A$64,0),100),$B67:$CW67,"="&amp;"X",$B$10:$CW$10,"="&amp;"N")</f>
        <v>0</v>
      </c>
      <c r="AT84">
        <f ca="1">SUMIFS(INDEX($B$13:$CW$64,MATCH(AT$83,$A$13:$A$64,0),1):INDEX($B$13:$CW$64,MATCH(AT$83,$A$13:$A$64,0),100),$B67:$CW67,"="&amp;"X",$B$10:$CW$10,"="&amp;"N")</f>
        <v>0</v>
      </c>
      <c r="AU84">
        <f ca="1">SUMIFS(INDEX($B$13:$CW$64,MATCH(AU$83,$A$13:$A$64,0),1):INDEX($B$13:$CW$64,MATCH(AU$83,$A$13:$A$64,0),100),$B67:$CW67,"="&amp;"X",$B$10:$CW$10,"="&amp;"N")</f>
        <v>0</v>
      </c>
      <c r="AV84">
        <f ca="1">SUMIFS(INDEX($B$13:$CW$64,MATCH(AV$83,$A$13:$A$64,0),1):INDEX($B$13:$CW$64,MATCH(AV$83,$A$13:$A$64,0),100),$B67:$CW67,"="&amp;"X",$B$10:$CW$10,"="&amp;"N")</f>
        <v>0</v>
      </c>
      <c r="AW84">
        <f ca="1">SUMIFS(INDEX($B$13:$CW$64,MATCH(AW$83,$A$13:$A$64,0),1):INDEX($B$13:$CW$64,MATCH(AW$83,$A$13:$A$64,0),100),$B67:$CW67,"="&amp;"X",$B$10:$CW$10,"="&amp;"N")</f>
        <v>0</v>
      </c>
      <c r="AX84">
        <f ca="1">SUMIFS(INDEX($B$13:$CW$64,MATCH(AX$83,$A$13:$A$64,0),1):INDEX($B$13:$CW$64,MATCH(AX$83,$A$13:$A$64,0),100),$B67:$CW67,"="&amp;"X",$B$10:$CW$10,"="&amp;"N")</f>
        <v>0</v>
      </c>
      <c r="AY84">
        <f ca="1">SUMIFS(INDEX($B$13:$CW$64,MATCH(AY$83,$A$13:$A$64,0),1):INDEX($B$13:$CW$64,MATCH(AY$83,$A$13:$A$64,0),100),$B67:$CW67,"="&amp;"X",$B$10:$CW$10,"="&amp;"N")</f>
        <v>0</v>
      </c>
      <c r="AZ84">
        <f ca="1">SUMIFS(INDEX($B$13:$CW$64,MATCH(AZ$83,$A$13:$A$64,0),1):INDEX($B$13:$CW$64,MATCH(AZ$83,$A$13:$A$64,0),100),$B67:$CW67,"="&amp;"X",$B$10:$CW$10,"="&amp;"N")</f>
        <v>0</v>
      </c>
      <c r="BA84">
        <f ca="1">SUMIFS(INDEX($B$13:$CW$64,MATCH(BA$83,$A$13:$A$64,0),1):INDEX($B$13:$CW$64,MATCH(BA$83,$A$13:$A$64,0),100),$B67:$CW67,"="&amp;"X",$B$10:$CW$10,"="&amp;"N")</f>
        <v>0</v>
      </c>
    </row>
    <row r="85" spans="1:101" x14ac:dyDescent="0.25">
      <c r="A85" s="2" t="str">
        <f>Setup!A21</f>
        <v>Caseload 2</v>
      </c>
      <c r="B85">
        <f ca="1">SUMIFS(INDEX($B$13:$CW$64,MATCH(B$83,$A$13:$A$64,0),1):INDEX($B$13:$CW$64,MATCH(B$83,$A$13:$A$64,0),100),$B68:$CW68,"="&amp;"X",$B$10:$CW$10,"="&amp;"N")</f>
        <v>0</v>
      </c>
      <c r="C85">
        <f ca="1">SUMIFS(INDEX($B$13:$CW$64,MATCH(C$83,$A$13:$A$64,0),1):INDEX($B$13:$CW$64,MATCH(C$83,$A$13:$A$64,0),100),$B68:$CW68,"="&amp;"X",$B$10:$CW$10,"="&amp;"N")</f>
        <v>0</v>
      </c>
      <c r="D85">
        <f ca="1">SUMIFS(INDEX($B$13:$CW$64,MATCH(D$83,$A$13:$A$64,0),1):INDEX($B$13:$CW$64,MATCH(D$83,$A$13:$A$64,0),100),$B68:$CW68,"="&amp;"X",$B$10:$CW$10,"="&amp;"N")</f>
        <v>0</v>
      </c>
      <c r="E85">
        <f ca="1">SUMIFS(INDEX($B$13:$CW$64,MATCH(E$83,$A$13:$A$64,0),1):INDEX($B$13:$CW$64,MATCH(E$83,$A$13:$A$64,0),100),$B68:$CW68,"="&amp;"X",$B$10:$CW$10,"="&amp;"N")</f>
        <v>0</v>
      </c>
      <c r="F85">
        <f ca="1">SUMIFS(INDEX($B$13:$CW$64,MATCH(F$83,$A$13:$A$64,0),1):INDEX($B$13:$CW$64,MATCH(F$83,$A$13:$A$64,0),100),$B68:$CW68,"="&amp;"X",$B$10:$CW$10,"="&amp;"N")</f>
        <v>0</v>
      </c>
      <c r="G85">
        <f ca="1">SUMIFS(INDEX($B$13:$CW$64,MATCH(G$83,$A$13:$A$64,0),1):INDEX($B$13:$CW$64,MATCH(G$83,$A$13:$A$64,0),100),$B68:$CW68,"="&amp;"X",$B$10:$CW$10,"="&amp;"N")</f>
        <v>0</v>
      </c>
      <c r="H85">
        <f ca="1">SUMIFS(INDEX($B$13:$CW$64,MATCH(H$83,$A$13:$A$64,0),1):INDEX($B$13:$CW$64,MATCH(H$83,$A$13:$A$64,0),100),$B68:$CW68,"="&amp;"X",$B$10:$CW$10,"="&amp;"N")</f>
        <v>0</v>
      </c>
      <c r="I85">
        <f ca="1">SUMIFS(INDEX($B$13:$CW$64,MATCH(I$83,$A$13:$A$64,0),1):INDEX($B$13:$CW$64,MATCH(I$83,$A$13:$A$64,0),100),$B68:$CW68,"="&amp;"X",$B$10:$CW$10,"="&amp;"N")</f>
        <v>0</v>
      </c>
      <c r="J85">
        <f ca="1">SUMIFS(INDEX($B$13:$CW$64,MATCH(J$83,$A$13:$A$64,0),1):INDEX($B$13:$CW$64,MATCH(J$83,$A$13:$A$64,0),100),$B68:$CW68,"="&amp;"X",$B$10:$CW$10,"="&amp;"N")</f>
        <v>0</v>
      </c>
      <c r="K85">
        <f ca="1">SUMIFS(INDEX($B$13:$CW$64,MATCH(K$83,$A$13:$A$64,0),1):INDEX($B$13:$CW$64,MATCH(K$83,$A$13:$A$64,0),100),$B68:$CW68,"="&amp;"X",$B$10:$CW$10,"="&amp;"N")</f>
        <v>0</v>
      </c>
      <c r="L85">
        <f ca="1">SUMIFS(INDEX($B$13:$CW$64,MATCH(L$83,$A$13:$A$64,0),1):INDEX($B$13:$CW$64,MATCH(L$83,$A$13:$A$64,0),100),$B68:$CW68,"="&amp;"X",$B$10:$CW$10,"="&amp;"N")</f>
        <v>0</v>
      </c>
      <c r="M85">
        <f ca="1">SUMIFS(INDEX($B$13:$CW$64,MATCH(M$83,$A$13:$A$64,0),1):INDEX($B$13:$CW$64,MATCH(M$83,$A$13:$A$64,0),100),$B68:$CW68,"="&amp;"X",$B$10:$CW$10,"="&amp;"N")</f>
        <v>0</v>
      </c>
      <c r="N85">
        <f ca="1">SUMIFS(INDEX($B$13:$CW$64,MATCH(N$83,$A$13:$A$64,0),1):INDEX($B$13:$CW$64,MATCH(N$83,$A$13:$A$64,0),100),$B68:$CW68,"="&amp;"X",$B$10:$CW$10,"="&amp;"N")</f>
        <v>0</v>
      </c>
      <c r="O85">
        <f ca="1">SUMIFS(INDEX($B$13:$CW$64,MATCH(O$83,$A$13:$A$64,0),1):INDEX($B$13:$CW$64,MATCH(O$83,$A$13:$A$64,0),100),$B68:$CW68,"="&amp;"X",$B$10:$CW$10,"="&amp;"N")</f>
        <v>0</v>
      </c>
      <c r="P85">
        <f ca="1">SUMIFS(INDEX($B$13:$CW$64,MATCH(P$83,$A$13:$A$64,0),1):INDEX($B$13:$CW$64,MATCH(P$83,$A$13:$A$64,0),100),$B68:$CW68,"="&amp;"X",$B$10:$CW$10,"="&amp;"N")</f>
        <v>0</v>
      </c>
      <c r="Q85">
        <f ca="1">SUMIFS(INDEX($B$13:$CW$64,MATCH(Q$83,$A$13:$A$64,0),1):INDEX($B$13:$CW$64,MATCH(Q$83,$A$13:$A$64,0),100),$B68:$CW68,"="&amp;"X",$B$10:$CW$10,"="&amp;"N")</f>
        <v>0</v>
      </c>
      <c r="R85">
        <f ca="1">SUMIFS(INDEX($B$13:$CW$64,MATCH(R$83,$A$13:$A$64,0),1):INDEX($B$13:$CW$64,MATCH(R$83,$A$13:$A$64,0),100),$B68:$CW68,"="&amp;"X",$B$10:$CW$10,"="&amp;"N")</f>
        <v>0</v>
      </c>
      <c r="S85">
        <f ca="1">SUMIFS(INDEX($B$13:$CW$64,MATCH(S$83,$A$13:$A$64,0),1):INDEX($B$13:$CW$64,MATCH(S$83,$A$13:$A$64,0),100),$B68:$CW68,"="&amp;"X",$B$10:$CW$10,"="&amp;"N")</f>
        <v>0</v>
      </c>
      <c r="T85">
        <f ca="1">SUMIFS(INDEX($B$13:$CW$64,MATCH(T$83,$A$13:$A$64,0),1):INDEX($B$13:$CW$64,MATCH(T$83,$A$13:$A$64,0),100),$B68:$CW68,"="&amp;"X",$B$10:$CW$10,"="&amp;"N")</f>
        <v>0</v>
      </c>
      <c r="U85">
        <f ca="1">SUMIFS(INDEX($B$13:$CW$64,MATCH(U$83,$A$13:$A$64,0),1):INDEX($B$13:$CW$64,MATCH(U$83,$A$13:$A$64,0),100),$B68:$CW68,"="&amp;"X",$B$10:$CW$10,"="&amp;"N")</f>
        <v>0</v>
      </c>
      <c r="V85">
        <f ca="1">SUMIFS(INDEX($B$13:$CW$64,MATCH(V$83,$A$13:$A$64,0),1):INDEX($B$13:$CW$64,MATCH(V$83,$A$13:$A$64,0),100),$B68:$CW68,"="&amp;"X",$B$10:$CW$10,"="&amp;"N")</f>
        <v>0</v>
      </c>
      <c r="W85">
        <f ca="1">SUMIFS(INDEX($B$13:$CW$64,MATCH(W$83,$A$13:$A$64,0),1):INDEX($B$13:$CW$64,MATCH(W$83,$A$13:$A$64,0),100),$B68:$CW68,"="&amp;"X",$B$10:$CW$10,"="&amp;"N")</f>
        <v>0</v>
      </c>
      <c r="X85">
        <f ca="1">SUMIFS(INDEX($B$13:$CW$64,MATCH(X$83,$A$13:$A$64,0),1):INDEX($B$13:$CW$64,MATCH(X$83,$A$13:$A$64,0),100),$B68:$CW68,"="&amp;"X",$B$10:$CW$10,"="&amp;"N")</f>
        <v>0</v>
      </c>
      <c r="Y85">
        <f ca="1">SUMIFS(INDEX($B$13:$CW$64,MATCH(Y$83,$A$13:$A$64,0),1):INDEX($B$13:$CW$64,MATCH(Y$83,$A$13:$A$64,0),100),$B68:$CW68,"="&amp;"X",$B$10:$CW$10,"="&amp;"N")</f>
        <v>0</v>
      </c>
      <c r="Z85">
        <f ca="1">SUMIFS(INDEX($B$13:$CW$64,MATCH(Z$83,$A$13:$A$64,0),1):INDEX($B$13:$CW$64,MATCH(Z$83,$A$13:$A$64,0),100),$B68:$CW68,"="&amp;"X",$B$10:$CW$10,"="&amp;"N")</f>
        <v>0</v>
      </c>
      <c r="AA85">
        <f ca="1">SUMIFS(INDEX($B$13:$CW$64,MATCH(AA$83,$A$13:$A$64,0),1):INDEX($B$13:$CW$64,MATCH(AA$83,$A$13:$A$64,0),100),$B68:$CW68,"="&amp;"X",$B$10:$CW$10,"="&amp;"N")</f>
        <v>0</v>
      </c>
      <c r="AB85">
        <f ca="1">SUMIFS(INDEX($B$13:$CW$64,MATCH(AB$83,$A$13:$A$64,0),1):INDEX($B$13:$CW$64,MATCH(AB$83,$A$13:$A$64,0),100),$B68:$CW68,"="&amp;"X",$B$10:$CW$10,"="&amp;"N")</f>
        <v>0</v>
      </c>
      <c r="AC85">
        <f ca="1">SUMIFS(INDEX($B$13:$CW$64,MATCH(AC$83,$A$13:$A$64,0),1):INDEX($B$13:$CW$64,MATCH(AC$83,$A$13:$A$64,0),100),$B68:$CW68,"="&amp;"X",$B$10:$CW$10,"="&amp;"N")</f>
        <v>0</v>
      </c>
      <c r="AD85">
        <f ca="1">SUMIFS(INDEX($B$13:$CW$64,MATCH(AD$83,$A$13:$A$64,0),1):INDEX($B$13:$CW$64,MATCH(AD$83,$A$13:$A$64,0),100),$B68:$CW68,"="&amp;"X",$B$10:$CW$10,"="&amp;"N")</f>
        <v>0</v>
      </c>
      <c r="AE85">
        <f ca="1">SUMIFS(INDEX($B$13:$CW$64,MATCH(AE$83,$A$13:$A$64,0),1):INDEX($B$13:$CW$64,MATCH(AE$83,$A$13:$A$64,0),100),$B68:$CW68,"="&amp;"X",$B$10:$CW$10,"="&amp;"N")</f>
        <v>0</v>
      </c>
      <c r="AF85">
        <f ca="1">SUMIFS(INDEX($B$13:$CW$64,MATCH(AF$83,$A$13:$A$64,0),1):INDEX($B$13:$CW$64,MATCH(AF$83,$A$13:$A$64,0),100),$B68:$CW68,"="&amp;"X",$B$10:$CW$10,"="&amp;"N")</f>
        <v>0</v>
      </c>
      <c r="AG85">
        <f ca="1">SUMIFS(INDEX($B$13:$CW$64,MATCH(AG$83,$A$13:$A$64,0),1):INDEX($B$13:$CW$64,MATCH(AG$83,$A$13:$A$64,0),100),$B68:$CW68,"="&amp;"X",$B$10:$CW$10,"="&amp;"N")</f>
        <v>0</v>
      </c>
      <c r="AH85">
        <f ca="1">SUMIFS(INDEX($B$13:$CW$64,MATCH(AH$83,$A$13:$A$64,0),1):INDEX($B$13:$CW$64,MATCH(AH$83,$A$13:$A$64,0),100),$B68:$CW68,"="&amp;"X",$B$10:$CW$10,"="&amp;"N")</f>
        <v>0</v>
      </c>
      <c r="AI85">
        <f ca="1">SUMIFS(INDEX($B$13:$CW$64,MATCH(AI$83,$A$13:$A$64,0),1):INDEX($B$13:$CW$64,MATCH(AI$83,$A$13:$A$64,0),100),$B68:$CW68,"="&amp;"X",$B$10:$CW$10,"="&amp;"N")</f>
        <v>0</v>
      </c>
      <c r="AJ85">
        <f ca="1">SUMIFS(INDEX($B$13:$CW$64,MATCH(AJ$83,$A$13:$A$64,0),1):INDEX($B$13:$CW$64,MATCH(AJ$83,$A$13:$A$64,0),100),$B68:$CW68,"="&amp;"X",$B$10:$CW$10,"="&amp;"N")</f>
        <v>0</v>
      </c>
      <c r="AK85">
        <f ca="1">SUMIFS(INDEX($B$13:$CW$64,MATCH(AK$83,$A$13:$A$64,0),1):INDEX($B$13:$CW$64,MATCH(AK$83,$A$13:$A$64,0),100),$B68:$CW68,"="&amp;"X",$B$10:$CW$10,"="&amp;"N")</f>
        <v>0</v>
      </c>
      <c r="AL85">
        <f ca="1">SUMIFS(INDEX($B$13:$CW$64,MATCH(AL$83,$A$13:$A$64,0),1):INDEX($B$13:$CW$64,MATCH(AL$83,$A$13:$A$64,0),100),$B68:$CW68,"="&amp;"X",$B$10:$CW$10,"="&amp;"N")</f>
        <v>0</v>
      </c>
      <c r="AM85">
        <f ca="1">SUMIFS(INDEX($B$13:$CW$64,MATCH(AM$83,$A$13:$A$64,0),1):INDEX($B$13:$CW$64,MATCH(AM$83,$A$13:$A$64,0),100),$B68:$CW68,"="&amp;"X",$B$10:$CW$10,"="&amp;"N")</f>
        <v>0</v>
      </c>
      <c r="AN85">
        <f ca="1">SUMIFS(INDEX($B$13:$CW$64,MATCH(AN$83,$A$13:$A$64,0),1):INDEX($B$13:$CW$64,MATCH(AN$83,$A$13:$A$64,0),100),$B68:$CW68,"="&amp;"X",$B$10:$CW$10,"="&amp;"N")</f>
        <v>0</v>
      </c>
      <c r="AO85">
        <f ca="1">SUMIFS(INDEX($B$13:$CW$64,MATCH(AO$83,$A$13:$A$64,0),1):INDEX($B$13:$CW$64,MATCH(AO$83,$A$13:$A$64,0),100),$B68:$CW68,"="&amp;"X",$B$10:$CW$10,"="&amp;"N")</f>
        <v>0</v>
      </c>
      <c r="AP85">
        <f ca="1">SUMIFS(INDEX($B$13:$CW$64,MATCH(AP$83,$A$13:$A$64,0),1):INDEX($B$13:$CW$64,MATCH(AP$83,$A$13:$A$64,0),100),$B68:$CW68,"="&amp;"X",$B$10:$CW$10,"="&amp;"N")</f>
        <v>0</v>
      </c>
      <c r="AQ85">
        <f ca="1">SUMIFS(INDEX($B$13:$CW$64,MATCH(AQ$83,$A$13:$A$64,0),1):INDEX($B$13:$CW$64,MATCH(AQ$83,$A$13:$A$64,0),100),$B68:$CW68,"="&amp;"X",$B$10:$CW$10,"="&amp;"N")</f>
        <v>0</v>
      </c>
      <c r="AR85">
        <f ca="1">SUMIFS(INDEX($B$13:$CW$64,MATCH(AR$83,$A$13:$A$64,0),1):INDEX($B$13:$CW$64,MATCH(AR$83,$A$13:$A$64,0),100),$B68:$CW68,"="&amp;"X",$B$10:$CW$10,"="&amp;"N")</f>
        <v>0</v>
      </c>
      <c r="AS85">
        <f ca="1">SUMIFS(INDEX($B$13:$CW$64,MATCH(AS$83,$A$13:$A$64,0),1):INDEX($B$13:$CW$64,MATCH(AS$83,$A$13:$A$64,0),100),$B68:$CW68,"="&amp;"X",$B$10:$CW$10,"="&amp;"N")</f>
        <v>0</v>
      </c>
      <c r="AT85">
        <f ca="1">SUMIFS(INDEX($B$13:$CW$64,MATCH(AT$83,$A$13:$A$64,0),1):INDEX($B$13:$CW$64,MATCH(AT$83,$A$13:$A$64,0),100),$B68:$CW68,"="&amp;"X",$B$10:$CW$10,"="&amp;"N")</f>
        <v>0</v>
      </c>
      <c r="AU85">
        <f ca="1">SUMIFS(INDEX($B$13:$CW$64,MATCH(AU$83,$A$13:$A$64,0),1):INDEX($B$13:$CW$64,MATCH(AU$83,$A$13:$A$64,0),100),$B68:$CW68,"="&amp;"X",$B$10:$CW$10,"="&amp;"N")</f>
        <v>0</v>
      </c>
      <c r="AV85">
        <f ca="1">SUMIFS(INDEX($B$13:$CW$64,MATCH(AV$83,$A$13:$A$64,0),1):INDEX($B$13:$CW$64,MATCH(AV$83,$A$13:$A$64,0),100),$B68:$CW68,"="&amp;"X",$B$10:$CW$10,"="&amp;"N")</f>
        <v>0</v>
      </c>
      <c r="AW85">
        <f ca="1">SUMIFS(INDEX($B$13:$CW$64,MATCH(AW$83,$A$13:$A$64,0),1):INDEX($B$13:$CW$64,MATCH(AW$83,$A$13:$A$64,0),100),$B68:$CW68,"="&amp;"X",$B$10:$CW$10,"="&amp;"N")</f>
        <v>0</v>
      </c>
      <c r="AX85">
        <f ca="1">SUMIFS(INDEX($B$13:$CW$64,MATCH(AX$83,$A$13:$A$64,0),1):INDEX($B$13:$CW$64,MATCH(AX$83,$A$13:$A$64,0),100),$B68:$CW68,"="&amp;"X",$B$10:$CW$10,"="&amp;"N")</f>
        <v>0</v>
      </c>
      <c r="AY85">
        <f ca="1">SUMIFS(INDEX($B$13:$CW$64,MATCH(AY$83,$A$13:$A$64,0),1):INDEX($B$13:$CW$64,MATCH(AY$83,$A$13:$A$64,0),100),$B68:$CW68,"="&amp;"X",$B$10:$CW$10,"="&amp;"N")</f>
        <v>0</v>
      </c>
      <c r="AZ85">
        <f ca="1">SUMIFS(INDEX($B$13:$CW$64,MATCH(AZ$83,$A$13:$A$64,0),1):INDEX($B$13:$CW$64,MATCH(AZ$83,$A$13:$A$64,0),100),$B68:$CW68,"="&amp;"X",$B$10:$CW$10,"="&amp;"N")</f>
        <v>0</v>
      </c>
      <c r="BA85">
        <f ca="1">SUMIFS(INDEX($B$13:$CW$64,MATCH(BA$83,$A$13:$A$64,0),1):INDEX($B$13:$CW$64,MATCH(BA$83,$A$13:$A$64,0),100),$B68:$CW68,"="&amp;"X",$B$10:$CW$10,"="&amp;"N")</f>
        <v>0</v>
      </c>
    </row>
    <row r="86" spans="1:101" x14ac:dyDescent="0.25">
      <c r="A86" s="2" t="str">
        <f>Setup!A22</f>
        <v>Caseload 3</v>
      </c>
      <c r="B86">
        <f ca="1">SUMIFS(INDEX($B$13:$CW$64,MATCH(B$83,$A$13:$A$64,0),1):INDEX($B$13:$CW$64,MATCH(B$83,$A$13:$A$64,0),100),$B69:$CW69,"="&amp;"X",$B$10:$CW$10,"="&amp;"N")</f>
        <v>0</v>
      </c>
      <c r="C86">
        <f ca="1">SUMIFS(INDEX($B$13:$CW$64,MATCH(C$83,$A$13:$A$64,0),1):INDEX($B$13:$CW$64,MATCH(C$83,$A$13:$A$64,0),100),$B69:$CW69,"="&amp;"X",$B$10:$CW$10,"="&amp;"N")</f>
        <v>0</v>
      </c>
      <c r="D86">
        <f ca="1">SUMIFS(INDEX($B$13:$CW$64,MATCH(D$83,$A$13:$A$64,0),1):INDEX($B$13:$CW$64,MATCH(D$83,$A$13:$A$64,0),100),$B69:$CW69,"="&amp;"X",$B$10:$CW$10,"="&amp;"N")</f>
        <v>0</v>
      </c>
      <c r="E86">
        <f ca="1">SUMIFS(INDEX($B$13:$CW$64,MATCH(E$83,$A$13:$A$64,0),1):INDEX($B$13:$CW$64,MATCH(E$83,$A$13:$A$64,0),100),$B69:$CW69,"="&amp;"X",$B$10:$CW$10,"="&amp;"N")</f>
        <v>0</v>
      </c>
      <c r="F86">
        <f ca="1">SUMIFS(INDEX($B$13:$CW$64,MATCH(F$83,$A$13:$A$64,0),1):INDEX($B$13:$CW$64,MATCH(F$83,$A$13:$A$64,0),100),$B69:$CW69,"="&amp;"X",$B$10:$CW$10,"="&amp;"N")</f>
        <v>0</v>
      </c>
      <c r="G86">
        <f ca="1">SUMIFS(INDEX($B$13:$CW$64,MATCH(G$83,$A$13:$A$64,0),1):INDEX($B$13:$CW$64,MATCH(G$83,$A$13:$A$64,0),100),$B69:$CW69,"="&amp;"X",$B$10:$CW$10,"="&amp;"N")</f>
        <v>0</v>
      </c>
      <c r="H86">
        <f ca="1">SUMIFS(INDEX($B$13:$CW$64,MATCH(H$83,$A$13:$A$64,0),1):INDEX($B$13:$CW$64,MATCH(H$83,$A$13:$A$64,0),100),$B69:$CW69,"="&amp;"X",$B$10:$CW$10,"="&amp;"N")</f>
        <v>0</v>
      </c>
      <c r="I86">
        <f ca="1">SUMIFS(INDEX($B$13:$CW$64,MATCH(I$83,$A$13:$A$64,0),1):INDEX($B$13:$CW$64,MATCH(I$83,$A$13:$A$64,0),100),$B69:$CW69,"="&amp;"X",$B$10:$CW$10,"="&amp;"N")</f>
        <v>0</v>
      </c>
      <c r="J86">
        <f ca="1">SUMIFS(INDEX($B$13:$CW$64,MATCH(J$83,$A$13:$A$64,0),1):INDEX($B$13:$CW$64,MATCH(J$83,$A$13:$A$64,0),100),$B69:$CW69,"="&amp;"X",$B$10:$CW$10,"="&amp;"N")</f>
        <v>0</v>
      </c>
      <c r="K86">
        <f ca="1">SUMIFS(INDEX($B$13:$CW$64,MATCH(K$83,$A$13:$A$64,0),1):INDEX($B$13:$CW$64,MATCH(K$83,$A$13:$A$64,0),100),$B69:$CW69,"="&amp;"X",$B$10:$CW$10,"="&amp;"N")</f>
        <v>0</v>
      </c>
      <c r="L86">
        <f ca="1">SUMIFS(INDEX($B$13:$CW$64,MATCH(L$83,$A$13:$A$64,0),1):INDEX($B$13:$CW$64,MATCH(L$83,$A$13:$A$64,0),100),$B69:$CW69,"="&amp;"X",$B$10:$CW$10,"="&amp;"N")</f>
        <v>0</v>
      </c>
      <c r="M86">
        <f ca="1">SUMIFS(INDEX($B$13:$CW$64,MATCH(M$83,$A$13:$A$64,0),1):INDEX($B$13:$CW$64,MATCH(M$83,$A$13:$A$64,0),100),$B69:$CW69,"="&amp;"X",$B$10:$CW$10,"="&amp;"N")</f>
        <v>0</v>
      </c>
      <c r="N86">
        <f ca="1">SUMIFS(INDEX($B$13:$CW$64,MATCH(N$83,$A$13:$A$64,0),1):INDEX($B$13:$CW$64,MATCH(N$83,$A$13:$A$64,0),100),$B69:$CW69,"="&amp;"X",$B$10:$CW$10,"="&amp;"N")</f>
        <v>0</v>
      </c>
      <c r="O86">
        <f ca="1">SUMIFS(INDEX($B$13:$CW$64,MATCH(O$83,$A$13:$A$64,0),1):INDEX($B$13:$CW$64,MATCH(O$83,$A$13:$A$64,0),100),$B69:$CW69,"="&amp;"X",$B$10:$CW$10,"="&amp;"N")</f>
        <v>0</v>
      </c>
      <c r="P86">
        <f ca="1">SUMIFS(INDEX($B$13:$CW$64,MATCH(P$83,$A$13:$A$64,0),1):INDEX($B$13:$CW$64,MATCH(P$83,$A$13:$A$64,0),100),$B69:$CW69,"="&amp;"X",$B$10:$CW$10,"="&amp;"N")</f>
        <v>0</v>
      </c>
      <c r="Q86">
        <f ca="1">SUMIFS(INDEX($B$13:$CW$64,MATCH(Q$83,$A$13:$A$64,0),1):INDEX($B$13:$CW$64,MATCH(Q$83,$A$13:$A$64,0),100),$B69:$CW69,"="&amp;"X",$B$10:$CW$10,"="&amp;"N")</f>
        <v>0</v>
      </c>
      <c r="R86">
        <f ca="1">SUMIFS(INDEX($B$13:$CW$64,MATCH(R$83,$A$13:$A$64,0),1):INDEX($B$13:$CW$64,MATCH(R$83,$A$13:$A$64,0),100),$B69:$CW69,"="&amp;"X",$B$10:$CW$10,"="&amp;"N")</f>
        <v>0</v>
      </c>
      <c r="S86">
        <f ca="1">SUMIFS(INDEX($B$13:$CW$64,MATCH(S$83,$A$13:$A$64,0),1):INDEX($B$13:$CW$64,MATCH(S$83,$A$13:$A$64,0),100),$B69:$CW69,"="&amp;"X",$B$10:$CW$10,"="&amp;"N")</f>
        <v>0</v>
      </c>
      <c r="T86">
        <f ca="1">SUMIFS(INDEX($B$13:$CW$64,MATCH(T$83,$A$13:$A$64,0),1):INDEX($B$13:$CW$64,MATCH(T$83,$A$13:$A$64,0),100),$B69:$CW69,"="&amp;"X",$B$10:$CW$10,"="&amp;"N")</f>
        <v>0</v>
      </c>
      <c r="U86">
        <f ca="1">SUMIFS(INDEX($B$13:$CW$64,MATCH(U$83,$A$13:$A$64,0),1):INDEX($B$13:$CW$64,MATCH(U$83,$A$13:$A$64,0),100),$B69:$CW69,"="&amp;"X",$B$10:$CW$10,"="&amp;"N")</f>
        <v>0</v>
      </c>
      <c r="V86">
        <f ca="1">SUMIFS(INDEX($B$13:$CW$64,MATCH(V$83,$A$13:$A$64,0),1):INDEX($B$13:$CW$64,MATCH(V$83,$A$13:$A$64,0),100),$B69:$CW69,"="&amp;"X",$B$10:$CW$10,"="&amp;"N")</f>
        <v>0</v>
      </c>
      <c r="W86">
        <f ca="1">SUMIFS(INDEX($B$13:$CW$64,MATCH(W$83,$A$13:$A$64,0),1):INDEX($B$13:$CW$64,MATCH(W$83,$A$13:$A$64,0),100),$B69:$CW69,"="&amp;"X",$B$10:$CW$10,"="&amp;"N")</f>
        <v>0</v>
      </c>
      <c r="X86">
        <f ca="1">SUMIFS(INDEX($B$13:$CW$64,MATCH(X$83,$A$13:$A$64,0),1):INDEX($B$13:$CW$64,MATCH(X$83,$A$13:$A$64,0),100),$B69:$CW69,"="&amp;"X",$B$10:$CW$10,"="&amp;"N")</f>
        <v>0</v>
      </c>
      <c r="Y86">
        <f ca="1">SUMIFS(INDEX($B$13:$CW$64,MATCH(Y$83,$A$13:$A$64,0),1):INDEX($B$13:$CW$64,MATCH(Y$83,$A$13:$A$64,0),100),$B69:$CW69,"="&amp;"X",$B$10:$CW$10,"="&amp;"N")</f>
        <v>0</v>
      </c>
      <c r="Z86">
        <f ca="1">SUMIFS(INDEX($B$13:$CW$64,MATCH(Z$83,$A$13:$A$64,0),1):INDEX($B$13:$CW$64,MATCH(Z$83,$A$13:$A$64,0),100),$B69:$CW69,"="&amp;"X",$B$10:$CW$10,"="&amp;"N")</f>
        <v>0</v>
      </c>
      <c r="AA86">
        <f ca="1">SUMIFS(INDEX($B$13:$CW$64,MATCH(AA$83,$A$13:$A$64,0),1):INDEX($B$13:$CW$64,MATCH(AA$83,$A$13:$A$64,0),100),$B69:$CW69,"="&amp;"X",$B$10:$CW$10,"="&amp;"N")</f>
        <v>0</v>
      </c>
      <c r="AB86">
        <f ca="1">SUMIFS(INDEX($B$13:$CW$64,MATCH(AB$83,$A$13:$A$64,0),1):INDEX($B$13:$CW$64,MATCH(AB$83,$A$13:$A$64,0),100),$B69:$CW69,"="&amp;"X",$B$10:$CW$10,"="&amp;"N")</f>
        <v>0</v>
      </c>
      <c r="AC86">
        <f ca="1">SUMIFS(INDEX($B$13:$CW$64,MATCH(AC$83,$A$13:$A$64,0),1):INDEX($B$13:$CW$64,MATCH(AC$83,$A$13:$A$64,0),100),$B69:$CW69,"="&amp;"X",$B$10:$CW$10,"="&amp;"N")</f>
        <v>0</v>
      </c>
      <c r="AD86">
        <f ca="1">SUMIFS(INDEX($B$13:$CW$64,MATCH(AD$83,$A$13:$A$64,0),1):INDEX($B$13:$CW$64,MATCH(AD$83,$A$13:$A$64,0),100),$B69:$CW69,"="&amp;"X",$B$10:$CW$10,"="&amp;"N")</f>
        <v>0</v>
      </c>
      <c r="AE86">
        <f ca="1">SUMIFS(INDEX($B$13:$CW$64,MATCH(AE$83,$A$13:$A$64,0),1):INDEX($B$13:$CW$64,MATCH(AE$83,$A$13:$A$64,0),100),$B69:$CW69,"="&amp;"X",$B$10:$CW$10,"="&amp;"N")</f>
        <v>0</v>
      </c>
      <c r="AF86">
        <f ca="1">SUMIFS(INDEX($B$13:$CW$64,MATCH(AF$83,$A$13:$A$64,0),1):INDEX($B$13:$CW$64,MATCH(AF$83,$A$13:$A$64,0),100),$B69:$CW69,"="&amp;"X",$B$10:$CW$10,"="&amp;"N")</f>
        <v>0</v>
      </c>
      <c r="AG86">
        <f ca="1">SUMIFS(INDEX($B$13:$CW$64,MATCH(AG$83,$A$13:$A$64,0),1):INDEX($B$13:$CW$64,MATCH(AG$83,$A$13:$A$64,0),100),$B69:$CW69,"="&amp;"X",$B$10:$CW$10,"="&amp;"N")</f>
        <v>0</v>
      </c>
      <c r="AH86">
        <f ca="1">SUMIFS(INDEX($B$13:$CW$64,MATCH(AH$83,$A$13:$A$64,0),1):INDEX($B$13:$CW$64,MATCH(AH$83,$A$13:$A$64,0),100),$B69:$CW69,"="&amp;"X",$B$10:$CW$10,"="&amp;"N")</f>
        <v>0</v>
      </c>
      <c r="AI86">
        <f ca="1">SUMIFS(INDEX($B$13:$CW$64,MATCH(AI$83,$A$13:$A$64,0),1):INDEX($B$13:$CW$64,MATCH(AI$83,$A$13:$A$64,0),100),$B69:$CW69,"="&amp;"X",$B$10:$CW$10,"="&amp;"N")</f>
        <v>0</v>
      </c>
      <c r="AJ86">
        <f ca="1">SUMIFS(INDEX($B$13:$CW$64,MATCH(AJ$83,$A$13:$A$64,0),1):INDEX($B$13:$CW$64,MATCH(AJ$83,$A$13:$A$64,0),100),$B69:$CW69,"="&amp;"X",$B$10:$CW$10,"="&amp;"N")</f>
        <v>0</v>
      </c>
      <c r="AK86">
        <f ca="1">SUMIFS(INDEX($B$13:$CW$64,MATCH(AK$83,$A$13:$A$64,0),1):INDEX($B$13:$CW$64,MATCH(AK$83,$A$13:$A$64,0),100),$B69:$CW69,"="&amp;"X",$B$10:$CW$10,"="&amp;"N")</f>
        <v>0</v>
      </c>
      <c r="AL86">
        <f ca="1">SUMIFS(INDEX($B$13:$CW$64,MATCH(AL$83,$A$13:$A$64,0),1):INDEX($B$13:$CW$64,MATCH(AL$83,$A$13:$A$64,0),100),$B69:$CW69,"="&amp;"X",$B$10:$CW$10,"="&amp;"N")</f>
        <v>0</v>
      </c>
      <c r="AM86">
        <f ca="1">SUMIFS(INDEX($B$13:$CW$64,MATCH(AM$83,$A$13:$A$64,0),1):INDEX($B$13:$CW$64,MATCH(AM$83,$A$13:$A$64,0),100),$B69:$CW69,"="&amp;"X",$B$10:$CW$10,"="&amp;"N")</f>
        <v>0</v>
      </c>
      <c r="AN86">
        <f ca="1">SUMIFS(INDEX($B$13:$CW$64,MATCH(AN$83,$A$13:$A$64,0),1):INDEX($B$13:$CW$64,MATCH(AN$83,$A$13:$A$64,0),100),$B69:$CW69,"="&amp;"X",$B$10:$CW$10,"="&amp;"N")</f>
        <v>0</v>
      </c>
      <c r="AO86">
        <f ca="1">SUMIFS(INDEX($B$13:$CW$64,MATCH(AO$83,$A$13:$A$64,0),1):INDEX($B$13:$CW$64,MATCH(AO$83,$A$13:$A$64,0),100),$B69:$CW69,"="&amp;"X",$B$10:$CW$10,"="&amp;"N")</f>
        <v>0</v>
      </c>
      <c r="AP86">
        <f ca="1">SUMIFS(INDEX($B$13:$CW$64,MATCH(AP$83,$A$13:$A$64,0),1):INDEX($B$13:$CW$64,MATCH(AP$83,$A$13:$A$64,0),100),$B69:$CW69,"="&amp;"X",$B$10:$CW$10,"="&amp;"N")</f>
        <v>0</v>
      </c>
      <c r="AQ86">
        <f ca="1">SUMIFS(INDEX($B$13:$CW$64,MATCH(AQ$83,$A$13:$A$64,0),1):INDEX($B$13:$CW$64,MATCH(AQ$83,$A$13:$A$64,0),100),$B69:$CW69,"="&amp;"X",$B$10:$CW$10,"="&amp;"N")</f>
        <v>0</v>
      </c>
      <c r="AR86">
        <f ca="1">SUMIFS(INDEX($B$13:$CW$64,MATCH(AR$83,$A$13:$A$64,0),1):INDEX($B$13:$CW$64,MATCH(AR$83,$A$13:$A$64,0),100),$B69:$CW69,"="&amp;"X",$B$10:$CW$10,"="&amp;"N")</f>
        <v>0</v>
      </c>
      <c r="AS86">
        <f ca="1">SUMIFS(INDEX($B$13:$CW$64,MATCH(AS$83,$A$13:$A$64,0),1):INDEX($B$13:$CW$64,MATCH(AS$83,$A$13:$A$64,0),100),$B69:$CW69,"="&amp;"X",$B$10:$CW$10,"="&amp;"N")</f>
        <v>0</v>
      </c>
      <c r="AT86">
        <f ca="1">SUMIFS(INDEX($B$13:$CW$64,MATCH(AT$83,$A$13:$A$64,0),1):INDEX($B$13:$CW$64,MATCH(AT$83,$A$13:$A$64,0),100),$B69:$CW69,"="&amp;"X",$B$10:$CW$10,"="&amp;"N")</f>
        <v>0</v>
      </c>
      <c r="AU86">
        <f ca="1">SUMIFS(INDEX($B$13:$CW$64,MATCH(AU$83,$A$13:$A$64,0),1):INDEX($B$13:$CW$64,MATCH(AU$83,$A$13:$A$64,0),100),$B69:$CW69,"="&amp;"X",$B$10:$CW$10,"="&amp;"N")</f>
        <v>0</v>
      </c>
      <c r="AV86">
        <f ca="1">SUMIFS(INDEX($B$13:$CW$64,MATCH(AV$83,$A$13:$A$64,0),1):INDEX($B$13:$CW$64,MATCH(AV$83,$A$13:$A$64,0),100),$B69:$CW69,"="&amp;"X",$B$10:$CW$10,"="&amp;"N")</f>
        <v>0</v>
      </c>
      <c r="AW86">
        <f ca="1">SUMIFS(INDEX($B$13:$CW$64,MATCH(AW$83,$A$13:$A$64,0),1):INDEX($B$13:$CW$64,MATCH(AW$83,$A$13:$A$64,0),100),$B69:$CW69,"="&amp;"X",$B$10:$CW$10,"="&amp;"N")</f>
        <v>0</v>
      </c>
      <c r="AX86">
        <f ca="1">SUMIFS(INDEX($B$13:$CW$64,MATCH(AX$83,$A$13:$A$64,0),1):INDEX($B$13:$CW$64,MATCH(AX$83,$A$13:$A$64,0),100),$B69:$CW69,"="&amp;"X",$B$10:$CW$10,"="&amp;"N")</f>
        <v>0</v>
      </c>
      <c r="AY86">
        <f ca="1">SUMIFS(INDEX($B$13:$CW$64,MATCH(AY$83,$A$13:$A$64,0),1):INDEX($B$13:$CW$64,MATCH(AY$83,$A$13:$A$64,0),100),$B69:$CW69,"="&amp;"X",$B$10:$CW$10,"="&amp;"N")</f>
        <v>0</v>
      </c>
      <c r="AZ86">
        <f ca="1">SUMIFS(INDEX($B$13:$CW$64,MATCH(AZ$83,$A$13:$A$64,0),1):INDEX($B$13:$CW$64,MATCH(AZ$83,$A$13:$A$64,0),100),$B69:$CW69,"="&amp;"X",$B$10:$CW$10,"="&amp;"N")</f>
        <v>0</v>
      </c>
      <c r="BA86">
        <f ca="1">SUMIFS(INDEX($B$13:$CW$64,MATCH(BA$83,$A$13:$A$64,0),1):INDEX($B$13:$CW$64,MATCH(BA$83,$A$13:$A$64,0),100),$B69:$CW69,"="&amp;"X",$B$10:$CW$10,"="&amp;"N")</f>
        <v>0</v>
      </c>
    </row>
    <row r="87" spans="1:101" x14ac:dyDescent="0.25">
      <c r="A87" s="2" t="str">
        <f>Setup!A23</f>
        <v>Caseload 4</v>
      </c>
      <c r="B87">
        <f ca="1">SUMIFS(INDEX($B$13:$CW$64,MATCH(B$83,$A$13:$A$64,0),1):INDEX($B$13:$CW$64,MATCH(B$83,$A$13:$A$64,0),100),$B70:$CW70,"="&amp;"X",$B$10:$CW$10,"="&amp;"N")</f>
        <v>0</v>
      </c>
      <c r="C87">
        <f ca="1">SUMIFS(INDEX($B$13:$CW$64,MATCH(C$83,$A$13:$A$64,0),1):INDEX($B$13:$CW$64,MATCH(C$83,$A$13:$A$64,0),100),$B70:$CW70,"="&amp;"X",$B$10:$CW$10,"="&amp;"N")</f>
        <v>0</v>
      </c>
      <c r="D87">
        <f ca="1">SUMIFS(INDEX($B$13:$CW$64,MATCH(D$83,$A$13:$A$64,0),1):INDEX($B$13:$CW$64,MATCH(D$83,$A$13:$A$64,0),100),$B70:$CW70,"="&amp;"X",$B$10:$CW$10,"="&amp;"N")</f>
        <v>0</v>
      </c>
      <c r="E87">
        <f ca="1">SUMIFS(INDEX($B$13:$CW$64,MATCH(E$83,$A$13:$A$64,0),1):INDEX($B$13:$CW$64,MATCH(E$83,$A$13:$A$64,0),100),$B70:$CW70,"="&amp;"X",$B$10:$CW$10,"="&amp;"N")</f>
        <v>0</v>
      </c>
      <c r="F87">
        <f ca="1">SUMIFS(INDEX($B$13:$CW$64,MATCH(F$83,$A$13:$A$64,0),1):INDEX($B$13:$CW$64,MATCH(F$83,$A$13:$A$64,0),100),$B70:$CW70,"="&amp;"X",$B$10:$CW$10,"="&amp;"N")</f>
        <v>0</v>
      </c>
      <c r="G87">
        <f ca="1">SUMIFS(INDEX($B$13:$CW$64,MATCH(G$83,$A$13:$A$64,0),1):INDEX($B$13:$CW$64,MATCH(G$83,$A$13:$A$64,0),100),$B70:$CW70,"="&amp;"X",$B$10:$CW$10,"="&amp;"N")</f>
        <v>0</v>
      </c>
      <c r="H87">
        <f ca="1">SUMIFS(INDEX($B$13:$CW$64,MATCH(H$83,$A$13:$A$64,0),1):INDEX($B$13:$CW$64,MATCH(H$83,$A$13:$A$64,0),100),$B70:$CW70,"="&amp;"X",$B$10:$CW$10,"="&amp;"N")</f>
        <v>0</v>
      </c>
      <c r="I87">
        <f ca="1">SUMIFS(INDEX($B$13:$CW$64,MATCH(I$83,$A$13:$A$64,0),1):INDEX($B$13:$CW$64,MATCH(I$83,$A$13:$A$64,0),100),$B70:$CW70,"="&amp;"X",$B$10:$CW$10,"="&amp;"N")</f>
        <v>0</v>
      </c>
      <c r="J87">
        <f ca="1">SUMIFS(INDEX($B$13:$CW$64,MATCH(J$83,$A$13:$A$64,0),1):INDEX($B$13:$CW$64,MATCH(J$83,$A$13:$A$64,0),100),$B70:$CW70,"="&amp;"X",$B$10:$CW$10,"="&amp;"N")</f>
        <v>0</v>
      </c>
      <c r="K87">
        <f ca="1">SUMIFS(INDEX($B$13:$CW$64,MATCH(K$83,$A$13:$A$64,0),1):INDEX($B$13:$CW$64,MATCH(K$83,$A$13:$A$64,0),100),$B70:$CW70,"="&amp;"X",$B$10:$CW$10,"="&amp;"N")</f>
        <v>0</v>
      </c>
      <c r="L87">
        <f ca="1">SUMIFS(INDEX($B$13:$CW$64,MATCH(L$83,$A$13:$A$64,0),1):INDEX($B$13:$CW$64,MATCH(L$83,$A$13:$A$64,0),100),$B70:$CW70,"="&amp;"X",$B$10:$CW$10,"="&amp;"N")</f>
        <v>0</v>
      </c>
      <c r="M87">
        <f ca="1">SUMIFS(INDEX($B$13:$CW$64,MATCH(M$83,$A$13:$A$64,0),1):INDEX($B$13:$CW$64,MATCH(M$83,$A$13:$A$64,0),100),$B70:$CW70,"="&amp;"X",$B$10:$CW$10,"="&amp;"N")</f>
        <v>0</v>
      </c>
      <c r="N87">
        <f ca="1">SUMIFS(INDEX($B$13:$CW$64,MATCH(N$83,$A$13:$A$64,0),1):INDEX($B$13:$CW$64,MATCH(N$83,$A$13:$A$64,0),100),$B70:$CW70,"="&amp;"X",$B$10:$CW$10,"="&amp;"N")</f>
        <v>0</v>
      </c>
      <c r="O87">
        <f ca="1">SUMIFS(INDEX($B$13:$CW$64,MATCH(O$83,$A$13:$A$64,0),1):INDEX($B$13:$CW$64,MATCH(O$83,$A$13:$A$64,0),100),$B70:$CW70,"="&amp;"X",$B$10:$CW$10,"="&amp;"N")</f>
        <v>0</v>
      </c>
      <c r="P87">
        <f ca="1">SUMIFS(INDEX($B$13:$CW$64,MATCH(P$83,$A$13:$A$64,0),1):INDEX($B$13:$CW$64,MATCH(P$83,$A$13:$A$64,0),100),$B70:$CW70,"="&amp;"X",$B$10:$CW$10,"="&amp;"N")</f>
        <v>0</v>
      </c>
      <c r="Q87">
        <f ca="1">SUMIFS(INDEX($B$13:$CW$64,MATCH(Q$83,$A$13:$A$64,0),1):INDEX($B$13:$CW$64,MATCH(Q$83,$A$13:$A$64,0),100),$B70:$CW70,"="&amp;"X",$B$10:$CW$10,"="&amp;"N")</f>
        <v>0</v>
      </c>
      <c r="R87">
        <f ca="1">SUMIFS(INDEX($B$13:$CW$64,MATCH(R$83,$A$13:$A$64,0),1):INDEX($B$13:$CW$64,MATCH(R$83,$A$13:$A$64,0),100),$B70:$CW70,"="&amp;"X",$B$10:$CW$10,"="&amp;"N")</f>
        <v>0</v>
      </c>
      <c r="S87">
        <f ca="1">SUMIFS(INDEX($B$13:$CW$64,MATCH(S$83,$A$13:$A$64,0),1):INDEX($B$13:$CW$64,MATCH(S$83,$A$13:$A$64,0),100),$B70:$CW70,"="&amp;"X",$B$10:$CW$10,"="&amp;"N")</f>
        <v>0</v>
      </c>
      <c r="T87">
        <f ca="1">SUMIFS(INDEX($B$13:$CW$64,MATCH(T$83,$A$13:$A$64,0),1):INDEX($B$13:$CW$64,MATCH(T$83,$A$13:$A$64,0),100),$B70:$CW70,"="&amp;"X",$B$10:$CW$10,"="&amp;"N")</f>
        <v>0</v>
      </c>
      <c r="U87">
        <f ca="1">SUMIFS(INDEX($B$13:$CW$64,MATCH(U$83,$A$13:$A$64,0),1):INDEX($B$13:$CW$64,MATCH(U$83,$A$13:$A$64,0),100),$B70:$CW70,"="&amp;"X",$B$10:$CW$10,"="&amp;"N")</f>
        <v>0</v>
      </c>
      <c r="V87">
        <f ca="1">SUMIFS(INDEX($B$13:$CW$64,MATCH(V$83,$A$13:$A$64,0),1):INDEX($B$13:$CW$64,MATCH(V$83,$A$13:$A$64,0),100),$B70:$CW70,"="&amp;"X",$B$10:$CW$10,"="&amp;"N")</f>
        <v>0</v>
      </c>
      <c r="W87">
        <f ca="1">SUMIFS(INDEX($B$13:$CW$64,MATCH(W$83,$A$13:$A$64,0),1):INDEX($B$13:$CW$64,MATCH(W$83,$A$13:$A$64,0),100),$B70:$CW70,"="&amp;"X",$B$10:$CW$10,"="&amp;"N")</f>
        <v>0</v>
      </c>
      <c r="X87">
        <f ca="1">SUMIFS(INDEX($B$13:$CW$64,MATCH(X$83,$A$13:$A$64,0),1):INDEX($B$13:$CW$64,MATCH(X$83,$A$13:$A$64,0),100),$B70:$CW70,"="&amp;"X",$B$10:$CW$10,"="&amp;"N")</f>
        <v>0</v>
      </c>
      <c r="Y87">
        <f ca="1">SUMIFS(INDEX($B$13:$CW$64,MATCH(Y$83,$A$13:$A$64,0),1):INDEX($B$13:$CW$64,MATCH(Y$83,$A$13:$A$64,0),100),$B70:$CW70,"="&amp;"X",$B$10:$CW$10,"="&amp;"N")</f>
        <v>0</v>
      </c>
      <c r="Z87">
        <f ca="1">SUMIFS(INDEX($B$13:$CW$64,MATCH(Z$83,$A$13:$A$64,0),1):INDEX($B$13:$CW$64,MATCH(Z$83,$A$13:$A$64,0),100),$B70:$CW70,"="&amp;"X",$B$10:$CW$10,"="&amp;"N")</f>
        <v>0</v>
      </c>
      <c r="AA87">
        <f ca="1">SUMIFS(INDEX($B$13:$CW$64,MATCH(AA$83,$A$13:$A$64,0),1):INDEX($B$13:$CW$64,MATCH(AA$83,$A$13:$A$64,0),100),$B70:$CW70,"="&amp;"X",$B$10:$CW$10,"="&amp;"N")</f>
        <v>0</v>
      </c>
      <c r="AB87">
        <f ca="1">SUMIFS(INDEX($B$13:$CW$64,MATCH(AB$83,$A$13:$A$64,0),1):INDEX($B$13:$CW$64,MATCH(AB$83,$A$13:$A$64,0),100),$B70:$CW70,"="&amp;"X",$B$10:$CW$10,"="&amp;"N")</f>
        <v>0</v>
      </c>
      <c r="AC87">
        <f ca="1">SUMIFS(INDEX($B$13:$CW$64,MATCH(AC$83,$A$13:$A$64,0),1):INDEX($B$13:$CW$64,MATCH(AC$83,$A$13:$A$64,0),100),$B70:$CW70,"="&amp;"X",$B$10:$CW$10,"="&amp;"N")</f>
        <v>0</v>
      </c>
      <c r="AD87">
        <f ca="1">SUMIFS(INDEX($B$13:$CW$64,MATCH(AD$83,$A$13:$A$64,0),1):INDEX($B$13:$CW$64,MATCH(AD$83,$A$13:$A$64,0),100),$B70:$CW70,"="&amp;"X",$B$10:$CW$10,"="&amp;"N")</f>
        <v>0</v>
      </c>
      <c r="AE87">
        <f ca="1">SUMIFS(INDEX($B$13:$CW$64,MATCH(AE$83,$A$13:$A$64,0),1):INDEX($B$13:$CW$64,MATCH(AE$83,$A$13:$A$64,0),100),$B70:$CW70,"="&amp;"X",$B$10:$CW$10,"="&amp;"N")</f>
        <v>0</v>
      </c>
      <c r="AF87">
        <f ca="1">SUMIFS(INDEX($B$13:$CW$64,MATCH(AF$83,$A$13:$A$64,0),1):INDEX($B$13:$CW$64,MATCH(AF$83,$A$13:$A$64,0),100),$B70:$CW70,"="&amp;"X",$B$10:$CW$10,"="&amp;"N")</f>
        <v>0</v>
      </c>
      <c r="AG87">
        <f ca="1">SUMIFS(INDEX($B$13:$CW$64,MATCH(AG$83,$A$13:$A$64,0),1):INDEX($B$13:$CW$64,MATCH(AG$83,$A$13:$A$64,0),100),$B70:$CW70,"="&amp;"X",$B$10:$CW$10,"="&amp;"N")</f>
        <v>0</v>
      </c>
      <c r="AH87">
        <f ca="1">SUMIFS(INDEX($B$13:$CW$64,MATCH(AH$83,$A$13:$A$64,0),1):INDEX($B$13:$CW$64,MATCH(AH$83,$A$13:$A$64,0),100),$B70:$CW70,"="&amp;"X",$B$10:$CW$10,"="&amp;"N")</f>
        <v>0</v>
      </c>
      <c r="AI87">
        <f ca="1">SUMIFS(INDEX($B$13:$CW$64,MATCH(AI$83,$A$13:$A$64,0),1):INDEX($B$13:$CW$64,MATCH(AI$83,$A$13:$A$64,0),100),$B70:$CW70,"="&amp;"X",$B$10:$CW$10,"="&amp;"N")</f>
        <v>0</v>
      </c>
      <c r="AJ87">
        <f ca="1">SUMIFS(INDEX($B$13:$CW$64,MATCH(AJ$83,$A$13:$A$64,0),1):INDEX($B$13:$CW$64,MATCH(AJ$83,$A$13:$A$64,0),100),$B70:$CW70,"="&amp;"X",$B$10:$CW$10,"="&amp;"N")</f>
        <v>0</v>
      </c>
      <c r="AK87">
        <f ca="1">SUMIFS(INDEX($B$13:$CW$64,MATCH(AK$83,$A$13:$A$64,0),1):INDEX($B$13:$CW$64,MATCH(AK$83,$A$13:$A$64,0),100),$B70:$CW70,"="&amp;"X",$B$10:$CW$10,"="&amp;"N")</f>
        <v>0</v>
      </c>
      <c r="AL87">
        <f ca="1">SUMIFS(INDEX($B$13:$CW$64,MATCH(AL$83,$A$13:$A$64,0),1):INDEX($B$13:$CW$64,MATCH(AL$83,$A$13:$A$64,0),100),$B70:$CW70,"="&amp;"X",$B$10:$CW$10,"="&amp;"N")</f>
        <v>0</v>
      </c>
      <c r="AM87">
        <f ca="1">SUMIFS(INDEX($B$13:$CW$64,MATCH(AM$83,$A$13:$A$64,0),1):INDEX($B$13:$CW$64,MATCH(AM$83,$A$13:$A$64,0),100),$B70:$CW70,"="&amp;"X",$B$10:$CW$10,"="&amp;"N")</f>
        <v>0</v>
      </c>
      <c r="AN87">
        <f ca="1">SUMIFS(INDEX($B$13:$CW$64,MATCH(AN$83,$A$13:$A$64,0),1):INDEX($B$13:$CW$64,MATCH(AN$83,$A$13:$A$64,0),100),$B70:$CW70,"="&amp;"X",$B$10:$CW$10,"="&amp;"N")</f>
        <v>0</v>
      </c>
      <c r="AO87">
        <f ca="1">SUMIFS(INDEX($B$13:$CW$64,MATCH(AO$83,$A$13:$A$64,0),1):INDEX($B$13:$CW$64,MATCH(AO$83,$A$13:$A$64,0),100),$B70:$CW70,"="&amp;"X",$B$10:$CW$10,"="&amp;"N")</f>
        <v>0</v>
      </c>
      <c r="AP87">
        <f ca="1">SUMIFS(INDEX($B$13:$CW$64,MATCH(AP$83,$A$13:$A$64,0),1):INDEX($B$13:$CW$64,MATCH(AP$83,$A$13:$A$64,0),100),$B70:$CW70,"="&amp;"X",$B$10:$CW$10,"="&amp;"N")</f>
        <v>0</v>
      </c>
      <c r="AQ87">
        <f ca="1">SUMIFS(INDEX($B$13:$CW$64,MATCH(AQ$83,$A$13:$A$64,0),1):INDEX($B$13:$CW$64,MATCH(AQ$83,$A$13:$A$64,0),100),$B70:$CW70,"="&amp;"X",$B$10:$CW$10,"="&amp;"N")</f>
        <v>0</v>
      </c>
      <c r="AR87">
        <f ca="1">SUMIFS(INDEX($B$13:$CW$64,MATCH(AR$83,$A$13:$A$64,0),1):INDEX($B$13:$CW$64,MATCH(AR$83,$A$13:$A$64,0),100),$B70:$CW70,"="&amp;"X",$B$10:$CW$10,"="&amp;"N")</f>
        <v>0</v>
      </c>
      <c r="AS87">
        <f ca="1">SUMIFS(INDEX($B$13:$CW$64,MATCH(AS$83,$A$13:$A$64,0),1):INDEX($B$13:$CW$64,MATCH(AS$83,$A$13:$A$64,0),100),$B70:$CW70,"="&amp;"X",$B$10:$CW$10,"="&amp;"N")</f>
        <v>0</v>
      </c>
      <c r="AT87">
        <f ca="1">SUMIFS(INDEX($B$13:$CW$64,MATCH(AT$83,$A$13:$A$64,0),1):INDEX($B$13:$CW$64,MATCH(AT$83,$A$13:$A$64,0),100),$B70:$CW70,"="&amp;"X",$B$10:$CW$10,"="&amp;"N")</f>
        <v>0</v>
      </c>
      <c r="AU87">
        <f ca="1">SUMIFS(INDEX($B$13:$CW$64,MATCH(AU$83,$A$13:$A$64,0),1):INDEX($B$13:$CW$64,MATCH(AU$83,$A$13:$A$64,0),100),$B70:$CW70,"="&amp;"X",$B$10:$CW$10,"="&amp;"N")</f>
        <v>0</v>
      </c>
      <c r="AV87">
        <f ca="1">SUMIFS(INDEX($B$13:$CW$64,MATCH(AV$83,$A$13:$A$64,0),1):INDEX($B$13:$CW$64,MATCH(AV$83,$A$13:$A$64,0),100),$B70:$CW70,"="&amp;"X",$B$10:$CW$10,"="&amp;"N")</f>
        <v>0</v>
      </c>
      <c r="AW87">
        <f ca="1">SUMIFS(INDEX($B$13:$CW$64,MATCH(AW$83,$A$13:$A$64,0),1):INDEX($B$13:$CW$64,MATCH(AW$83,$A$13:$A$64,0),100),$B70:$CW70,"="&amp;"X",$B$10:$CW$10,"="&amp;"N")</f>
        <v>0</v>
      </c>
      <c r="AX87">
        <f ca="1">SUMIFS(INDEX($B$13:$CW$64,MATCH(AX$83,$A$13:$A$64,0),1):INDEX($B$13:$CW$64,MATCH(AX$83,$A$13:$A$64,0),100),$B70:$CW70,"="&amp;"X",$B$10:$CW$10,"="&amp;"N")</f>
        <v>0</v>
      </c>
      <c r="AY87">
        <f ca="1">SUMIFS(INDEX($B$13:$CW$64,MATCH(AY$83,$A$13:$A$64,0),1):INDEX($B$13:$CW$64,MATCH(AY$83,$A$13:$A$64,0),100),$B70:$CW70,"="&amp;"X",$B$10:$CW$10,"="&amp;"N")</f>
        <v>0</v>
      </c>
      <c r="AZ87">
        <f ca="1">SUMIFS(INDEX($B$13:$CW$64,MATCH(AZ$83,$A$13:$A$64,0),1):INDEX($B$13:$CW$64,MATCH(AZ$83,$A$13:$A$64,0),100),$B70:$CW70,"="&amp;"X",$B$10:$CW$10,"="&amp;"N")</f>
        <v>0</v>
      </c>
      <c r="BA87">
        <f ca="1">SUMIFS(INDEX($B$13:$CW$64,MATCH(BA$83,$A$13:$A$64,0),1):INDEX($B$13:$CW$64,MATCH(BA$83,$A$13:$A$64,0),100),$B70:$CW70,"="&amp;"X",$B$10:$CW$10,"="&amp;"N")</f>
        <v>0</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0</v>
      </c>
      <c r="C99">
        <f t="shared" ref="C99:BA99" ca="1" si="224">SUM(C84:C98)</f>
        <v>0</v>
      </c>
      <c r="D99">
        <f t="shared" ca="1" si="224"/>
        <v>0</v>
      </c>
      <c r="E99">
        <f t="shared" ca="1" si="224"/>
        <v>0</v>
      </c>
      <c r="F99">
        <f t="shared" ca="1" si="224"/>
        <v>0</v>
      </c>
      <c r="G99">
        <f t="shared" ca="1" si="224"/>
        <v>0</v>
      </c>
      <c r="H99">
        <f t="shared" ca="1" si="224"/>
        <v>0</v>
      </c>
      <c r="I99">
        <f t="shared" ca="1" si="224"/>
        <v>0</v>
      </c>
      <c r="J99">
        <f t="shared" ca="1" si="224"/>
        <v>0</v>
      </c>
      <c r="K99">
        <f t="shared" ca="1" si="224"/>
        <v>0</v>
      </c>
      <c r="L99">
        <f t="shared" ca="1" si="224"/>
        <v>0</v>
      </c>
      <c r="M99">
        <f t="shared" ca="1" si="224"/>
        <v>0</v>
      </c>
      <c r="N99">
        <f t="shared" ca="1" si="224"/>
        <v>0</v>
      </c>
      <c r="O99">
        <f t="shared" ca="1" si="224"/>
        <v>0</v>
      </c>
      <c r="P99">
        <f t="shared" ca="1" si="224"/>
        <v>0</v>
      </c>
      <c r="Q99">
        <f t="shared" ca="1" si="224"/>
        <v>0</v>
      </c>
      <c r="R99">
        <f t="shared" ca="1" si="224"/>
        <v>0</v>
      </c>
      <c r="S99">
        <f t="shared" ca="1" si="224"/>
        <v>0</v>
      </c>
      <c r="T99">
        <f t="shared" ca="1" si="224"/>
        <v>0</v>
      </c>
      <c r="U99">
        <f t="shared" ca="1" si="224"/>
        <v>0</v>
      </c>
      <c r="V99">
        <f t="shared" ca="1" si="224"/>
        <v>0</v>
      </c>
      <c r="W99">
        <f t="shared" ca="1" si="224"/>
        <v>0</v>
      </c>
      <c r="X99">
        <f t="shared" ca="1" si="224"/>
        <v>0</v>
      </c>
      <c r="Y99">
        <f t="shared" ca="1" si="224"/>
        <v>0</v>
      </c>
      <c r="Z99">
        <f t="shared" ca="1" si="224"/>
        <v>0</v>
      </c>
      <c r="AA99">
        <f t="shared" ca="1" si="224"/>
        <v>0</v>
      </c>
      <c r="AB99">
        <f t="shared" ca="1" si="224"/>
        <v>0</v>
      </c>
      <c r="AC99">
        <f t="shared" ca="1" si="224"/>
        <v>0</v>
      </c>
      <c r="AD99">
        <f t="shared" ca="1" si="224"/>
        <v>0</v>
      </c>
      <c r="AE99">
        <f t="shared" ca="1" si="224"/>
        <v>0</v>
      </c>
      <c r="AF99">
        <f t="shared" ca="1" si="224"/>
        <v>0</v>
      </c>
      <c r="AG99">
        <f t="shared" ca="1" si="224"/>
        <v>0</v>
      </c>
      <c r="AH99">
        <f t="shared" ca="1" si="224"/>
        <v>0</v>
      </c>
      <c r="AI99">
        <f t="shared" ca="1" si="224"/>
        <v>0</v>
      </c>
      <c r="AJ99">
        <f t="shared" ca="1" si="224"/>
        <v>0</v>
      </c>
      <c r="AK99">
        <f t="shared" ca="1" si="224"/>
        <v>0</v>
      </c>
      <c r="AL99">
        <f t="shared" ca="1" si="224"/>
        <v>0</v>
      </c>
      <c r="AM99">
        <f t="shared" ca="1" si="224"/>
        <v>0</v>
      </c>
      <c r="AN99">
        <f t="shared" ca="1" si="224"/>
        <v>0</v>
      </c>
      <c r="AO99">
        <f t="shared" ca="1" si="224"/>
        <v>0</v>
      </c>
      <c r="AP99">
        <f t="shared" ca="1" si="224"/>
        <v>0</v>
      </c>
      <c r="AQ99">
        <f t="shared" ca="1" si="224"/>
        <v>0</v>
      </c>
      <c r="AR99">
        <f t="shared" ca="1" si="224"/>
        <v>0</v>
      </c>
      <c r="AS99">
        <f t="shared" ca="1" si="224"/>
        <v>0</v>
      </c>
      <c r="AT99">
        <f t="shared" ca="1" si="224"/>
        <v>0</v>
      </c>
      <c r="AU99">
        <f t="shared" ca="1" si="224"/>
        <v>0</v>
      </c>
      <c r="AV99">
        <f t="shared" ca="1" si="224"/>
        <v>0</v>
      </c>
      <c r="AW99">
        <f t="shared" ca="1" si="224"/>
        <v>0</v>
      </c>
      <c r="AX99">
        <f t="shared" ca="1" si="224"/>
        <v>0</v>
      </c>
      <c r="AY99">
        <f t="shared" ca="1" si="224"/>
        <v>0</v>
      </c>
      <c r="AZ99">
        <f t="shared" ca="1" si="224"/>
        <v>0</v>
      </c>
      <c r="BA99">
        <f t="shared" ca="1" si="224"/>
        <v>0</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225">SUM(C102:C116)</f>
        <v>0</v>
      </c>
      <c r="D117">
        <f t="shared" ca="1" si="225"/>
        <v>0</v>
      </c>
      <c r="E117">
        <f t="shared" ca="1" si="225"/>
        <v>0</v>
      </c>
      <c r="F117">
        <f t="shared" ca="1" si="225"/>
        <v>0</v>
      </c>
      <c r="G117">
        <f t="shared" ca="1" si="225"/>
        <v>0</v>
      </c>
      <c r="H117">
        <f t="shared" ca="1" si="225"/>
        <v>0</v>
      </c>
      <c r="I117">
        <f t="shared" ca="1" si="225"/>
        <v>0</v>
      </c>
      <c r="J117">
        <f t="shared" ca="1" si="225"/>
        <v>0</v>
      </c>
      <c r="K117">
        <f t="shared" ca="1" si="225"/>
        <v>0</v>
      </c>
      <c r="L117">
        <f t="shared" ca="1" si="225"/>
        <v>0</v>
      </c>
      <c r="M117">
        <f t="shared" ca="1" si="225"/>
        <v>0</v>
      </c>
      <c r="N117">
        <f t="shared" ca="1" si="225"/>
        <v>0</v>
      </c>
      <c r="O117">
        <f t="shared" ca="1" si="225"/>
        <v>0</v>
      </c>
      <c r="P117">
        <f t="shared" ca="1" si="225"/>
        <v>0</v>
      </c>
      <c r="Q117">
        <f t="shared" ca="1" si="225"/>
        <v>0</v>
      </c>
      <c r="R117">
        <f t="shared" ca="1" si="225"/>
        <v>0</v>
      </c>
      <c r="S117">
        <f t="shared" ca="1" si="225"/>
        <v>0</v>
      </c>
      <c r="T117">
        <f t="shared" ca="1" si="225"/>
        <v>0</v>
      </c>
      <c r="U117">
        <f t="shared" ca="1" si="225"/>
        <v>0</v>
      </c>
      <c r="V117">
        <f t="shared" ca="1" si="225"/>
        <v>0</v>
      </c>
      <c r="W117">
        <f t="shared" ca="1" si="225"/>
        <v>0</v>
      </c>
      <c r="X117">
        <f t="shared" ca="1" si="225"/>
        <v>0</v>
      </c>
      <c r="Y117">
        <f t="shared" ca="1" si="225"/>
        <v>0</v>
      </c>
      <c r="Z117">
        <f t="shared" ca="1" si="225"/>
        <v>0</v>
      </c>
      <c r="AA117">
        <f t="shared" ca="1" si="225"/>
        <v>0</v>
      </c>
      <c r="AB117">
        <f t="shared" ca="1" si="225"/>
        <v>0</v>
      </c>
      <c r="AC117">
        <f t="shared" ca="1" si="225"/>
        <v>0</v>
      </c>
      <c r="AD117">
        <f t="shared" ca="1" si="225"/>
        <v>0</v>
      </c>
      <c r="AE117">
        <f t="shared" ca="1" si="225"/>
        <v>0</v>
      </c>
      <c r="AF117">
        <f t="shared" ca="1" si="225"/>
        <v>0</v>
      </c>
      <c r="AG117">
        <f t="shared" ca="1" si="225"/>
        <v>0</v>
      </c>
      <c r="AH117">
        <f t="shared" ca="1" si="225"/>
        <v>0</v>
      </c>
      <c r="AI117">
        <f t="shared" ca="1" si="225"/>
        <v>0</v>
      </c>
      <c r="AJ117">
        <f t="shared" ca="1" si="225"/>
        <v>0</v>
      </c>
      <c r="AK117">
        <f t="shared" ca="1" si="225"/>
        <v>0</v>
      </c>
      <c r="AL117">
        <f t="shared" ca="1" si="225"/>
        <v>0</v>
      </c>
      <c r="AM117">
        <f t="shared" ca="1" si="225"/>
        <v>0</v>
      </c>
      <c r="AN117">
        <f t="shared" ca="1" si="225"/>
        <v>0</v>
      </c>
      <c r="AO117">
        <f t="shared" ca="1" si="225"/>
        <v>0</v>
      </c>
      <c r="AP117">
        <f t="shared" ca="1" si="225"/>
        <v>0</v>
      </c>
      <c r="AQ117">
        <f t="shared" ca="1" si="225"/>
        <v>0</v>
      </c>
      <c r="AR117">
        <f t="shared" ca="1" si="225"/>
        <v>0</v>
      </c>
      <c r="AS117">
        <f t="shared" ca="1" si="225"/>
        <v>0</v>
      </c>
      <c r="AT117">
        <f t="shared" ca="1" si="225"/>
        <v>0</v>
      </c>
      <c r="AU117">
        <f t="shared" ca="1" si="225"/>
        <v>0</v>
      </c>
      <c r="AV117">
        <f t="shared" ca="1" si="225"/>
        <v>0</v>
      </c>
      <c r="AW117">
        <f t="shared" ca="1" si="225"/>
        <v>0</v>
      </c>
      <c r="AX117">
        <f t="shared" ca="1" si="225"/>
        <v>0</v>
      </c>
      <c r="AY117">
        <f t="shared" ca="1" si="225"/>
        <v>0</v>
      </c>
      <c r="AZ117">
        <f t="shared" ca="1" si="225"/>
        <v>0</v>
      </c>
      <c r="BA117">
        <f t="shared" ca="1" si="225"/>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0</v>
      </c>
      <c r="C120">
        <f t="shared" ref="C120:BA120" ca="1" si="226">C84+C102</f>
        <v>0</v>
      </c>
      <c r="D120">
        <f t="shared" ca="1" si="226"/>
        <v>0</v>
      </c>
      <c r="E120">
        <f t="shared" ca="1" si="226"/>
        <v>0</v>
      </c>
      <c r="F120">
        <f t="shared" ca="1" si="226"/>
        <v>0</v>
      </c>
      <c r="G120">
        <f t="shared" ca="1" si="226"/>
        <v>0</v>
      </c>
      <c r="H120">
        <f t="shared" ca="1" si="226"/>
        <v>0</v>
      </c>
      <c r="I120">
        <f t="shared" ca="1" si="226"/>
        <v>0</v>
      </c>
      <c r="J120">
        <f t="shared" ca="1" si="226"/>
        <v>0</v>
      </c>
      <c r="K120">
        <f t="shared" ca="1" si="226"/>
        <v>0</v>
      </c>
      <c r="L120">
        <f t="shared" ca="1" si="226"/>
        <v>0</v>
      </c>
      <c r="M120">
        <f t="shared" ca="1" si="226"/>
        <v>0</v>
      </c>
      <c r="N120">
        <f t="shared" ca="1" si="226"/>
        <v>0</v>
      </c>
      <c r="O120">
        <f t="shared" ca="1" si="226"/>
        <v>0</v>
      </c>
      <c r="P120">
        <f t="shared" ca="1" si="226"/>
        <v>0</v>
      </c>
      <c r="Q120">
        <f t="shared" ca="1" si="226"/>
        <v>0</v>
      </c>
      <c r="R120">
        <f t="shared" ca="1" si="226"/>
        <v>0</v>
      </c>
      <c r="S120">
        <f t="shared" ca="1" si="226"/>
        <v>0</v>
      </c>
      <c r="T120">
        <f t="shared" ca="1" si="226"/>
        <v>0</v>
      </c>
      <c r="U120">
        <f t="shared" ca="1" si="226"/>
        <v>0</v>
      </c>
      <c r="V120">
        <f t="shared" ca="1" si="226"/>
        <v>0</v>
      </c>
      <c r="W120">
        <f t="shared" ca="1" si="226"/>
        <v>0</v>
      </c>
      <c r="X120">
        <f t="shared" ca="1" si="226"/>
        <v>0</v>
      </c>
      <c r="Y120">
        <f t="shared" ca="1" si="226"/>
        <v>0</v>
      </c>
      <c r="Z120">
        <f t="shared" ca="1" si="226"/>
        <v>0</v>
      </c>
      <c r="AA120">
        <f t="shared" ca="1" si="226"/>
        <v>0</v>
      </c>
      <c r="AB120">
        <f t="shared" ca="1" si="226"/>
        <v>0</v>
      </c>
      <c r="AC120">
        <f t="shared" ca="1" si="226"/>
        <v>0</v>
      </c>
      <c r="AD120">
        <f t="shared" ca="1" si="226"/>
        <v>0</v>
      </c>
      <c r="AE120">
        <f t="shared" ca="1" si="226"/>
        <v>0</v>
      </c>
      <c r="AF120">
        <f t="shared" ca="1" si="226"/>
        <v>0</v>
      </c>
      <c r="AG120">
        <f t="shared" ca="1" si="226"/>
        <v>0</v>
      </c>
      <c r="AH120">
        <f t="shared" ca="1" si="226"/>
        <v>0</v>
      </c>
      <c r="AI120">
        <f t="shared" ca="1" si="226"/>
        <v>0</v>
      </c>
      <c r="AJ120">
        <f t="shared" ca="1" si="226"/>
        <v>0</v>
      </c>
      <c r="AK120">
        <f t="shared" ca="1" si="226"/>
        <v>0</v>
      </c>
      <c r="AL120">
        <f t="shared" ca="1" si="226"/>
        <v>0</v>
      </c>
      <c r="AM120">
        <f t="shared" ca="1" si="226"/>
        <v>0</v>
      </c>
      <c r="AN120">
        <f t="shared" ca="1" si="226"/>
        <v>0</v>
      </c>
      <c r="AO120">
        <f t="shared" ca="1" si="226"/>
        <v>0</v>
      </c>
      <c r="AP120">
        <f t="shared" ca="1" si="226"/>
        <v>0</v>
      </c>
      <c r="AQ120">
        <f t="shared" ca="1" si="226"/>
        <v>0</v>
      </c>
      <c r="AR120">
        <f t="shared" ca="1" si="226"/>
        <v>0</v>
      </c>
      <c r="AS120">
        <f t="shared" ca="1" si="226"/>
        <v>0</v>
      </c>
      <c r="AT120">
        <f t="shared" ca="1" si="226"/>
        <v>0</v>
      </c>
      <c r="AU120">
        <f t="shared" ca="1" si="226"/>
        <v>0</v>
      </c>
      <c r="AV120">
        <f t="shared" ca="1" si="226"/>
        <v>0</v>
      </c>
      <c r="AW120">
        <f t="shared" ca="1" si="226"/>
        <v>0</v>
      </c>
      <c r="AX120">
        <f t="shared" ca="1" si="226"/>
        <v>0</v>
      </c>
      <c r="AY120">
        <f t="shared" ca="1" si="226"/>
        <v>0</v>
      </c>
      <c r="AZ120">
        <f t="shared" ca="1" si="226"/>
        <v>0</v>
      </c>
      <c r="BA120">
        <f t="shared" ca="1" si="226"/>
        <v>0</v>
      </c>
    </row>
    <row r="121" spans="1:53" x14ac:dyDescent="0.25">
      <c r="A121" t="str">
        <f>Setup!A21</f>
        <v>Caseload 2</v>
      </c>
      <c r="B121">
        <f t="shared" ref="B121:BA121" ca="1" si="227">B85+B103</f>
        <v>0</v>
      </c>
      <c r="C121">
        <f t="shared" ca="1" si="227"/>
        <v>0</v>
      </c>
      <c r="D121">
        <f t="shared" ca="1" si="227"/>
        <v>0</v>
      </c>
      <c r="E121">
        <f t="shared" ca="1" si="227"/>
        <v>0</v>
      </c>
      <c r="F121">
        <f t="shared" ca="1" si="227"/>
        <v>0</v>
      </c>
      <c r="G121">
        <f t="shared" ca="1" si="227"/>
        <v>0</v>
      </c>
      <c r="H121">
        <f t="shared" ca="1" si="227"/>
        <v>0</v>
      </c>
      <c r="I121">
        <f t="shared" ca="1" si="227"/>
        <v>0</v>
      </c>
      <c r="J121">
        <f t="shared" ca="1" si="227"/>
        <v>0</v>
      </c>
      <c r="K121">
        <f t="shared" ca="1" si="227"/>
        <v>0</v>
      </c>
      <c r="L121">
        <f t="shared" ca="1" si="227"/>
        <v>0</v>
      </c>
      <c r="M121">
        <f t="shared" ca="1" si="227"/>
        <v>0</v>
      </c>
      <c r="N121">
        <f t="shared" ca="1" si="227"/>
        <v>0</v>
      </c>
      <c r="O121">
        <f t="shared" ca="1" si="227"/>
        <v>0</v>
      </c>
      <c r="P121">
        <f t="shared" ca="1" si="227"/>
        <v>0</v>
      </c>
      <c r="Q121">
        <f t="shared" ca="1" si="227"/>
        <v>0</v>
      </c>
      <c r="R121">
        <f t="shared" ca="1" si="227"/>
        <v>0</v>
      </c>
      <c r="S121">
        <f t="shared" ca="1" si="227"/>
        <v>0</v>
      </c>
      <c r="T121">
        <f t="shared" ca="1" si="227"/>
        <v>0</v>
      </c>
      <c r="U121">
        <f t="shared" ca="1" si="227"/>
        <v>0</v>
      </c>
      <c r="V121">
        <f t="shared" ca="1" si="227"/>
        <v>0</v>
      </c>
      <c r="W121">
        <f t="shared" ca="1" si="227"/>
        <v>0</v>
      </c>
      <c r="X121">
        <f t="shared" ca="1" si="227"/>
        <v>0</v>
      </c>
      <c r="Y121">
        <f t="shared" ca="1" si="227"/>
        <v>0</v>
      </c>
      <c r="Z121">
        <f t="shared" ca="1" si="227"/>
        <v>0</v>
      </c>
      <c r="AA121">
        <f t="shared" ca="1" si="227"/>
        <v>0</v>
      </c>
      <c r="AB121">
        <f t="shared" ca="1" si="227"/>
        <v>0</v>
      </c>
      <c r="AC121">
        <f t="shared" ca="1" si="227"/>
        <v>0</v>
      </c>
      <c r="AD121">
        <f t="shared" ca="1" si="227"/>
        <v>0</v>
      </c>
      <c r="AE121">
        <f t="shared" ca="1" si="227"/>
        <v>0</v>
      </c>
      <c r="AF121">
        <f t="shared" ca="1" si="227"/>
        <v>0</v>
      </c>
      <c r="AG121">
        <f t="shared" ca="1" si="227"/>
        <v>0</v>
      </c>
      <c r="AH121">
        <f t="shared" ca="1" si="227"/>
        <v>0</v>
      </c>
      <c r="AI121">
        <f t="shared" ca="1" si="227"/>
        <v>0</v>
      </c>
      <c r="AJ121">
        <f t="shared" ca="1" si="227"/>
        <v>0</v>
      </c>
      <c r="AK121">
        <f t="shared" ca="1" si="227"/>
        <v>0</v>
      </c>
      <c r="AL121">
        <f t="shared" ca="1" si="227"/>
        <v>0</v>
      </c>
      <c r="AM121">
        <f t="shared" ca="1" si="227"/>
        <v>0</v>
      </c>
      <c r="AN121">
        <f t="shared" ca="1" si="227"/>
        <v>0</v>
      </c>
      <c r="AO121">
        <f t="shared" ca="1" si="227"/>
        <v>0</v>
      </c>
      <c r="AP121">
        <f t="shared" ca="1" si="227"/>
        <v>0</v>
      </c>
      <c r="AQ121">
        <f t="shared" ca="1" si="227"/>
        <v>0</v>
      </c>
      <c r="AR121">
        <f t="shared" ca="1" si="227"/>
        <v>0</v>
      </c>
      <c r="AS121">
        <f t="shared" ca="1" si="227"/>
        <v>0</v>
      </c>
      <c r="AT121">
        <f t="shared" ca="1" si="227"/>
        <v>0</v>
      </c>
      <c r="AU121">
        <f t="shared" ca="1" si="227"/>
        <v>0</v>
      </c>
      <c r="AV121">
        <f t="shared" ca="1" si="227"/>
        <v>0</v>
      </c>
      <c r="AW121">
        <f t="shared" ca="1" si="227"/>
        <v>0</v>
      </c>
      <c r="AX121">
        <f t="shared" ca="1" si="227"/>
        <v>0</v>
      </c>
      <c r="AY121">
        <f t="shared" ca="1" si="227"/>
        <v>0</v>
      </c>
      <c r="AZ121">
        <f t="shared" ca="1" si="227"/>
        <v>0</v>
      </c>
      <c r="BA121">
        <f t="shared" ca="1" si="227"/>
        <v>0</v>
      </c>
    </row>
    <row r="122" spans="1:53" x14ac:dyDescent="0.25">
      <c r="A122" t="str">
        <f>Setup!A22</f>
        <v>Caseload 3</v>
      </c>
      <c r="B122">
        <f t="shared" ref="B122:BA122" ca="1" si="228">B86+B104</f>
        <v>0</v>
      </c>
      <c r="C122">
        <f t="shared" ca="1" si="228"/>
        <v>0</v>
      </c>
      <c r="D122">
        <f t="shared" ca="1" si="228"/>
        <v>0</v>
      </c>
      <c r="E122">
        <f t="shared" ca="1" si="228"/>
        <v>0</v>
      </c>
      <c r="F122">
        <f t="shared" ca="1" si="228"/>
        <v>0</v>
      </c>
      <c r="G122">
        <f t="shared" ca="1" si="228"/>
        <v>0</v>
      </c>
      <c r="H122">
        <f t="shared" ca="1" si="228"/>
        <v>0</v>
      </c>
      <c r="I122">
        <f t="shared" ca="1" si="228"/>
        <v>0</v>
      </c>
      <c r="J122">
        <f t="shared" ca="1" si="228"/>
        <v>0</v>
      </c>
      <c r="K122">
        <f t="shared" ca="1" si="228"/>
        <v>0</v>
      </c>
      <c r="L122">
        <f t="shared" ca="1" si="228"/>
        <v>0</v>
      </c>
      <c r="M122">
        <f t="shared" ca="1" si="228"/>
        <v>0</v>
      </c>
      <c r="N122">
        <f t="shared" ca="1" si="228"/>
        <v>0</v>
      </c>
      <c r="O122">
        <f t="shared" ca="1" si="228"/>
        <v>0</v>
      </c>
      <c r="P122">
        <f t="shared" ca="1" si="228"/>
        <v>0</v>
      </c>
      <c r="Q122">
        <f t="shared" ca="1" si="228"/>
        <v>0</v>
      </c>
      <c r="R122">
        <f t="shared" ca="1" si="228"/>
        <v>0</v>
      </c>
      <c r="S122">
        <f t="shared" ca="1" si="228"/>
        <v>0</v>
      </c>
      <c r="T122">
        <f t="shared" ca="1" si="228"/>
        <v>0</v>
      </c>
      <c r="U122">
        <f t="shared" ca="1" si="228"/>
        <v>0</v>
      </c>
      <c r="V122">
        <f t="shared" ca="1" si="228"/>
        <v>0</v>
      </c>
      <c r="W122">
        <f t="shared" ca="1" si="228"/>
        <v>0</v>
      </c>
      <c r="X122">
        <f t="shared" ca="1" si="228"/>
        <v>0</v>
      </c>
      <c r="Y122">
        <f t="shared" ca="1" si="228"/>
        <v>0</v>
      </c>
      <c r="Z122">
        <f t="shared" ca="1" si="228"/>
        <v>0</v>
      </c>
      <c r="AA122">
        <f t="shared" ca="1" si="228"/>
        <v>0</v>
      </c>
      <c r="AB122">
        <f t="shared" ca="1" si="228"/>
        <v>0</v>
      </c>
      <c r="AC122">
        <f t="shared" ca="1" si="228"/>
        <v>0</v>
      </c>
      <c r="AD122">
        <f t="shared" ca="1" si="228"/>
        <v>0</v>
      </c>
      <c r="AE122">
        <f t="shared" ca="1" si="228"/>
        <v>0</v>
      </c>
      <c r="AF122">
        <f t="shared" ca="1" si="228"/>
        <v>0</v>
      </c>
      <c r="AG122">
        <f t="shared" ca="1" si="228"/>
        <v>0</v>
      </c>
      <c r="AH122">
        <f t="shared" ca="1" si="228"/>
        <v>0</v>
      </c>
      <c r="AI122">
        <f t="shared" ca="1" si="228"/>
        <v>0</v>
      </c>
      <c r="AJ122">
        <f t="shared" ca="1" si="228"/>
        <v>0</v>
      </c>
      <c r="AK122">
        <f t="shared" ca="1" si="228"/>
        <v>0</v>
      </c>
      <c r="AL122">
        <f t="shared" ca="1" si="228"/>
        <v>0</v>
      </c>
      <c r="AM122">
        <f t="shared" ca="1" si="228"/>
        <v>0</v>
      </c>
      <c r="AN122">
        <f t="shared" ca="1" si="228"/>
        <v>0</v>
      </c>
      <c r="AO122">
        <f t="shared" ca="1" si="228"/>
        <v>0</v>
      </c>
      <c r="AP122">
        <f t="shared" ca="1" si="228"/>
        <v>0</v>
      </c>
      <c r="AQ122">
        <f t="shared" ca="1" si="228"/>
        <v>0</v>
      </c>
      <c r="AR122">
        <f t="shared" ca="1" si="228"/>
        <v>0</v>
      </c>
      <c r="AS122">
        <f t="shared" ca="1" si="228"/>
        <v>0</v>
      </c>
      <c r="AT122">
        <f t="shared" ca="1" si="228"/>
        <v>0</v>
      </c>
      <c r="AU122">
        <f t="shared" ca="1" si="228"/>
        <v>0</v>
      </c>
      <c r="AV122">
        <f t="shared" ca="1" si="228"/>
        <v>0</v>
      </c>
      <c r="AW122">
        <f t="shared" ca="1" si="228"/>
        <v>0</v>
      </c>
      <c r="AX122">
        <f t="shared" ca="1" si="228"/>
        <v>0</v>
      </c>
      <c r="AY122">
        <f t="shared" ca="1" si="228"/>
        <v>0</v>
      </c>
      <c r="AZ122">
        <f t="shared" ca="1" si="228"/>
        <v>0</v>
      </c>
      <c r="BA122">
        <f t="shared" ca="1" si="228"/>
        <v>0</v>
      </c>
    </row>
    <row r="123" spans="1:53" x14ac:dyDescent="0.25">
      <c r="A123" t="str">
        <f>Setup!A23</f>
        <v>Caseload 4</v>
      </c>
      <c r="B123">
        <f t="shared" ref="B123:BA123" ca="1" si="229">B87+B105</f>
        <v>0</v>
      </c>
      <c r="C123">
        <f t="shared" ca="1" si="229"/>
        <v>0</v>
      </c>
      <c r="D123">
        <f t="shared" ca="1" si="229"/>
        <v>0</v>
      </c>
      <c r="E123">
        <f t="shared" ca="1" si="229"/>
        <v>0</v>
      </c>
      <c r="F123">
        <f t="shared" ca="1" si="229"/>
        <v>0</v>
      </c>
      <c r="G123">
        <f t="shared" ca="1" si="229"/>
        <v>0</v>
      </c>
      <c r="H123">
        <f t="shared" ca="1" si="229"/>
        <v>0</v>
      </c>
      <c r="I123">
        <f t="shared" ca="1" si="229"/>
        <v>0</v>
      </c>
      <c r="J123">
        <f t="shared" ca="1" si="229"/>
        <v>0</v>
      </c>
      <c r="K123">
        <f t="shared" ca="1" si="229"/>
        <v>0</v>
      </c>
      <c r="L123">
        <f t="shared" ca="1" si="229"/>
        <v>0</v>
      </c>
      <c r="M123">
        <f t="shared" ca="1" si="229"/>
        <v>0</v>
      </c>
      <c r="N123">
        <f t="shared" ca="1" si="229"/>
        <v>0</v>
      </c>
      <c r="O123">
        <f t="shared" ca="1" si="229"/>
        <v>0</v>
      </c>
      <c r="P123">
        <f t="shared" ca="1" si="229"/>
        <v>0</v>
      </c>
      <c r="Q123">
        <f t="shared" ca="1" si="229"/>
        <v>0</v>
      </c>
      <c r="R123">
        <f t="shared" ca="1" si="229"/>
        <v>0</v>
      </c>
      <c r="S123">
        <f t="shared" ca="1" si="229"/>
        <v>0</v>
      </c>
      <c r="T123">
        <f t="shared" ca="1" si="229"/>
        <v>0</v>
      </c>
      <c r="U123">
        <f t="shared" ca="1" si="229"/>
        <v>0</v>
      </c>
      <c r="V123">
        <f t="shared" ca="1" si="229"/>
        <v>0</v>
      </c>
      <c r="W123">
        <f t="shared" ca="1" si="229"/>
        <v>0</v>
      </c>
      <c r="X123">
        <f t="shared" ca="1" si="229"/>
        <v>0</v>
      </c>
      <c r="Y123">
        <f t="shared" ca="1" si="229"/>
        <v>0</v>
      </c>
      <c r="Z123">
        <f t="shared" ca="1" si="229"/>
        <v>0</v>
      </c>
      <c r="AA123">
        <f t="shared" ca="1" si="229"/>
        <v>0</v>
      </c>
      <c r="AB123">
        <f t="shared" ca="1" si="229"/>
        <v>0</v>
      </c>
      <c r="AC123">
        <f t="shared" ca="1" si="229"/>
        <v>0</v>
      </c>
      <c r="AD123">
        <f t="shared" ca="1" si="229"/>
        <v>0</v>
      </c>
      <c r="AE123">
        <f t="shared" ca="1" si="229"/>
        <v>0</v>
      </c>
      <c r="AF123">
        <f t="shared" ca="1" si="229"/>
        <v>0</v>
      </c>
      <c r="AG123">
        <f t="shared" ca="1" si="229"/>
        <v>0</v>
      </c>
      <c r="AH123">
        <f t="shared" ca="1" si="229"/>
        <v>0</v>
      </c>
      <c r="AI123">
        <f t="shared" ca="1" si="229"/>
        <v>0</v>
      </c>
      <c r="AJ123">
        <f t="shared" ca="1" si="229"/>
        <v>0</v>
      </c>
      <c r="AK123">
        <f t="shared" ca="1" si="229"/>
        <v>0</v>
      </c>
      <c r="AL123">
        <f t="shared" ca="1" si="229"/>
        <v>0</v>
      </c>
      <c r="AM123">
        <f t="shared" ca="1" si="229"/>
        <v>0</v>
      </c>
      <c r="AN123">
        <f t="shared" ca="1" si="229"/>
        <v>0</v>
      </c>
      <c r="AO123">
        <f t="shared" ca="1" si="229"/>
        <v>0</v>
      </c>
      <c r="AP123">
        <f t="shared" ca="1" si="229"/>
        <v>0</v>
      </c>
      <c r="AQ123">
        <f t="shared" ca="1" si="229"/>
        <v>0</v>
      </c>
      <c r="AR123">
        <f t="shared" ca="1" si="229"/>
        <v>0</v>
      </c>
      <c r="AS123">
        <f t="shared" ca="1" si="229"/>
        <v>0</v>
      </c>
      <c r="AT123">
        <f t="shared" ca="1" si="229"/>
        <v>0</v>
      </c>
      <c r="AU123">
        <f t="shared" ca="1" si="229"/>
        <v>0</v>
      </c>
      <c r="AV123">
        <f t="shared" ca="1" si="229"/>
        <v>0</v>
      </c>
      <c r="AW123">
        <f t="shared" ca="1" si="229"/>
        <v>0</v>
      </c>
      <c r="AX123">
        <f t="shared" ca="1" si="229"/>
        <v>0</v>
      </c>
      <c r="AY123">
        <f t="shared" ca="1" si="229"/>
        <v>0</v>
      </c>
      <c r="AZ123">
        <f t="shared" ca="1" si="229"/>
        <v>0</v>
      </c>
      <c r="BA123">
        <f t="shared" ca="1" si="229"/>
        <v>0</v>
      </c>
    </row>
    <row r="124" spans="1:53" x14ac:dyDescent="0.25">
      <c r="A124" t="str">
        <f>Setup!A24</f>
        <v>Caseload 5</v>
      </c>
      <c r="B124">
        <f t="shared" ref="B124:BA124" ca="1" si="230">B88+B106</f>
        <v>0</v>
      </c>
      <c r="C124">
        <f t="shared" ca="1" si="230"/>
        <v>0</v>
      </c>
      <c r="D124">
        <f t="shared" ca="1" si="230"/>
        <v>0</v>
      </c>
      <c r="E124">
        <f t="shared" ca="1" si="230"/>
        <v>0</v>
      </c>
      <c r="F124">
        <f t="shared" ca="1" si="230"/>
        <v>0</v>
      </c>
      <c r="G124">
        <f t="shared" ca="1" si="230"/>
        <v>0</v>
      </c>
      <c r="H124">
        <f t="shared" ca="1" si="230"/>
        <v>0</v>
      </c>
      <c r="I124">
        <f t="shared" ca="1" si="230"/>
        <v>0</v>
      </c>
      <c r="J124">
        <f t="shared" ca="1" si="230"/>
        <v>0</v>
      </c>
      <c r="K124">
        <f t="shared" ca="1" si="230"/>
        <v>0</v>
      </c>
      <c r="L124">
        <f t="shared" ca="1" si="230"/>
        <v>0</v>
      </c>
      <c r="M124">
        <f t="shared" ca="1" si="230"/>
        <v>0</v>
      </c>
      <c r="N124">
        <f t="shared" ca="1" si="230"/>
        <v>0</v>
      </c>
      <c r="O124">
        <f t="shared" ca="1" si="230"/>
        <v>0</v>
      </c>
      <c r="P124">
        <f t="shared" ca="1" si="230"/>
        <v>0</v>
      </c>
      <c r="Q124">
        <f t="shared" ca="1" si="230"/>
        <v>0</v>
      </c>
      <c r="R124">
        <f t="shared" ca="1" si="230"/>
        <v>0</v>
      </c>
      <c r="S124">
        <f t="shared" ca="1" si="230"/>
        <v>0</v>
      </c>
      <c r="T124">
        <f t="shared" ca="1" si="230"/>
        <v>0</v>
      </c>
      <c r="U124">
        <f t="shared" ca="1" si="230"/>
        <v>0</v>
      </c>
      <c r="V124">
        <f t="shared" ca="1" si="230"/>
        <v>0</v>
      </c>
      <c r="W124">
        <f t="shared" ca="1" si="230"/>
        <v>0</v>
      </c>
      <c r="X124">
        <f t="shared" ca="1" si="230"/>
        <v>0</v>
      </c>
      <c r="Y124">
        <f t="shared" ca="1" si="230"/>
        <v>0</v>
      </c>
      <c r="Z124">
        <f t="shared" ca="1" si="230"/>
        <v>0</v>
      </c>
      <c r="AA124">
        <f t="shared" ca="1" si="230"/>
        <v>0</v>
      </c>
      <c r="AB124">
        <f t="shared" ca="1" si="230"/>
        <v>0</v>
      </c>
      <c r="AC124">
        <f t="shared" ca="1" si="230"/>
        <v>0</v>
      </c>
      <c r="AD124">
        <f t="shared" ca="1" si="230"/>
        <v>0</v>
      </c>
      <c r="AE124">
        <f t="shared" ca="1" si="230"/>
        <v>0</v>
      </c>
      <c r="AF124">
        <f t="shared" ca="1" si="230"/>
        <v>0</v>
      </c>
      <c r="AG124">
        <f t="shared" ca="1" si="230"/>
        <v>0</v>
      </c>
      <c r="AH124">
        <f t="shared" ca="1" si="230"/>
        <v>0</v>
      </c>
      <c r="AI124">
        <f t="shared" ca="1" si="230"/>
        <v>0</v>
      </c>
      <c r="AJ124">
        <f t="shared" ca="1" si="230"/>
        <v>0</v>
      </c>
      <c r="AK124">
        <f t="shared" ca="1" si="230"/>
        <v>0</v>
      </c>
      <c r="AL124">
        <f t="shared" ca="1" si="230"/>
        <v>0</v>
      </c>
      <c r="AM124">
        <f t="shared" ca="1" si="230"/>
        <v>0</v>
      </c>
      <c r="AN124">
        <f t="shared" ca="1" si="230"/>
        <v>0</v>
      </c>
      <c r="AO124">
        <f t="shared" ca="1" si="230"/>
        <v>0</v>
      </c>
      <c r="AP124">
        <f t="shared" ca="1" si="230"/>
        <v>0</v>
      </c>
      <c r="AQ124">
        <f t="shared" ca="1" si="230"/>
        <v>0</v>
      </c>
      <c r="AR124">
        <f t="shared" ca="1" si="230"/>
        <v>0</v>
      </c>
      <c r="AS124">
        <f t="shared" ca="1" si="230"/>
        <v>0</v>
      </c>
      <c r="AT124">
        <f t="shared" ca="1" si="230"/>
        <v>0</v>
      </c>
      <c r="AU124">
        <f t="shared" ca="1" si="230"/>
        <v>0</v>
      </c>
      <c r="AV124">
        <f t="shared" ca="1" si="230"/>
        <v>0</v>
      </c>
      <c r="AW124">
        <f t="shared" ca="1" si="230"/>
        <v>0</v>
      </c>
      <c r="AX124">
        <f t="shared" ca="1" si="230"/>
        <v>0</v>
      </c>
      <c r="AY124">
        <f t="shared" ca="1" si="230"/>
        <v>0</v>
      </c>
      <c r="AZ124">
        <f t="shared" ca="1" si="230"/>
        <v>0</v>
      </c>
      <c r="BA124">
        <f t="shared" ca="1" si="230"/>
        <v>0</v>
      </c>
    </row>
    <row r="125" spans="1:53" x14ac:dyDescent="0.25">
      <c r="A125" t="str">
        <f>Setup!A25</f>
        <v>Caseload 6</v>
      </c>
      <c r="B125">
        <f t="shared" ref="B125:BA125" ca="1" si="231">B89+B107</f>
        <v>0</v>
      </c>
      <c r="C125">
        <f t="shared" ca="1" si="231"/>
        <v>0</v>
      </c>
      <c r="D125">
        <f t="shared" ca="1" si="231"/>
        <v>0</v>
      </c>
      <c r="E125">
        <f t="shared" ca="1" si="231"/>
        <v>0</v>
      </c>
      <c r="F125">
        <f t="shared" ca="1" si="231"/>
        <v>0</v>
      </c>
      <c r="G125">
        <f t="shared" ca="1" si="231"/>
        <v>0</v>
      </c>
      <c r="H125">
        <f t="shared" ca="1" si="231"/>
        <v>0</v>
      </c>
      <c r="I125">
        <f t="shared" ca="1" si="231"/>
        <v>0</v>
      </c>
      <c r="J125">
        <f t="shared" ca="1" si="231"/>
        <v>0</v>
      </c>
      <c r="K125">
        <f t="shared" ca="1" si="231"/>
        <v>0</v>
      </c>
      <c r="L125">
        <f t="shared" ca="1" si="231"/>
        <v>0</v>
      </c>
      <c r="M125">
        <f t="shared" ca="1" si="231"/>
        <v>0</v>
      </c>
      <c r="N125">
        <f t="shared" ca="1" si="231"/>
        <v>0</v>
      </c>
      <c r="O125">
        <f t="shared" ca="1" si="231"/>
        <v>0</v>
      </c>
      <c r="P125">
        <f t="shared" ca="1" si="231"/>
        <v>0</v>
      </c>
      <c r="Q125">
        <f t="shared" ca="1" si="231"/>
        <v>0</v>
      </c>
      <c r="R125">
        <f t="shared" ca="1" si="231"/>
        <v>0</v>
      </c>
      <c r="S125">
        <f t="shared" ca="1" si="231"/>
        <v>0</v>
      </c>
      <c r="T125">
        <f t="shared" ca="1" si="231"/>
        <v>0</v>
      </c>
      <c r="U125">
        <f t="shared" ca="1" si="231"/>
        <v>0</v>
      </c>
      <c r="V125">
        <f t="shared" ca="1" si="231"/>
        <v>0</v>
      </c>
      <c r="W125">
        <f t="shared" ca="1" si="231"/>
        <v>0</v>
      </c>
      <c r="X125">
        <f t="shared" ca="1" si="231"/>
        <v>0</v>
      </c>
      <c r="Y125">
        <f t="shared" ca="1" si="231"/>
        <v>0</v>
      </c>
      <c r="Z125">
        <f t="shared" ca="1" si="231"/>
        <v>0</v>
      </c>
      <c r="AA125">
        <f t="shared" ca="1" si="231"/>
        <v>0</v>
      </c>
      <c r="AB125">
        <f t="shared" ca="1" si="231"/>
        <v>0</v>
      </c>
      <c r="AC125">
        <f t="shared" ca="1" si="231"/>
        <v>0</v>
      </c>
      <c r="AD125">
        <f t="shared" ca="1" si="231"/>
        <v>0</v>
      </c>
      <c r="AE125">
        <f t="shared" ca="1" si="231"/>
        <v>0</v>
      </c>
      <c r="AF125">
        <f t="shared" ca="1" si="231"/>
        <v>0</v>
      </c>
      <c r="AG125">
        <f t="shared" ca="1" si="231"/>
        <v>0</v>
      </c>
      <c r="AH125">
        <f t="shared" ca="1" si="231"/>
        <v>0</v>
      </c>
      <c r="AI125">
        <f t="shared" ca="1" si="231"/>
        <v>0</v>
      </c>
      <c r="AJ125">
        <f t="shared" ca="1" si="231"/>
        <v>0</v>
      </c>
      <c r="AK125">
        <f t="shared" ca="1" si="231"/>
        <v>0</v>
      </c>
      <c r="AL125">
        <f t="shared" ca="1" si="231"/>
        <v>0</v>
      </c>
      <c r="AM125">
        <f t="shared" ca="1" si="231"/>
        <v>0</v>
      </c>
      <c r="AN125">
        <f t="shared" ca="1" si="231"/>
        <v>0</v>
      </c>
      <c r="AO125">
        <f t="shared" ca="1" si="231"/>
        <v>0</v>
      </c>
      <c r="AP125">
        <f t="shared" ca="1" si="231"/>
        <v>0</v>
      </c>
      <c r="AQ125">
        <f t="shared" ca="1" si="231"/>
        <v>0</v>
      </c>
      <c r="AR125">
        <f t="shared" ca="1" si="231"/>
        <v>0</v>
      </c>
      <c r="AS125">
        <f t="shared" ca="1" si="231"/>
        <v>0</v>
      </c>
      <c r="AT125">
        <f t="shared" ca="1" si="231"/>
        <v>0</v>
      </c>
      <c r="AU125">
        <f t="shared" ca="1" si="231"/>
        <v>0</v>
      </c>
      <c r="AV125">
        <f t="shared" ca="1" si="231"/>
        <v>0</v>
      </c>
      <c r="AW125">
        <f t="shared" ca="1" si="231"/>
        <v>0</v>
      </c>
      <c r="AX125">
        <f t="shared" ca="1" si="231"/>
        <v>0</v>
      </c>
      <c r="AY125">
        <f t="shared" ca="1" si="231"/>
        <v>0</v>
      </c>
      <c r="AZ125">
        <f t="shared" ca="1" si="231"/>
        <v>0</v>
      </c>
      <c r="BA125">
        <f t="shared" ca="1" si="231"/>
        <v>0</v>
      </c>
    </row>
    <row r="126" spans="1:53" x14ac:dyDescent="0.25">
      <c r="A126" t="str">
        <f>Setup!A26</f>
        <v>Caseload 7</v>
      </c>
      <c r="B126">
        <f t="shared" ref="B126:BA126" ca="1" si="232">B90+B108</f>
        <v>0</v>
      </c>
      <c r="C126">
        <f t="shared" ca="1" si="232"/>
        <v>0</v>
      </c>
      <c r="D126">
        <f t="shared" ca="1" si="232"/>
        <v>0</v>
      </c>
      <c r="E126">
        <f t="shared" ca="1" si="232"/>
        <v>0</v>
      </c>
      <c r="F126">
        <f t="shared" ca="1" si="232"/>
        <v>0</v>
      </c>
      <c r="G126">
        <f t="shared" ca="1" si="232"/>
        <v>0</v>
      </c>
      <c r="H126">
        <f t="shared" ca="1" si="232"/>
        <v>0</v>
      </c>
      <c r="I126">
        <f t="shared" ca="1" si="232"/>
        <v>0</v>
      </c>
      <c r="J126">
        <f t="shared" ca="1" si="232"/>
        <v>0</v>
      </c>
      <c r="K126">
        <f t="shared" ca="1" si="232"/>
        <v>0</v>
      </c>
      <c r="L126">
        <f t="shared" ca="1" si="232"/>
        <v>0</v>
      </c>
      <c r="M126">
        <f t="shared" ca="1" si="232"/>
        <v>0</v>
      </c>
      <c r="N126">
        <f t="shared" ca="1" si="232"/>
        <v>0</v>
      </c>
      <c r="O126">
        <f t="shared" ca="1" si="232"/>
        <v>0</v>
      </c>
      <c r="P126">
        <f t="shared" ca="1" si="232"/>
        <v>0</v>
      </c>
      <c r="Q126">
        <f t="shared" ca="1" si="232"/>
        <v>0</v>
      </c>
      <c r="R126">
        <f t="shared" ca="1" si="232"/>
        <v>0</v>
      </c>
      <c r="S126">
        <f t="shared" ca="1" si="232"/>
        <v>0</v>
      </c>
      <c r="T126">
        <f t="shared" ca="1" si="232"/>
        <v>0</v>
      </c>
      <c r="U126">
        <f t="shared" ca="1" si="232"/>
        <v>0</v>
      </c>
      <c r="V126">
        <f t="shared" ca="1" si="232"/>
        <v>0</v>
      </c>
      <c r="W126">
        <f t="shared" ca="1" si="232"/>
        <v>0</v>
      </c>
      <c r="X126">
        <f t="shared" ca="1" si="232"/>
        <v>0</v>
      </c>
      <c r="Y126">
        <f t="shared" ca="1" si="232"/>
        <v>0</v>
      </c>
      <c r="Z126">
        <f t="shared" ca="1" si="232"/>
        <v>0</v>
      </c>
      <c r="AA126">
        <f t="shared" ca="1" si="232"/>
        <v>0</v>
      </c>
      <c r="AB126">
        <f t="shared" ca="1" si="232"/>
        <v>0</v>
      </c>
      <c r="AC126">
        <f t="shared" ca="1" si="232"/>
        <v>0</v>
      </c>
      <c r="AD126">
        <f t="shared" ca="1" si="232"/>
        <v>0</v>
      </c>
      <c r="AE126">
        <f t="shared" ca="1" si="232"/>
        <v>0</v>
      </c>
      <c r="AF126">
        <f t="shared" ca="1" si="232"/>
        <v>0</v>
      </c>
      <c r="AG126">
        <f t="shared" ca="1" si="232"/>
        <v>0</v>
      </c>
      <c r="AH126">
        <f t="shared" ca="1" si="232"/>
        <v>0</v>
      </c>
      <c r="AI126">
        <f t="shared" ca="1" si="232"/>
        <v>0</v>
      </c>
      <c r="AJ126">
        <f t="shared" ca="1" si="232"/>
        <v>0</v>
      </c>
      <c r="AK126">
        <f t="shared" ca="1" si="232"/>
        <v>0</v>
      </c>
      <c r="AL126">
        <f t="shared" ca="1" si="232"/>
        <v>0</v>
      </c>
      <c r="AM126">
        <f t="shared" ca="1" si="232"/>
        <v>0</v>
      </c>
      <c r="AN126">
        <f t="shared" ca="1" si="232"/>
        <v>0</v>
      </c>
      <c r="AO126">
        <f t="shared" ca="1" si="232"/>
        <v>0</v>
      </c>
      <c r="AP126">
        <f t="shared" ca="1" si="232"/>
        <v>0</v>
      </c>
      <c r="AQ126">
        <f t="shared" ca="1" si="232"/>
        <v>0</v>
      </c>
      <c r="AR126">
        <f t="shared" ca="1" si="232"/>
        <v>0</v>
      </c>
      <c r="AS126">
        <f t="shared" ca="1" si="232"/>
        <v>0</v>
      </c>
      <c r="AT126">
        <f t="shared" ca="1" si="232"/>
        <v>0</v>
      </c>
      <c r="AU126">
        <f t="shared" ca="1" si="232"/>
        <v>0</v>
      </c>
      <c r="AV126">
        <f t="shared" ca="1" si="232"/>
        <v>0</v>
      </c>
      <c r="AW126">
        <f t="shared" ca="1" si="232"/>
        <v>0</v>
      </c>
      <c r="AX126">
        <f t="shared" ca="1" si="232"/>
        <v>0</v>
      </c>
      <c r="AY126">
        <f t="shared" ca="1" si="232"/>
        <v>0</v>
      </c>
      <c r="AZ126">
        <f t="shared" ca="1" si="232"/>
        <v>0</v>
      </c>
      <c r="BA126">
        <f t="shared" ca="1" si="232"/>
        <v>0</v>
      </c>
    </row>
    <row r="127" spans="1:53" x14ac:dyDescent="0.25">
      <c r="A127" t="str">
        <f>Setup!A27</f>
        <v>Caseload 8</v>
      </c>
      <c r="B127">
        <f t="shared" ref="B127:BA127" ca="1" si="233">B91+B109</f>
        <v>0</v>
      </c>
      <c r="C127">
        <f t="shared" ca="1" si="233"/>
        <v>0</v>
      </c>
      <c r="D127">
        <f t="shared" ca="1" si="233"/>
        <v>0</v>
      </c>
      <c r="E127">
        <f t="shared" ca="1" si="233"/>
        <v>0</v>
      </c>
      <c r="F127">
        <f t="shared" ca="1" si="233"/>
        <v>0</v>
      </c>
      <c r="G127">
        <f t="shared" ca="1" si="233"/>
        <v>0</v>
      </c>
      <c r="H127">
        <f t="shared" ca="1" si="233"/>
        <v>0</v>
      </c>
      <c r="I127">
        <f t="shared" ca="1" si="233"/>
        <v>0</v>
      </c>
      <c r="J127">
        <f t="shared" ca="1" si="233"/>
        <v>0</v>
      </c>
      <c r="K127">
        <f t="shared" ca="1" si="233"/>
        <v>0</v>
      </c>
      <c r="L127">
        <f t="shared" ca="1" si="233"/>
        <v>0</v>
      </c>
      <c r="M127">
        <f t="shared" ca="1" si="233"/>
        <v>0</v>
      </c>
      <c r="N127">
        <f t="shared" ca="1" si="233"/>
        <v>0</v>
      </c>
      <c r="O127">
        <f t="shared" ca="1" si="233"/>
        <v>0</v>
      </c>
      <c r="P127">
        <f t="shared" ca="1" si="233"/>
        <v>0</v>
      </c>
      <c r="Q127">
        <f t="shared" ca="1" si="233"/>
        <v>0</v>
      </c>
      <c r="R127">
        <f t="shared" ca="1" si="233"/>
        <v>0</v>
      </c>
      <c r="S127">
        <f t="shared" ca="1" si="233"/>
        <v>0</v>
      </c>
      <c r="T127">
        <f t="shared" ca="1" si="233"/>
        <v>0</v>
      </c>
      <c r="U127">
        <f t="shared" ca="1" si="233"/>
        <v>0</v>
      </c>
      <c r="V127">
        <f t="shared" ca="1" si="233"/>
        <v>0</v>
      </c>
      <c r="W127">
        <f t="shared" ca="1" si="233"/>
        <v>0</v>
      </c>
      <c r="X127">
        <f t="shared" ca="1" si="233"/>
        <v>0</v>
      </c>
      <c r="Y127">
        <f t="shared" ca="1" si="233"/>
        <v>0</v>
      </c>
      <c r="Z127">
        <f t="shared" ca="1" si="233"/>
        <v>0</v>
      </c>
      <c r="AA127">
        <f t="shared" ca="1" si="233"/>
        <v>0</v>
      </c>
      <c r="AB127">
        <f t="shared" ca="1" si="233"/>
        <v>0</v>
      </c>
      <c r="AC127">
        <f t="shared" ca="1" si="233"/>
        <v>0</v>
      </c>
      <c r="AD127">
        <f t="shared" ca="1" si="233"/>
        <v>0</v>
      </c>
      <c r="AE127">
        <f t="shared" ca="1" si="233"/>
        <v>0</v>
      </c>
      <c r="AF127">
        <f t="shared" ca="1" si="233"/>
        <v>0</v>
      </c>
      <c r="AG127">
        <f t="shared" ca="1" si="233"/>
        <v>0</v>
      </c>
      <c r="AH127">
        <f t="shared" ca="1" si="233"/>
        <v>0</v>
      </c>
      <c r="AI127">
        <f t="shared" ca="1" si="233"/>
        <v>0</v>
      </c>
      <c r="AJ127">
        <f t="shared" ca="1" si="233"/>
        <v>0</v>
      </c>
      <c r="AK127">
        <f t="shared" ca="1" si="233"/>
        <v>0</v>
      </c>
      <c r="AL127">
        <f t="shared" ca="1" si="233"/>
        <v>0</v>
      </c>
      <c r="AM127">
        <f t="shared" ca="1" si="233"/>
        <v>0</v>
      </c>
      <c r="AN127">
        <f t="shared" ca="1" si="233"/>
        <v>0</v>
      </c>
      <c r="AO127">
        <f t="shared" ca="1" si="233"/>
        <v>0</v>
      </c>
      <c r="AP127">
        <f t="shared" ca="1" si="233"/>
        <v>0</v>
      </c>
      <c r="AQ127">
        <f t="shared" ca="1" si="233"/>
        <v>0</v>
      </c>
      <c r="AR127">
        <f t="shared" ca="1" si="233"/>
        <v>0</v>
      </c>
      <c r="AS127">
        <f t="shared" ca="1" si="233"/>
        <v>0</v>
      </c>
      <c r="AT127">
        <f t="shared" ca="1" si="233"/>
        <v>0</v>
      </c>
      <c r="AU127">
        <f t="shared" ca="1" si="233"/>
        <v>0</v>
      </c>
      <c r="AV127">
        <f t="shared" ca="1" si="233"/>
        <v>0</v>
      </c>
      <c r="AW127">
        <f t="shared" ca="1" si="233"/>
        <v>0</v>
      </c>
      <c r="AX127">
        <f t="shared" ca="1" si="233"/>
        <v>0</v>
      </c>
      <c r="AY127">
        <f t="shared" ca="1" si="233"/>
        <v>0</v>
      </c>
      <c r="AZ127">
        <f t="shared" ca="1" si="233"/>
        <v>0</v>
      </c>
      <c r="BA127">
        <f t="shared" ca="1" si="233"/>
        <v>0</v>
      </c>
    </row>
    <row r="128" spans="1:53" x14ac:dyDescent="0.25">
      <c r="A128" t="str">
        <f>Setup!A28</f>
        <v>Caseload 9</v>
      </c>
      <c r="B128">
        <f t="shared" ref="B128:BA128" ca="1" si="234">B92+B110</f>
        <v>0</v>
      </c>
      <c r="C128">
        <f t="shared" ca="1" si="234"/>
        <v>0</v>
      </c>
      <c r="D128">
        <f t="shared" ca="1" si="234"/>
        <v>0</v>
      </c>
      <c r="E128">
        <f t="shared" ca="1" si="234"/>
        <v>0</v>
      </c>
      <c r="F128">
        <f t="shared" ca="1" si="234"/>
        <v>0</v>
      </c>
      <c r="G128">
        <f t="shared" ca="1" si="234"/>
        <v>0</v>
      </c>
      <c r="H128">
        <f t="shared" ca="1" si="234"/>
        <v>0</v>
      </c>
      <c r="I128">
        <f t="shared" ca="1" si="234"/>
        <v>0</v>
      </c>
      <c r="J128">
        <f t="shared" ca="1" si="234"/>
        <v>0</v>
      </c>
      <c r="K128">
        <f t="shared" ca="1" si="234"/>
        <v>0</v>
      </c>
      <c r="L128">
        <f t="shared" ca="1" si="234"/>
        <v>0</v>
      </c>
      <c r="M128">
        <f t="shared" ca="1" si="234"/>
        <v>0</v>
      </c>
      <c r="N128">
        <f t="shared" ca="1" si="234"/>
        <v>0</v>
      </c>
      <c r="O128">
        <f t="shared" ca="1" si="234"/>
        <v>0</v>
      </c>
      <c r="P128">
        <f t="shared" ca="1" si="234"/>
        <v>0</v>
      </c>
      <c r="Q128">
        <f t="shared" ca="1" si="234"/>
        <v>0</v>
      </c>
      <c r="R128">
        <f t="shared" ca="1" si="234"/>
        <v>0</v>
      </c>
      <c r="S128">
        <f t="shared" ca="1" si="234"/>
        <v>0</v>
      </c>
      <c r="T128">
        <f t="shared" ca="1" si="234"/>
        <v>0</v>
      </c>
      <c r="U128">
        <f t="shared" ca="1" si="234"/>
        <v>0</v>
      </c>
      <c r="V128">
        <f t="shared" ca="1" si="234"/>
        <v>0</v>
      </c>
      <c r="W128">
        <f t="shared" ca="1" si="234"/>
        <v>0</v>
      </c>
      <c r="X128">
        <f t="shared" ca="1" si="234"/>
        <v>0</v>
      </c>
      <c r="Y128">
        <f t="shared" ca="1" si="234"/>
        <v>0</v>
      </c>
      <c r="Z128">
        <f t="shared" ca="1" si="234"/>
        <v>0</v>
      </c>
      <c r="AA128">
        <f t="shared" ca="1" si="234"/>
        <v>0</v>
      </c>
      <c r="AB128">
        <f t="shared" ca="1" si="234"/>
        <v>0</v>
      </c>
      <c r="AC128">
        <f t="shared" ca="1" si="234"/>
        <v>0</v>
      </c>
      <c r="AD128">
        <f t="shared" ca="1" si="234"/>
        <v>0</v>
      </c>
      <c r="AE128">
        <f t="shared" ca="1" si="234"/>
        <v>0</v>
      </c>
      <c r="AF128">
        <f t="shared" ca="1" si="234"/>
        <v>0</v>
      </c>
      <c r="AG128">
        <f t="shared" ca="1" si="234"/>
        <v>0</v>
      </c>
      <c r="AH128">
        <f t="shared" ca="1" si="234"/>
        <v>0</v>
      </c>
      <c r="AI128">
        <f t="shared" ca="1" si="234"/>
        <v>0</v>
      </c>
      <c r="AJ128">
        <f t="shared" ca="1" si="234"/>
        <v>0</v>
      </c>
      <c r="AK128">
        <f t="shared" ca="1" si="234"/>
        <v>0</v>
      </c>
      <c r="AL128">
        <f t="shared" ca="1" si="234"/>
        <v>0</v>
      </c>
      <c r="AM128">
        <f t="shared" ca="1" si="234"/>
        <v>0</v>
      </c>
      <c r="AN128">
        <f t="shared" ca="1" si="234"/>
        <v>0</v>
      </c>
      <c r="AO128">
        <f t="shared" ca="1" si="234"/>
        <v>0</v>
      </c>
      <c r="AP128">
        <f t="shared" ca="1" si="234"/>
        <v>0</v>
      </c>
      <c r="AQ128">
        <f t="shared" ca="1" si="234"/>
        <v>0</v>
      </c>
      <c r="AR128">
        <f t="shared" ca="1" si="234"/>
        <v>0</v>
      </c>
      <c r="AS128">
        <f t="shared" ca="1" si="234"/>
        <v>0</v>
      </c>
      <c r="AT128">
        <f t="shared" ca="1" si="234"/>
        <v>0</v>
      </c>
      <c r="AU128">
        <f t="shared" ca="1" si="234"/>
        <v>0</v>
      </c>
      <c r="AV128">
        <f t="shared" ca="1" si="234"/>
        <v>0</v>
      </c>
      <c r="AW128">
        <f t="shared" ca="1" si="234"/>
        <v>0</v>
      </c>
      <c r="AX128">
        <f t="shared" ca="1" si="234"/>
        <v>0</v>
      </c>
      <c r="AY128">
        <f t="shared" ca="1" si="234"/>
        <v>0</v>
      </c>
      <c r="AZ128">
        <f t="shared" ca="1" si="234"/>
        <v>0</v>
      </c>
      <c r="BA128">
        <f t="shared" ca="1" si="234"/>
        <v>0</v>
      </c>
    </row>
    <row r="129" spans="1:101" x14ac:dyDescent="0.25">
      <c r="A129" t="str">
        <f>Setup!A29</f>
        <v>Caseload 10</v>
      </c>
      <c r="B129">
        <f t="shared" ref="B129:BA129" ca="1" si="235">B93+B111</f>
        <v>0</v>
      </c>
      <c r="C129">
        <f t="shared" ca="1" si="235"/>
        <v>0</v>
      </c>
      <c r="D129">
        <f t="shared" ca="1" si="235"/>
        <v>0</v>
      </c>
      <c r="E129">
        <f t="shared" ca="1" si="235"/>
        <v>0</v>
      </c>
      <c r="F129">
        <f t="shared" ca="1" si="235"/>
        <v>0</v>
      </c>
      <c r="G129">
        <f t="shared" ca="1" si="235"/>
        <v>0</v>
      </c>
      <c r="H129">
        <f t="shared" ca="1" si="235"/>
        <v>0</v>
      </c>
      <c r="I129">
        <f t="shared" ca="1" si="235"/>
        <v>0</v>
      </c>
      <c r="J129">
        <f t="shared" ca="1" si="235"/>
        <v>0</v>
      </c>
      <c r="K129">
        <f t="shared" ca="1" si="235"/>
        <v>0</v>
      </c>
      <c r="L129">
        <f t="shared" ca="1" si="235"/>
        <v>0</v>
      </c>
      <c r="M129">
        <f t="shared" ca="1" si="235"/>
        <v>0</v>
      </c>
      <c r="N129">
        <f t="shared" ca="1" si="235"/>
        <v>0</v>
      </c>
      <c r="O129">
        <f t="shared" ca="1" si="235"/>
        <v>0</v>
      </c>
      <c r="P129">
        <f t="shared" ca="1" si="235"/>
        <v>0</v>
      </c>
      <c r="Q129">
        <f t="shared" ca="1" si="235"/>
        <v>0</v>
      </c>
      <c r="R129">
        <f t="shared" ca="1" si="235"/>
        <v>0</v>
      </c>
      <c r="S129">
        <f t="shared" ca="1" si="235"/>
        <v>0</v>
      </c>
      <c r="T129">
        <f t="shared" ca="1" si="235"/>
        <v>0</v>
      </c>
      <c r="U129">
        <f t="shared" ca="1" si="235"/>
        <v>0</v>
      </c>
      <c r="V129">
        <f t="shared" ca="1" si="235"/>
        <v>0</v>
      </c>
      <c r="W129">
        <f t="shared" ca="1" si="235"/>
        <v>0</v>
      </c>
      <c r="X129">
        <f t="shared" ca="1" si="235"/>
        <v>0</v>
      </c>
      <c r="Y129">
        <f t="shared" ca="1" si="235"/>
        <v>0</v>
      </c>
      <c r="Z129">
        <f t="shared" ca="1" si="235"/>
        <v>0</v>
      </c>
      <c r="AA129">
        <f t="shared" ca="1" si="235"/>
        <v>0</v>
      </c>
      <c r="AB129">
        <f t="shared" ca="1" si="235"/>
        <v>0</v>
      </c>
      <c r="AC129">
        <f t="shared" ca="1" si="235"/>
        <v>0</v>
      </c>
      <c r="AD129">
        <f t="shared" ca="1" si="235"/>
        <v>0</v>
      </c>
      <c r="AE129">
        <f t="shared" ca="1" si="235"/>
        <v>0</v>
      </c>
      <c r="AF129">
        <f t="shared" ca="1" si="235"/>
        <v>0</v>
      </c>
      <c r="AG129">
        <f t="shared" ca="1" si="235"/>
        <v>0</v>
      </c>
      <c r="AH129">
        <f t="shared" ca="1" si="235"/>
        <v>0</v>
      </c>
      <c r="AI129">
        <f t="shared" ca="1" si="235"/>
        <v>0</v>
      </c>
      <c r="AJ129">
        <f t="shared" ca="1" si="235"/>
        <v>0</v>
      </c>
      <c r="AK129">
        <f t="shared" ca="1" si="235"/>
        <v>0</v>
      </c>
      <c r="AL129">
        <f t="shared" ca="1" si="235"/>
        <v>0</v>
      </c>
      <c r="AM129">
        <f t="shared" ca="1" si="235"/>
        <v>0</v>
      </c>
      <c r="AN129">
        <f t="shared" ca="1" si="235"/>
        <v>0</v>
      </c>
      <c r="AO129">
        <f t="shared" ca="1" si="235"/>
        <v>0</v>
      </c>
      <c r="AP129">
        <f t="shared" ca="1" si="235"/>
        <v>0</v>
      </c>
      <c r="AQ129">
        <f t="shared" ca="1" si="235"/>
        <v>0</v>
      </c>
      <c r="AR129">
        <f t="shared" ca="1" si="235"/>
        <v>0</v>
      </c>
      <c r="AS129">
        <f t="shared" ca="1" si="235"/>
        <v>0</v>
      </c>
      <c r="AT129">
        <f t="shared" ca="1" si="235"/>
        <v>0</v>
      </c>
      <c r="AU129">
        <f t="shared" ca="1" si="235"/>
        <v>0</v>
      </c>
      <c r="AV129">
        <f t="shared" ca="1" si="235"/>
        <v>0</v>
      </c>
      <c r="AW129">
        <f t="shared" ca="1" si="235"/>
        <v>0</v>
      </c>
      <c r="AX129">
        <f t="shared" ca="1" si="235"/>
        <v>0</v>
      </c>
      <c r="AY129">
        <f t="shared" ca="1" si="235"/>
        <v>0</v>
      </c>
      <c r="AZ129">
        <f t="shared" ca="1" si="235"/>
        <v>0</v>
      </c>
      <c r="BA129">
        <f t="shared" ca="1" si="235"/>
        <v>0</v>
      </c>
    </row>
    <row r="130" spans="1:101" x14ac:dyDescent="0.25">
      <c r="A130" t="str">
        <f>Setup!A30</f>
        <v>Caseload 11</v>
      </c>
      <c r="B130">
        <f t="shared" ref="B130:BA130" ca="1" si="236">B94+B112</f>
        <v>0</v>
      </c>
      <c r="C130">
        <f t="shared" ca="1" si="236"/>
        <v>0</v>
      </c>
      <c r="D130">
        <f t="shared" ca="1" si="236"/>
        <v>0</v>
      </c>
      <c r="E130">
        <f t="shared" ca="1" si="236"/>
        <v>0</v>
      </c>
      <c r="F130">
        <f t="shared" ca="1" si="236"/>
        <v>0</v>
      </c>
      <c r="G130">
        <f t="shared" ca="1" si="236"/>
        <v>0</v>
      </c>
      <c r="H130">
        <f t="shared" ca="1" si="236"/>
        <v>0</v>
      </c>
      <c r="I130">
        <f t="shared" ca="1" si="236"/>
        <v>0</v>
      </c>
      <c r="J130">
        <f t="shared" ca="1" si="236"/>
        <v>0</v>
      </c>
      <c r="K130">
        <f t="shared" ca="1" si="236"/>
        <v>0</v>
      </c>
      <c r="L130">
        <f t="shared" ca="1" si="236"/>
        <v>0</v>
      </c>
      <c r="M130">
        <f t="shared" ca="1" si="236"/>
        <v>0</v>
      </c>
      <c r="N130">
        <f t="shared" ca="1" si="236"/>
        <v>0</v>
      </c>
      <c r="O130">
        <f t="shared" ca="1" si="236"/>
        <v>0</v>
      </c>
      <c r="P130">
        <f t="shared" ca="1" si="236"/>
        <v>0</v>
      </c>
      <c r="Q130">
        <f t="shared" ca="1" si="236"/>
        <v>0</v>
      </c>
      <c r="R130">
        <f t="shared" ca="1" si="236"/>
        <v>0</v>
      </c>
      <c r="S130">
        <f t="shared" ca="1" si="236"/>
        <v>0</v>
      </c>
      <c r="T130">
        <f t="shared" ca="1" si="236"/>
        <v>0</v>
      </c>
      <c r="U130">
        <f t="shared" ca="1" si="236"/>
        <v>0</v>
      </c>
      <c r="V130">
        <f t="shared" ca="1" si="236"/>
        <v>0</v>
      </c>
      <c r="W130">
        <f t="shared" ca="1" si="236"/>
        <v>0</v>
      </c>
      <c r="X130">
        <f t="shared" ca="1" si="236"/>
        <v>0</v>
      </c>
      <c r="Y130">
        <f t="shared" ca="1" si="236"/>
        <v>0</v>
      </c>
      <c r="Z130">
        <f t="shared" ca="1" si="236"/>
        <v>0</v>
      </c>
      <c r="AA130">
        <f t="shared" ca="1" si="236"/>
        <v>0</v>
      </c>
      <c r="AB130">
        <f t="shared" ca="1" si="236"/>
        <v>0</v>
      </c>
      <c r="AC130">
        <f t="shared" ca="1" si="236"/>
        <v>0</v>
      </c>
      <c r="AD130">
        <f t="shared" ca="1" si="236"/>
        <v>0</v>
      </c>
      <c r="AE130">
        <f t="shared" ca="1" si="236"/>
        <v>0</v>
      </c>
      <c r="AF130">
        <f t="shared" ca="1" si="236"/>
        <v>0</v>
      </c>
      <c r="AG130">
        <f t="shared" ca="1" si="236"/>
        <v>0</v>
      </c>
      <c r="AH130">
        <f t="shared" ca="1" si="236"/>
        <v>0</v>
      </c>
      <c r="AI130">
        <f t="shared" ca="1" si="236"/>
        <v>0</v>
      </c>
      <c r="AJ130">
        <f t="shared" ca="1" si="236"/>
        <v>0</v>
      </c>
      <c r="AK130">
        <f t="shared" ca="1" si="236"/>
        <v>0</v>
      </c>
      <c r="AL130">
        <f t="shared" ca="1" si="236"/>
        <v>0</v>
      </c>
      <c r="AM130">
        <f t="shared" ca="1" si="236"/>
        <v>0</v>
      </c>
      <c r="AN130">
        <f t="shared" ca="1" si="236"/>
        <v>0</v>
      </c>
      <c r="AO130">
        <f t="shared" ca="1" si="236"/>
        <v>0</v>
      </c>
      <c r="AP130">
        <f t="shared" ca="1" si="236"/>
        <v>0</v>
      </c>
      <c r="AQ130">
        <f t="shared" ca="1" si="236"/>
        <v>0</v>
      </c>
      <c r="AR130">
        <f t="shared" ca="1" si="236"/>
        <v>0</v>
      </c>
      <c r="AS130">
        <f t="shared" ca="1" si="236"/>
        <v>0</v>
      </c>
      <c r="AT130">
        <f t="shared" ca="1" si="236"/>
        <v>0</v>
      </c>
      <c r="AU130">
        <f t="shared" ca="1" si="236"/>
        <v>0</v>
      </c>
      <c r="AV130">
        <f t="shared" ca="1" si="236"/>
        <v>0</v>
      </c>
      <c r="AW130">
        <f t="shared" ca="1" si="236"/>
        <v>0</v>
      </c>
      <c r="AX130">
        <f t="shared" ca="1" si="236"/>
        <v>0</v>
      </c>
      <c r="AY130">
        <f t="shared" ca="1" si="236"/>
        <v>0</v>
      </c>
      <c r="AZ130">
        <f t="shared" ca="1" si="236"/>
        <v>0</v>
      </c>
      <c r="BA130">
        <f t="shared" ca="1" si="236"/>
        <v>0</v>
      </c>
    </row>
    <row r="131" spans="1:101" x14ac:dyDescent="0.25">
      <c r="A131" t="str">
        <f>Setup!A31</f>
        <v>Caseload 12</v>
      </c>
      <c r="B131">
        <f t="shared" ref="B131:BA131" ca="1" si="237">B95+B113</f>
        <v>0</v>
      </c>
      <c r="C131">
        <f t="shared" ca="1" si="237"/>
        <v>0</v>
      </c>
      <c r="D131">
        <f t="shared" ca="1" si="237"/>
        <v>0</v>
      </c>
      <c r="E131">
        <f t="shared" ca="1" si="237"/>
        <v>0</v>
      </c>
      <c r="F131">
        <f t="shared" ca="1" si="237"/>
        <v>0</v>
      </c>
      <c r="G131">
        <f t="shared" ca="1" si="237"/>
        <v>0</v>
      </c>
      <c r="H131">
        <f t="shared" ca="1" si="237"/>
        <v>0</v>
      </c>
      <c r="I131">
        <f t="shared" ca="1" si="237"/>
        <v>0</v>
      </c>
      <c r="J131">
        <f t="shared" ca="1" si="237"/>
        <v>0</v>
      </c>
      <c r="K131">
        <f t="shared" ca="1" si="237"/>
        <v>0</v>
      </c>
      <c r="L131">
        <f t="shared" ca="1" si="237"/>
        <v>0</v>
      </c>
      <c r="M131">
        <f t="shared" ca="1" si="237"/>
        <v>0</v>
      </c>
      <c r="N131">
        <f t="shared" ca="1" si="237"/>
        <v>0</v>
      </c>
      <c r="O131">
        <f t="shared" ca="1" si="237"/>
        <v>0</v>
      </c>
      <c r="P131">
        <f t="shared" ca="1" si="237"/>
        <v>0</v>
      </c>
      <c r="Q131">
        <f t="shared" ca="1" si="237"/>
        <v>0</v>
      </c>
      <c r="R131">
        <f t="shared" ca="1" si="237"/>
        <v>0</v>
      </c>
      <c r="S131">
        <f t="shared" ca="1" si="237"/>
        <v>0</v>
      </c>
      <c r="T131">
        <f t="shared" ca="1" si="237"/>
        <v>0</v>
      </c>
      <c r="U131">
        <f t="shared" ca="1" si="237"/>
        <v>0</v>
      </c>
      <c r="V131">
        <f t="shared" ca="1" si="237"/>
        <v>0</v>
      </c>
      <c r="W131">
        <f t="shared" ca="1" si="237"/>
        <v>0</v>
      </c>
      <c r="X131">
        <f t="shared" ca="1" si="237"/>
        <v>0</v>
      </c>
      <c r="Y131">
        <f t="shared" ca="1" si="237"/>
        <v>0</v>
      </c>
      <c r="Z131">
        <f t="shared" ca="1" si="237"/>
        <v>0</v>
      </c>
      <c r="AA131">
        <f t="shared" ca="1" si="237"/>
        <v>0</v>
      </c>
      <c r="AB131">
        <f t="shared" ca="1" si="237"/>
        <v>0</v>
      </c>
      <c r="AC131">
        <f t="shared" ca="1" si="237"/>
        <v>0</v>
      </c>
      <c r="AD131">
        <f t="shared" ca="1" si="237"/>
        <v>0</v>
      </c>
      <c r="AE131">
        <f t="shared" ca="1" si="237"/>
        <v>0</v>
      </c>
      <c r="AF131">
        <f t="shared" ca="1" si="237"/>
        <v>0</v>
      </c>
      <c r="AG131">
        <f t="shared" ca="1" si="237"/>
        <v>0</v>
      </c>
      <c r="AH131">
        <f t="shared" ca="1" si="237"/>
        <v>0</v>
      </c>
      <c r="AI131">
        <f t="shared" ca="1" si="237"/>
        <v>0</v>
      </c>
      <c r="AJ131">
        <f t="shared" ca="1" si="237"/>
        <v>0</v>
      </c>
      <c r="AK131">
        <f t="shared" ca="1" si="237"/>
        <v>0</v>
      </c>
      <c r="AL131">
        <f t="shared" ca="1" si="237"/>
        <v>0</v>
      </c>
      <c r="AM131">
        <f t="shared" ca="1" si="237"/>
        <v>0</v>
      </c>
      <c r="AN131">
        <f t="shared" ca="1" si="237"/>
        <v>0</v>
      </c>
      <c r="AO131">
        <f t="shared" ca="1" si="237"/>
        <v>0</v>
      </c>
      <c r="AP131">
        <f t="shared" ca="1" si="237"/>
        <v>0</v>
      </c>
      <c r="AQ131">
        <f t="shared" ca="1" si="237"/>
        <v>0</v>
      </c>
      <c r="AR131">
        <f t="shared" ca="1" si="237"/>
        <v>0</v>
      </c>
      <c r="AS131">
        <f t="shared" ca="1" si="237"/>
        <v>0</v>
      </c>
      <c r="AT131">
        <f t="shared" ca="1" si="237"/>
        <v>0</v>
      </c>
      <c r="AU131">
        <f t="shared" ca="1" si="237"/>
        <v>0</v>
      </c>
      <c r="AV131">
        <f t="shared" ca="1" si="237"/>
        <v>0</v>
      </c>
      <c r="AW131">
        <f t="shared" ca="1" si="237"/>
        <v>0</v>
      </c>
      <c r="AX131">
        <f t="shared" ca="1" si="237"/>
        <v>0</v>
      </c>
      <c r="AY131">
        <f t="shared" ca="1" si="237"/>
        <v>0</v>
      </c>
      <c r="AZ131">
        <f t="shared" ca="1" si="237"/>
        <v>0</v>
      </c>
      <c r="BA131">
        <f t="shared" ca="1" si="237"/>
        <v>0</v>
      </c>
    </row>
    <row r="132" spans="1:101" x14ac:dyDescent="0.25">
      <c r="A132" t="str">
        <f>Setup!A32</f>
        <v>Caseload 13</v>
      </c>
      <c r="B132">
        <f t="shared" ref="B132:BA132" ca="1" si="238">B96+B114</f>
        <v>0</v>
      </c>
      <c r="C132">
        <f t="shared" ca="1" si="238"/>
        <v>0</v>
      </c>
      <c r="D132">
        <f t="shared" ca="1" si="238"/>
        <v>0</v>
      </c>
      <c r="E132">
        <f t="shared" ca="1" si="238"/>
        <v>0</v>
      </c>
      <c r="F132">
        <f t="shared" ca="1" si="238"/>
        <v>0</v>
      </c>
      <c r="G132">
        <f t="shared" ca="1" si="238"/>
        <v>0</v>
      </c>
      <c r="H132">
        <f t="shared" ca="1" si="238"/>
        <v>0</v>
      </c>
      <c r="I132">
        <f t="shared" ca="1" si="238"/>
        <v>0</v>
      </c>
      <c r="J132">
        <f t="shared" ca="1" si="238"/>
        <v>0</v>
      </c>
      <c r="K132">
        <f t="shared" ca="1" si="238"/>
        <v>0</v>
      </c>
      <c r="L132">
        <f t="shared" ca="1" si="238"/>
        <v>0</v>
      </c>
      <c r="M132">
        <f t="shared" ca="1" si="238"/>
        <v>0</v>
      </c>
      <c r="N132">
        <f t="shared" ca="1" si="238"/>
        <v>0</v>
      </c>
      <c r="O132">
        <f t="shared" ca="1" si="238"/>
        <v>0</v>
      </c>
      <c r="P132">
        <f t="shared" ca="1" si="238"/>
        <v>0</v>
      </c>
      <c r="Q132">
        <f t="shared" ca="1" si="238"/>
        <v>0</v>
      </c>
      <c r="R132">
        <f t="shared" ca="1" si="238"/>
        <v>0</v>
      </c>
      <c r="S132">
        <f t="shared" ca="1" si="238"/>
        <v>0</v>
      </c>
      <c r="T132">
        <f t="shared" ca="1" si="238"/>
        <v>0</v>
      </c>
      <c r="U132">
        <f t="shared" ca="1" si="238"/>
        <v>0</v>
      </c>
      <c r="V132">
        <f t="shared" ca="1" si="238"/>
        <v>0</v>
      </c>
      <c r="W132">
        <f t="shared" ca="1" si="238"/>
        <v>0</v>
      </c>
      <c r="X132">
        <f t="shared" ca="1" si="238"/>
        <v>0</v>
      </c>
      <c r="Y132">
        <f t="shared" ca="1" si="238"/>
        <v>0</v>
      </c>
      <c r="Z132">
        <f t="shared" ca="1" si="238"/>
        <v>0</v>
      </c>
      <c r="AA132">
        <f t="shared" ca="1" si="238"/>
        <v>0</v>
      </c>
      <c r="AB132">
        <f t="shared" ca="1" si="238"/>
        <v>0</v>
      </c>
      <c r="AC132">
        <f t="shared" ca="1" si="238"/>
        <v>0</v>
      </c>
      <c r="AD132">
        <f t="shared" ca="1" si="238"/>
        <v>0</v>
      </c>
      <c r="AE132">
        <f t="shared" ca="1" si="238"/>
        <v>0</v>
      </c>
      <c r="AF132">
        <f t="shared" ca="1" si="238"/>
        <v>0</v>
      </c>
      <c r="AG132">
        <f t="shared" ca="1" si="238"/>
        <v>0</v>
      </c>
      <c r="AH132">
        <f t="shared" ca="1" si="238"/>
        <v>0</v>
      </c>
      <c r="AI132">
        <f t="shared" ca="1" si="238"/>
        <v>0</v>
      </c>
      <c r="AJ132">
        <f t="shared" ca="1" si="238"/>
        <v>0</v>
      </c>
      <c r="AK132">
        <f t="shared" ca="1" si="238"/>
        <v>0</v>
      </c>
      <c r="AL132">
        <f t="shared" ca="1" si="238"/>
        <v>0</v>
      </c>
      <c r="AM132">
        <f t="shared" ca="1" si="238"/>
        <v>0</v>
      </c>
      <c r="AN132">
        <f t="shared" ca="1" si="238"/>
        <v>0</v>
      </c>
      <c r="AO132">
        <f t="shared" ca="1" si="238"/>
        <v>0</v>
      </c>
      <c r="AP132">
        <f t="shared" ca="1" si="238"/>
        <v>0</v>
      </c>
      <c r="AQ132">
        <f t="shared" ca="1" si="238"/>
        <v>0</v>
      </c>
      <c r="AR132">
        <f t="shared" ca="1" si="238"/>
        <v>0</v>
      </c>
      <c r="AS132">
        <f t="shared" ca="1" si="238"/>
        <v>0</v>
      </c>
      <c r="AT132">
        <f t="shared" ca="1" si="238"/>
        <v>0</v>
      </c>
      <c r="AU132">
        <f t="shared" ca="1" si="238"/>
        <v>0</v>
      </c>
      <c r="AV132">
        <f t="shared" ca="1" si="238"/>
        <v>0</v>
      </c>
      <c r="AW132">
        <f t="shared" ca="1" si="238"/>
        <v>0</v>
      </c>
      <c r="AX132">
        <f t="shared" ca="1" si="238"/>
        <v>0</v>
      </c>
      <c r="AY132">
        <f t="shared" ca="1" si="238"/>
        <v>0</v>
      </c>
      <c r="AZ132">
        <f t="shared" ca="1" si="238"/>
        <v>0</v>
      </c>
      <c r="BA132">
        <f t="shared" ca="1" si="238"/>
        <v>0</v>
      </c>
    </row>
    <row r="133" spans="1:101" x14ac:dyDescent="0.25">
      <c r="A133" t="str">
        <f>Setup!A33</f>
        <v>Caseload 14</v>
      </c>
      <c r="B133">
        <f t="shared" ref="B133:BA133" ca="1" si="239">B97+B115</f>
        <v>0</v>
      </c>
      <c r="C133">
        <f t="shared" ca="1" si="239"/>
        <v>0</v>
      </c>
      <c r="D133">
        <f t="shared" ca="1" si="239"/>
        <v>0</v>
      </c>
      <c r="E133">
        <f t="shared" ca="1" si="239"/>
        <v>0</v>
      </c>
      <c r="F133">
        <f t="shared" ca="1" si="239"/>
        <v>0</v>
      </c>
      <c r="G133">
        <f t="shared" ca="1" si="239"/>
        <v>0</v>
      </c>
      <c r="H133">
        <f t="shared" ca="1" si="239"/>
        <v>0</v>
      </c>
      <c r="I133">
        <f t="shared" ca="1" si="239"/>
        <v>0</v>
      </c>
      <c r="J133">
        <f t="shared" ca="1" si="239"/>
        <v>0</v>
      </c>
      <c r="K133">
        <f t="shared" ca="1" si="239"/>
        <v>0</v>
      </c>
      <c r="L133">
        <f t="shared" ca="1" si="239"/>
        <v>0</v>
      </c>
      <c r="M133">
        <f t="shared" ca="1" si="239"/>
        <v>0</v>
      </c>
      <c r="N133">
        <f t="shared" ca="1" si="239"/>
        <v>0</v>
      </c>
      <c r="O133">
        <f t="shared" ca="1" si="239"/>
        <v>0</v>
      </c>
      <c r="P133">
        <f t="shared" ca="1" si="239"/>
        <v>0</v>
      </c>
      <c r="Q133">
        <f t="shared" ca="1" si="239"/>
        <v>0</v>
      </c>
      <c r="R133">
        <f t="shared" ca="1" si="239"/>
        <v>0</v>
      </c>
      <c r="S133">
        <f t="shared" ca="1" si="239"/>
        <v>0</v>
      </c>
      <c r="T133">
        <f t="shared" ca="1" si="239"/>
        <v>0</v>
      </c>
      <c r="U133">
        <f t="shared" ca="1" si="239"/>
        <v>0</v>
      </c>
      <c r="V133">
        <f t="shared" ca="1" si="239"/>
        <v>0</v>
      </c>
      <c r="W133">
        <f t="shared" ca="1" si="239"/>
        <v>0</v>
      </c>
      <c r="X133">
        <f t="shared" ca="1" si="239"/>
        <v>0</v>
      </c>
      <c r="Y133">
        <f t="shared" ca="1" si="239"/>
        <v>0</v>
      </c>
      <c r="Z133">
        <f t="shared" ca="1" si="239"/>
        <v>0</v>
      </c>
      <c r="AA133">
        <f t="shared" ca="1" si="239"/>
        <v>0</v>
      </c>
      <c r="AB133">
        <f t="shared" ca="1" si="239"/>
        <v>0</v>
      </c>
      <c r="AC133">
        <f t="shared" ca="1" si="239"/>
        <v>0</v>
      </c>
      <c r="AD133">
        <f t="shared" ca="1" si="239"/>
        <v>0</v>
      </c>
      <c r="AE133">
        <f t="shared" ca="1" si="239"/>
        <v>0</v>
      </c>
      <c r="AF133">
        <f t="shared" ca="1" si="239"/>
        <v>0</v>
      </c>
      <c r="AG133">
        <f t="shared" ca="1" si="239"/>
        <v>0</v>
      </c>
      <c r="AH133">
        <f t="shared" ca="1" si="239"/>
        <v>0</v>
      </c>
      <c r="AI133">
        <f t="shared" ca="1" si="239"/>
        <v>0</v>
      </c>
      <c r="AJ133">
        <f t="shared" ca="1" si="239"/>
        <v>0</v>
      </c>
      <c r="AK133">
        <f t="shared" ca="1" si="239"/>
        <v>0</v>
      </c>
      <c r="AL133">
        <f t="shared" ca="1" si="239"/>
        <v>0</v>
      </c>
      <c r="AM133">
        <f t="shared" ca="1" si="239"/>
        <v>0</v>
      </c>
      <c r="AN133">
        <f t="shared" ca="1" si="239"/>
        <v>0</v>
      </c>
      <c r="AO133">
        <f t="shared" ca="1" si="239"/>
        <v>0</v>
      </c>
      <c r="AP133">
        <f t="shared" ca="1" si="239"/>
        <v>0</v>
      </c>
      <c r="AQ133">
        <f t="shared" ca="1" si="239"/>
        <v>0</v>
      </c>
      <c r="AR133">
        <f t="shared" ca="1" si="239"/>
        <v>0</v>
      </c>
      <c r="AS133">
        <f t="shared" ca="1" si="239"/>
        <v>0</v>
      </c>
      <c r="AT133">
        <f t="shared" ca="1" si="239"/>
        <v>0</v>
      </c>
      <c r="AU133">
        <f t="shared" ca="1" si="239"/>
        <v>0</v>
      </c>
      <c r="AV133">
        <f t="shared" ca="1" si="239"/>
        <v>0</v>
      </c>
      <c r="AW133">
        <f t="shared" ca="1" si="239"/>
        <v>0</v>
      </c>
      <c r="AX133">
        <f t="shared" ca="1" si="239"/>
        <v>0</v>
      </c>
      <c r="AY133">
        <f t="shared" ca="1" si="239"/>
        <v>0</v>
      </c>
      <c r="AZ133">
        <f t="shared" ca="1" si="239"/>
        <v>0</v>
      </c>
      <c r="BA133">
        <f t="shared" ca="1" si="239"/>
        <v>0</v>
      </c>
    </row>
    <row r="134" spans="1:101" x14ac:dyDescent="0.25">
      <c r="A134" t="str">
        <f>Setup!A34</f>
        <v>Caseload 15</v>
      </c>
      <c r="B134">
        <f t="shared" ref="B134:BA134" ca="1" si="240">B98+B116</f>
        <v>0</v>
      </c>
      <c r="C134">
        <f t="shared" ca="1" si="240"/>
        <v>0</v>
      </c>
      <c r="D134">
        <f t="shared" ca="1" si="240"/>
        <v>0</v>
      </c>
      <c r="E134">
        <f t="shared" ca="1" si="240"/>
        <v>0</v>
      </c>
      <c r="F134">
        <f t="shared" ca="1" si="240"/>
        <v>0</v>
      </c>
      <c r="G134">
        <f t="shared" ca="1" si="240"/>
        <v>0</v>
      </c>
      <c r="H134">
        <f t="shared" ca="1" si="240"/>
        <v>0</v>
      </c>
      <c r="I134">
        <f t="shared" ca="1" si="240"/>
        <v>0</v>
      </c>
      <c r="J134">
        <f t="shared" ca="1" si="240"/>
        <v>0</v>
      </c>
      <c r="K134">
        <f t="shared" ca="1" si="240"/>
        <v>0</v>
      </c>
      <c r="L134">
        <f t="shared" ca="1" si="240"/>
        <v>0</v>
      </c>
      <c r="M134">
        <f t="shared" ca="1" si="240"/>
        <v>0</v>
      </c>
      <c r="N134">
        <f t="shared" ca="1" si="240"/>
        <v>0</v>
      </c>
      <c r="O134">
        <f t="shared" ca="1" si="240"/>
        <v>0</v>
      </c>
      <c r="P134">
        <f t="shared" ca="1" si="240"/>
        <v>0</v>
      </c>
      <c r="Q134">
        <f t="shared" ca="1" si="240"/>
        <v>0</v>
      </c>
      <c r="R134">
        <f t="shared" ca="1" si="240"/>
        <v>0</v>
      </c>
      <c r="S134">
        <f t="shared" ca="1" si="240"/>
        <v>0</v>
      </c>
      <c r="T134">
        <f t="shared" ca="1" si="240"/>
        <v>0</v>
      </c>
      <c r="U134">
        <f t="shared" ca="1" si="240"/>
        <v>0</v>
      </c>
      <c r="V134">
        <f t="shared" ca="1" si="240"/>
        <v>0</v>
      </c>
      <c r="W134">
        <f t="shared" ca="1" si="240"/>
        <v>0</v>
      </c>
      <c r="X134">
        <f t="shared" ca="1" si="240"/>
        <v>0</v>
      </c>
      <c r="Y134">
        <f t="shared" ca="1" si="240"/>
        <v>0</v>
      </c>
      <c r="Z134">
        <f t="shared" ca="1" si="240"/>
        <v>0</v>
      </c>
      <c r="AA134">
        <f t="shared" ca="1" si="240"/>
        <v>0</v>
      </c>
      <c r="AB134">
        <f t="shared" ca="1" si="240"/>
        <v>0</v>
      </c>
      <c r="AC134">
        <f t="shared" ca="1" si="240"/>
        <v>0</v>
      </c>
      <c r="AD134">
        <f t="shared" ca="1" si="240"/>
        <v>0</v>
      </c>
      <c r="AE134">
        <f t="shared" ca="1" si="240"/>
        <v>0</v>
      </c>
      <c r="AF134">
        <f t="shared" ca="1" si="240"/>
        <v>0</v>
      </c>
      <c r="AG134">
        <f t="shared" ca="1" si="240"/>
        <v>0</v>
      </c>
      <c r="AH134">
        <f t="shared" ca="1" si="240"/>
        <v>0</v>
      </c>
      <c r="AI134">
        <f t="shared" ca="1" si="240"/>
        <v>0</v>
      </c>
      <c r="AJ134">
        <f t="shared" ca="1" si="240"/>
        <v>0</v>
      </c>
      <c r="AK134">
        <f t="shared" ca="1" si="240"/>
        <v>0</v>
      </c>
      <c r="AL134">
        <f t="shared" ca="1" si="240"/>
        <v>0</v>
      </c>
      <c r="AM134">
        <f t="shared" ca="1" si="240"/>
        <v>0</v>
      </c>
      <c r="AN134">
        <f t="shared" ca="1" si="240"/>
        <v>0</v>
      </c>
      <c r="AO134">
        <f t="shared" ca="1" si="240"/>
        <v>0</v>
      </c>
      <c r="AP134">
        <f t="shared" ca="1" si="240"/>
        <v>0</v>
      </c>
      <c r="AQ134">
        <f t="shared" ca="1" si="240"/>
        <v>0</v>
      </c>
      <c r="AR134">
        <f t="shared" ca="1" si="240"/>
        <v>0</v>
      </c>
      <c r="AS134">
        <f t="shared" ca="1" si="240"/>
        <v>0</v>
      </c>
      <c r="AT134">
        <f t="shared" ca="1" si="240"/>
        <v>0</v>
      </c>
      <c r="AU134">
        <f t="shared" ca="1" si="240"/>
        <v>0</v>
      </c>
      <c r="AV134">
        <f t="shared" ca="1" si="240"/>
        <v>0</v>
      </c>
      <c r="AW134">
        <f t="shared" ca="1" si="240"/>
        <v>0</v>
      </c>
      <c r="AX134">
        <f t="shared" ca="1" si="240"/>
        <v>0</v>
      </c>
      <c r="AY134">
        <f t="shared" ca="1" si="240"/>
        <v>0</v>
      </c>
      <c r="AZ134">
        <f t="shared" ca="1" si="240"/>
        <v>0</v>
      </c>
      <c r="BA134">
        <f t="shared" ca="1" si="240"/>
        <v>0</v>
      </c>
    </row>
    <row r="135" spans="1:101" x14ac:dyDescent="0.25">
      <c r="A135" t="str">
        <f>'Data Validation (Hide)'!T2</f>
        <v>All Clusters</v>
      </c>
      <c r="B135">
        <f ca="1">SUM(B120:B134)</f>
        <v>0</v>
      </c>
      <c r="C135">
        <f t="shared" ref="C135:BA135" ca="1" si="241">SUM(C120:C134)</f>
        <v>0</v>
      </c>
      <c r="D135">
        <f t="shared" ca="1" si="241"/>
        <v>0</v>
      </c>
      <c r="E135">
        <f t="shared" ca="1" si="241"/>
        <v>0</v>
      </c>
      <c r="F135">
        <f t="shared" ca="1" si="241"/>
        <v>0</v>
      </c>
      <c r="G135">
        <f t="shared" ca="1" si="241"/>
        <v>0</v>
      </c>
      <c r="H135">
        <f t="shared" ca="1" si="241"/>
        <v>0</v>
      </c>
      <c r="I135">
        <f t="shared" ca="1" si="241"/>
        <v>0</v>
      </c>
      <c r="J135">
        <f t="shared" ca="1" si="241"/>
        <v>0</v>
      </c>
      <c r="K135">
        <f t="shared" ca="1" si="241"/>
        <v>0</v>
      </c>
      <c r="L135">
        <f t="shared" ca="1" si="241"/>
        <v>0</v>
      </c>
      <c r="M135">
        <f t="shared" ca="1" si="241"/>
        <v>0</v>
      </c>
      <c r="N135">
        <f t="shared" ca="1" si="241"/>
        <v>0</v>
      </c>
      <c r="O135">
        <f t="shared" ca="1" si="241"/>
        <v>0</v>
      </c>
      <c r="P135">
        <f t="shared" ca="1" si="241"/>
        <v>0</v>
      </c>
      <c r="Q135">
        <f t="shared" ca="1" si="241"/>
        <v>0</v>
      </c>
      <c r="R135">
        <f t="shared" ca="1" si="241"/>
        <v>0</v>
      </c>
      <c r="S135">
        <f t="shared" ca="1" si="241"/>
        <v>0</v>
      </c>
      <c r="T135">
        <f t="shared" ca="1" si="241"/>
        <v>0</v>
      </c>
      <c r="U135">
        <f t="shared" ca="1" si="241"/>
        <v>0</v>
      </c>
      <c r="V135">
        <f t="shared" ca="1" si="241"/>
        <v>0</v>
      </c>
      <c r="W135">
        <f t="shared" ca="1" si="241"/>
        <v>0</v>
      </c>
      <c r="X135">
        <f t="shared" ca="1" si="241"/>
        <v>0</v>
      </c>
      <c r="Y135">
        <f t="shared" ca="1" si="241"/>
        <v>0</v>
      </c>
      <c r="Z135">
        <f t="shared" ca="1" si="241"/>
        <v>0</v>
      </c>
      <c r="AA135">
        <f t="shared" ca="1" si="241"/>
        <v>0</v>
      </c>
      <c r="AB135">
        <f t="shared" ca="1" si="241"/>
        <v>0</v>
      </c>
      <c r="AC135">
        <f t="shared" ca="1" si="241"/>
        <v>0</v>
      </c>
      <c r="AD135">
        <f t="shared" ca="1" si="241"/>
        <v>0</v>
      </c>
      <c r="AE135">
        <f t="shared" ca="1" si="241"/>
        <v>0</v>
      </c>
      <c r="AF135">
        <f t="shared" ca="1" si="241"/>
        <v>0</v>
      </c>
      <c r="AG135">
        <f t="shared" ca="1" si="241"/>
        <v>0</v>
      </c>
      <c r="AH135">
        <f t="shared" ca="1" si="241"/>
        <v>0</v>
      </c>
      <c r="AI135">
        <f t="shared" ca="1" si="241"/>
        <v>0</v>
      </c>
      <c r="AJ135">
        <f t="shared" ca="1" si="241"/>
        <v>0</v>
      </c>
      <c r="AK135">
        <f t="shared" ca="1" si="241"/>
        <v>0</v>
      </c>
      <c r="AL135">
        <f t="shared" ca="1" si="241"/>
        <v>0</v>
      </c>
      <c r="AM135">
        <f t="shared" ca="1" si="241"/>
        <v>0</v>
      </c>
      <c r="AN135">
        <f t="shared" ca="1" si="241"/>
        <v>0</v>
      </c>
      <c r="AO135">
        <f t="shared" ca="1" si="241"/>
        <v>0</v>
      </c>
      <c r="AP135">
        <f t="shared" ca="1" si="241"/>
        <v>0</v>
      </c>
      <c r="AQ135">
        <f t="shared" ca="1" si="241"/>
        <v>0</v>
      </c>
      <c r="AR135">
        <f t="shared" ca="1" si="241"/>
        <v>0</v>
      </c>
      <c r="AS135">
        <f t="shared" ca="1" si="241"/>
        <v>0</v>
      </c>
      <c r="AT135">
        <f t="shared" ca="1" si="241"/>
        <v>0</v>
      </c>
      <c r="AU135">
        <f t="shared" ca="1" si="241"/>
        <v>0</v>
      </c>
      <c r="AV135">
        <f t="shared" ca="1" si="241"/>
        <v>0</v>
      </c>
      <c r="AW135">
        <f t="shared" ca="1" si="241"/>
        <v>0</v>
      </c>
      <c r="AX135">
        <f t="shared" ca="1" si="241"/>
        <v>0</v>
      </c>
      <c r="AY135">
        <f t="shared" ca="1" si="241"/>
        <v>0</v>
      </c>
      <c r="AZ135">
        <f t="shared" ca="1" si="241"/>
        <v>0</v>
      </c>
      <c r="BA135">
        <f t="shared" ca="1" si="241"/>
        <v>0</v>
      </c>
    </row>
    <row r="137" spans="1:101" ht="18.75" x14ac:dyDescent="0.3">
      <c r="A137" s="87" t="s">
        <v>255</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0</v>
      </c>
      <c r="C140">
        <f t="shared" ref="C140:M140" si="242">(C139*C138)/52</f>
        <v>0</v>
      </c>
      <c r="D140">
        <f t="shared" si="242"/>
        <v>0</v>
      </c>
      <c r="E140">
        <f t="shared" si="242"/>
        <v>0</v>
      </c>
      <c r="F140">
        <f t="shared" si="242"/>
        <v>0</v>
      </c>
      <c r="G140">
        <f t="shared" si="242"/>
        <v>0</v>
      </c>
      <c r="H140">
        <f t="shared" si="242"/>
        <v>0</v>
      </c>
      <c r="I140">
        <f t="shared" si="242"/>
        <v>0</v>
      </c>
      <c r="J140">
        <f t="shared" si="242"/>
        <v>0</v>
      </c>
      <c r="K140">
        <f t="shared" si="242"/>
        <v>0</v>
      </c>
      <c r="L140">
        <f t="shared" si="242"/>
        <v>0</v>
      </c>
      <c r="M140">
        <f t="shared" si="242"/>
        <v>0</v>
      </c>
      <c r="N140">
        <f t="shared" ref="N140:BY140" si="243">(N139*N138)/52</f>
        <v>0</v>
      </c>
      <c r="O140">
        <f t="shared" si="243"/>
        <v>0</v>
      </c>
      <c r="P140">
        <f t="shared" si="243"/>
        <v>0</v>
      </c>
      <c r="Q140">
        <f t="shared" si="243"/>
        <v>0</v>
      </c>
      <c r="R140">
        <f t="shared" si="243"/>
        <v>0</v>
      </c>
      <c r="S140">
        <f t="shared" si="243"/>
        <v>0</v>
      </c>
      <c r="T140">
        <f t="shared" si="243"/>
        <v>0</v>
      </c>
      <c r="U140">
        <f t="shared" si="243"/>
        <v>0</v>
      </c>
      <c r="V140">
        <f t="shared" si="243"/>
        <v>0</v>
      </c>
      <c r="W140">
        <f t="shared" si="243"/>
        <v>0</v>
      </c>
      <c r="X140">
        <f t="shared" si="243"/>
        <v>0</v>
      </c>
      <c r="Y140">
        <f t="shared" si="243"/>
        <v>0</v>
      </c>
      <c r="Z140">
        <f t="shared" si="243"/>
        <v>0</v>
      </c>
      <c r="AA140">
        <f t="shared" si="243"/>
        <v>0</v>
      </c>
      <c r="AB140">
        <f t="shared" si="243"/>
        <v>0</v>
      </c>
      <c r="AC140">
        <f t="shared" si="243"/>
        <v>0</v>
      </c>
      <c r="AD140">
        <f t="shared" si="243"/>
        <v>0</v>
      </c>
      <c r="AE140">
        <f t="shared" si="243"/>
        <v>0</v>
      </c>
      <c r="AF140">
        <f t="shared" si="243"/>
        <v>0</v>
      </c>
      <c r="AG140">
        <f t="shared" si="243"/>
        <v>0</v>
      </c>
      <c r="AH140">
        <f t="shared" si="243"/>
        <v>0</v>
      </c>
      <c r="AI140">
        <f t="shared" si="243"/>
        <v>0</v>
      </c>
      <c r="AJ140">
        <f t="shared" si="243"/>
        <v>0</v>
      </c>
      <c r="AK140">
        <f t="shared" si="243"/>
        <v>0</v>
      </c>
      <c r="AL140">
        <f t="shared" si="243"/>
        <v>0</v>
      </c>
      <c r="AM140">
        <f t="shared" si="243"/>
        <v>0</v>
      </c>
      <c r="AN140">
        <f t="shared" si="243"/>
        <v>0</v>
      </c>
      <c r="AO140">
        <f t="shared" si="243"/>
        <v>0</v>
      </c>
      <c r="AP140">
        <f t="shared" si="243"/>
        <v>0</v>
      </c>
      <c r="AQ140">
        <f t="shared" si="243"/>
        <v>0</v>
      </c>
      <c r="AR140">
        <f t="shared" si="243"/>
        <v>0</v>
      </c>
      <c r="AS140">
        <f t="shared" si="243"/>
        <v>0</v>
      </c>
      <c r="AT140">
        <f t="shared" si="243"/>
        <v>0</v>
      </c>
      <c r="AU140">
        <f t="shared" si="243"/>
        <v>0</v>
      </c>
      <c r="AV140">
        <f t="shared" si="243"/>
        <v>0</v>
      </c>
      <c r="AW140">
        <f t="shared" si="243"/>
        <v>0</v>
      </c>
      <c r="AX140">
        <f t="shared" si="243"/>
        <v>0</v>
      </c>
      <c r="AY140">
        <f t="shared" si="243"/>
        <v>0</v>
      </c>
      <c r="AZ140">
        <f t="shared" si="243"/>
        <v>0</v>
      </c>
      <c r="BA140">
        <f t="shared" si="243"/>
        <v>0</v>
      </c>
      <c r="BB140">
        <f t="shared" si="243"/>
        <v>0</v>
      </c>
      <c r="BC140">
        <f t="shared" si="243"/>
        <v>0</v>
      </c>
      <c r="BD140">
        <f t="shared" si="243"/>
        <v>0</v>
      </c>
      <c r="BE140">
        <f t="shared" si="243"/>
        <v>0</v>
      </c>
      <c r="BF140">
        <f t="shared" si="243"/>
        <v>0</v>
      </c>
      <c r="BG140">
        <f t="shared" si="243"/>
        <v>0</v>
      </c>
      <c r="BH140">
        <f t="shared" si="243"/>
        <v>0</v>
      </c>
      <c r="BI140">
        <f t="shared" si="243"/>
        <v>0</v>
      </c>
      <c r="BJ140">
        <f t="shared" si="243"/>
        <v>0</v>
      </c>
      <c r="BK140">
        <f t="shared" si="243"/>
        <v>0</v>
      </c>
      <c r="BL140">
        <f t="shared" si="243"/>
        <v>0</v>
      </c>
      <c r="BM140">
        <f t="shared" si="243"/>
        <v>0</v>
      </c>
      <c r="BN140">
        <f t="shared" si="243"/>
        <v>0</v>
      </c>
      <c r="BO140">
        <f t="shared" si="243"/>
        <v>0</v>
      </c>
      <c r="BP140">
        <f t="shared" si="243"/>
        <v>0</v>
      </c>
      <c r="BQ140">
        <f t="shared" si="243"/>
        <v>0</v>
      </c>
      <c r="BR140">
        <f t="shared" si="243"/>
        <v>0</v>
      </c>
      <c r="BS140">
        <f t="shared" si="243"/>
        <v>0</v>
      </c>
      <c r="BT140">
        <f t="shared" si="243"/>
        <v>0</v>
      </c>
      <c r="BU140">
        <f t="shared" si="243"/>
        <v>0</v>
      </c>
      <c r="BV140">
        <f t="shared" si="243"/>
        <v>0</v>
      </c>
      <c r="BW140">
        <f t="shared" si="243"/>
        <v>0</v>
      </c>
      <c r="BX140">
        <f t="shared" si="243"/>
        <v>0</v>
      </c>
      <c r="BY140">
        <f t="shared" si="243"/>
        <v>0</v>
      </c>
      <c r="BZ140">
        <f t="shared" ref="BZ140:CW140" si="244">(BZ139*BZ138)/52</f>
        <v>0</v>
      </c>
      <c r="CA140">
        <f t="shared" si="244"/>
        <v>0</v>
      </c>
      <c r="CB140">
        <f t="shared" si="244"/>
        <v>0</v>
      </c>
      <c r="CC140">
        <f t="shared" si="244"/>
        <v>0</v>
      </c>
      <c r="CD140">
        <f t="shared" si="244"/>
        <v>0</v>
      </c>
      <c r="CE140">
        <f t="shared" si="244"/>
        <v>0</v>
      </c>
      <c r="CF140">
        <f t="shared" si="244"/>
        <v>0</v>
      </c>
      <c r="CG140">
        <f t="shared" si="244"/>
        <v>0</v>
      </c>
      <c r="CH140">
        <f t="shared" si="244"/>
        <v>0</v>
      </c>
      <c r="CI140">
        <f t="shared" si="244"/>
        <v>0</v>
      </c>
      <c r="CJ140">
        <f t="shared" si="244"/>
        <v>0</v>
      </c>
      <c r="CK140">
        <f t="shared" si="244"/>
        <v>0</v>
      </c>
      <c r="CL140">
        <f t="shared" si="244"/>
        <v>0</v>
      </c>
      <c r="CM140">
        <f t="shared" si="244"/>
        <v>0</v>
      </c>
      <c r="CN140">
        <f t="shared" si="244"/>
        <v>0</v>
      </c>
      <c r="CO140">
        <f t="shared" si="244"/>
        <v>0</v>
      </c>
      <c r="CP140">
        <f t="shared" si="244"/>
        <v>0</v>
      </c>
      <c r="CQ140">
        <f t="shared" si="244"/>
        <v>0</v>
      </c>
      <c r="CR140">
        <f t="shared" si="244"/>
        <v>0</v>
      </c>
      <c r="CS140">
        <f t="shared" si="244"/>
        <v>0</v>
      </c>
      <c r="CT140">
        <f t="shared" si="244"/>
        <v>0</v>
      </c>
      <c r="CU140">
        <f t="shared" si="244"/>
        <v>0</v>
      </c>
      <c r="CV140">
        <f t="shared" si="244"/>
        <v>0</v>
      </c>
      <c r="CW140">
        <f t="shared" si="244"/>
        <v>0</v>
      </c>
    </row>
    <row r="141" spans="1:101" x14ac:dyDescent="0.2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t="e">
        <f>B140/B141</f>
        <v>#DIV/0!</v>
      </c>
      <c r="C142" t="e">
        <f t="shared" ref="C142:M142" si="245">C140/C141</f>
        <v>#DIV/0!</v>
      </c>
      <c r="D142" t="e">
        <f t="shared" si="245"/>
        <v>#DIV/0!</v>
      </c>
      <c r="E142" t="e">
        <f t="shared" si="245"/>
        <v>#DIV/0!</v>
      </c>
      <c r="F142" t="e">
        <f t="shared" si="245"/>
        <v>#DIV/0!</v>
      </c>
      <c r="G142" t="e">
        <f t="shared" si="245"/>
        <v>#DIV/0!</v>
      </c>
      <c r="H142" t="e">
        <f t="shared" si="245"/>
        <v>#DIV/0!</v>
      </c>
      <c r="I142" t="e">
        <f t="shared" si="245"/>
        <v>#DIV/0!</v>
      </c>
      <c r="J142" t="e">
        <f t="shared" si="245"/>
        <v>#DIV/0!</v>
      </c>
      <c r="K142" t="e">
        <f t="shared" si="245"/>
        <v>#DIV/0!</v>
      </c>
      <c r="L142" t="e">
        <f t="shared" si="245"/>
        <v>#DIV/0!</v>
      </c>
      <c r="M142" t="e">
        <f t="shared" si="245"/>
        <v>#DIV/0!</v>
      </c>
      <c r="N142" t="e">
        <f t="shared" ref="N142:BY142" si="246">N140/N141</f>
        <v>#DIV/0!</v>
      </c>
      <c r="O142" t="e">
        <f t="shared" si="246"/>
        <v>#DIV/0!</v>
      </c>
      <c r="P142" t="e">
        <f t="shared" si="246"/>
        <v>#DIV/0!</v>
      </c>
      <c r="Q142" t="e">
        <f t="shared" si="246"/>
        <v>#DIV/0!</v>
      </c>
      <c r="R142" t="e">
        <f t="shared" si="246"/>
        <v>#DIV/0!</v>
      </c>
      <c r="S142" t="e">
        <f t="shared" si="246"/>
        <v>#DIV/0!</v>
      </c>
      <c r="T142" t="e">
        <f t="shared" si="246"/>
        <v>#DIV/0!</v>
      </c>
      <c r="U142" t="e">
        <f t="shared" si="246"/>
        <v>#DIV/0!</v>
      </c>
      <c r="V142" t="e">
        <f t="shared" si="246"/>
        <v>#DIV/0!</v>
      </c>
      <c r="W142" t="e">
        <f t="shared" si="246"/>
        <v>#DIV/0!</v>
      </c>
      <c r="X142" t="e">
        <f t="shared" si="246"/>
        <v>#DIV/0!</v>
      </c>
      <c r="Y142" t="e">
        <f t="shared" si="246"/>
        <v>#DIV/0!</v>
      </c>
      <c r="Z142" t="e">
        <f t="shared" si="246"/>
        <v>#DIV/0!</v>
      </c>
      <c r="AA142" t="e">
        <f t="shared" si="246"/>
        <v>#DIV/0!</v>
      </c>
      <c r="AB142" t="e">
        <f t="shared" si="246"/>
        <v>#DIV/0!</v>
      </c>
      <c r="AC142" t="e">
        <f t="shared" si="246"/>
        <v>#DIV/0!</v>
      </c>
      <c r="AD142" t="e">
        <f t="shared" si="246"/>
        <v>#DIV/0!</v>
      </c>
      <c r="AE142" t="e">
        <f t="shared" si="246"/>
        <v>#DIV/0!</v>
      </c>
      <c r="AF142" t="e">
        <f t="shared" si="246"/>
        <v>#DIV/0!</v>
      </c>
      <c r="AG142" t="e">
        <f t="shared" si="246"/>
        <v>#DIV/0!</v>
      </c>
      <c r="AH142" t="e">
        <f t="shared" si="246"/>
        <v>#DIV/0!</v>
      </c>
      <c r="AI142" t="e">
        <f t="shared" si="246"/>
        <v>#DIV/0!</v>
      </c>
      <c r="AJ142" t="e">
        <f t="shared" si="246"/>
        <v>#DIV/0!</v>
      </c>
      <c r="AK142" t="e">
        <f t="shared" si="246"/>
        <v>#DIV/0!</v>
      </c>
      <c r="AL142" t="e">
        <f t="shared" si="246"/>
        <v>#DIV/0!</v>
      </c>
      <c r="AM142" t="e">
        <f t="shared" si="246"/>
        <v>#DIV/0!</v>
      </c>
      <c r="AN142" t="e">
        <f t="shared" si="246"/>
        <v>#DIV/0!</v>
      </c>
      <c r="AO142" t="e">
        <f t="shared" si="246"/>
        <v>#DIV/0!</v>
      </c>
      <c r="AP142" t="e">
        <f t="shared" si="246"/>
        <v>#DIV/0!</v>
      </c>
      <c r="AQ142" t="e">
        <f t="shared" si="246"/>
        <v>#DIV/0!</v>
      </c>
      <c r="AR142" t="e">
        <f t="shared" si="246"/>
        <v>#DIV/0!</v>
      </c>
      <c r="AS142" t="e">
        <f t="shared" si="246"/>
        <v>#DIV/0!</v>
      </c>
      <c r="AT142" t="e">
        <f t="shared" si="246"/>
        <v>#DIV/0!</v>
      </c>
      <c r="AU142" t="e">
        <f t="shared" si="246"/>
        <v>#DIV/0!</v>
      </c>
      <c r="AV142" t="e">
        <f t="shared" si="246"/>
        <v>#DIV/0!</v>
      </c>
      <c r="AW142" t="e">
        <f t="shared" si="246"/>
        <v>#DIV/0!</v>
      </c>
      <c r="AX142" t="e">
        <f t="shared" si="246"/>
        <v>#DIV/0!</v>
      </c>
      <c r="AY142" t="e">
        <f t="shared" si="246"/>
        <v>#DIV/0!</v>
      </c>
      <c r="AZ142" t="e">
        <f t="shared" si="246"/>
        <v>#DIV/0!</v>
      </c>
      <c r="BA142" t="e">
        <f t="shared" si="246"/>
        <v>#DIV/0!</v>
      </c>
      <c r="BB142" t="e">
        <f t="shared" si="246"/>
        <v>#DIV/0!</v>
      </c>
      <c r="BC142" t="e">
        <f t="shared" si="246"/>
        <v>#DIV/0!</v>
      </c>
      <c r="BD142" t="e">
        <f t="shared" si="246"/>
        <v>#DIV/0!</v>
      </c>
      <c r="BE142" t="e">
        <f t="shared" si="246"/>
        <v>#DIV/0!</v>
      </c>
      <c r="BF142" t="e">
        <f t="shared" si="246"/>
        <v>#DIV/0!</v>
      </c>
      <c r="BG142" t="e">
        <f t="shared" si="246"/>
        <v>#DIV/0!</v>
      </c>
      <c r="BH142" t="e">
        <f t="shared" si="246"/>
        <v>#DIV/0!</v>
      </c>
      <c r="BI142" t="e">
        <f t="shared" si="246"/>
        <v>#DIV/0!</v>
      </c>
      <c r="BJ142" t="e">
        <f t="shared" si="246"/>
        <v>#DIV/0!</v>
      </c>
      <c r="BK142" t="e">
        <f t="shared" si="246"/>
        <v>#DIV/0!</v>
      </c>
      <c r="BL142" t="e">
        <f t="shared" si="246"/>
        <v>#DIV/0!</v>
      </c>
      <c r="BM142" t="e">
        <f t="shared" si="246"/>
        <v>#DIV/0!</v>
      </c>
      <c r="BN142" t="e">
        <f t="shared" si="246"/>
        <v>#DIV/0!</v>
      </c>
      <c r="BO142" t="e">
        <f t="shared" si="246"/>
        <v>#DIV/0!</v>
      </c>
      <c r="BP142" t="e">
        <f t="shared" si="246"/>
        <v>#DIV/0!</v>
      </c>
      <c r="BQ142" t="e">
        <f t="shared" si="246"/>
        <v>#DIV/0!</v>
      </c>
      <c r="BR142" t="e">
        <f t="shared" si="246"/>
        <v>#DIV/0!</v>
      </c>
      <c r="BS142" t="e">
        <f t="shared" si="246"/>
        <v>#DIV/0!</v>
      </c>
      <c r="BT142" t="e">
        <f t="shared" si="246"/>
        <v>#DIV/0!</v>
      </c>
      <c r="BU142" t="e">
        <f t="shared" si="246"/>
        <v>#DIV/0!</v>
      </c>
      <c r="BV142" t="e">
        <f t="shared" si="246"/>
        <v>#DIV/0!</v>
      </c>
      <c r="BW142" t="e">
        <f t="shared" si="246"/>
        <v>#DIV/0!</v>
      </c>
      <c r="BX142" t="e">
        <f t="shared" si="246"/>
        <v>#DIV/0!</v>
      </c>
      <c r="BY142" t="e">
        <f t="shared" si="246"/>
        <v>#DIV/0!</v>
      </c>
      <c r="BZ142" t="e">
        <f t="shared" ref="BZ142:CW142" si="247">BZ140/BZ141</f>
        <v>#DIV/0!</v>
      </c>
      <c r="CA142" t="e">
        <f t="shared" si="247"/>
        <v>#DIV/0!</v>
      </c>
      <c r="CB142" t="e">
        <f t="shared" si="247"/>
        <v>#DIV/0!</v>
      </c>
      <c r="CC142" t="e">
        <f t="shared" si="247"/>
        <v>#DIV/0!</v>
      </c>
      <c r="CD142" t="e">
        <f t="shared" si="247"/>
        <v>#DIV/0!</v>
      </c>
      <c r="CE142" t="e">
        <f t="shared" si="247"/>
        <v>#DIV/0!</v>
      </c>
      <c r="CF142" t="e">
        <f t="shared" si="247"/>
        <v>#DIV/0!</v>
      </c>
      <c r="CG142" t="e">
        <f t="shared" si="247"/>
        <v>#DIV/0!</v>
      </c>
      <c r="CH142" t="e">
        <f t="shared" si="247"/>
        <v>#DIV/0!</v>
      </c>
      <c r="CI142" t="e">
        <f t="shared" si="247"/>
        <v>#DIV/0!</v>
      </c>
      <c r="CJ142" t="e">
        <f t="shared" si="247"/>
        <v>#DIV/0!</v>
      </c>
      <c r="CK142" t="e">
        <f t="shared" si="247"/>
        <v>#DIV/0!</v>
      </c>
      <c r="CL142" t="e">
        <f t="shared" si="247"/>
        <v>#DIV/0!</v>
      </c>
      <c r="CM142" t="e">
        <f t="shared" si="247"/>
        <v>#DIV/0!</v>
      </c>
      <c r="CN142" t="e">
        <f t="shared" si="247"/>
        <v>#DIV/0!</v>
      </c>
      <c r="CO142" t="e">
        <f t="shared" si="247"/>
        <v>#DIV/0!</v>
      </c>
      <c r="CP142" t="e">
        <f t="shared" si="247"/>
        <v>#DIV/0!</v>
      </c>
      <c r="CQ142" t="e">
        <f t="shared" si="247"/>
        <v>#DIV/0!</v>
      </c>
      <c r="CR142" t="e">
        <f t="shared" si="247"/>
        <v>#DIV/0!</v>
      </c>
      <c r="CS142" t="e">
        <f t="shared" si="247"/>
        <v>#DIV/0!</v>
      </c>
      <c r="CT142" t="e">
        <f t="shared" si="247"/>
        <v>#DIV/0!</v>
      </c>
      <c r="CU142" t="e">
        <f t="shared" si="247"/>
        <v>#DIV/0!</v>
      </c>
      <c r="CV142" t="e">
        <f t="shared" si="247"/>
        <v>#DIV/0!</v>
      </c>
      <c r="CW142" t="e">
        <f t="shared" si="247"/>
        <v>#DIV/0!</v>
      </c>
    </row>
    <row r="143" spans="1:101" x14ac:dyDescent="0.25">
      <c r="A143" t="s">
        <v>248</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t="e">
        <f>MIN(B139,((B139*B138)/B143))</f>
        <v>#VALUE!</v>
      </c>
      <c r="C144" t="e">
        <f t="shared" ref="C144" si="248">MIN(C139,((C139*C138)/C143))</f>
        <v>#VALUE!</v>
      </c>
      <c r="D144" t="e">
        <f t="shared" ref="D144" si="249">MIN(D139,((D139*D138)/D143))</f>
        <v>#VALUE!</v>
      </c>
      <c r="E144" t="e">
        <f t="shared" ref="E144" si="250">MIN(E139,((E139*E138)/E143))</f>
        <v>#VALUE!</v>
      </c>
      <c r="F144" t="e">
        <f t="shared" ref="F144" si="251">MIN(F139,((F139*F138)/F143))</f>
        <v>#VALUE!</v>
      </c>
      <c r="G144" t="e">
        <f t="shared" ref="G144" si="252">MIN(G139,((G139*G138)/G143))</f>
        <v>#VALUE!</v>
      </c>
      <c r="H144" t="e">
        <f t="shared" ref="H144" si="253">MIN(H139,((H139*H138)/H143))</f>
        <v>#VALUE!</v>
      </c>
      <c r="I144" t="e">
        <f t="shared" ref="I144" si="254">MIN(I139,((I139*I138)/I143))</f>
        <v>#VALUE!</v>
      </c>
      <c r="J144" t="e">
        <f t="shared" ref="J144" si="255">MIN(J139,((J139*J138)/J143))</f>
        <v>#VALUE!</v>
      </c>
      <c r="K144" t="e">
        <f t="shared" ref="K144" si="256">MIN(K139,((K139*K138)/K143))</f>
        <v>#VALUE!</v>
      </c>
      <c r="L144" t="e">
        <f t="shared" ref="L144" si="257">MIN(L139,((L139*L138)/L143))</f>
        <v>#VALUE!</v>
      </c>
      <c r="M144" t="e">
        <f t="shared" ref="M144:BX144" si="258">MIN(M139,((M139*M138)/M143))</f>
        <v>#VALUE!</v>
      </c>
      <c r="N144" t="e">
        <f t="shared" si="258"/>
        <v>#VALUE!</v>
      </c>
      <c r="O144" t="e">
        <f t="shared" si="258"/>
        <v>#VALUE!</v>
      </c>
      <c r="P144" t="e">
        <f t="shared" si="258"/>
        <v>#VALUE!</v>
      </c>
      <c r="Q144" t="e">
        <f t="shared" si="258"/>
        <v>#VALUE!</v>
      </c>
      <c r="R144" t="e">
        <f t="shared" si="258"/>
        <v>#VALUE!</v>
      </c>
      <c r="S144" t="e">
        <f t="shared" si="258"/>
        <v>#VALUE!</v>
      </c>
      <c r="T144" t="e">
        <f t="shared" si="258"/>
        <v>#VALUE!</v>
      </c>
      <c r="U144" t="e">
        <f t="shared" si="258"/>
        <v>#VALUE!</v>
      </c>
      <c r="V144" t="e">
        <f t="shared" si="258"/>
        <v>#VALUE!</v>
      </c>
      <c r="W144" t="e">
        <f t="shared" si="258"/>
        <v>#VALUE!</v>
      </c>
      <c r="X144" t="e">
        <f t="shared" si="258"/>
        <v>#VALUE!</v>
      </c>
      <c r="Y144" t="e">
        <f t="shared" si="258"/>
        <v>#VALUE!</v>
      </c>
      <c r="Z144" t="e">
        <f t="shared" si="258"/>
        <v>#VALUE!</v>
      </c>
      <c r="AA144" t="e">
        <f t="shared" si="258"/>
        <v>#VALUE!</v>
      </c>
      <c r="AB144" t="e">
        <f t="shared" si="258"/>
        <v>#VALUE!</v>
      </c>
      <c r="AC144" t="e">
        <f t="shared" si="258"/>
        <v>#VALUE!</v>
      </c>
      <c r="AD144" t="e">
        <f t="shared" si="258"/>
        <v>#VALUE!</v>
      </c>
      <c r="AE144" t="e">
        <f t="shared" si="258"/>
        <v>#VALUE!</v>
      </c>
      <c r="AF144" t="e">
        <f t="shared" si="258"/>
        <v>#VALUE!</v>
      </c>
      <c r="AG144" t="e">
        <f t="shared" si="258"/>
        <v>#VALUE!</v>
      </c>
      <c r="AH144" t="e">
        <f t="shared" si="258"/>
        <v>#VALUE!</v>
      </c>
      <c r="AI144" t="e">
        <f t="shared" si="258"/>
        <v>#VALUE!</v>
      </c>
      <c r="AJ144" t="e">
        <f t="shared" si="258"/>
        <v>#VALUE!</v>
      </c>
      <c r="AK144" t="e">
        <f t="shared" si="258"/>
        <v>#VALUE!</v>
      </c>
      <c r="AL144" t="e">
        <f t="shared" si="258"/>
        <v>#VALUE!</v>
      </c>
      <c r="AM144" t="e">
        <f t="shared" si="258"/>
        <v>#VALUE!</v>
      </c>
      <c r="AN144" t="e">
        <f t="shared" si="258"/>
        <v>#VALUE!</v>
      </c>
      <c r="AO144" t="e">
        <f t="shared" si="258"/>
        <v>#VALUE!</v>
      </c>
      <c r="AP144" t="e">
        <f t="shared" si="258"/>
        <v>#VALUE!</v>
      </c>
      <c r="AQ144" t="e">
        <f t="shared" si="258"/>
        <v>#VALUE!</v>
      </c>
      <c r="AR144" t="e">
        <f t="shared" si="258"/>
        <v>#VALUE!</v>
      </c>
      <c r="AS144" t="e">
        <f t="shared" si="258"/>
        <v>#VALUE!</v>
      </c>
      <c r="AT144" t="e">
        <f t="shared" si="258"/>
        <v>#VALUE!</v>
      </c>
      <c r="AU144" t="e">
        <f t="shared" si="258"/>
        <v>#VALUE!</v>
      </c>
      <c r="AV144" t="e">
        <f t="shared" si="258"/>
        <v>#VALUE!</v>
      </c>
      <c r="AW144" t="e">
        <f t="shared" si="258"/>
        <v>#VALUE!</v>
      </c>
      <c r="AX144" t="e">
        <f t="shared" si="258"/>
        <v>#VALUE!</v>
      </c>
      <c r="AY144" t="e">
        <f t="shared" si="258"/>
        <v>#VALUE!</v>
      </c>
      <c r="AZ144" t="e">
        <f t="shared" si="258"/>
        <v>#VALUE!</v>
      </c>
      <c r="BA144" t="e">
        <f t="shared" si="258"/>
        <v>#VALUE!</v>
      </c>
      <c r="BB144" t="e">
        <f t="shared" si="258"/>
        <v>#VALUE!</v>
      </c>
      <c r="BC144" t="e">
        <f t="shared" si="258"/>
        <v>#VALUE!</v>
      </c>
      <c r="BD144" t="e">
        <f t="shared" si="258"/>
        <v>#VALUE!</v>
      </c>
      <c r="BE144" t="e">
        <f t="shared" si="258"/>
        <v>#VALUE!</v>
      </c>
      <c r="BF144" t="e">
        <f t="shared" si="258"/>
        <v>#VALUE!</v>
      </c>
      <c r="BG144" t="e">
        <f t="shared" si="258"/>
        <v>#VALUE!</v>
      </c>
      <c r="BH144" t="e">
        <f t="shared" si="258"/>
        <v>#VALUE!</v>
      </c>
      <c r="BI144" t="e">
        <f t="shared" si="258"/>
        <v>#VALUE!</v>
      </c>
      <c r="BJ144" t="e">
        <f t="shared" si="258"/>
        <v>#VALUE!</v>
      </c>
      <c r="BK144" t="e">
        <f t="shared" si="258"/>
        <v>#VALUE!</v>
      </c>
      <c r="BL144" t="e">
        <f t="shared" si="258"/>
        <v>#VALUE!</v>
      </c>
      <c r="BM144" t="e">
        <f t="shared" si="258"/>
        <v>#VALUE!</v>
      </c>
      <c r="BN144" t="e">
        <f t="shared" si="258"/>
        <v>#VALUE!</v>
      </c>
      <c r="BO144" t="e">
        <f t="shared" si="258"/>
        <v>#VALUE!</v>
      </c>
      <c r="BP144" t="e">
        <f t="shared" si="258"/>
        <v>#VALUE!</v>
      </c>
      <c r="BQ144" t="e">
        <f t="shared" si="258"/>
        <v>#VALUE!</v>
      </c>
      <c r="BR144" t="e">
        <f t="shared" si="258"/>
        <v>#VALUE!</v>
      </c>
      <c r="BS144" t="e">
        <f t="shared" si="258"/>
        <v>#VALUE!</v>
      </c>
      <c r="BT144" t="e">
        <f t="shared" si="258"/>
        <v>#VALUE!</v>
      </c>
      <c r="BU144" t="e">
        <f t="shared" si="258"/>
        <v>#VALUE!</v>
      </c>
      <c r="BV144" t="e">
        <f t="shared" si="258"/>
        <v>#VALUE!</v>
      </c>
      <c r="BW144" t="e">
        <f t="shared" si="258"/>
        <v>#VALUE!</v>
      </c>
      <c r="BX144" t="e">
        <f t="shared" si="258"/>
        <v>#VALUE!</v>
      </c>
      <c r="BY144" t="e">
        <f t="shared" ref="BY144:CW144" si="259">MIN(BY139,((BY139*BY138)/BY143))</f>
        <v>#VALUE!</v>
      </c>
      <c r="BZ144" t="e">
        <f t="shared" si="259"/>
        <v>#VALUE!</v>
      </c>
      <c r="CA144" t="e">
        <f t="shared" si="259"/>
        <v>#VALUE!</v>
      </c>
      <c r="CB144" t="e">
        <f t="shared" si="259"/>
        <v>#VALUE!</v>
      </c>
      <c r="CC144" t="e">
        <f t="shared" si="259"/>
        <v>#VALUE!</v>
      </c>
      <c r="CD144" t="e">
        <f t="shared" si="259"/>
        <v>#VALUE!</v>
      </c>
      <c r="CE144" t="e">
        <f t="shared" si="259"/>
        <v>#VALUE!</v>
      </c>
      <c r="CF144" t="e">
        <f t="shared" si="259"/>
        <v>#VALUE!</v>
      </c>
      <c r="CG144" t="e">
        <f t="shared" si="259"/>
        <v>#VALUE!</v>
      </c>
      <c r="CH144" t="e">
        <f t="shared" si="259"/>
        <v>#VALUE!</v>
      </c>
      <c r="CI144" t="e">
        <f t="shared" si="259"/>
        <v>#VALUE!</v>
      </c>
      <c r="CJ144" t="e">
        <f t="shared" si="259"/>
        <v>#VALUE!</v>
      </c>
      <c r="CK144" t="e">
        <f t="shared" si="259"/>
        <v>#VALUE!</v>
      </c>
      <c r="CL144" t="e">
        <f t="shared" si="259"/>
        <v>#VALUE!</v>
      </c>
      <c r="CM144" t="e">
        <f t="shared" si="259"/>
        <v>#VALUE!</v>
      </c>
      <c r="CN144" t="e">
        <f t="shared" si="259"/>
        <v>#VALUE!</v>
      </c>
      <c r="CO144" t="e">
        <f t="shared" si="259"/>
        <v>#VALUE!</v>
      </c>
      <c r="CP144" t="e">
        <f t="shared" si="259"/>
        <v>#VALUE!</v>
      </c>
      <c r="CQ144" t="e">
        <f t="shared" si="259"/>
        <v>#VALUE!</v>
      </c>
      <c r="CR144" t="e">
        <f t="shared" si="259"/>
        <v>#VALUE!</v>
      </c>
      <c r="CS144" t="e">
        <f t="shared" si="259"/>
        <v>#VALUE!</v>
      </c>
      <c r="CT144" t="e">
        <f t="shared" si="259"/>
        <v>#VALUE!</v>
      </c>
      <c r="CU144" t="e">
        <f t="shared" si="259"/>
        <v>#VALUE!</v>
      </c>
      <c r="CV144" t="e">
        <f t="shared" si="259"/>
        <v>#VALUE!</v>
      </c>
      <c r="CW144" t="e">
        <f t="shared" si="259"/>
        <v>#VALUE!</v>
      </c>
    </row>
    <row r="145" spans="1:101" x14ac:dyDescent="0.25">
      <c r="A145" t="s">
        <v>254</v>
      </c>
      <c r="B145" t="e">
        <f>B144/B141</f>
        <v>#VALUE!</v>
      </c>
      <c r="C145" t="e">
        <f t="shared" ref="C145" si="260">C144/C141</f>
        <v>#VALUE!</v>
      </c>
      <c r="D145" t="e">
        <f t="shared" ref="D145" si="261">D144/D141</f>
        <v>#VALUE!</v>
      </c>
      <c r="E145" t="e">
        <f t="shared" ref="E145" si="262">E144/E141</f>
        <v>#VALUE!</v>
      </c>
      <c r="F145" t="e">
        <f t="shared" ref="F145" si="263">F144/F141</f>
        <v>#VALUE!</v>
      </c>
      <c r="G145" t="e">
        <f t="shared" ref="G145" si="264">G144/G141</f>
        <v>#VALUE!</v>
      </c>
      <c r="H145" t="e">
        <f t="shared" ref="H145" si="265">H144/H141</f>
        <v>#VALUE!</v>
      </c>
      <c r="I145" t="e">
        <f t="shared" ref="I145" si="266">I144/I141</f>
        <v>#VALUE!</v>
      </c>
      <c r="J145" t="e">
        <f t="shared" ref="J145" si="267">J144/J141</f>
        <v>#VALUE!</v>
      </c>
      <c r="K145" t="e">
        <f t="shared" ref="K145" si="268">K144/K141</f>
        <v>#VALUE!</v>
      </c>
      <c r="L145" t="e">
        <f t="shared" ref="L145" si="269">L144/L141</f>
        <v>#VALUE!</v>
      </c>
      <c r="M145" t="e">
        <f t="shared" ref="M145:BX145" si="270">M144/M141</f>
        <v>#VALUE!</v>
      </c>
      <c r="N145" t="e">
        <f t="shared" si="270"/>
        <v>#VALUE!</v>
      </c>
      <c r="O145" t="e">
        <f t="shared" si="270"/>
        <v>#VALUE!</v>
      </c>
      <c r="P145" t="e">
        <f t="shared" si="270"/>
        <v>#VALUE!</v>
      </c>
      <c r="Q145" t="e">
        <f t="shared" si="270"/>
        <v>#VALUE!</v>
      </c>
      <c r="R145" t="e">
        <f t="shared" si="270"/>
        <v>#VALUE!</v>
      </c>
      <c r="S145" t="e">
        <f t="shared" si="270"/>
        <v>#VALUE!</v>
      </c>
      <c r="T145" t="e">
        <f t="shared" si="270"/>
        <v>#VALUE!</v>
      </c>
      <c r="U145" t="e">
        <f t="shared" si="270"/>
        <v>#VALUE!</v>
      </c>
      <c r="V145" t="e">
        <f t="shared" si="270"/>
        <v>#VALUE!</v>
      </c>
      <c r="W145" t="e">
        <f t="shared" si="270"/>
        <v>#VALUE!</v>
      </c>
      <c r="X145" t="e">
        <f t="shared" si="270"/>
        <v>#VALUE!</v>
      </c>
      <c r="Y145" t="e">
        <f t="shared" si="270"/>
        <v>#VALUE!</v>
      </c>
      <c r="Z145" t="e">
        <f t="shared" si="270"/>
        <v>#VALUE!</v>
      </c>
      <c r="AA145" t="e">
        <f t="shared" si="270"/>
        <v>#VALUE!</v>
      </c>
      <c r="AB145" t="e">
        <f t="shared" si="270"/>
        <v>#VALUE!</v>
      </c>
      <c r="AC145" t="e">
        <f t="shared" si="270"/>
        <v>#VALUE!</v>
      </c>
      <c r="AD145" t="e">
        <f t="shared" si="270"/>
        <v>#VALUE!</v>
      </c>
      <c r="AE145" t="e">
        <f t="shared" si="270"/>
        <v>#VALUE!</v>
      </c>
      <c r="AF145" t="e">
        <f t="shared" si="270"/>
        <v>#VALUE!</v>
      </c>
      <c r="AG145" t="e">
        <f t="shared" si="270"/>
        <v>#VALUE!</v>
      </c>
      <c r="AH145" t="e">
        <f t="shared" si="270"/>
        <v>#VALUE!</v>
      </c>
      <c r="AI145" t="e">
        <f t="shared" si="270"/>
        <v>#VALUE!</v>
      </c>
      <c r="AJ145" t="e">
        <f t="shared" si="270"/>
        <v>#VALUE!</v>
      </c>
      <c r="AK145" t="e">
        <f t="shared" si="270"/>
        <v>#VALUE!</v>
      </c>
      <c r="AL145" t="e">
        <f t="shared" si="270"/>
        <v>#VALUE!</v>
      </c>
      <c r="AM145" t="e">
        <f t="shared" si="270"/>
        <v>#VALUE!</v>
      </c>
      <c r="AN145" t="e">
        <f t="shared" si="270"/>
        <v>#VALUE!</v>
      </c>
      <c r="AO145" t="e">
        <f t="shared" si="270"/>
        <v>#VALUE!</v>
      </c>
      <c r="AP145" t="e">
        <f t="shared" si="270"/>
        <v>#VALUE!</v>
      </c>
      <c r="AQ145" t="e">
        <f t="shared" si="270"/>
        <v>#VALUE!</v>
      </c>
      <c r="AR145" t="e">
        <f t="shared" si="270"/>
        <v>#VALUE!</v>
      </c>
      <c r="AS145" t="e">
        <f t="shared" si="270"/>
        <v>#VALUE!</v>
      </c>
      <c r="AT145" t="e">
        <f t="shared" si="270"/>
        <v>#VALUE!</v>
      </c>
      <c r="AU145" t="e">
        <f t="shared" si="270"/>
        <v>#VALUE!</v>
      </c>
      <c r="AV145" t="e">
        <f t="shared" si="270"/>
        <v>#VALUE!</v>
      </c>
      <c r="AW145" t="e">
        <f t="shared" si="270"/>
        <v>#VALUE!</v>
      </c>
      <c r="AX145" t="e">
        <f t="shared" si="270"/>
        <v>#VALUE!</v>
      </c>
      <c r="AY145" t="e">
        <f t="shared" si="270"/>
        <v>#VALUE!</v>
      </c>
      <c r="AZ145" t="e">
        <f t="shared" si="270"/>
        <v>#VALUE!</v>
      </c>
      <c r="BA145" t="e">
        <f t="shared" si="270"/>
        <v>#VALUE!</v>
      </c>
      <c r="BB145" t="e">
        <f t="shared" si="270"/>
        <v>#VALUE!</v>
      </c>
      <c r="BC145" t="e">
        <f t="shared" si="270"/>
        <v>#VALUE!</v>
      </c>
      <c r="BD145" t="e">
        <f t="shared" si="270"/>
        <v>#VALUE!</v>
      </c>
      <c r="BE145" t="e">
        <f t="shared" si="270"/>
        <v>#VALUE!</v>
      </c>
      <c r="BF145" t="e">
        <f t="shared" si="270"/>
        <v>#VALUE!</v>
      </c>
      <c r="BG145" t="e">
        <f t="shared" si="270"/>
        <v>#VALUE!</v>
      </c>
      <c r="BH145" t="e">
        <f t="shared" si="270"/>
        <v>#VALUE!</v>
      </c>
      <c r="BI145" t="e">
        <f t="shared" si="270"/>
        <v>#VALUE!</v>
      </c>
      <c r="BJ145" t="e">
        <f t="shared" si="270"/>
        <v>#VALUE!</v>
      </c>
      <c r="BK145" t="e">
        <f t="shared" si="270"/>
        <v>#VALUE!</v>
      </c>
      <c r="BL145" t="e">
        <f t="shared" si="270"/>
        <v>#VALUE!</v>
      </c>
      <c r="BM145" t="e">
        <f t="shared" si="270"/>
        <v>#VALUE!</v>
      </c>
      <c r="BN145" t="e">
        <f t="shared" si="270"/>
        <v>#VALUE!</v>
      </c>
      <c r="BO145" t="e">
        <f t="shared" si="270"/>
        <v>#VALUE!</v>
      </c>
      <c r="BP145" t="e">
        <f t="shared" si="270"/>
        <v>#VALUE!</v>
      </c>
      <c r="BQ145" t="e">
        <f t="shared" si="270"/>
        <v>#VALUE!</v>
      </c>
      <c r="BR145" t="e">
        <f t="shared" si="270"/>
        <v>#VALUE!</v>
      </c>
      <c r="BS145" t="e">
        <f t="shared" si="270"/>
        <v>#VALUE!</v>
      </c>
      <c r="BT145" t="e">
        <f t="shared" si="270"/>
        <v>#VALUE!</v>
      </c>
      <c r="BU145" t="e">
        <f t="shared" si="270"/>
        <v>#VALUE!</v>
      </c>
      <c r="BV145" t="e">
        <f t="shared" si="270"/>
        <v>#VALUE!</v>
      </c>
      <c r="BW145" t="e">
        <f t="shared" si="270"/>
        <v>#VALUE!</v>
      </c>
      <c r="BX145" t="e">
        <f t="shared" si="270"/>
        <v>#VALUE!</v>
      </c>
      <c r="BY145" t="e">
        <f t="shared" ref="BY145:CW145" si="271">BY144/BY141</f>
        <v>#VALUE!</v>
      </c>
      <c r="BZ145" t="e">
        <f t="shared" si="271"/>
        <v>#VALUE!</v>
      </c>
      <c r="CA145" t="e">
        <f t="shared" si="271"/>
        <v>#VALUE!</v>
      </c>
      <c r="CB145" t="e">
        <f t="shared" si="271"/>
        <v>#VALUE!</v>
      </c>
      <c r="CC145" t="e">
        <f t="shared" si="271"/>
        <v>#VALUE!</v>
      </c>
      <c r="CD145" t="e">
        <f t="shared" si="271"/>
        <v>#VALUE!</v>
      </c>
      <c r="CE145" t="e">
        <f t="shared" si="271"/>
        <v>#VALUE!</v>
      </c>
      <c r="CF145" t="e">
        <f t="shared" si="271"/>
        <v>#VALUE!</v>
      </c>
      <c r="CG145" t="e">
        <f t="shared" si="271"/>
        <v>#VALUE!</v>
      </c>
      <c r="CH145" t="e">
        <f t="shared" si="271"/>
        <v>#VALUE!</v>
      </c>
      <c r="CI145" t="e">
        <f t="shared" si="271"/>
        <v>#VALUE!</v>
      </c>
      <c r="CJ145" t="e">
        <f t="shared" si="271"/>
        <v>#VALUE!</v>
      </c>
      <c r="CK145" t="e">
        <f t="shared" si="271"/>
        <v>#VALUE!</v>
      </c>
      <c r="CL145" t="e">
        <f t="shared" si="271"/>
        <v>#VALUE!</v>
      </c>
      <c r="CM145" t="e">
        <f t="shared" si="271"/>
        <v>#VALUE!</v>
      </c>
      <c r="CN145" t="e">
        <f t="shared" si="271"/>
        <v>#VALUE!</v>
      </c>
      <c r="CO145" t="e">
        <f t="shared" si="271"/>
        <v>#VALUE!</v>
      </c>
      <c r="CP145" t="e">
        <f t="shared" si="271"/>
        <v>#VALUE!</v>
      </c>
      <c r="CQ145" t="e">
        <f t="shared" si="271"/>
        <v>#VALUE!</v>
      </c>
      <c r="CR145" t="e">
        <f t="shared" si="271"/>
        <v>#VALUE!</v>
      </c>
      <c r="CS145" t="e">
        <f t="shared" si="271"/>
        <v>#VALUE!</v>
      </c>
      <c r="CT145" t="e">
        <f t="shared" si="271"/>
        <v>#VALUE!</v>
      </c>
      <c r="CU145" t="e">
        <f t="shared" si="271"/>
        <v>#VALUE!</v>
      </c>
      <c r="CV145" t="e">
        <f t="shared" si="271"/>
        <v>#VALUE!</v>
      </c>
      <c r="CW145" t="e">
        <f t="shared" si="271"/>
        <v>#VALUE!</v>
      </c>
    </row>
    <row r="146" spans="1:101" x14ac:dyDescent="0.25">
      <c r="A146" t="s">
        <v>250</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0</v>
      </c>
      <c r="E220">
        <f ca="1">SUMIFS(INDEX($B$149:$CW$200,MATCH(E$219,$A$149:$A$200,0),1):INDEX($B$149:$CW$200,MATCH(E$219,$A$149:$A$200,0),100),$B203:$CW203,"="&amp;"X",$B$146:$CW$146,"="&amp;"N")</f>
        <v>0</v>
      </c>
      <c r="F220">
        <f ca="1">SUMIFS(INDEX($B$149:$CW$200,MATCH(F$219,$A$149:$A$200,0),1):INDEX($B$149:$CW$200,MATCH(F$219,$A$149:$A$200,0),100),$B203:$CW203,"="&amp;"X",$B$146:$CW$146,"="&amp;"N")</f>
        <v>0</v>
      </c>
      <c r="G220">
        <f ca="1">SUMIFS(INDEX($B$149:$CW$200,MATCH(G$219,$A$149:$A$200,0),1):INDEX($B$149:$CW$200,MATCH(G$219,$A$149:$A$200,0),100),$B203:$CW203,"="&amp;"X",$B$146:$CW$146,"="&amp;"N")</f>
        <v>0</v>
      </c>
      <c r="H220">
        <f ca="1">SUMIFS(INDEX($B$149:$CW$200,MATCH(H$219,$A$149:$A$200,0),1):INDEX($B$149:$CW$200,MATCH(H$219,$A$149:$A$200,0),100),$B203:$CW203,"="&amp;"X",$B$146:$CW$146,"="&amp;"N")</f>
        <v>0</v>
      </c>
      <c r="I220">
        <f ca="1">SUMIFS(INDEX($B$149:$CW$200,MATCH(I$219,$A$149:$A$200,0),1):INDEX($B$149:$CW$200,MATCH(I$219,$A$149:$A$200,0),100),$B203:$CW203,"="&amp;"X",$B$146:$CW$146,"="&amp;"N")</f>
        <v>0</v>
      </c>
      <c r="J220">
        <f ca="1">SUMIFS(INDEX($B$149:$CW$200,MATCH(J$219,$A$149:$A$200,0),1):INDEX($B$149:$CW$200,MATCH(J$219,$A$149:$A$200,0),100),$B203:$CW203,"="&amp;"X",$B$146:$CW$146,"="&amp;"N")</f>
        <v>0</v>
      </c>
      <c r="K220">
        <f ca="1">SUMIFS(INDEX($B$149:$CW$200,MATCH(K$219,$A$149:$A$200,0),1):INDEX($B$149:$CW$200,MATCH(K$219,$A$149:$A$200,0),100),$B203:$CW203,"="&amp;"X",$B$146:$CW$146,"="&amp;"N")</f>
        <v>0</v>
      </c>
      <c r="L220">
        <f ca="1">SUMIFS(INDEX($B$149:$CW$200,MATCH(L$219,$A$149:$A$200,0),1):INDEX($B$149:$CW$200,MATCH(L$219,$A$149:$A$200,0),100),$B203:$CW203,"="&amp;"X",$B$146:$CW$146,"="&amp;"N")</f>
        <v>0</v>
      </c>
      <c r="M220">
        <f ca="1">SUMIFS(INDEX($B$149:$CW$200,MATCH(M$219,$A$149:$A$200,0),1):INDEX($B$149:$CW$200,MATCH(M$219,$A$149:$A$200,0),100),$B203:$CW203,"="&amp;"X",$B$146:$CW$146,"="&amp;"N")</f>
        <v>0</v>
      </c>
      <c r="N220">
        <f ca="1">SUMIFS(INDEX($B$149:$CW$200,MATCH(N$219,$A$149:$A$200,0),1):INDEX($B$149:$CW$200,MATCH(N$219,$A$149:$A$200,0),100),$B203:$CW203,"="&amp;"X",$B$146:$CW$146,"="&amp;"N")</f>
        <v>0</v>
      </c>
      <c r="O220">
        <f ca="1">SUMIFS(INDEX($B$149:$CW$200,MATCH(O$219,$A$149:$A$200,0),1):INDEX($B$149:$CW$200,MATCH(O$219,$A$149:$A$200,0),100),$B203:$CW203,"="&amp;"X",$B$146:$CW$146,"="&amp;"N")</f>
        <v>0</v>
      </c>
      <c r="P220">
        <f ca="1">SUMIFS(INDEX($B$149:$CW$200,MATCH(P$219,$A$149:$A$200,0),1):INDEX($B$149:$CW$200,MATCH(P$219,$A$149:$A$200,0),100),$B203:$CW203,"="&amp;"X",$B$146:$CW$146,"="&amp;"N")</f>
        <v>0</v>
      </c>
      <c r="Q220">
        <f ca="1">SUMIFS(INDEX($B$149:$CW$200,MATCH(Q$219,$A$149:$A$200,0),1):INDEX($B$149:$CW$200,MATCH(Q$219,$A$149:$A$200,0),100),$B203:$CW203,"="&amp;"X",$B$146:$CW$146,"="&amp;"N")</f>
        <v>0</v>
      </c>
      <c r="R220">
        <f ca="1">SUMIFS(INDEX($B$149:$CW$200,MATCH(R$219,$A$149:$A$200,0),1):INDEX($B$149:$CW$200,MATCH(R$219,$A$149:$A$200,0),100),$B203:$CW203,"="&amp;"X",$B$146:$CW$146,"="&amp;"N")</f>
        <v>0</v>
      </c>
      <c r="S220">
        <f ca="1">SUMIFS(INDEX($B$149:$CW$200,MATCH(S$219,$A$149:$A$200,0),1):INDEX($B$149:$CW$200,MATCH(S$219,$A$149:$A$200,0),100),$B203:$CW203,"="&amp;"X",$B$146:$CW$146,"="&amp;"N")</f>
        <v>0</v>
      </c>
      <c r="T220">
        <f ca="1">SUMIFS(INDEX($B$149:$CW$200,MATCH(T$219,$A$149:$A$200,0),1):INDEX($B$149:$CW$200,MATCH(T$219,$A$149:$A$200,0),100),$B203:$CW203,"="&amp;"X",$B$146:$CW$146,"="&amp;"N")</f>
        <v>0</v>
      </c>
      <c r="U220">
        <f ca="1">SUMIFS(INDEX($B$149:$CW$200,MATCH(U$219,$A$149:$A$200,0),1):INDEX($B$149:$CW$200,MATCH(U$219,$A$149:$A$200,0),100),$B203:$CW203,"="&amp;"X",$B$146:$CW$146,"="&amp;"N")</f>
        <v>0</v>
      </c>
      <c r="V220">
        <f ca="1">SUMIFS(INDEX($B$149:$CW$200,MATCH(V$219,$A$149:$A$200,0),1):INDEX($B$149:$CW$200,MATCH(V$219,$A$149:$A$200,0),100),$B203:$CW203,"="&amp;"X",$B$146:$CW$146,"="&amp;"N")</f>
        <v>0</v>
      </c>
      <c r="W220">
        <f ca="1">SUMIFS(INDEX($B$149:$CW$200,MATCH(W$219,$A$149:$A$200,0),1):INDEX($B$149:$CW$200,MATCH(W$219,$A$149:$A$200,0),100),$B203:$CW203,"="&amp;"X",$B$146:$CW$146,"="&amp;"N")</f>
        <v>0</v>
      </c>
      <c r="X220">
        <f ca="1">SUMIFS(INDEX($B$149:$CW$200,MATCH(X$219,$A$149:$A$200,0),1):INDEX($B$149:$CW$200,MATCH(X$219,$A$149:$A$200,0),100),$B203:$CW203,"="&amp;"X",$B$146:$CW$146,"="&amp;"N")</f>
        <v>0</v>
      </c>
      <c r="Y220">
        <f ca="1">SUMIFS(INDEX($B$149:$CW$200,MATCH(Y$219,$A$149:$A$200,0),1):INDEX($B$149:$CW$200,MATCH(Y$219,$A$149:$A$200,0),100),$B203:$CW203,"="&amp;"X",$B$146:$CW$146,"="&amp;"N")</f>
        <v>0</v>
      </c>
      <c r="Z220">
        <f ca="1">SUMIFS(INDEX($B$149:$CW$200,MATCH(Z$219,$A$149:$A$200,0),1):INDEX($B$149:$CW$200,MATCH(Z$219,$A$149:$A$200,0),100),$B203:$CW203,"="&amp;"X",$B$146:$CW$146,"="&amp;"N")</f>
        <v>0</v>
      </c>
      <c r="AA220">
        <f ca="1">SUMIFS(INDEX($B$149:$CW$200,MATCH(AA$219,$A$149:$A$200,0),1):INDEX($B$149:$CW$200,MATCH(AA$219,$A$149:$A$200,0),100),$B203:$CW203,"="&amp;"X",$B$146:$CW$146,"="&amp;"N")</f>
        <v>0</v>
      </c>
      <c r="AB220">
        <f ca="1">SUMIFS(INDEX($B$149:$CW$200,MATCH(AB$219,$A$149:$A$200,0),1):INDEX($B$149:$CW$200,MATCH(AB$219,$A$149:$A$200,0),100),$B203:$CW203,"="&amp;"X",$B$146:$CW$146,"="&amp;"N")</f>
        <v>0</v>
      </c>
      <c r="AC220">
        <f ca="1">SUMIFS(INDEX($B$149:$CW$200,MATCH(AC$219,$A$149:$A$200,0),1):INDEX($B$149:$CW$200,MATCH(AC$219,$A$149:$A$200,0),100),$B203:$CW203,"="&amp;"X",$B$146:$CW$146,"="&amp;"N")</f>
        <v>0</v>
      </c>
      <c r="AD220">
        <f ca="1">SUMIFS(INDEX($B$149:$CW$200,MATCH(AD$219,$A$149:$A$200,0),1):INDEX($B$149:$CW$200,MATCH(AD$219,$A$149:$A$200,0),100),$B203:$CW203,"="&amp;"X",$B$146:$CW$146,"="&amp;"N")</f>
        <v>0</v>
      </c>
      <c r="AE220">
        <f ca="1">SUMIFS(INDEX($B$149:$CW$200,MATCH(AE$219,$A$149:$A$200,0),1):INDEX($B$149:$CW$200,MATCH(AE$219,$A$149:$A$200,0),100),$B203:$CW203,"="&amp;"X",$B$146:$CW$146,"="&amp;"N")</f>
        <v>0</v>
      </c>
      <c r="AF220">
        <f ca="1">SUMIFS(INDEX($B$149:$CW$200,MATCH(AF$219,$A$149:$A$200,0),1):INDEX($B$149:$CW$200,MATCH(AF$219,$A$149:$A$200,0),100),$B203:$CW203,"="&amp;"X",$B$146:$CW$146,"="&amp;"N")</f>
        <v>0</v>
      </c>
      <c r="AG220">
        <f ca="1">SUMIFS(INDEX($B$149:$CW$200,MATCH(AG$219,$A$149:$A$200,0),1):INDEX($B$149:$CW$200,MATCH(AG$219,$A$149:$A$200,0),100),$B203:$CW203,"="&amp;"X",$B$146:$CW$146,"="&amp;"N")</f>
        <v>0</v>
      </c>
      <c r="AH220">
        <f ca="1">SUMIFS(INDEX($B$149:$CW$200,MATCH(AH$219,$A$149:$A$200,0),1):INDEX($B$149:$CW$200,MATCH(AH$219,$A$149:$A$200,0),100),$B203:$CW203,"="&amp;"X",$B$146:$CW$146,"="&amp;"N")</f>
        <v>0</v>
      </c>
      <c r="AI220">
        <f ca="1">SUMIFS(INDEX($B$149:$CW$200,MATCH(AI$219,$A$149:$A$200,0),1):INDEX($B$149:$CW$200,MATCH(AI$219,$A$149:$A$200,0),100),$B203:$CW203,"="&amp;"X",$B$146:$CW$146,"="&amp;"N")</f>
        <v>0</v>
      </c>
      <c r="AJ220">
        <f ca="1">SUMIFS(INDEX($B$149:$CW$200,MATCH(AJ$219,$A$149:$A$200,0),1):INDEX($B$149:$CW$200,MATCH(AJ$219,$A$149:$A$200,0),100),$B203:$CW203,"="&amp;"X",$B$146:$CW$146,"="&amp;"N")</f>
        <v>0</v>
      </c>
      <c r="AK220">
        <f ca="1">SUMIFS(INDEX($B$149:$CW$200,MATCH(AK$219,$A$149:$A$200,0),1):INDEX($B$149:$CW$200,MATCH(AK$219,$A$149:$A$200,0),100),$B203:$CW203,"="&amp;"X",$B$146:$CW$146,"="&amp;"N")</f>
        <v>0</v>
      </c>
      <c r="AL220">
        <f ca="1">SUMIFS(INDEX($B$149:$CW$200,MATCH(AL$219,$A$149:$A$200,0),1):INDEX($B$149:$CW$200,MATCH(AL$219,$A$149:$A$200,0),100),$B203:$CW203,"="&amp;"X",$B$146:$CW$146,"="&amp;"N")</f>
        <v>0</v>
      </c>
      <c r="AM220">
        <f ca="1">SUMIFS(INDEX($B$149:$CW$200,MATCH(AM$219,$A$149:$A$200,0),1):INDEX($B$149:$CW$200,MATCH(AM$219,$A$149:$A$200,0),100),$B203:$CW203,"="&amp;"X",$B$146:$CW$146,"="&amp;"N")</f>
        <v>0</v>
      </c>
      <c r="AN220">
        <f ca="1">SUMIFS(INDEX($B$149:$CW$200,MATCH(AN$219,$A$149:$A$200,0),1):INDEX($B$149:$CW$200,MATCH(AN$219,$A$149:$A$200,0),100),$B203:$CW203,"="&amp;"X",$B$146:$CW$146,"="&amp;"N")</f>
        <v>0</v>
      </c>
      <c r="AO220">
        <f ca="1">SUMIFS(INDEX($B$149:$CW$200,MATCH(AO$219,$A$149:$A$200,0),1):INDEX($B$149:$CW$200,MATCH(AO$219,$A$149:$A$200,0),100),$B203:$CW203,"="&amp;"X",$B$146:$CW$146,"="&amp;"N")</f>
        <v>0</v>
      </c>
      <c r="AP220">
        <f ca="1">SUMIFS(INDEX($B$149:$CW$200,MATCH(AP$219,$A$149:$A$200,0),1):INDEX($B$149:$CW$200,MATCH(AP$219,$A$149:$A$200,0),100),$B203:$CW203,"="&amp;"X",$B$146:$CW$146,"="&amp;"N")</f>
        <v>0</v>
      </c>
      <c r="AQ220">
        <f ca="1">SUMIFS(INDEX($B$149:$CW$200,MATCH(AQ$219,$A$149:$A$200,0),1):INDEX($B$149:$CW$200,MATCH(AQ$219,$A$149:$A$200,0),100),$B203:$CW203,"="&amp;"X",$B$146:$CW$146,"="&amp;"N")</f>
        <v>0</v>
      </c>
      <c r="AR220">
        <f ca="1">SUMIFS(INDEX($B$149:$CW$200,MATCH(AR$219,$A$149:$A$200,0),1):INDEX($B$149:$CW$200,MATCH(AR$219,$A$149:$A$200,0),100),$B203:$CW203,"="&amp;"X",$B$146:$CW$146,"="&amp;"N")</f>
        <v>0</v>
      </c>
      <c r="AS220">
        <f ca="1">SUMIFS(INDEX($B$149:$CW$200,MATCH(AS$219,$A$149:$A$200,0),1):INDEX($B$149:$CW$200,MATCH(AS$219,$A$149:$A$200,0),100),$B203:$CW203,"="&amp;"X",$B$146:$CW$146,"="&amp;"N")</f>
        <v>0</v>
      </c>
      <c r="AT220">
        <f ca="1">SUMIFS(INDEX($B$149:$CW$200,MATCH(AT$219,$A$149:$A$200,0),1):INDEX($B$149:$CW$200,MATCH(AT$219,$A$149:$A$200,0),100),$B203:$CW203,"="&amp;"X",$B$146:$CW$146,"="&amp;"N")</f>
        <v>0</v>
      </c>
      <c r="AU220">
        <f ca="1">SUMIFS(INDEX($B$149:$CW$200,MATCH(AU$219,$A$149:$A$200,0),1):INDEX($B$149:$CW$200,MATCH(AU$219,$A$149:$A$200,0),100),$B203:$CW203,"="&amp;"X",$B$146:$CW$146,"="&amp;"N")</f>
        <v>0</v>
      </c>
      <c r="AV220">
        <f ca="1">SUMIFS(INDEX($B$149:$CW$200,MATCH(AV$219,$A$149:$A$200,0),1):INDEX($B$149:$CW$200,MATCH(AV$219,$A$149:$A$200,0),100),$B203:$CW203,"="&amp;"X",$B$146:$CW$146,"="&amp;"N")</f>
        <v>0</v>
      </c>
      <c r="AW220">
        <f ca="1">SUMIFS(INDEX($B$149:$CW$200,MATCH(AW$219,$A$149:$A$200,0),1):INDEX($B$149:$CW$200,MATCH(AW$219,$A$149:$A$200,0),100),$B203:$CW203,"="&amp;"X",$B$146:$CW$146,"="&amp;"N")</f>
        <v>0</v>
      </c>
      <c r="AX220">
        <f ca="1">SUMIFS(INDEX($B$149:$CW$200,MATCH(AX$219,$A$149:$A$200,0),1):INDEX($B$149:$CW$200,MATCH(AX$219,$A$149:$A$200,0),100),$B203:$CW203,"="&amp;"X",$B$146:$CW$146,"="&amp;"N")</f>
        <v>0</v>
      </c>
      <c r="AY220">
        <f ca="1">SUMIFS(INDEX($B$149:$CW$200,MATCH(AY$219,$A$149:$A$200,0),1):INDEX($B$149:$CW$200,MATCH(AY$219,$A$149:$A$200,0),100),$B203:$CW203,"="&amp;"X",$B$146:$CW$146,"="&amp;"N")</f>
        <v>0</v>
      </c>
      <c r="AZ220">
        <f ca="1">SUMIFS(INDEX($B$149:$CW$200,MATCH(AZ$219,$A$149:$A$200,0),1):INDEX($B$149:$CW$200,MATCH(AZ$219,$A$149:$A$200,0),100),$B203:$CW203,"="&amp;"X",$B$146:$CW$146,"="&amp;"N")</f>
        <v>0</v>
      </c>
      <c r="BA220">
        <f ca="1">SUMIFS(INDEX($B$149:$CW$200,MATCH(BA$219,$A$149:$A$200,0),1):INDEX($B$149:$CW$200,MATCH(BA$219,$A$149:$A$200,0),100),$B203:$CW203,"="&amp;"X",$B$146:$CW$146,"="&amp;"N")</f>
        <v>0</v>
      </c>
    </row>
    <row r="221" spans="1:101" x14ac:dyDescent="0.25">
      <c r="A221" s="2" t="str">
        <f>Setup!A21</f>
        <v>Caseload 2</v>
      </c>
      <c r="B221">
        <f ca="1">SUMIFS(INDEX($B$149:$CW$200,MATCH(B$219,$A$149:$A$200,0),1):INDEX($B$149:$CW$200,MATCH(B$219,$A$149:$A$200,0),100),$B204:$CW204,"="&amp;"X",$B$146:$CW$146,"="&amp;"N")</f>
        <v>0</v>
      </c>
      <c r="C221">
        <f ca="1">SUMIFS(INDEX($B$149:$CW$200,MATCH(C$219,$A$149:$A$200,0),1):INDEX($B$149:$CW$200,MATCH(C$219,$A$149:$A$200,0),100),$B204:$CW204,"="&amp;"X",$B$146:$CW$146,"="&amp;"N")</f>
        <v>0</v>
      </c>
      <c r="D221">
        <f ca="1">SUMIFS(INDEX($B$149:$CW$200,MATCH(D$219,$A$149:$A$200,0),1):INDEX($B$149:$CW$200,MATCH(D$219,$A$149:$A$200,0),100),$B204:$CW204,"="&amp;"X",$B$146:$CW$146,"="&amp;"N")</f>
        <v>0</v>
      </c>
      <c r="E221">
        <f ca="1">SUMIFS(INDEX($B$149:$CW$200,MATCH(E$219,$A$149:$A$200,0),1):INDEX($B$149:$CW$200,MATCH(E$219,$A$149:$A$200,0),100),$B204:$CW204,"="&amp;"X",$B$146:$CW$146,"="&amp;"N")</f>
        <v>0</v>
      </c>
      <c r="F221">
        <f ca="1">SUMIFS(INDEX($B$149:$CW$200,MATCH(F$219,$A$149:$A$200,0),1):INDEX($B$149:$CW$200,MATCH(F$219,$A$149:$A$200,0),100),$B204:$CW204,"="&amp;"X",$B$146:$CW$146,"="&amp;"N")</f>
        <v>0</v>
      </c>
      <c r="G221">
        <f ca="1">SUMIFS(INDEX($B$149:$CW$200,MATCH(G$219,$A$149:$A$200,0),1):INDEX($B$149:$CW$200,MATCH(G$219,$A$149:$A$200,0),100),$B204:$CW204,"="&amp;"X",$B$146:$CW$146,"="&amp;"N")</f>
        <v>0</v>
      </c>
      <c r="H221">
        <f ca="1">SUMIFS(INDEX($B$149:$CW$200,MATCH(H$219,$A$149:$A$200,0),1):INDEX($B$149:$CW$200,MATCH(H$219,$A$149:$A$200,0),100),$B204:$CW204,"="&amp;"X",$B$146:$CW$146,"="&amp;"N")</f>
        <v>0</v>
      </c>
      <c r="I221">
        <f ca="1">SUMIFS(INDEX($B$149:$CW$200,MATCH(I$219,$A$149:$A$200,0),1):INDEX($B$149:$CW$200,MATCH(I$219,$A$149:$A$200,0),100),$B204:$CW204,"="&amp;"X",$B$146:$CW$146,"="&amp;"N")</f>
        <v>0</v>
      </c>
      <c r="J221">
        <f ca="1">SUMIFS(INDEX($B$149:$CW$200,MATCH(J$219,$A$149:$A$200,0),1):INDEX($B$149:$CW$200,MATCH(J$219,$A$149:$A$200,0),100),$B204:$CW204,"="&amp;"X",$B$146:$CW$146,"="&amp;"N")</f>
        <v>0</v>
      </c>
      <c r="K221">
        <f ca="1">SUMIFS(INDEX($B$149:$CW$200,MATCH(K$219,$A$149:$A$200,0),1):INDEX($B$149:$CW$200,MATCH(K$219,$A$149:$A$200,0),100),$B204:$CW204,"="&amp;"X",$B$146:$CW$146,"="&amp;"N")</f>
        <v>0</v>
      </c>
      <c r="L221">
        <f ca="1">SUMIFS(INDEX($B$149:$CW$200,MATCH(L$219,$A$149:$A$200,0),1):INDEX($B$149:$CW$200,MATCH(L$219,$A$149:$A$200,0),100),$B204:$CW204,"="&amp;"X",$B$146:$CW$146,"="&amp;"N")</f>
        <v>0</v>
      </c>
      <c r="M221">
        <f ca="1">SUMIFS(INDEX($B$149:$CW$200,MATCH(M$219,$A$149:$A$200,0),1):INDEX($B$149:$CW$200,MATCH(M$219,$A$149:$A$200,0),100),$B204:$CW204,"="&amp;"X",$B$146:$CW$146,"="&amp;"N")</f>
        <v>0</v>
      </c>
      <c r="N221">
        <f ca="1">SUMIFS(INDEX($B$149:$CW$200,MATCH(N$219,$A$149:$A$200,0),1):INDEX($B$149:$CW$200,MATCH(N$219,$A$149:$A$200,0),100),$B204:$CW204,"="&amp;"X",$B$146:$CW$146,"="&amp;"N")</f>
        <v>0</v>
      </c>
      <c r="O221">
        <f ca="1">SUMIFS(INDEX($B$149:$CW$200,MATCH(O$219,$A$149:$A$200,0),1):INDEX($B$149:$CW$200,MATCH(O$219,$A$149:$A$200,0),100),$B204:$CW204,"="&amp;"X",$B$146:$CW$146,"="&amp;"N")</f>
        <v>0</v>
      </c>
      <c r="P221">
        <f ca="1">SUMIFS(INDEX($B$149:$CW$200,MATCH(P$219,$A$149:$A$200,0),1):INDEX($B$149:$CW$200,MATCH(P$219,$A$149:$A$200,0),100),$B204:$CW204,"="&amp;"X",$B$146:$CW$146,"="&amp;"N")</f>
        <v>0</v>
      </c>
      <c r="Q221">
        <f ca="1">SUMIFS(INDEX($B$149:$CW$200,MATCH(Q$219,$A$149:$A$200,0),1):INDEX($B$149:$CW$200,MATCH(Q$219,$A$149:$A$200,0),100),$B204:$CW204,"="&amp;"X",$B$146:$CW$146,"="&amp;"N")</f>
        <v>0</v>
      </c>
      <c r="R221">
        <f ca="1">SUMIFS(INDEX($B$149:$CW$200,MATCH(R$219,$A$149:$A$200,0),1):INDEX($B$149:$CW$200,MATCH(R$219,$A$149:$A$200,0),100),$B204:$CW204,"="&amp;"X",$B$146:$CW$146,"="&amp;"N")</f>
        <v>0</v>
      </c>
      <c r="S221">
        <f ca="1">SUMIFS(INDEX($B$149:$CW$200,MATCH(S$219,$A$149:$A$200,0),1):INDEX($B$149:$CW$200,MATCH(S$219,$A$149:$A$200,0),100),$B204:$CW204,"="&amp;"X",$B$146:$CW$146,"="&amp;"N")</f>
        <v>0</v>
      </c>
      <c r="T221">
        <f ca="1">SUMIFS(INDEX($B$149:$CW$200,MATCH(T$219,$A$149:$A$200,0),1):INDEX($B$149:$CW$200,MATCH(T$219,$A$149:$A$200,0),100),$B204:$CW204,"="&amp;"X",$B$146:$CW$146,"="&amp;"N")</f>
        <v>0</v>
      </c>
      <c r="U221">
        <f ca="1">SUMIFS(INDEX($B$149:$CW$200,MATCH(U$219,$A$149:$A$200,0),1):INDEX($B$149:$CW$200,MATCH(U$219,$A$149:$A$200,0),100),$B204:$CW204,"="&amp;"X",$B$146:$CW$146,"="&amp;"N")</f>
        <v>0</v>
      </c>
      <c r="V221">
        <f ca="1">SUMIFS(INDEX($B$149:$CW$200,MATCH(V$219,$A$149:$A$200,0),1):INDEX($B$149:$CW$200,MATCH(V$219,$A$149:$A$200,0),100),$B204:$CW204,"="&amp;"X",$B$146:$CW$146,"="&amp;"N")</f>
        <v>0</v>
      </c>
      <c r="W221">
        <f ca="1">SUMIFS(INDEX($B$149:$CW$200,MATCH(W$219,$A$149:$A$200,0),1):INDEX($B$149:$CW$200,MATCH(W$219,$A$149:$A$200,0),100),$B204:$CW204,"="&amp;"X",$B$146:$CW$146,"="&amp;"N")</f>
        <v>0</v>
      </c>
      <c r="X221">
        <f ca="1">SUMIFS(INDEX($B$149:$CW$200,MATCH(X$219,$A$149:$A$200,0),1):INDEX($B$149:$CW$200,MATCH(X$219,$A$149:$A$200,0),100),$B204:$CW204,"="&amp;"X",$B$146:$CW$146,"="&amp;"N")</f>
        <v>0</v>
      </c>
      <c r="Y221">
        <f ca="1">SUMIFS(INDEX($B$149:$CW$200,MATCH(Y$219,$A$149:$A$200,0),1):INDEX($B$149:$CW$200,MATCH(Y$219,$A$149:$A$200,0),100),$B204:$CW204,"="&amp;"X",$B$146:$CW$146,"="&amp;"N")</f>
        <v>0</v>
      </c>
      <c r="Z221">
        <f ca="1">SUMIFS(INDEX($B$149:$CW$200,MATCH(Z$219,$A$149:$A$200,0),1):INDEX($B$149:$CW$200,MATCH(Z$219,$A$149:$A$200,0),100),$B204:$CW204,"="&amp;"X",$B$146:$CW$146,"="&amp;"N")</f>
        <v>0</v>
      </c>
      <c r="AA221">
        <f ca="1">SUMIFS(INDEX($B$149:$CW$200,MATCH(AA$219,$A$149:$A$200,0),1):INDEX($B$149:$CW$200,MATCH(AA$219,$A$149:$A$200,0),100),$B204:$CW204,"="&amp;"X",$B$146:$CW$146,"="&amp;"N")</f>
        <v>0</v>
      </c>
      <c r="AB221">
        <f ca="1">SUMIFS(INDEX($B$149:$CW$200,MATCH(AB$219,$A$149:$A$200,0),1):INDEX($B$149:$CW$200,MATCH(AB$219,$A$149:$A$200,0),100),$B204:$CW204,"="&amp;"X",$B$146:$CW$146,"="&amp;"N")</f>
        <v>0</v>
      </c>
      <c r="AC221">
        <f ca="1">SUMIFS(INDEX($B$149:$CW$200,MATCH(AC$219,$A$149:$A$200,0),1):INDEX($B$149:$CW$200,MATCH(AC$219,$A$149:$A$200,0),100),$B204:$CW204,"="&amp;"X",$B$146:$CW$146,"="&amp;"N")</f>
        <v>0</v>
      </c>
      <c r="AD221">
        <f ca="1">SUMIFS(INDEX($B$149:$CW$200,MATCH(AD$219,$A$149:$A$200,0),1):INDEX($B$149:$CW$200,MATCH(AD$219,$A$149:$A$200,0),100),$B204:$CW204,"="&amp;"X",$B$146:$CW$146,"="&amp;"N")</f>
        <v>0</v>
      </c>
      <c r="AE221">
        <f ca="1">SUMIFS(INDEX($B$149:$CW$200,MATCH(AE$219,$A$149:$A$200,0),1):INDEX($B$149:$CW$200,MATCH(AE$219,$A$149:$A$200,0),100),$B204:$CW204,"="&amp;"X",$B$146:$CW$146,"="&amp;"N")</f>
        <v>0</v>
      </c>
      <c r="AF221">
        <f ca="1">SUMIFS(INDEX($B$149:$CW$200,MATCH(AF$219,$A$149:$A$200,0),1):INDEX($B$149:$CW$200,MATCH(AF$219,$A$149:$A$200,0),100),$B204:$CW204,"="&amp;"X",$B$146:$CW$146,"="&amp;"N")</f>
        <v>0</v>
      </c>
      <c r="AG221">
        <f ca="1">SUMIFS(INDEX($B$149:$CW$200,MATCH(AG$219,$A$149:$A$200,0),1):INDEX($B$149:$CW$200,MATCH(AG$219,$A$149:$A$200,0),100),$B204:$CW204,"="&amp;"X",$B$146:$CW$146,"="&amp;"N")</f>
        <v>0</v>
      </c>
      <c r="AH221">
        <f ca="1">SUMIFS(INDEX($B$149:$CW$200,MATCH(AH$219,$A$149:$A$200,0),1):INDEX($B$149:$CW$200,MATCH(AH$219,$A$149:$A$200,0),100),$B204:$CW204,"="&amp;"X",$B$146:$CW$146,"="&amp;"N")</f>
        <v>0</v>
      </c>
      <c r="AI221">
        <f ca="1">SUMIFS(INDEX($B$149:$CW$200,MATCH(AI$219,$A$149:$A$200,0),1):INDEX($B$149:$CW$200,MATCH(AI$219,$A$149:$A$200,0),100),$B204:$CW204,"="&amp;"X",$B$146:$CW$146,"="&amp;"N")</f>
        <v>0</v>
      </c>
      <c r="AJ221">
        <f ca="1">SUMIFS(INDEX($B$149:$CW$200,MATCH(AJ$219,$A$149:$A$200,0),1):INDEX($B$149:$CW$200,MATCH(AJ$219,$A$149:$A$200,0),100),$B204:$CW204,"="&amp;"X",$B$146:$CW$146,"="&amp;"N")</f>
        <v>0</v>
      </c>
      <c r="AK221">
        <f ca="1">SUMIFS(INDEX($B$149:$CW$200,MATCH(AK$219,$A$149:$A$200,0),1):INDEX($B$149:$CW$200,MATCH(AK$219,$A$149:$A$200,0),100),$B204:$CW204,"="&amp;"X",$B$146:$CW$146,"="&amp;"N")</f>
        <v>0</v>
      </c>
      <c r="AL221">
        <f ca="1">SUMIFS(INDEX($B$149:$CW$200,MATCH(AL$219,$A$149:$A$200,0),1):INDEX($B$149:$CW$200,MATCH(AL$219,$A$149:$A$200,0),100),$B204:$CW204,"="&amp;"X",$B$146:$CW$146,"="&amp;"N")</f>
        <v>0</v>
      </c>
      <c r="AM221">
        <f ca="1">SUMIFS(INDEX($B$149:$CW$200,MATCH(AM$219,$A$149:$A$200,0),1):INDEX($B$149:$CW$200,MATCH(AM$219,$A$149:$A$200,0),100),$B204:$CW204,"="&amp;"X",$B$146:$CW$146,"="&amp;"N")</f>
        <v>0</v>
      </c>
      <c r="AN221">
        <f ca="1">SUMIFS(INDEX($B$149:$CW$200,MATCH(AN$219,$A$149:$A$200,0),1):INDEX($B$149:$CW$200,MATCH(AN$219,$A$149:$A$200,0),100),$B204:$CW204,"="&amp;"X",$B$146:$CW$146,"="&amp;"N")</f>
        <v>0</v>
      </c>
      <c r="AO221">
        <f ca="1">SUMIFS(INDEX($B$149:$CW$200,MATCH(AO$219,$A$149:$A$200,0),1):INDEX($B$149:$CW$200,MATCH(AO$219,$A$149:$A$200,0),100),$B204:$CW204,"="&amp;"X",$B$146:$CW$146,"="&amp;"N")</f>
        <v>0</v>
      </c>
      <c r="AP221">
        <f ca="1">SUMIFS(INDEX($B$149:$CW$200,MATCH(AP$219,$A$149:$A$200,0),1):INDEX($B$149:$CW$200,MATCH(AP$219,$A$149:$A$200,0),100),$B204:$CW204,"="&amp;"X",$B$146:$CW$146,"="&amp;"N")</f>
        <v>0</v>
      </c>
      <c r="AQ221">
        <f ca="1">SUMIFS(INDEX($B$149:$CW$200,MATCH(AQ$219,$A$149:$A$200,0),1):INDEX($B$149:$CW$200,MATCH(AQ$219,$A$149:$A$200,0),100),$B204:$CW204,"="&amp;"X",$B$146:$CW$146,"="&amp;"N")</f>
        <v>0</v>
      </c>
      <c r="AR221">
        <f ca="1">SUMIFS(INDEX($B$149:$CW$200,MATCH(AR$219,$A$149:$A$200,0),1):INDEX($B$149:$CW$200,MATCH(AR$219,$A$149:$A$200,0),100),$B204:$CW204,"="&amp;"X",$B$146:$CW$146,"="&amp;"N")</f>
        <v>0</v>
      </c>
      <c r="AS221">
        <f ca="1">SUMIFS(INDEX($B$149:$CW$200,MATCH(AS$219,$A$149:$A$200,0),1):INDEX($B$149:$CW$200,MATCH(AS$219,$A$149:$A$200,0),100),$B204:$CW204,"="&amp;"X",$B$146:$CW$146,"="&amp;"N")</f>
        <v>0</v>
      </c>
      <c r="AT221">
        <f ca="1">SUMIFS(INDEX($B$149:$CW$200,MATCH(AT$219,$A$149:$A$200,0),1):INDEX($B$149:$CW$200,MATCH(AT$219,$A$149:$A$200,0),100),$B204:$CW204,"="&amp;"X",$B$146:$CW$146,"="&amp;"N")</f>
        <v>0</v>
      </c>
      <c r="AU221">
        <f ca="1">SUMIFS(INDEX($B$149:$CW$200,MATCH(AU$219,$A$149:$A$200,0),1):INDEX($B$149:$CW$200,MATCH(AU$219,$A$149:$A$200,0),100),$B204:$CW204,"="&amp;"X",$B$146:$CW$146,"="&amp;"N")</f>
        <v>0</v>
      </c>
      <c r="AV221">
        <f ca="1">SUMIFS(INDEX($B$149:$CW$200,MATCH(AV$219,$A$149:$A$200,0),1):INDEX($B$149:$CW$200,MATCH(AV$219,$A$149:$A$200,0),100),$B204:$CW204,"="&amp;"X",$B$146:$CW$146,"="&amp;"N")</f>
        <v>0</v>
      </c>
      <c r="AW221">
        <f ca="1">SUMIFS(INDEX($B$149:$CW$200,MATCH(AW$219,$A$149:$A$200,0),1):INDEX($B$149:$CW$200,MATCH(AW$219,$A$149:$A$200,0),100),$B204:$CW204,"="&amp;"X",$B$146:$CW$146,"="&amp;"N")</f>
        <v>0</v>
      </c>
      <c r="AX221">
        <f ca="1">SUMIFS(INDEX($B$149:$CW$200,MATCH(AX$219,$A$149:$A$200,0),1):INDEX($B$149:$CW$200,MATCH(AX$219,$A$149:$A$200,0),100),$B204:$CW204,"="&amp;"X",$B$146:$CW$146,"="&amp;"N")</f>
        <v>0</v>
      </c>
      <c r="AY221">
        <f ca="1">SUMIFS(INDEX($B$149:$CW$200,MATCH(AY$219,$A$149:$A$200,0),1):INDEX($B$149:$CW$200,MATCH(AY$219,$A$149:$A$200,0),100),$B204:$CW204,"="&amp;"X",$B$146:$CW$146,"="&amp;"N")</f>
        <v>0</v>
      </c>
      <c r="AZ221">
        <f ca="1">SUMIFS(INDEX($B$149:$CW$200,MATCH(AZ$219,$A$149:$A$200,0),1):INDEX($B$149:$CW$200,MATCH(AZ$219,$A$149:$A$200,0),100),$B204:$CW204,"="&amp;"X",$B$146:$CW$146,"="&amp;"N")</f>
        <v>0</v>
      </c>
      <c r="BA221">
        <f ca="1">SUMIFS(INDEX($B$149:$CW$200,MATCH(BA$219,$A$149:$A$200,0),1):INDEX($B$149:$CW$200,MATCH(BA$219,$A$149:$A$200,0),100),$B204:$CW204,"="&amp;"X",$B$146:$CW$146,"="&amp;"N")</f>
        <v>0</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0</v>
      </c>
      <c r="C235">
        <f t="shared" ref="C235:BA235" ca="1" si="272">SUM(C220:C234)</f>
        <v>0</v>
      </c>
      <c r="D235">
        <f t="shared" ca="1" si="272"/>
        <v>0</v>
      </c>
      <c r="E235">
        <f t="shared" ca="1" si="272"/>
        <v>0</v>
      </c>
      <c r="F235">
        <f t="shared" ca="1" si="272"/>
        <v>0</v>
      </c>
      <c r="G235">
        <f t="shared" ca="1" si="272"/>
        <v>0</v>
      </c>
      <c r="H235">
        <f t="shared" ca="1" si="272"/>
        <v>0</v>
      </c>
      <c r="I235">
        <f t="shared" ca="1" si="272"/>
        <v>0</v>
      </c>
      <c r="J235">
        <f t="shared" ca="1" si="272"/>
        <v>0</v>
      </c>
      <c r="K235">
        <f t="shared" ca="1" si="272"/>
        <v>0</v>
      </c>
      <c r="L235">
        <f t="shared" ca="1" si="272"/>
        <v>0</v>
      </c>
      <c r="M235">
        <f t="shared" ca="1" si="272"/>
        <v>0</v>
      </c>
      <c r="N235">
        <f t="shared" ca="1" si="272"/>
        <v>0</v>
      </c>
      <c r="O235">
        <f t="shared" ca="1" si="272"/>
        <v>0</v>
      </c>
      <c r="P235">
        <f t="shared" ca="1" si="272"/>
        <v>0</v>
      </c>
      <c r="Q235">
        <f t="shared" ca="1" si="272"/>
        <v>0</v>
      </c>
      <c r="R235">
        <f t="shared" ca="1" si="272"/>
        <v>0</v>
      </c>
      <c r="S235">
        <f t="shared" ca="1" si="272"/>
        <v>0</v>
      </c>
      <c r="T235">
        <f t="shared" ca="1" si="272"/>
        <v>0</v>
      </c>
      <c r="U235">
        <f t="shared" ca="1" si="272"/>
        <v>0</v>
      </c>
      <c r="V235">
        <f t="shared" ca="1" si="272"/>
        <v>0</v>
      </c>
      <c r="W235">
        <f t="shared" ca="1" si="272"/>
        <v>0</v>
      </c>
      <c r="X235">
        <f t="shared" ca="1" si="272"/>
        <v>0</v>
      </c>
      <c r="Y235">
        <f t="shared" ca="1" si="272"/>
        <v>0</v>
      </c>
      <c r="Z235">
        <f t="shared" ca="1" si="272"/>
        <v>0</v>
      </c>
      <c r="AA235">
        <f t="shared" ca="1" si="272"/>
        <v>0</v>
      </c>
      <c r="AB235">
        <f t="shared" ca="1" si="272"/>
        <v>0</v>
      </c>
      <c r="AC235">
        <f t="shared" ca="1" si="272"/>
        <v>0</v>
      </c>
      <c r="AD235">
        <f t="shared" ca="1" si="272"/>
        <v>0</v>
      </c>
      <c r="AE235">
        <f t="shared" ca="1" si="272"/>
        <v>0</v>
      </c>
      <c r="AF235">
        <f t="shared" ca="1" si="272"/>
        <v>0</v>
      </c>
      <c r="AG235">
        <f t="shared" ca="1" si="272"/>
        <v>0</v>
      </c>
      <c r="AH235">
        <f t="shared" ca="1" si="272"/>
        <v>0</v>
      </c>
      <c r="AI235">
        <f t="shared" ca="1" si="272"/>
        <v>0</v>
      </c>
      <c r="AJ235">
        <f t="shared" ca="1" si="272"/>
        <v>0</v>
      </c>
      <c r="AK235">
        <f t="shared" ca="1" si="272"/>
        <v>0</v>
      </c>
      <c r="AL235">
        <f t="shared" ca="1" si="272"/>
        <v>0</v>
      </c>
      <c r="AM235">
        <f t="shared" ca="1" si="272"/>
        <v>0</v>
      </c>
      <c r="AN235">
        <f t="shared" ca="1" si="272"/>
        <v>0</v>
      </c>
      <c r="AO235">
        <f t="shared" ca="1" si="272"/>
        <v>0</v>
      </c>
      <c r="AP235">
        <f t="shared" ca="1" si="272"/>
        <v>0</v>
      </c>
      <c r="AQ235">
        <f t="shared" ca="1" si="272"/>
        <v>0</v>
      </c>
      <c r="AR235">
        <f t="shared" ca="1" si="272"/>
        <v>0</v>
      </c>
      <c r="AS235">
        <f t="shared" ca="1" si="272"/>
        <v>0</v>
      </c>
      <c r="AT235">
        <f t="shared" ca="1" si="272"/>
        <v>0</v>
      </c>
      <c r="AU235">
        <f t="shared" ca="1" si="272"/>
        <v>0</v>
      </c>
      <c r="AV235">
        <f t="shared" ca="1" si="272"/>
        <v>0</v>
      </c>
      <c r="AW235">
        <f t="shared" ca="1" si="272"/>
        <v>0</v>
      </c>
      <c r="AX235">
        <f t="shared" ca="1" si="272"/>
        <v>0</v>
      </c>
      <c r="AY235">
        <f t="shared" ca="1" si="272"/>
        <v>0</v>
      </c>
      <c r="AZ235">
        <f t="shared" ca="1" si="272"/>
        <v>0</v>
      </c>
      <c r="BA235">
        <f t="shared" ca="1" si="272"/>
        <v>0</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273">SUM(C238:C252)</f>
        <v>0</v>
      </c>
      <c r="D253">
        <f t="shared" ca="1" si="273"/>
        <v>0</v>
      </c>
      <c r="E253">
        <f t="shared" ca="1" si="273"/>
        <v>0</v>
      </c>
      <c r="F253">
        <f t="shared" ca="1" si="273"/>
        <v>0</v>
      </c>
      <c r="G253">
        <f t="shared" ca="1" si="273"/>
        <v>0</v>
      </c>
      <c r="H253">
        <f t="shared" ca="1" si="273"/>
        <v>0</v>
      </c>
      <c r="I253">
        <f t="shared" ca="1" si="273"/>
        <v>0</v>
      </c>
      <c r="J253">
        <f t="shared" ca="1" si="273"/>
        <v>0</v>
      </c>
      <c r="K253">
        <f t="shared" ca="1" si="273"/>
        <v>0</v>
      </c>
      <c r="L253">
        <f t="shared" ca="1" si="273"/>
        <v>0</v>
      </c>
      <c r="M253">
        <f t="shared" ca="1" si="273"/>
        <v>0</v>
      </c>
      <c r="N253">
        <f t="shared" ca="1" si="273"/>
        <v>0</v>
      </c>
      <c r="O253">
        <f t="shared" ca="1" si="273"/>
        <v>0</v>
      </c>
      <c r="P253">
        <f t="shared" ca="1" si="273"/>
        <v>0</v>
      </c>
      <c r="Q253">
        <f t="shared" ca="1" si="273"/>
        <v>0</v>
      </c>
      <c r="R253">
        <f t="shared" ca="1" si="273"/>
        <v>0</v>
      </c>
      <c r="S253">
        <f t="shared" ca="1" si="273"/>
        <v>0</v>
      </c>
      <c r="T253">
        <f t="shared" ca="1" si="273"/>
        <v>0</v>
      </c>
      <c r="U253">
        <f t="shared" ca="1" si="273"/>
        <v>0</v>
      </c>
      <c r="V253">
        <f t="shared" ca="1" si="273"/>
        <v>0</v>
      </c>
      <c r="W253">
        <f t="shared" ca="1" si="273"/>
        <v>0</v>
      </c>
      <c r="X253">
        <f t="shared" ca="1" si="273"/>
        <v>0</v>
      </c>
      <c r="Y253">
        <f t="shared" ca="1" si="273"/>
        <v>0</v>
      </c>
      <c r="Z253">
        <f t="shared" ca="1" si="273"/>
        <v>0</v>
      </c>
      <c r="AA253">
        <f t="shared" ca="1" si="273"/>
        <v>0</v>
      </c>
      <c r="AB253">
        <f t="shared" ca="1" si="273"/>
        <v>0</v>
      </c>
      <c r="AC253">
        <f t="shared" ca="1" si="273"/>
        <v>0</v>
      </c>
      <c r="AD253">
        <f t="shared" ca="1" si="273"/>
        <v>0</v>
      </c>
      <c r="AE253">
        <f t="shared" ca="1" si="273"/>
        <v>0</v>
      </c>
      <c r="AF253">
        <f t="shared" ca="1" si="273"/>
        <v>0</v>
      </c>
      <c r="AG253">
        <f t="shared" ca="1" si="273"/>
        <v>0</v>
      </c>
      <c r="AH253">
        <f t="shared" ca="1" si="273"/>
        <v>0</v>
      </c>
      <c r="AI253">
        <f t="shared" ca="1" si="273"/>
        <v>0</v>
      </c>
      <c r="AJ253">
        <f t="shared" ca="1" si="273"/>
        <v>0</v>
      </c>
      <c r="AK253">
        <f t="shared" ca="1" si="273"/>
        <v>0</v>
      </c>
      <c r="AL253">
        <f t="shared" ca="1" si="273"/>
        <v>0</v>
      </c>
      <c r="AM253">
        <f t="shared" ca="1" si="273"/>
        <v>0</v>
      </c>
      <c r="AN253">
        <f t="shared" ca="1" si="273"/>
        <v>0</v>
      </c>
      <c r="AO253">
        <f t="shared" ca="1" si="273"/>
        <v>0</v>
      </c>
      <c r="AP253">
        <f t="shared" ca="1" si="273"/>
        <v>0</v>
      </c>
      <c r="AQ253">
        <f t="shared" ca="1" si="273"/>
        <v>0</v>
      </c>
      <c r="AR253">
        <f t="shared" ca="1" si="273"/>
        <v>0</v>
      </c>
      <c r="AS253">
        <f t="shared" ca="1" si="273"/>
        <v>0</v>
      </c>
      <c r="AT253">
        <f t="shared" ca="1" si="273"/>
        <v>0</v>
      </c>
      <c r="AU253">
        <f t="shared" ca="1" si="273"/>
        <v>0</v>
      </c>
      <c r="AV253">
        <f t="shared" ca="1" si="273"/>
        <v>0</v>
      </c>
      <c r="AW253">
        <f t="shared" ca="1" si="273"/>
        <v>0</v>
      </c>
      <c r="AX253">
        <f t="shared" ca="1" si="273"/>
        <v>0</v>
      </c>
      <c r="AY253">
        <f t="shared" ca="1" si="273"/>
        <v>0</v>
      </c>
      <c r="AZ253">
        <f t="shared" ca="1" si="273"/>
        <v>0</v>
      </c>
      <c r="BA253">
        <f t="shared" ca="1" si="27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ca="1">B220+B238</f>
        <v>0</v>
      </c>
      <c r="C256">
        <f t="shared" ref="C256:BA261" ca="1" si="274">C220+C238</f>
        <v>0</v>
      </c>
      <c r="D256">
        <f t="shared" ca="1" si="274"/>
        <v>0</v>
      </c>
      <c r="E256">
        <f t="shared" ca="1" si="274"/>
        <v>0</v>
      </c>
      <c r="F256">
        <f t="shared" ca="1" si="274"/>
        <v>0</v>
      </c>
      <c r="G256">
        <f t="shared" ca="1" si="274"/>
        <v>0</v>
      </c>
      <c r="H256">
        <f t="shared" ca="1" si="274"/>
        <v>0</v>
      </c>
      <c r="I256">
        <f t="shared" ca="1" si="274"/>
        <v>0</v>
      </c>
      <c r="J256">
        <f t="shared" ca="1" si="274"/>
        <v>0</v>
      </c>
      <c r="K256">
        <f t="shared" ca="1" si="274"/>
        <v>0</v>
      </c>
      <c r="L256">
        <f t="shared" ca="1" si="274"/>
        <v>0</v>
      </c>
      <c r="M256">
        <f t="shared" ca="1" si="274"/>
        <v>0</v>
      </c>
      <c r="N256">
        <f t="shared" ca="1" si="274"/>
        <v>0</v>
      </c>
      <c r="O256">
        <f t="shared" ca="1" si="274"/>
        <v>0</v>
      </c>
      <c r="P256">
        <f t="shared" ca="1" si="274"/>
        <v>0</v>
      </c>
      <c r="Q256">
        <f t="shared" ca="1" si="274"/>
        <v>0</v>
      </c>
      <c r="R256">
        <f t="shared" ca="1" si="274"/>
        <v>0</v>
      </c>
      <c r="S256">
        <f t="shared" ca="1" si="274"/>
        <v>0</v>
      </c>
      <c r="T256">
        <f t="shared" ca="1" si="274"/>
        <v>0</v>
      </c>
      <c r="U256">
        <f t="shared" ca="1" si="274"/>
        <v>0</v>
      </c>
      <c r="V256">
        <f t="shared" ca="1" si="274"/>
        <v>0</v>
      </c>
      <c r="W256">
        <f t="shared" ca="1" si="274"/>
        <v>0</v>
      </c>
      <c r="X256">
        <f t="shared" ca="1" si="274"/>
        <v>0</v>
      </c>
      <c r="Y256">
        <f t="shared" ca="1" si="274"/>
        <v>0</v>
      </c>
      <c r="Z256">
        <f t="shared" ca="1" si="274"/>
        <v>0</v>
      </c>
      <c r="AA256">
        <f t="shared" ca="1" si="274"/>
        <v>0</v>
      </c>
      <c r="AB256">
        <f t="shared" ca="1" si="274"/>
        <v>0</v>
      </c>
      <c r="AC256">
        <f t="shared" ca="1" si="274"/>
        <v>0</v>
      </c>
      <c r="AD256">
        <f t="shared" ca="1" si="274"/>
        <v>0</v>
      </c>
      <c r="AE256">
        <f t="shared" ca="1" si="274"/>
        <v>0</v>
      </c>
      <c r="AF256">
        <f t="shared" ca="1" si="274"/>
        <v>0</v>
      </c>
      <c r="AG256">
        <f t="shared" ca="1" si="274"/>
        <v>0</v>
      </c>
      <c r="AH256">
        <f t="shared" ca="1" si="274"/>
        <v>0</v>
      </c>
      <c r="AI256">
        <f t="shared" ca="1" si="274"/>
        <v>0</v>
      </c>
      <c r="AJ256">
        <f t="shared" ca="1" si="274"/>
        <v>0</v>
      </c>
      <c r="AK256">
        <f t="shared" ca="1" si="274"/>
        <v>0</v>
      </c>
      <c r="AL256">
        <f t="shared" ca="1" si="274"/>
        <v>0</v>
      </c>
      <c r="AM256">
        <f t="shared" ca="1" si="274"/>
        <v>0</v>
      </c>
      <c r="AN256">
        <f t="shared" ca="1" si="274"/>
        <v>0</v>
      </c>
      <c r="AO256">
        <f t="shared" ca="1" si="274"/>
        <v>0</v>
      </c>
      <c r="AP256">
        <f t="shared" ca="1" si="274"/>
        <v>0</v>
      </c>
      <c r="AQ256">
        <f t="shared" ca="1" si="274"/>
        <v>0</v>
      </c>
      <c r="AR256">
        <f t="shared" ca="1" si="274"/>
        <v>0</v>
      </c>
      <c r="AS256">
        <f t="shared" ca="1" si="274"/>
        <v>0</v>
      </c>
      <c r="AT256">
        <f t="shared" ca="1" si="274"/>
        <v>0</v>
      </c>
      <c r="AU256">
        <f t="shared" ca="1" si="274"/>
        <v>0</v>
      </c>
      <c r="AV256">
        <f t="shared" ca="1" si="274"/>
        <v>0</v>
      </c>
      <c r="AW256">
        <f t="shared" ca="1" si="274"/>
        <v>0</v>
      </c>
      <c r="AX256">
        <f t="shared" ca="1" si="274"/>
        <v>0</v>
      </c>
      <c r="AY256">
        <f t="shared" ca="1" si="274"/>
        <v>0</v>
      </c>
      <c r="AZ256">
        <f t="shared" ca="1" si="274"/>
        <v>0</v>
      </c>
      <c r="BA256">
        <f t="shared" ca="1" si="274"/>
        <v>0</v>
      </c>
    </row>
    <row r="257" spans="1:53" x14ac:dyDescent="0.25">
      <c r="A257" s="2" t="str">
        <f>Setup!A21</f>
        <v>Caseload 2</v>
      </c>
      <c r="B257">
        <f t="shared" ref="B257:Q270" ca="1" si="275">B221+B239</f>
        <v>0</v>
      </c>
      <c r="C257">
        <f t="shared" ca="1" si="275"/>
        <v>0</v>
      </c>
      <c r="D257">
        <f t="shared" ca="1" si="275"/>
        <v>0</v>
      </c>
      <c r="E257">
        <f t="shared" ca="1" si="275"/>
        <v>0</v>
      </c>
      <c r="F257">
        <f t="shared" ca="1" si="275"/>
        <v>0</v>
      </c>
      <c r="G257">
        <f t="shared" ca="1" si="275"/>
        <v>0</v>
      </c>
      <c r="H257">
        <f t="shared" ca="1" si="275"/>
        <v>0</v>
      </c>
      <c r="I257">
        <f t="shared" ca="1" si="275"/>
        <v>0</v>
      </c>
      <c r="J257">
        <f t="shared" ca="1" si="275"/>
        <v>0</v>
      </c>
      <c r="K257">
        <f t="shared" ca="1" si="275"/>
        <v>0</v>
      </c>
      <c r="L257">
        <f t="shared" ca="1" si="275"/>
        <v>0</v>
      </c>
      <c r="M257">
        <f t="shared" ca="1" si="275"/>
        <v>0</v>
      </c>
      <c r="N257">
        <f t="shared" ca="1" si="275"/>
        <v>0</v>
      </c>
      <c r="O257">
        <f t="shared" ca="1" si="275"/>
        <v>0</v>
      </c>
      <c r="P257">
        <f t="shared" ca="1" si="275"/>
        <v>0</v>
      </c>
      <c r="Q257">
        <f t="shared" ca="1" si="275"/>
        <v>0</v>
      </c>
      <c r="R257">
        <f t="shared" ca="1" si="274"/>
        <v>0</v>
      </c>
      <c r="S257">
        <f t="shared" ca="1" si="274"/>
        <v>0</v>
      </c>
      <c r="T257">
        <f t="shared" ca="1" si="274"/>
        <v>0</v>
      </c>
      <c r="U257">
        <f t="shared" ca="1" si="274"/>
        <v>0</v>
      </c>
      <c r="V257">
        <f t="shared" ca="1" si="274"/>
        <v>0</v>
      </c>
      <c r="W257">
        <f t="shared" ca="1" si="274"/>
        <v>0</v>
      </c>
      <c r="X257">
        <f t="shared" ca="1" si="274"/>
        <v>0</v>
      </c>
      <c r="Y257">
        <f t="shared" ca="1" si="274"/>
        <v>0</v>
      </c>
      <c r="Z257">
        <f t="shared" ca="1" si="274"/>
        <v>0</v>
      </c>
      <c r="AA257">
        <f t="shared" ca="1" si="274"/>
        <v>0</v>
      </c>
      <c r="AB257">
        <f t="shared" ca="1" si="274"/>
        <v>0</v>
      </c>
      <c r="AC257">
        <f t="shared" ca="1" si="274"/>
        <v>0</v>
      </c>
      <c r="AD257">
        <f t="shared" ca="1" si="274"/>
        <v>0</v>
      </c>
      <c r="AE257">
        <f t="shared" ca="1" si="274"/>
        <v>0</v>
      </c>
      <c r="AF257">
        <f t="shared" ca="1" si="274"/>
        <v>0</v>
      </c>
      <c r="AG257">
        <f t="shared" ca="1" si="274"/>
        <v>0</v>
      </c>
      <c r="AH257">
        <f t="shared" ca="1" si="274"/>
        <v>0</v>
      </c>
      <c r="AI257">
        <f t="shared" ca="1" si="274"/>
        <v>0</v>
      </c>
      <c r="AJ257">
        <f t="shared" ca="1" si="274"/>
        <v>0</v>
      </c>
      <c r="AK257">
        <f t="shared" ca="1" si="274"/>
        <v>0</v>
      </c>
      <c r="AL257">
        <f t="shared" ca="1" si="274"/>
        <v>0</v>
      </c>
      <c r="AM257">
        <f t="shared" ca="1" si="274"/>
        <v>0</v>
      </c>
      <c r="AN257">
        <f t="shared" ca="1" si="274"/>
        <v>0</v>
      </c>
      <c r="AO257">
        <f t="shared" ca="1" si="274"/>
        <v>0</v>
      </c>
      <c r="AP257">
        <f t="shared" ca="1" si="274"/>
        <v>0</v>
      </c>
      <c r="AQ257">
        <f t="shared" ca="1" si="274"/>
        <v>0</v>
      </c>
      <c r="AR257">
        <f t="shared" ca="1" si="274"/>
        <v>0</v>
      </c>
      <c r="AS257">
        <f t="shared" ca="1" si="274"/>
        <v>0</v>
      </c>
      <c r="AT257">
        <f t="shared" ca="1" si="274"/>
        <v>0</v>
      </c>
      <c r="AU257">
        <f t="shared" ca="1" si="274"/>
        <v>0</v>
      </c>
      <c r="AV257">
        <f t="shared" ca="1" si="274"/>
        <v>0</v>
      </c>
      <c r="AW257">
        <f t="shared" ca="1" si="274"/>
        <v>0</v>
      </c>
      <c r="AX257">
        <f t="shared" ca="1" si="274"/>
        <v>0</v>
      </c>
      <c r="AY257">
        <f t="shared" ca="1" si="274"/>
        <v>0</v>
      </c>
      <c r="AZ257">
        <f t="shared" ca="1" si="274"/>
        <v>0</v>
      </c>
      <c r="BA257">
        <f t="shared" ca="1" si="274"/>
        <v>0</v>
      </c>
    </row>
    <row r="258" spans="1:53" x14ac:dyDescent="0.25">
      <c r="A258" s="2" t="str">
        <f>Setup!A22</f>
        <v>Caseload 3</v>
      </c>
      <c r="B258">
        <f t="shared" ca="1" si="275"/>
        <v>0</v>
      </c>
      <c r="C258">
        <f t="shared" ca="1" si="274"/>
        <v>0</v>
      </c>
      <c r="D258">
        <f t="shared" ca="1" si="274"/>
        <v>0</v>
      </c>
      <c r="E258">
        <f t="shared" ca="1" si="274"/>
        <v>0</v>
      </c>
      <c r="F258">
        <f t="shared" ca="1" si="274"/>
        <v>0</v>
      </c>
      <c r="G258">
        <f t="shared" ca="1" si="274"/>
        <v>0</v>
      </c>
      <c r="H258">
        <f t="shared" ca="1" si="274"/>
        <v>0</v>
      </c>
      <c r="I258">
        <f t="shared" ca="1" si="274"/>
        <v>0</v>
      </c>
      <c r="J258">
        <f t="shared" ca="1" si="274"/>
        <v>0</v>
      </c>
      <c r="K258">
        <f t="shared" ca="1" si="274"/>
        <v>0</v>
      </c>
      <c r="L258">
        <f t="shared" ca="1" si="274"/>
        <v>0</v>
      </c>
      <c r="M258">
        <f t="shared" ca="1" si="274"/>
        <v>0</v>
      </c>
      <c r="N258">
        <f t="shared" ca="1" si="274"/>
        <v>0</v>
      </c>
      <c r="O258">
        <f t="shared" ca="1" si="274"/>
        <v>0</v>
      </c>
      <c r="P258">
        <f t="shared" ca="1" si="274"/>
        <v>0</v>
      </c>
      <c r="Q258">
        <f t="shared" ca="1" si="274"/>
        <v>0</v>
      </c>
      <c r="R258">
        <f t="shared" ca="1" si="274"/>
        <v>0</v>
      </c>
      <c r="S258">
        <f t="shared" ca="1" si="274"/>
        <v>0</v>
      </c>
      <c r="T258">
        <f t="shared" ca="1" si="274"/>
        <v>0</v>
      </c>
      <c r="U258">
        <f t="shared" ca="1" si="274"/>
        <v>0</v>
      </c>
      <c r="V258">
        <f t="shared" ca="1" si="274"/>
        <v>0</v>
      </c>
      <c r="W258">
        <f t="shared" ca="1" si="274"/>
        <v>0</v>
      </c>
      <c r="X258">
        <f t="shared" ca="1" si="274"/>
        <v>0</v>
      </c>
      <c r="Y258">
        <f t="shared" ca="1" si="274"/>
        <v>0</v>
      </c>
      <c r="Z258">
        <f t="shared" ca="1" si="274"/>
        <v>0</v>
      </c>
      <c r="AA258">
        <f t="shared" ca="1" si="274"/>
        <v>0</v>
      </c>
      <c r="AB258">
        <f t="shared" ca="1" si="274"/>
        <v>0</v>
      </c>
      <c r="AC258">
        <f t="shared" ca="1" si="274"/>
        <v>0</v>
      </c>
      <c r="AD258">
        <f t="shared" ca="1" si="274"/>
        <v>0</v>
      </c>
      <c r="AE258">
        <f t="shared" ca="1" si="274"/>
        <v>0</v>
      </c>
      <c r="AF258">
        <f t="shared" ca="1" si="274"/>
        <v>0</v>
      </c>
      <c r="AG258">
        <f t="shared" ca="1" si="274"/>
        <v>0</v>
      </c>
      <c r="AH258">
        <f t="shared" ca="1" si="274"/>
        <v>0</v>
      </c>
      <c r="AI258">
        <f t="shared" ca="1" si="274"/>
        <v>0</v>
      </c>
      <c r="AJ258">
        <f t="shared" ca="1" si="274"/>
        <v>0</v>
      </c>
      <c r="AK258">
        <f t="shared" ca="1" si="274"/>
        <v>0</v>
      </c>
      <c r="AL258">
        <f t="shared" ca="1" si="274"/>
        <v>0</v>
      </c>
      <c r="AM258">
        <f t="shared" ca="1" si="274"/>
        <v>0</v>
      </c>
      <c r="AN258">
        <f t="shared" ca="1" si="274"/>
        <v>0</v>
      </c>
      <c r="AO258">
        <f t="shared" ca="1" si="274"/>
        <v>0</v>
      </c>
      <c r="AP258">
        <f t="shared" ca="1" si="274"/>
        <v>0</v>
      </c>
      <c r="AQ258">
        <f t="shared" ca="1" si="274"/>
        <v>0</v>
      </c>
      <c r="AR258">
        <f t="shared" ca="1" si="274"/>
        <v>0</v>
      </c>
      <c r="AS258">
        <f t="shared" ca="1" si="274"/>
        <v>0</v>
      </c>
      <c r="AT258">
        <f t="shared" ca="1" si="274"/>
        <v>0</v>
      </c>
      <c r="AU258">
        <f t="shared" ca="1" si="274"/>
        <v>0</v>
      </c>
      <c r="AV258">
        <f t="shared" ca="1" si="274"/>
        <v>0</v>
      </c>
      <c r="AW258">
        <f t="shared" ca="1" si="274"/>
        <v>0</v>
      </c>
      <c r="AX258">
        <f t="shared" ca="1" si="274"/>
        <v>0</v>
      </c>
      <c r="AY258">
        <f t="shared" ca="1" si="274"/>
        <v>0</v>
      </c>
      <c r="AZ258">
        <f t="shared" ca="1" si="274"/>
        <v>0</v>
      </c>
      <c r="BA258">
        <f t="shared" ca="1" si="274"/>
        <v>0</v>
      </c>
    </row>
    <row r="259" spans="1:53" x14ac:dyDescent="0.25">
      <c r="A259" s="2" t="str">
        <f>Setup!A23</f>
        <v>Caseload 4</v>
      </c>
      <c r="B259">
        <f t="shared" ca="1" si="275"/>
        <v>0</v>
      </c>
      <c r="C259">
        <f t="shared" ca="1" si="274"/>
        <v>0</v>
      </c>
      <c r="D259">
        <f t="shared" ca="1" si="274"/>
        <v>0</v>
      </c>
      <c r="E259">
        <f t="shared" ca="1" si="274"/>
        <v>0</v>
      </c>
      <c r="F259">
        <f t="shared" ca="1" si="274"/>
        <v>0</v>
      </c>
      <c r="G259">
        <f t="shared" ca="1" si="274"/>
        <v>0</v>
      </c>
      <c r="H259">
        <f t="shared" ca="1" si="274"/>
        <v>0</v>
      </c>
      <c r="I259">
        <f t="shared" ca="1" si="274"/>
        <v>0</v>
      </c>
      <c r="J259">
        <f t="shared" ca="1" si="274"/>
        <v>0</v>
      </c>
      <c r="K259">
        <f t="shared" ca="1" si="274"/>
        <v>0</v>
      </c>
      <c r="L259">
        <f t="shared" ca="1" si="274"/>
        <v>0</v>
      </c>
      <c r="M259">
        <f t="shared" ca="1" si="274"/>
        <v>0</v>
      </c>
      <c r="N259">
        <f t="shared" ca="1" si="274"/>
        <v>0</v>
      </c>
      <c r="O259">
        <f t="shared" ca="1" si="274"/>
        <v>0</v>
      </c>
      <c r="P259">
        <f t="shared" ca="1" si="274"/>
        <v>0</v>
      </c>
      <c r="Q259">
        <f t="shared" ca="1" si="274"/>
        <v>0</v>
      </c>
      <c r="R259">
        <f t="shared" ca="1" si="274"/>
        <v>0</v>
      </c>
      <c r="S259">
        <f t="shared" ca="1" si="274"/>
        <v>0</v>
      </c>
      <c r="T259">
        <f t="shared" ca="1" si="274"/>
        <v>0</v>
      </c>
      <c r="U259">
        <f t="shared" ca="1" si="274"/>
        <v>0</v>
      </c>
      <c r="V259">
        <f t="shared" ca="1" si="274"/>
        <v>0</v>
      </c>
      <c r="W259">
        <f t="shared" ca="1" si="274"/>
        <v>0</v>
      </c>
      <c r="X259">
        <f t="shared" ca="1" si="274"/>
        <v>0</v>
      </c>
      <c r="Y259">
        <f t="shared" ca="1" si="274"/>
        <v>0</v>
      </c>
      <c r="Z259">
        <f t="shared" ca="1" si="274"/>
        <v>0</v>
      </c>
      <c r="AA259">
        <f t="shared" ca="1" si="274"/>
        <v>0</v>
      </c>
      <c r="AB259">
        <f t="shared" ca="1" si="274"/>
        <v>0</v>
      </c>
      <c r="AC259">
        <f t="shared" ca="1" si="274"/>
        <v>0</v>
      </c>
      <c r="AD259">
        <f t="shared" ca="1" si="274"/>
        <v>0</v>
      </c>
      <c r="AE259">
        <f t="shared" ca="1" si="274"/>
        <v>0</v>
      </c>
      <c r="AF259">
        <f t="shared" ca="1" si="274"/>
        <v>0</v>
      </c>
      <c r="AG259">
        <f t="shared" ca="1" si="274"/>
        <v>0</v>
      </c>
      <c r="AH259">
        <f t="shared" ca="1" si="274"/>
        <v>0</v>
      </c>
      <c r="AI259">
        <f t="shared" ca="1" si="274"/>
        <v>0</v>
      </c>
      <c r="AJ259">
        <f t="shared" ca="1" si="274"/>
        <v>0</v>
      </c>
      <c r="AK259">
        <f t="shared" ca="1" si="274"/>
        <v>0</v>
      </c>
      <c r="AL259">
        <f t="shared" ca="1" si="274"/>
        <v>0</v>
      </c>
      <c r="AM259">
        <f t="shared" ca="1" si="274"/>
        <v>0</v>
      </c>
      <c r="AN259">
        <f t="shared" ca="1" si="274"/>
        <v>0</v>
      </c>
      <c r="AO259">
        <f t="shared" ca="1" si="274"/>
        <v>0</v>
      </c>
      <c r="AP259">
        <f t="shared" ca="1" si="274"/>
        <v>0</v>
      </c>
      <c r="AQ259">
        <f t="shared" ca="1" si="274"/>
        <v>0</v>
      </c>
      <c r="AR259">
        <f t="shared" ca="1" si="274"/>
        <v>0</v>
      </c>
      <c r="AS259">
        <f t="shared" ca="1" si="274"/>
        <v>0</v>
      </c>
      <c r="AT259">
        <f t="shared" ca="1" si="274"/>
        <v>0</v>
      </c>
      <c r="AU259">
        <f t="shared" ca="1" si="274"/>
        <v>0</v>
      </c>
      <c r="AV259">
        <f t="shared" ca="1" si="274"/>
        <v>0</v>
      </c>
      <c r="AW259">
        <f t="shared" ca="1" si="274"/>
        <v>0</v>
      </c>
      <c r="AX259">
        <f t="shared" ca="1" si="274"/>
        <v>0</v>
      </c>
      <c r="AY259">
        <f t="shared" ca="1" si="274"/>
        <v>0</v>
      </c>
      <c r="AZ259">
        <f t="shared" ca="1" si="274"/>
        <v>0</v>
      </c>
      <c r="BA259">
        <f t="shared" ca="1" si="274"/>
        <v>0</v>
      </c>
    </row>
    <row r="260" spans="1:53" x14ac:dyDescent="0.25">
      <c r="A260" s="2" t="str">
        <f>Setup!A24</f>
        <v>Caseload 5</v>
      </c>
      <c r="B260">
        <f t="shared" ca="1" si="275"/>
        <v>0</v>
      </c>
      <c r="C260">
        <f t="shared" ca="1" si="274"/>
        <v>0</v>
      </c>
      <c r="D260">
        <f t="shared" ca="1" si="274"/>
        <v>0</v>
      </c>
      <c r="E260">
        <f t="shared" ca="1" si="274"/>
        <v>0</v>
      </c>
      <c r="F260">
        <f t="shared" ca="1" si="274"/>
        <v>0</v>
      </c>
      <c r="G260">
        <f t="shared" ca="1" si="274"/>
        <v>0</v>
      </c>
      <c r="H260">
        <f t="shared" ca="1" si="274"/>
        <v>0</v>
      </c>
      <c r="I260">
        <f t="shared" ca="1" si="274"/>
        <v>0</v>
      </c>
      <c r="J260">
        <f t="shared" ca="1" si="274"/>
        <v>0</v>
      </c>
      <c r="K260">
        <f t="shared" ca="1" si="274"/>
        <v>0</v>
      </c>
      <c r="L260">
        <f t="shared" ca="1" si="274"/>
        <v>0</v>
      </c>
      <c r="M260">
        <f t="shared" ca="1" si="274"/>
        <v>0</v>
      </c>
      <c r="N260">
        <f t="shared" ca="1" si="274"/>
        <v>0</v>
      </c>
      <c r="O260">
        <f t="shared" ca="1" si="274"/>
        <v>0</v>
      </c>
      <c r="P260">
        <f t="shared" ca="1" si="274"/>
        <v>0</v>
      </c>
      <c r="Q260">
        <f t="shared" ca="1" si="274"/>
        <v>0</v>
      </c>
      <c r="R260">
        <f t="shared" ca="1" si="274"/>
        <v>0</v>
      </c>
      <c r="S260">
        <f t="shared" ca="1" si="274"/>
        <v>0</v>
      </c>
      <c r="T260">
        <f t="shared" ca="1" si="274"/>
        <v>0</v>
      </c>
      <c r="U260">
        <f t="shared" ca="1" si="274"/>
        <v>0</v>
      </c>
      <c r="V260">
        <f t="shared" ca="1" si="274"/>
        <v>0</v>
      </c>
      <c r="W260">
        <f t="shared" ca="1" si="274"/>
        <v>0</v>
      </c>
      <c r="X260">
        <f t="shared" ca="1" si="274"/>
        <v>0</v>
      </c>
      <c r="Y260">
        <f t="shared" ca="1" si="274"/>
        <v>0</v>
      </c>
      <c r="Z260">
        <f t="shared" ca="1" si="274"/>
        <v>0</v>
      </c>
      <c r="AA260">
        <f t="shared" ca="1" si="274"/>
        <v>0</v>
      </c>
      <c r="AB260">
        <f t="shared" ca="1" si="274"/>
        <v>0</v>
      </c>
      <c r="AC260">
        <f t="shared" ca="1" si="274"/>
        <v>0</v>
      </c>
      <c r="AD260">
        <f t="shared" ca="1" si="274"/>
        <v>0</v>
      </c>
      <c r="AE260">
        <f t="shared" ca="1" si="274"/>
        <v>0</v>
      </c>
      <c r="AF260">
        <f t="shared" ca="1" si="274"/>
        <v>0</v>
      </c>
      <c r="AG260">
        <f t="shared" ca="1" si="274"/>
        <v>0</v>
      </c>
      <c r="AH260">
        <f t="shared" ca="1" si="274"/>
        <v>0</v>
      </c>
      <c r="AI260">
        <f t="shared" ca="1" si="274"/>
        <v>0</v>
      </c>
      <c r="AJ260">
        <f t="shared" ca="1" si="274"/>
        <v>0</v>
      </c>
      <c r="AK260">
        <f t="shared" ca="1" si="274"/>
        <v>0</v>
      </c>
      <c r="AL260">
        <f t="shared" ca="1" si="274"/>
        <v>0</v>
      </c>
      <c r="AM260">
        <f t="shared" ca="1" si="274"/>
        <v>0</v>
      </c>
      <c r="AN260">
        <f t="shared" ca="1" si="274"/>
        <v>0</v>
      </c>
      <c r="AO260">
        <f t="shared" ca="1" si="274"/>
        <v>0</v>
      </c>
      <c r="AP260">
        <f t="shared" ca="1" si="274"/>
        <v>0</v>
      </c>
      <c r="AQ260">
        <f t="shared" ca="1" si="274"/>
        <v>0</v>
      </c>
      <c r="AR260">
        <f t="shared" ca="1" si="274"/>
        <v>0</v>
      </c>
      <c r="AS260">
        <f t="shared" ca="1" si="274"/>
        <v>0</v>
      </c>
      <c r="AT260">
        <f t="shared" ca="1" si="274"/>
        <v>0</v>
      </c>
      <c r="AU260">
        <f t="shared" ca="1" si="274"/>
        <v>0</v>
      </c>
      <c r="AV260">
        <f t="shared" ca="1" si="274"/>
        <v>0</v>
      </c>
      <c r="AW260">
        <f t="shared" ca="1" si="274"/>
        <v>0</v>
      </c>
      <c r="AX260">
        <f t="shared" ca="1" si="274"/>
        <v>0</v>
      </c>
      <c r="AY260">
        <f t="shared" ca="1" si="274"/>
        <v>0</v>
      </c>
      <c r="AZ260">
        <f t="shared" ca="1" si="274"/>
        <v>0</v>
      </c>
      <c r="BA260">
        <f t="shared" ca="1" si="274"/>
        <v>0</v>
      </c>
    </row>
    <row r="261" spans="1:53" x14ac:dyDescent="0.25">
      <c r="A261" s="2" t="str">
        <f>Setup!A25</f>
        <v>Caseload 6</v>
      </c>
      <c r="B261">
        <f t="shared" ca="1" si="275"/>
        <v>0</v>
      </c>
      <c r="C261">
        <f t="shared" ca="1" si="274"/>
        <v>0</v>
      </c>
      <c r="D261">
        <f t="shared" ca="1" si="274"/>
        <v>0</v>
      </c>
      <c r="E261">
        <f t="shared" ca="1" si="274"/>
        <v>0</v>
      </c>
      <c r="F261">
        <f t="shared" ca="1" si="274"/>
        <v>0</v>
      </c>
      <c r="G261">
        <f t="shared" ca="1" si="274"/>
        <v>0</v>
      </c>
      <c r="H261">
        <f t="shared" ca="1" si="274"/>
        <v>0</v>
      </c>
      <c r="I261">
        <f t="shared" ca="1" si="274"/>
        <v>0</v>
      </c>
      <c r="J261">
        <f t="shared" ca="1" si="274"/>
        <v>0</v>
      </c>
      <c r="K261">
        <f t="shared" ca="1" si="274"/>
        <v>0</v>
      </c>
      <c r="L261">
        <f t="shared" ca="1" si="274"/>
        <v>0</v>
      </c>
      <c r="M261">
        <f t="shared" ca="1" si="274"/>
        <v>0</v>
      </c>
      <c r="N261">
        <f t="shared" ca="1" si="274"/>
        <v>0</v>
      </c>
      <c r="O261">
        <f t="shared" ca="1" si="274"/>
        <v>0</v>
      </c>
      <c r="P261">
        <f t="shared" ca="1" si="274"/>
        <v>0</v>
      </c>
      <c r="Q261">
        <f t="shared" ca="1" si="274"/>
        <v>0</v>
      </c>
      <c r="R261">
        <f t="shared" ref="C261:BA266" ca="1" si="276">R225+R243</f>
        <v>0</v>
      </c>
      <c r="S261">
        <f t="shared" ca="1" si="276"/>
        <v>0</v>
      </c>
      <c r="T261">
        <f t="shared" ca="1" si="276"/>
        <v>0</v>
      </c>
      <c r="U261">
        <f t="shared" ca="1" si="276"/>
        <v>0</v>
      </c>
      <c r="V261">
        <f t="shared" ca="1" si="276"/>
        <v>0</v>
      </c>
      <c r="W261">
        <f t="shared" ca="1" si="276"/>
        <v>0</v>
      </c>
      <c r="X261">
        <f t="shared" ca="1" si="276"/>
        <v>0</v>
      </c>
      <c r="Y261">
        <f t="shared" ca="1" si="276"/>
        <v>0</v>
      </c>
      <c r="Z261">
        <f t="shared" ca="1" si="276"/>
        <v>0</v>
      </c>
      <c r="AA261">
        <f t="shared" ca="1" si="276"/>
        <v>0</v>
      </c>
      <c r="AB261">
        <f t="shared" ca="1" si="276"/>
        <v>0</v>
      </c>
      <c r="AC261">
        <f t="shared" ca="1" si="276"/>
        <v>0</v>
      </c>
      <c r="AD261">
        <f t="shared" ca="1" si="276"/>
        <v>0</v>
      </c>
      <c r="AE261">
        <f t="shared" ca="1" si="276"/>
        <v>0</v>
      </c>
      <c r="AF261">
        <f t="shared" ca="1" si="276"/>
        <v>0</v>
      </c>
      <c r="AG261">
        <f t="shared" ca="1" si="276"/>
        <v>0</v>
      </c>
      <c r="AH261">
        <f t="shared" ca="1" si="276"/>
        <v>0</v>
      </c>
      <c r="AI261">
        <f t="shared" ca="1" si="276"/>
        <v>0</v>
      </c>
      <c r="AJ261">
        <f t="shared" ca="1" si="276"/>
        <v>0</v>
      </c>
      <c r="AK261">
        <f t="shared" ca="1" si="276"/>
        <v>0</v>
      </c>
      <c r="AL261">
        <f t="shared" ca="1" si="276"/>
        <v>0</v>
      </c>
      <c r="AM261">
        <f t="shared" ca="1" si="276"/>
        <v>0</v>
      </c>
      <c r="AN261">
        <f t="shared" ca="1" si="276"/>
        <v>0</v>
      </c>
      <c r="AO261">
        <f t="shared" ca="1" si="276"/>
        <v>0</v>
      </c>
      <c r="AP261">
        <f t="shared" ca="1" si="276"/>
        <v>0</v>
      </c>
      <c r="AQ261">
        <f t="shared" ca="1" si="276"/>
        <v>0</v>
      </c>
      <c r="AR261">
        <f t="shared" ca="1" si="276"/>
        <v>0</v>
      </c>
      <c r="AS261">
        <f t="shared" ca="1" si="276"/>
        <v>0</v>
      </c>
      <c r="AT261">
        <f t="shared" ca="1" si="276"/>
        <v>0</v>
      </c>
      <c r="AU261">
        <f t="shared" ca="1" si="276"/>
        <v>0</v>
      </c>
      <c r="AV261">
        <f t="shared" ca="1" si="276"/>
        <v>0</v>
      </c>
      <c r="AW261">
        <f t="shared" ca="1" si="276"/>
        <v>0</v>
      </c>
      <c r="AX261">
        <f t="shared" ca="1" si="276"/>
        <v>0</v>
      </c>
      <c r="AY261">
        <f t="shared" ca="1" si="276"/>
        <v>0</v>
      </c>
      <c r="AZ261">
        <f t="shared" ca="1" si="276"/>
        <v>0</v>
      </c>
      <c r="BA261">
        <f t="shared" ca="1" si="276"/>
        <v>0</v>
      </c>
    </row>
    <row r="262" spans="1:53" x14ac:dyDescent="0.25">
      <c r="A262" s="2" t="str">
        <f>Setup!A26</f>
        <v>Caseload 7</v>
      </c>
      <c r="B262">
        <f t="shared" ca="1" si="275"/>
        <v>0</v>
      </c>
      <c r="C262">
        <f t="shared" ca="1" si="276"/>
        <v>0</v>
      </c>
      <c r="D262">
        <f t="shared" ca="1" si="276"/>
        <v>0</v>
      </c>
      <c r="E262">
        <f t="shared" ca="1" si="276"/>
        <v>0</v>
      </c>
      <c r="F262">
        <f t="shared" ca="1" si="276"/>
        <v>0</v>
      </c>
      <c r="G262">
        <f t="shared" ca="1" si="276"/>
        <v>0</v>
      </c>
      <c r="H262">
        <f t="shared" ca="1" si="276"/>
        <v>0</v>
      </c>
      <c r="I262">
        <f t="shared" ca="1" si="276"/>
        <v>0</v>
      </c>
      <c r="J262">
        <f t="shared" ca="1" si="276"/>
        <v>0</v>
      </c>
      <c r="K262">
        <f t="shared" ca="1" si="276"/>
        <v>0</v>
      </c>
      <c r="L262">
        <f t="shared" ca="1" si="276"/>
        <v>0</v>
      </c>
      <c r="M262">
        <f t="shared" ca="1" si="276"/>
        <v>0</v>
      </c>
      <c r="N262">
        <f t="shared" ca="1" si="276"/>
        <v>0</v>
      </c>
      <c r="O262">
        <f t="shared" ca="1" si="276"/>
        <v>0</v>
      </c>
      <c r="P262">
        <f t="shared" ca="1" si="276"/>
        <v>0</v>
      </c>
      <c r="Q262">
        <f t="shared" ca="1" si="276"/>
        <v>0</v>
      </c>
      <c r="R262">
        <f t="shared" ca="1" si="276"/>
        <v>0</v>
      </c>
      <c r="S262">
        <f t="shared" ca="1" si="276"/>
        <v>0</v>
      </c>
      <c r="T262">
        <f t="shared" ca="1" si="276"/>
        <v>0</v>
      </c>
      <c r="U262">
        <f t="shared" ca="1" si="276"/>
        <v>0</v>
      </c>
      <c r="V262">
        <f t="shared" ca="1" si="276"/>
        <v>0</v>
      </c>
      <c r="W262">
        <f t="shared" ca="1" si="276"/>
        <v>0</v>
      </c>
      <c r="X262">
        <f t="shared" ca="1" si="276"/>
        <v>0</v>
      </c>
      <c r="Y262">
        <f t="shared" ca="1" si="276"/>
        <v>0</v>
      </c>
      <c r="Z262">
        <f t="shared" ca="1" si="276"/>
        <v>0</v>
      </c>
      <c r="AA262">
        <f t="shared" ca="1" si="276"/>
        <v>0</v>
      </c>
      <c r="AB262">
        <f t="shared" ca="1" si="276"/>
        <v>0</v>
      </c>
      <c r="AC262">
        <f t="shared" ca="1" si="276"/>
        <v>0</v>
      </c>
      <c r="AD262">
        <f t="shared" ca="1" si="276"/>
        <v>0</v>
      </c>
      <c r="AE262">
        <f t="shared" ca="1" si="276"/>
        <v>0</v>
      </c>
      <c r="AF262">
        <f t="shared" ca="1" si="276"/>
        <v>0</v>
      </c>
      <c r="AG262">
        <f t="shared" ca="1" si="276"/>
        <v>0</v>
      </c>
      <c r="AH262">
        <f t="shared" ca="1" si="276"/>
        <v>0</v>
      </c>
      <c r="AI262">
        <f t="shared" ca="1" si="276"/>
        <v>0</v>
      </c>
      <c r="AJ262">
        <f t="shared" ca="1" si="276"/>
        <v>0</v>
      </c>
      <c r="AK262">
        <f t="shared" ca="1" si="276"/>
        <v>0</v>
      </c>
      <c r="AL262">
        <f t="shared" ca="1" si="276"/>
        <v>0</v>
      </c>
      <c r="AM262">
        <f t="shared" ca="1" si="276"/>
        <v>0</v>
      </c>
      <c r="AN262">
        <f t="shared" ca="1" si="276"/>
        <v>0</v>
      </c>
      <c r="AO262">
        <f t="shared" ca="1" si="276"/>
        <v>0</v>
      </c>
      <c r="AP262">
        <f t="shared" ca="1" si="276"/>
        <v>0</v>
      </c>
      <c r="AQ262">
        <f t="shared" ca="1" si="276"/>
        <v>0</v>
      </c>
      <c r="AR262">
        <f t="shared" ca="1" si="276"/>
        <v>0</v>
      </c>
      <c r="AS262">
        <f t="shared" ca="1" si="276"/>
        <v>0</v>
      </c>
      <c r="AT262">
        <f t="shared" ca="1" si="276"/>
        <v>0</v>
      </c>
      <c r="AU262">
        <f t="shared" ca="1" si="276"/>
        <v>0</v>
      </c>
      <c r="AV262">
        <f t="shared" ca="1" si="276"/>
        <v>0</v>
      </c>
      <c r="AW262">
        <f t="shared" ca="1" si="276"/>
        <v>0</v>
      </c>
      <c r="AX262">
        <f t="shared" ca="1" si="276"/>
        <v>0</v>
      </c>
      <c r="AY262">
        <f t="shared" ca="1" si="276"/>
        <v>0</v>
      </c>
      <c r="AZ262">
        <f t="shared" ca="1" si="276"/>
        <v>0</v>
      </c>
      <c r="BA262">
        <f t="shared" ca="1" si="276"/>
        <v>0</v>
      </c>
    </row>
    <row r="263" spans="1:53" x14ac:dyDescent="0.25">
      <c r="A263" s="2" t="str">
        <f>Setup!A27</f>
        <v>Caseload 8</v>
      </c>
      <c r="B263">
        <f t="shared" ca="1" si="275"/>
        <v>0</v>
      </c>
      <c r="C263">
        <f t="shared" ca="1" si="276"/>
        <v>0</v>
      </c>
      <c r="D263">
        <f t="shared" ca="1" si="276"/>
        <v>0</v>
      </c>
      <c r="E263">
        <f t="shared" ca="1" si="276"/>
        <v>0</v>
      </c>
      <c r="F263">
        <f t="shared" ca="1" si="276"/>
        <v>0</v>
      </c>
      <c r="G263">
        <f t="shared" ca="1" si="276"/>
        <v>0</v>
      </c>
      <c r="H263">
        <f t="shared" ca="1" si="276"/>
        <v>0</v>
      </c>
      <c r="I263">
        <f t="shared" ca="1" si="276"/>
        <v>0</v>
      </c>
      <c r="J263">
        <f t="shared" ca="1" si="276"/>
        <v>0</v>
      </c>
      <c r="K263">
        <f t="shared" ca="1" si="276"/>
        <v>0</v>
      </c>
      <c r="L263">
        <f t="shared" ca="1" si="276"/>
        <v>0</v>
      </c>
      <c r="M263">
        <f t="shared" ca="1" si="276"/>
        <v>0</v>
      </c>
      <c r="N263">
        <f t="shared" ca="1" si="276"/>
        <v>0</v>
      </c>
      <c r="O263">
        <f t="shared" ca="1" si="276"/>
        <v>0</v>
      </c>
      <c r="P263">
        <f t="shared" ca="1" si="276"/>
        <v>0</v>
      </c>
      <c r="Q263">
        <f t="shared" ca="1" si="276"/>
        <v>0</v>
      </c>
      <c r="R263">
        <f t="shared" ca="1" si="276"/>
        <v>0</v>
      </c>
      <c r="S263">
        <f t="shared" ca="1" si="276"/>
        <v>0</v>
      </c>
      <c r="T263">
        <f t="shared" ca="1" si="276"/>
        <v>0</v>
      </c>
      <c r="U263">
        <f t="shared" ca="1" si="276"/>
        <v>0</v>
      </c>
      <c r="V263">
        <f t="shared" ca="1" si="276"/>
        <v>0</v>
      </c>
      <c r="W263">
        <f t="shared" ca="1" si="276"/>
        <v>0</v>
      </c>
      <c r="X263">
        <f t="shared" ca="1" si="276"/>
        <v>0</v>
      </c>
      <c r="Y263">
        <f t="shared" ca="1" si="276"/>
        <v>0</v>
      </c>
      <c r="Z263">
        <f t="shared" ca="1" si="276"/>
        <v>0</v>
      </c>
      <c r="AA263">
        <f t="shared" ca="1" si="276"/>
        <v>0</v>
      </c>
      <c r="AB263">
        <f t="shared" ca="1" si="276"/>
        <v>0</v>
      </c>
      <c r="AC263">
        <f t="shared" ca="1" si="276"/>
        <v>0</v>
      </c>
      <c r="AD263">
        <f t="shared" ca="1" si="276"/>
        <v>0</v>
      </c>
      <c r="AE263">
        <f t="shared" ca="1" si="276"/>
        <v>0</v>
      </c>
      <c r="AF263">
        <f t="shared" ca="1" si="276"/>
        <v>0</v>
      </c>
      <c r="AG263">
        <f t="shared" ca="1" si="276"/>
        <v>0</v>
      </c>
      <c r="AH263">
        <f t="shared" ca="1" si="276"/>
        <v>0</v>
      </c>
      <c r="AI263">
        <f t="shared" ca="1" si="276"/>
        <v>0</v>
      </c>
      <c r="AJ263">
        <f t="shared" ca="1" si="276"/>
        <v>0</v>
      </c>
      <c r="AK263">
        <f t="shared" ca="1" si="276"/>
        <v>0</v>
      </c>
      <c r="AL263">
        <f t="shared" ca="1" si="276"/>
        <v>0</v>
      </c>
      <c r="AM263">
        <f t="shared" ca="1" si="276"/>
        <v>0</v>
      </c>
      <c r="AN263">
        <f t="shared" ca="1" si="276"/>
        <v>0</v>
      </c>
      <c r="AO263">
        <f t="shared" ca="1" si="276"/>
        <v>0</v>
      </c>
      <c r="AP263">
        <f t="shared" ca="1" si="276"/>
        <v>0</v>
      </c>
      <c r="AQ263">
        <f t="shared" ca="1" si="276"/>
        <v>0</v>
      </c>
      <c r="AR263">
        <f t="shared" ca="1" si="276"/>
        <v>0</v>
      </c>
      <c r="AS263">
        <f t="shared" ca="1" si="276"/>
        <v>0</v>
      </c>
      <c r="AT263">
        <f t="shared" ca="1" si="276"/>
        <v>0</v>
      </c>
      <c r="AU263">
        <f t="shared" ca="1" si="276"/>
        <v>0</v>
      </c>
      <c r="AV263">
        <f t="shared" ca="1" si="276"/>
        <v>0</v>
      </c>
      <c r="AW263">
        <f t="shared" ca="1" si="276"/>
        <v>0</v>
      </c>
      <c r="AX263">
        <f t="shared" ca="1" si="276"/>
        <v>0</v>
      </c>
      <c r="AY263">
        <f t="shared" ca="1" si="276"/>
        <v>0</v>
      </c>
      <c r="AZ263">
        <f t="shared" ca="1" si="276"/>
        <v>0</v>
      </c>
      <c r="BA263">
        <f t="shared" ca="1" si="276"/>
        <v>0</v>
      </c>
    </row>
    <row r="264" spans="1:53" x14ac:dyDescent="0.25">
      <c r="A264" s="2" t="str">
        <f>Setup!A28</f>
        <v>Caseload 9</v>
      </c>
      <c r="B264">
        <f t="shared" ca="1" si="275"/>
        <v>0</v>
      </c>
      <c r="C264">
        <f t="shared" ca="1" si="276"/>
        <v>0</v>
      </c>
      <c r="D264">
        <f t="shared" ca="1" si="276"/>
        <v>0</v>
      </c>
      <c r="E264">
        <f t="shared" ca="1" si="276"/>
        <v>0</v>
      </c>
      <c r="F264">
        <f t="shared" ca="1" si="276"/>
        <v>0</v>
      </c>
      <c r="G264">
        <f t="shared" ca="1" si="276"/>
        <v>0</v>
      </c>
      <c r="H264">
        <f t="shared" ca="1" si="276"/>
        <v>0</v>
      </c>
      <c r="I264">
        <f t="shared" ca="1" si="276"/>
        <v>0</v>
      </c>
      <c r="J264">
        <f t="shared" ca="1" si="276"/>
        <v>0</v>
      </c>
      <c r="K264">
        <f t="shared" ca="1" si="276"/>
        <v>0</v>
      </c>
      <c r="L264">
        <f t="shared" ca="1" si="276"/>
        <v>0</v>
      </c>
      <c r="M264">
        <f t="shared" ca="1" si="276"/>
        <v>0</v>
      </c>
      <c r="N264">
        <f t="shared" ca="1" si="276"/>
        <v>0</v>
      </c>
      <c r="O264">
        <f t="shared" ca="1" si="276"/>
        <v>0</v>
      </c>
      <c r="P264">
        <f t="shared" ca="1" si="276"/>
        <v>0</v>
      </c>
      <c r="Q264">
        <f t="shared" ca="1" si="276"/>
        <v>0</v>
      </c>
      <c r="R264">
        <f t="shared" ca="1" si="276"/>
        <v>0</v>
      </c>
      <c r="S264">
        <f t="shared" ca="1" si="276"/>
        <v>0</v>
      </c>
      <c r="T264">
        <f t="shared" ca="1" si="276"/>
        <v>0</v>
      </c>
      <c r="U264">
        <f t="shared" ca="1" si="276"/>
        <v>0</v>
      </c>
      <c r="V264">
        <f t="shared" ca="1" si="276"/>
        <v>0</v>
      </c>
      <c r="W264">
        <f t="shared" ca="1" si="276"/>
        <v>0</v>
      </c>
      <c r="X264">
        <f t="shared" ca="1" si="276"/>
        <v>0</v>
      </c>
      <c r="Y264">
        <f t="shared" ca="1" si="276"/>
        <v>0</v>
      </c>
      <c r="Z264">
        <f t="shared" ca="1" si="276"/>
        <v>0</v>
      </c>
      <c r="AA264">
        <f t="shared" ca="1" si="276"/>
        <v>0</v>
      </c>
      <c r="AB264">
        <f t="shared" ca="1" si="276"/>
        <v>0</v>
      </c>
      <c r="AC264">
        <f t="shared" ca="1" si="276"/>
        <v>0</v>
      </c>
      <c r="AD264">
        <f t="shared" ca="1" si="276"/>
        <v>0</v>
      </c>
      <c r="AE264">
        <f t="shared" ca="1" si="276"/>
        <v>0</v>
      </c>
      <c r="AF264">
        <f t="shared" ca="1" si="276"/>
        <v>0</v>
      </c>
      <c r="AG264">
        <f t="shared" ca="1" si="276"/>
        <v>0</v>
      </c>
      <c r="AH264">
        <f t="shared" ca="1" si="276"/>
        <v>0</v>
      </c>
      <c r="AI264">
        <f t="shared" ca="1" si="276"/>
        <v>0</v>
      </c>
      <c r="AJ264">
        <f t="shared" ca="1" si="276"/>
        <v>0</v>
      </c>
      <c r="AK264">
        <f t="shared" ca="1" si="276"/>
        <v>0</v>
      </c>
      <c r="AL264">
        <f t="shared" ca="1" si="276"/>
        <v>0</v>
      </c>
      <c r="AM264">
        <f t="shared" ca="1" si="276"/>
        <v>0</v>
      </c>
      <c r="AN264">
        <f t="shared" ca="1" si="276"/>
        <v>0</v>
      </c>
      <c r="AO264">
        <f t="shared" ca="1" si="276"/>
        <v>0</v>
      </c>
      <c r="AP264">
        <f t="shared" ca="1" si="276"/>
        <v>0</v>
      </c>
      <c r="AQ264">
        <f t="shared" ca="1" si="276"/>
        <v>0</v>
      </c>
      <c r="AR264">
        <f t="shared" ca="1" si="276"/>
        <v>0</v>
      </c>
      <c r="AS264">
        <f t="shared" ca="1" si="276"/>
        <v>0</v>
      </c>
      <c r="AT264">
        <f t="shared" ca="1" si="276"/>
        <v>0</v>
      </c>
      <c r="AU264">
        <f t="shared" ca="1" si="276"/>
        <v>0</v>
      </c>
      <c r="AV264">
        <f t="shared" ca="1" si="276"/>
        <v>0</v>
      </c>
      <c r="AW264">
        <f t="shared" ca="1" si="276"/>
        <v>0</v>
      </c>
      <c r="AX264">
        <f t="shared" ca="1" si="276"/>
        <v>0</v>
      </c>
      <c r="AY264">
        <f t="shared" ca="1" si="276"/>
        <v>0</v>
      </c>
      <c r="AZ264">
        <f t="shared" ca="1" si="276"/>
        <v>0</v>
      </c>
      <c r="BA264">
        <f t="shared" ca="1" si="276"/>
        <v>0</v>
      </c>
    </row>
    <row r="265" spans="1:53" x14ac:dyDescent="0.25">
      <c r="A265" s="2" t="str">
        <f>Setup!A29</f>
        <v>Caseload 10</v>
      </c>
      <c r="B265">
        <f t="shared" ca="1" si="275"/>
        <v>0</v>
      </c>
      <c r="C265">
        <f t="shared" ca="1" si="276"/>
        <v>0</v>
      </c>
      <c r="D265">
        <f t="shared" ca="1" si="276"/>
        <v>0</v>
      </c>
      <c r="E265">
        <f t="shared" ca="1" si="276"/>
        <v>0</v>
      </c>
      <c r="F265">
        <f t="shared" ca="1" si="276"/>
        <v>0</v>
      </c>
      <c r="G265">
        <f t="shared" ca="1" si="276"/>
        <v>0</v>
      </c>
      <c r="H265">
        <f t="shared" ca="1" si="276"/>
        <v>0</v>
      </c>
      <c r="I265">
        <f t="shared" ca="1" si="276"/>
        <v>0</v>
      </c>
      <c r="J265">
        <f t="shared" ca="1" si="276"/>
        <v>0</v>
      </c>
      <c r="K265">
        <f t="shared" ca="1" si="276"/>
        <v>0</v>
      </c>
      <c r="L265">
        <f t="shared" ca="1" si="276"/>
        <v>0</v>
      </c>
      <c r="M265">
        <f t="shared" ca="1" si="276"/>
        <v>0</v>
      </c>
      <c r="N265">
        <f t="shared" ca="1" si="276"/>
        <v>0</v>
      </c>
      <c r="O265">
        <f t="shared" ca="1" si="276"/>
        <v>0</v>
      </c>
      <c r="P265">
        <f t="shared" ca="1" si="276"/>
        <v>0</v>
      </c>
      <c r="Q265">
        <f t="shared" ca="1" si="276"/>
        <v>0</v>
      </c>
      <c r="R265">
        <f t="shared" ca="1" si="276"/>
        <v>0</v>
      </c>
      <c r="S265">
        <f t="shared" ca="1" si="276"/>
        <v>0</v>
      </c>
      <c r="T265">
        <f t="shared" ca="1" si="276"/>
        <v>0</v>
      </c>
      <c r="U265">
        <f t="shared" ca="1" si="276"/>
        <v>0</v>
      </c>
      <c r="V265">
        <f t="shared" ca="1" si="276"/>
        <v>0</v>
      </c>
      <c r="W265">
        <f t="shared" ca="1" si="276"/>
        <v>0</v>
      </c>
      <c r="X265">
        <f t="shared" ca="1" si="276"/>
        <v>0</v>
      </c>
      <c r="Y265">
        <f t="shared" ca="1" si="276"/>
        <v>0</v>
      </c>
      <c r="Z265">
        <f t="shared" ca="1" si="276"/>
        <v>0</v>
      </c>
      <c r="AA265">
        <f t="shared" ca="1" si="276"/>
        <v>0</v>
      </c>
      <c r="AB265">
        <f t="shared" ca="1" si="276"/>
        <v>0</v>
      </c>
      <c r="AC265">
        <f t="shared" ca="1" si="276"/>
        <v>0</v>
      </c>
      <c r="AD265">
        <f t="shared" ca="1" si="276"/>
        <v>0</v>
      </c>
      <c r="AE265">
        <f t="shared" ca="1" si="276"/>
        <v>0</v>
      </c>
      <c r="AF265">
        <f t="shared" ca="1" si="276"/>
        <v>0</v>
      </c>
      <c r="AG265">
        <f t="shared" ca="1" si="276"/>
        <v>0</v>
      </c>
      <c r="AH265">
        <f t="shared" ca="1" si="276"/>
        <v>0</v>
      </c>
      <c r="AI265">
        <f t="shared" ca="1" si="276"/>
        <v>0</v>
      </c>
      <c r="AJ265">
        <f t="shared" ca="1" si="276"/>
        <v>0</v>
      </c>
      <c r="AK265">
        <f t="shared" ca="1" si="276"/>
        <v>0</v>
      </c>
      <c r="AL265">
        <f t="shared" ca="1" si="276"/>
        <v>0</v>
      </c>
      <c r="AM265">
        <f t="shared" ca="1" si="276"/>
        <v>0</v>
      </c>
      <c r="AN265">
        <f t="shared" ca="1" si="276"/>
        <v>0</v>
      </c>
      <c r="AO265">
        <f t="shared" ca="1" si="276"/>
        <v>0</v>
      </c>
      <c r="AP265">
        <f t="shared" ca="1" si="276"/>
        <v>0</v>
      </c>
      <c r="AQ265">
        <f t="shared" ca="1" si="276"/>
        <v>0</v>
      </c>
      <c r="AR265">
        <f t="shared" ca="1" si="276"/>
        <v>0</v>
      </c>
      <c r="AS265">
        <f t="shared" ca="1" si="276"/>
        <v>0</v>
      </c>
      <c r="AT265">
        <f t="shared" ca="1" si="276"/>
        <v>0</v>
      </c>
      <c r="AU265">
        <f t="shared" ca="1" si="276"/>
        <v>0</v>
      </c>
      <c r="AV265">
        <f t="shared" ca="1" si="276"/>
        <v>0</v>
      </c>
      <c r="AW265">
        <f t="shared" ca="1" si="276"/>
        <v>0</v>
      </c>
      <c r="AX265">
        <f t="shared" ca="1" si="276"/>
        <v>0</v>
      </c>
      <c r="AY265">
        <f t="shared" ca="1" si="276"/>
        <v>0</v>
      </c>
      <c r="AZ265">
        <f t="shared" ca="1" si="276"/>
        <v>0</v>
      </c>
      <c r="BA265">
        <f t="shared" ca="1" si="276"/>
        <v>0</v>
      </c>
    </row>
    <row r="266" spans="1:53" x14ac:dyDescent="0.25">
      <c r="A266" s="2" t="str">
        <f>Setup!A30</f>
        <v>Caseload 11</v>
      </c>
      <c r="B266">
        <f t="shared" ca="1" si="275"/>
        <v>0</v>
      </c>
      <c r="C266">
        <f t="shared" ca="1" si="276"/>
        <v>0</v>
      </c>
      <c r="D266">
        <f t="shared" ca="1" si="276"/>
        <v>0</v>
      </c>
      <c r="E266">
        <f t="shared" ca="1" si="276"/>
        <v>0</v>
      </c>
      <c r="F266">
        <f t="shared" ca="1" si="276"/>
        <v>0</v>
      </c>
      <c r="G266">
        <f t="shared" ca="1" si="276"/>
        <v>0</v>
      </c>
      <c r="H266">
        <f t="shared" ca="1" si="276"/>
        <v>0</v>
      </c>
      <c r="I266">
        <f t="shared" ca="1" si="276"/>
        <v>0</v>
      </c>
      <c r="J266">
        <f t="shared" ca="1" si="276"/>
        <v>0</v>
      </c>
      <c r="K266">
        <f t="shared" ca="1" si="276"/>
        <v>0</v>
      </c>
      <c r="L266">
        <f t="shared" ca="1" si="276"/>
        <v>0</v>
      </c>
      <c r="M266">
        <f t="shared" ca="1" si="276"/>
        <v>0</v>
      </c>
      <c r="N266">
        <f t="shared" ca="1" si="276"/>
        <v>0</v>
      </c>
      <c r="O266">
        <f t="shared" ca="1" si="276"/>
        <v>0</v>
      </c>
      <c r="P266">
        <f t="shared" ca="1" si="276"/>
        <v>0</v>
      </c>
      <c r="Q266">
        <f t="shared" ca="1" si="276"/>
        <v>0</v>
      </c>
      <c r="R266">
        <f t="shared" ref="C266:BA270" ca="1" si="277">R230+R248</f>
        <v>0</v>
      </c>
      <c r="S266">
        <f t="shared" ca="1" si="277"/>
        <v>0</v>
      </c>
      <c r="T266">
        <f t="shared" ca="1" si="277"/>
        <v>0</v>
      </c>
      <c r="U266">
        <f t="shared" ca="1" si="277"/>
        <v>0</v>
      </c>
      <c r="V266">
        <f t="shared" ca="1" si="277"/>
        <v>0</v>
      </c>
      <c r="W266">
        <f t="shared" ca="1" si="277"/>
        <v>0</v>
      </c>
      <c r="X266">
        <f t="shared" ca="1" si="277"/>
        <v>0</v>
      </c>
      <c r="Y266">
        <f t="shared" ca="1" si="277"/>
        <v>0</v>
      </c>
      <c r="Z266">
        <f t="shared" ca="1" si="277"/>
        <v>0</v>
      </c>
      <c r="AA266">
        <f t="shared" ca="1" si="277"/>
        <v>0</v>
      </c>
      <c r="AB266">
        <f t="shared" ca="1" si="277"/>
        <v>0</v>
      </c>
      <c r="AC266">
        <f t="shared" ca="1" si="277"/>
        <v>0</v>
      </c>
      <c r="AD266">
        <f t="shared" ca="1" si="277"/>
        <v>0</v>
      </c>
      <c r="AE266">
        <f t="shared" ca="1" si="277"/>
        <v>0</v>
      </c>
      <c r="AF266">
        <f t="shared" ca="1" si="277"/>
        <v>0</v>
      </c>
      <c r="AG266">
        <f t="shared" ca="1" si="277"/>
        <v>0</v>
      </c>
      <c r="AH266">
        <f t="shared" ca="1" si="277"/>
        <v>0</v>
      </c>
      <c r="AI266">
        <f t="shared" ca="1" si="277"/>
        <v>0</v>
      </c>
      <c r="AJ266">
        <f t="shared" ca="1" si="277"/>
        <v>0</v>
      </c>
      <c r="AK266">
        <f t="shared" ca="1" si="277"/>
        <v>0</v>
      </c>
      <c r="AL266">
        <f t="shared" ca="1" si="277"/>
        <v>0</v>
      </c>
      <c r="AM266">
        <f t="shared" ca="1" si="277"/>
        <v>0</v>
      </c>
      <c r="AN266">
        <f t="shared" ca="1" si="277"/>
        <v>0</v>
      </c>
      <c r="AO266">
        <f t="shared" ca="1" si="277"/>
        <v>0</v>
      </c>
      <c r="AP266">
        <f t="shared" ca="1" si="277"/>
        <v>0</v>
      </c>
      <c r="AQ266">
        <f t="shared" ca="1" si="277"/>
        <v>0</v>
      </c>
      <c r="AR266">
        <f t="shared" ca="1" si="277"/>
        <v>0</v>
      </c>
      <c r="AS266">
        <f t="shared" ca="1" si="277"/>
        <v>0</v>
      </c>
      <c r="AT266">
        <f t="shared" ca="1" si="277"/>
        <v>0</v>
      </c>
      <c r="AU266">
        <f t="shared" ca="1" si="277"/>
        <v>0</v>
      </c>
      <c r="AV266">
        <f t="shared" ca="1" si="277"/>
        <v>0</v>
      </c>
      <c r="AW266">
        <f t="shared" ca="1" si="277"/>
        <v>0</v>
      </c>
      <c r="AX266">
        <f t="shared" ca="1" si="277"/>
        <v>0</v>
      </c>
      <c r="AY266">
        <f t="shared" ca="1" si="277"/>
        <v>0</v>
      </c>
      <c r="AZ266">
        <f t="shared" ca="1" si="277"/>
        <v>0</v>
      </c>
      <c r="BA266">
        <f t="shared" ca="1" si="277"/>
        <v>0</v>
      </c>
    </row>
    <row r="267" spans="1:53" x14ac:dyDescent="0.25">
      <c r="A267" s="2" t="str">
        <f>Setup!A31</f>
        <v>Caseload 12</v>
      </c>
      <c r="B267">
        <f t="shared" ca="1" si="275"/>
        <v>0</v>
      </c>
      <c r="C267">
        <f t="shared" ca="1" si="277"/>
        <v>0</v>
      </c>
      <c r="D267">
        <f t="shared" ca="1" si="277"/>
        <v>0</v>
      </c>
      <c r="E267">
        <f t="shared" ca="1" si="277"/>
        <v>0</v>
      </c>
      <c r="F267">
        <f t="shared" ca="1" si="277"/>
        <v>0</v>
      </c>
      <c r="G267">
        <f t="shared" ca="1" si="277"/>
        <v>0</v>
      </c>
      <c r="H267">
        <f t="shared" ca="1" si="277"/>
        <v>0</v>
      </c>
      <c r="I267">
        <f t="shared" ca="1" si="277"/>
        <v>0</v>
      </c>
      <c r="J267">
        <f t="shared" ca="1" si="277"/>
        <v>0</v>
      </c>
      <c r="K267">
        <f t="shared" ca="1" si="277"/>
        <v>0</v>
      </c>
      <c r="L267">
        <f t="shared" ca="1" si="277"/>
        <v>0</v>
      </c>
      <c r="M267">
        <f t="shared" ca="1" si="277"/>
        <v>0</v>
      </c>
      <c r="N267">
        <f t="shared" ca="1" si="277"/>
        <v>0</v>
      </c>
      <c r="O267">
        <f t="shared" ca="1" si="277"/>
        <v>0</v>
      </c>
      <c r="P267">
        <f t="shared" ca="1" si="277"/>
        <v>0</v>
      </c>
      <c r="Q267">
        <f t="shared" ca="1" si="277"/>
        <v>0</v>
      </c>
      <c r="R267">
        <f t="shared" ca="1" si="277"/>
        <v>0</v>
      </c>
      <c r="S267">
        <f t="shared" ca="1" si="277"/>
        <v>0</v>
      </c>
      <c r="T267">
        <f t="shared" ca="1" si="277"/>
        <v>0</v>
      </c>
      <c r="U267">
        <f t="shared" ca="1" si="277"/>
        <v>0</v>
      </c>
      <c r="V267">
        <f t="shared" ca="1" si="277"/>
        <v>0</v>
      </c>
      <c r="W267">
        <f t="shared" ca="1" si="277"/>
        <v>0</v>
      </c>
      <c r="X267">
        <f t="shared" ca="1" si="277"/>
        <v>0</v>
      </c>
      <c r="Y267">
        <f t="shared" ca="1" si="277"/>
        <v>0</v>
      </c>
      <c r="Z267">
        <f t="shared" ca="1" si="277"/>
        <v>0</v>
      </c>
      <c r="AA267">
        <f t="shared" ca="1" si="277"/>
        <v>0</v>
      </c>
      <c r="AB267">
        <f t="shared" ca="1" si="277"/>
        <v>0</v>
      </c>
      <c r="AC267">
        <f t="shared" ca="1" si="277"/>
        <v>0</v>
      </c>
      <c r="AD267">
        <f t="shared" ca="1" si="277"/>
        <v>0</v>
      </c>
      <c r="AE267">
        <f t="shared" ca="1" si="277"/>
        <v>0</v>
      </c>
      <c r="AF267">
        <f t="shared" ca="1" si="277"/>
        <v>0</v>
      </c>
      <c r="AG267">
        <f t="shared" ca="1" si="277"/>
        <v>0</v>
      </c>
      <c r="AH267">
        <f t="shared" ca="1" si="277"/>
        <v>0</v>
      </c>
      <c r="AI267">
        <f t="shared" ca="1" si="277"/>
        <v>0</v>
      </c>
      <c r="AJ267">
        <f t="shared" ca="1" si="277"/>
        <v>0</v>
      </c>
      <c r="AK267">
        <f t="shared" ca="1" si="277"/>
        <v>0</v>
      </c>
      <c r="AL267">
        <f t="shared" ca="1" si="277"/>
        <v>0</v>
      </c>
      <c r="AM267">
        <f t="shared" ca="1" si="277"/>
        <v>0</v>
      </c>
      <c r="AN267">
        <f t="shared" ca="1" si="277"/>
        <v>0</v>
      </c>
      <c r="AO267">
        <f t="shared" ca="1" si="277"/>
        <v>0</v>
      </c>
      <c r="AP267">
        <f t="shared" ca="1" si="277"/>
        <v>0</v>
      </c>
      <c r="AQ267">
        <f t="shared" ca="1" si="277"/>
        <v>0</v>
      </c>
      <c r="AR267">
        <f t="shared" ca="1" si="277"/>
        <v>0</v>
      </c>
      <c r="AS267">
        <f t="shared" ca="1" si="277"/>
        <v>0</v>
      </c>
      <c r="AT267">
        <f t="shared" ca="1" si="277"/>
        <v>0</v>
      </c>
      <c r="AU267">
        <f t="shared" ca="1" si="277"/>
        <v>0</v>
      </c>
      <c r="AV267">
        <f t="shared" ca="1" si="277"/>
        <v>0</v>
      </c>
      <c r="AW267">
        <f t="shared" ca="1" si="277"/>
        <v>0</v>
      </c>
      <c r="AX267">
        <f t="shared" ca="1" si="277"/>
        <v>0</v>
      </c>
      <c r="AY267">
        <f t="shared" ca="1" si="277"/>
        <v>0</v>
      </c>
      <c r="AZ267">
        <f t="shared" ca="1" si="277"/>
        <v>0</v>
      </c>
      <c r="BA267">
        <f t="shared" ca="1" si="277"/>
        <v>0</v>
      </c>
    </row>
    <row r="268" spans="1:53" x14ac:dyDescent="0.25">
      <c r="A268" s="2" t="str">
        <f>Setup!A32</f>
        <v>Caseload 13</v>
      </c>
      <c r="B268">
        <f t="shared" ca="1" si="275"/>
        <v>0</v>
      </c>
      <c r="C268">
        <f t="shared" ca="1" si="277"/>
        <v>0</v>
      </c>
      <c r="D268">
        <f t="shared" ca="1" si="277"/>
        <v>0</v>
      </c>
      <c r="E268">
        <f t="shared" ca="1" si="277"/>
        <v>0</v>
      </c>
      <c r="F268">
        <f t="shared" ca="1" si="277"/>
        <v>0</v>
      </c>
      <c r="G268">
        <f t="shared" ca="1" si="277"/>
        <v>0</v>
      </c>
      <c r="H268">
        <f t="shared" ca="1" si="277"/>
        <v>0</v>
      </c>
      <c r="I268">
        <f t="shared" ca="1" si="277"/>
        <v>0</v>
      </c>
      <c r="J268">
        <f t="shared" ca="1" si="277"/>
        <v>0</v>
      </c>
      <c r="K268">
        <f t="shared" ca="1" si="277"/>
        <v>0</v>
      </c>
      <c r="L268">
        <f t="shared" ca="1" si="277"/>
        <v>0</v>
      </c>
      <c r="M268">
        <f t="shared" ca="1" si="277"/>
        <v>0</v>
      </c>
      <c r="N268">
        <f t="shared" ca="1" si="277"/>
        <v>0</v>
      </c>
      <c r="O268">
        <f t="shared" ca="1" si="277"/>
        <v>0</v>
      </c>
      <c r="P268">
        <f t="shared" ca="1" si="277"/>
        <v>0</v>
      </c>
      <c r="Q268">
        <f t="shared" ca="1" si="277"/>
        <v>0</v>
      </c>
      <c r="R268">
        <f t="shared" ca="1" si="277"/>
        <v>0</v>
      </c>
      <c r="S268">
        <f t="shared" ca="1" si="277"/>
        <v>0</v>
      </c>
      <c r="T268">
        <f t="shared" ca="1" si="277"/>
        <v>0</v>
      </c>
      <c r="U268">
        <f t="shared" ca="1" si="277"/>
        <v>0</v>
      </c>
      <c r="V268">
        <f t="shared" ca="1" si="277"/>
        <v>0</v>
      </c>
      <c r="W268">
        <f t="shared" ca="1" si="277"/>
        <v>0</v>
      </c>
      <c r="X268">
        <f t="shared" ca="1" si="277"/>
        <v>0</v>
      </c>
      <c r="Y268">
        <f t="shared" ca="1" si="277"/>
        <v>0</v>
      </c>
      <c r="Z268">
        <f t="shared" ca="1" si="277"/>
        <v>0</v>
      </c>
      <c r="AA268">
        <f t="shared" ca="1" si="277"/>
        <v>0</v>
      </c>
      <c r="AB268">
        <f t="shared" ca="1" si="277"/>
        <v>0</v>
      </c>
      <c r="AC268">
        <f t="shared" ca="1" si="277"/>
        <v>0</v>
      </c>
      <c r="AD268">
        <f t="shared" ca="1" si="277"/>
        <v>0</v>
      </c>
      <c r="AE268">
        <f t="shared" ca="1" si="277"/>
        <v>0</v>
      </c>
      <c r="AF268">
        <f t="shared" ca="1" si="277"/>
        <v>0</v>
      </c>
      <c r="AG268">
        <f t="shared" ca="1" si="277"/>
        <v>0</v>
      </c>
      <c r="AH268">
        <f t="shared" ca="1" si="277"/>
        <v>0</v>
      </c>
      <c r="AI268">
        <f t="shared" ca="1" si="277"/>
        <v>0</v>
      </c>
      <c r="AJ268">
        <f t="shared" ca="1" si="277"/>
        <v>0</v>
      </c>
      <c r="AK268">
        <f t="shared" ca="1" si="277"/>
        <v>0</v>
      </c>
      <c r="AL268">
        <f t="shared" ca="1" si="277"/>
        <v>0</v>
      </c>
      <c r="AM268">
        <f t="shared" ca="1" si="277"/>
        <v>0</v>
      </c>
      <c r="AN268">
        <f t="shared" ca="1" si="277"/>
        <v>0</v>
      </c>
      <c r="AO268">
        <f t="shared" ca="1" si="277"/>
        <v>0</v>
      </c>
      <c r="AP268">
        <f t="shared" ca="1" si="277"/>
        <v>0</v>
      </c>
      <c r="AQ268">
        <f t="shared" ca="1" si="277"/>
        <v>0</v>
      </c>
      <c r="AR268">
        <f t="shared" ca="1" si="277"/>
        <v>0</v>
      </c>
      <c r="AS268">
        <f t="shared" ca="1" si="277"/>
        <v>0</v>
      </c>
      <c r="AT268">
        <f t="shared" ca="1" si="277"/>
        <v>0</v>
      </c>
      <c r="AU268">
        <f t="shared" ca="1" si="277"/>
        <v>0</v>
      </c>
      <c r="AV268">
        <f t="shared" ca="1" si="277"/>
        <v>0</v>
      </c>
      <c r="AW268">
        <f t="shared" ca="1" si="277"/>
        <v>0</v>
      </c>
      <c r="AX268">
        <f t="shared" ca="1" si="277"/>
        <v>0</v>
      </c>
      <c r="AY268">
        <f t="shared" ca="1" si="277"/>
        <v>0</v>
      </c>
      <c r="AZ268">
        <f t="shared" ca="1" si="277"/>
        <v>0</v>
      </c>
      <c r="BA268">
        <f t="shared" ca="1" si="277"/>
        <v>0</v>
      </c>
    </row>
    <row r="269" spans="1:53" x14ac:dyDescent="0.25">
      <c r="A269" s="2" t="str">
        <f>Setup!A33</f>
        <v>Caseload 14</v>
      </c>
      <c r="B269">
        <f t="shared" ca="1" si="275"/>
        <v>0</v>
      </c>
      <c r="C269">
        <f t="shared" ca="1" si="277"/>
        <v>0</v>
      </c>
      <c r="D269">
        <f t="shared" ca="1" si="277"/>
        <v>0</v>
      </c>
      <c r="E269">
        <f t="shared" ca="1" si="277"/>
        <v>0</v>
      </c>
      <c r="F269">
        <f t="shared" ca="1" si="277"/>
        <v>0</v>
      </c>
      <c r="G269">
        <f t="shared" ca="1" si="277"/>
        <v>0</v>
      </c>
      <c r="H269">
        <f t="shared" ca="1" si="277"/>
        <v>0</v>
      </c>
      <c r="I269">
        <f t="shared" ca="1" si="277"/>
        <v>0</v>
      </c>
      <c r="J269">
        <f t="shared" ca="1" si="277"/>
        <v>0</v>
      </c>
      <c r="K269">
        <f t="shared" ca="1" si="277"/>
        <v>0</v>
      </c>
      <c r="L269">
        <f t="shared" ca="1" si="277"/>
        <v>0</v>
      </c>
      <c r="M269">
        <f t="shared" ca="1" si="277"/>
        <v>0</v>
      </c>
      <c r="N269">
        <f t="shared" ca="1" si="277"/>
        <v>0</v>
      </c>
      <c r="O269">
        <f t="shared" ca="1" si="277"/>
        <v>0</v>
      </c>
      <c r="P269">
        <f t="shared" ca="1" si="277"/>
        <v>0</v>
      </c>
      <c r="Q269">
        <f t="shared" ca="1" si="277"/>
        <v>0</v>
      </c>
      <c r="R269">
        <f t="shared" ca="1" si="277"/>
        <v>0</v>
      </c>
      <c r="S269">
        <f t="shared" ca="1" si="277"/>
        <v>0</v>
      </c>
      <c r="T269">
        <f t="shared" ca="1" si="277"/>
        <v>0</v>
      </c>
      <c r="U269">
        <f t="shared" ca="1" si="277"/>
        <v>0</v>
      </c>
      <c r="V269">
        <f t="shared" ca="1" si="277"/>
        <v>0</v>
      </c>
      <c r="W269">
        <f t="shared" ca="1" si="277"/>
        <v>0</v>
      </c>
      <c r="X269">
        <f t="shared" ca="1" si="277"/>
        <v>0</v>
      </c>
      <c r="Y269">
        <f t="shared" ca="1" si="277"/>
        <v>0</v>
      </c>
      <c r="Z269">
        <f t="shared" ca="1" si="277"/>
        <v>0</v>
      </c>
      <c r="AA269">
        <f t="shared" ca="1" si="277"/>
        <v>0</v>
      </c>
      <c r="AB269">
        <f t="shared" ca="1" si="277"/>
        <v>0</v>
      </c>
      <c r="AC269">
        <f t="shared" ca="1" si="277"/>
        <v>0</v>
      </c>
      <c r="AD269">
        <f t="shared" ca="1" si="277"/>
        <v>0</v>
      </c>
      <c r="AE269">
        <f t="shared" ca="1" si="277"/>
        <v>0</v>
      </c>
      <c r="AF269">
        <f t="shared" ca="1" si="277"/>
        <v>0</v>
      </c>
      <c r="AG269">
        <f t="shared" ca="1" si="277"/>
        <v>0</v>
      </c>
      <c r="AH269">
        <f t="shared" ca="1" si="277"/>
        <v>0</v>
      </c>
      <c r="AI269">
        <f t="shared" ca="1" si="277"/>
        <v>0</v>
      </c>
      <c r="AJ269">
        <f t="shared" ca="1" si="277"/>
        <v>0</v>
      </c>
      <c r="AK269">
        <f t="shared" ca="1" si="277"/>
        <v>0</v>
      </c>
      <c r="AL269">
        <f t="shared" ca="1" si="277"/>
        <v>0</v>
      </c>
      <c r="AM269">
        <f t="shared" ca="1" si="277"/>
        <v>0</v>
      </c>
      <c r="AN269">
        <f t="shared" ca="1" si="277"/>
        <v>0</v>
      </c>
      <c r="AO269">
        <f t="shared" ca="1" si="277"/>
        <v>0</v>
      </c>
      <c r="AP269">
        <f t="shared" ca="1" si="277"/>
        <v>0</v>
      </c>
      <c r="AQ269">
        <f t="shared" ca="1" si="277"/>
        <v>0</v>
      </c>
      <c r="AR269">
        <f t="shared" ca="1" si="277"/>
        <v>0</v>
      </c>
      <c r="AS269">
        <f t="shared" ca="1" si="277"/>
        <v>0</v>
      </c>
      <c r="AT269">
        <f t="shared" ca="1" si="277"/>
        <v>0</v>
      </c>
      <c r="AU269">
        <f t="shared" ca="1" si="277"/>
        <v>0</v>
      </c>
      <c r="AV269">
        <f t="shared" ca="1" si="277"/>
        <v>0</v>
      </c>
      <c r="AW269">
        <f t="shared" ca="1" si="277"/>
        <v>0</v>
      </c>
      <c r="AX269">
        <f t="shared" ca="1" si="277"/>
        <v>0</v>
      </c>
      <c r="AY269">
        <f t="shared" ca="1" si="277"/>
        <v>0</v>
      </c>
      <c r="AZ269">
        <f t="shared" ca="1" si="277"/>
        <v>0</v>
      </c>
      <c r="BA269">
        <f t="shared" ca="1" si="277"/>
        <v>0</v>
      </c>
    </row>
    <row r="270" spans="1:53" x14ac:dyDescent="0.25">
      <c r="A270" s="2" t="str">
        <f>Setup!A34</f>
        <v>Caseload 15</v>
      </c>
      <c r="B270">
        <f t="shared" ca="1" si="275"/>
        <v>0</v>
      </c>
      <c r="C270">
        <f t="shared" ca="1" si="277"/>
        <v>0</v>
      </c>
      <c r="D270">
        <f t="shared" ca="1" si="277"/>
        <v>0</v>
      </c>
      <c r="E270">
        <f t="shared" ca="1" si="277"/>
        <v>0</v>
      </c>
      <c r="F270">
        <f t="shared" ca="1" si="277"/>
        <v>0</v>
      </c>
      <c r="G270">
        <f t="shared" ca="1" si="277"/>
        <v>0</v>
      </c>
      <c r="H270">
        <f t="shared" ca="1" si="277"/>
        <v>0</v>
      </c>
      <c r="I270">
        <f t="shared" ca="1" si="277"/>
        <v>0</v>
      </c>
      <c r="J270">
        <f t="shared" ca="1" si="277"/>
        <v>0</v>
      </c>
      <c r="K270">
        <f t="shared" ca="1" si="277"/>
        <v>0</v>
      </c>
      <c r="L270">
        <f t="shared" ca="1" si="277"/>
        <v>0</v>
      </c>
      <c r="M270">
        <f t="shared" ca="1" si="277"/>
        <v>0</v>
      </c>
      <c r="N270">
        <f t="shared" ca="1" si="277"/>
        <v>0</v>
      </c>
      <c r="O270">
        <f t="shared" ca="1" si="277"/>
        <v>0</v>
      </c>
      <c r="P270">
        <f t="shared" ca="1" si="277"/>
        <v>0</v>
      </c>
      <c r="Q270">
        <f t="shared" ca="1" si="277"/>
        <v>0</v>
      </c>
      <c r="R270">
        <f t="shared" ca="1" si="277"/>
        <v>0</v>
      </c>
      <c r="S270">
        <f t="shared" ca="1" si="277"/>
        <v>0</v>
      </c>
      <c r="T270">
        <f t="shared" ca="1" si="277"/>
        <v>0</v>
      </c>
      <c r="U270">
        <f t="shared" ca="1" si="277"/>
        <v>0</v>
      </c>
      <c r="V270">
        <f t="shared" ca="1" si="277"/>
        <v>0</v>
      </c>
      <c r="W270">
        <f t="shared" ca="1" si="277"/>
        <v>0</v>
      </c>
      <c r="X270">
        <f t="shared" ca="1" si="277"/>
        <v>0</v>
      </c>
      <c r="Y270">
        <f t="shared" ca="1" si="277"/>
        <v>0</v>
      </c>
      <c r="Z270">
        <f t="shared" ca="1" si="277"/>
        <v>0</v>
      </c>
      <c r="AA270">
        <f t="shared" ca="1" si="277"/>
        <v>0</v>
      </c>
      <c r="AB270">
        <f t="shared" ca="1" si="277"/>
        <v>0</v>
      </c>
      <c r="AC270">
        <f t="shared" ca="1" si="277"/>
        <v>0</v>
      </c>
      <c r="AD270">
        <f t="shared" ca="1" si="277"/>
        <v>0</v>
      </c>
      <c r="AE270">
        <f t="shared" ca="1" si="277"/>
        <v>0</v>
      </c>
      <c r="AF270">
        <f t="shared" ca="1" si="277"/>
        <v>0</v>
      </c>
      <c r="AG270">
        <f t="shared" ca="1" si="277"/>
        <v>0</v>
      </c>
      <c r="AH270">
        <f t="shared" ca="1" si="277"/>
        <v>0</v>
      </c>
      <c r="AI270">
        <f t="shared" ca="1" si="277"/>
        <v>0</v>
      </c>
      <c r="AJ270">
        <f t="shared" ca="1" si="277"/>
        <v>0</v>
      </c>
      <c r="AK270">
        <f t="shared" ca="1" si="277"/>
        <v>0</v>
      </c>
      <c r="AL270">
        <f t="shared" ca="1" si="277"/>
        <v>0</v>
      </c>
      <c r="AM270">
        <f t="shared" ca="1" si="277"/>
        <v>0</v>
      </c>
      <c r="AN270">
        <f t="shared" ca="1" si="277"/>
        <v>0</v>
      </c>
      <c r="AO270">
        <f t="shared" ca="1" si="277"/>
        <v>0</v>
      </c>
      <c r="AP270">
        <f t="shared" ca="1" si="277"/>
        <v>0</v>
      </c>
      <c r="AQ270">
        <f t="shared" ca="1" si="277"/>
        <v>0</v>
      </c>
      <c r="AR270">
        <f t="shared" ca="1" si="277"/>
        <v>0</v>
      </c>
      <c r="AS270">
        <f t="shared" ca="1" si="277"/>
        <v>0</v>
      </c>
      <c r="AT270">
        <f t="shared" ca="1" si="277"/>
        <v>0</v>
      </c>
      <c r="AU270">
        <f t="shared" ca="1" si="277"/>
        <v>0</v>
      </c>
      <c r="AV270">
        <f t="shared" ca="1" si="277"/>
        <v>0</v>
      </c>
      <c r="AW270">
        <f t="shared" ca="1" si="277"/>
        <v>0</v>
      </c>
      <c r="AX270">
        <f t="shared" ca="1" si="277"/>
        <v>0</v>
      </c>
      <c r="AY270">
        <f t="shared" ca="1" si="277"/>
        <v>0</v>
      </c>
      <c r="AZ270">
        <f t="shared" ca="1" si="277"/>
        <v>0</v>
      </c>
      <c r="BA270">
        <f t="shared" ca="1" si="277"/>
        <v>0</v>
      </c>
    </row>
    <row r="271" spans="1:53" x14ac:dyDescent="0.25">
      <c r="A271" s="2" t="str">
        <f>'Data Validation (Hide)'!T2</f>
        <v>All Clusters</v>
      </c>
      <c r="B271">
        <f ca="1">SUM(B256:B270)</f>
        <v>0</v>
      </c>
      <c r="C271">
        <f t="shared" ref="C271:BA271" ca="1" si="278">SUM(C256:C270)</f>
        <v>0</v>
      </c>
      <c r="D271">
        <f t="shared" ca="1" si="278"/>
        <v>0</v>
      </c>
      <c r="E271">
        <f t="shared" ca="1" si="278"/>
        <v>0</v>
      </c>
      <c r="F271">
        <f t="shared" ca="1" si="278"/>
        <v>0</v>
      </c>
      <c r="G271">
        <f t="shared" ca="1" si="278"/>
        <v>0</v>
      </c>
      <c r="H271">
        <f t="shared" ca="1" si="278"/>
        <v>0</v>
      </c>
      <c r="I271">
        <f t="shared" ca="1" si="278"/>
        <v>0</v>
      </c>
      <c r="J271">
        <f t="shared" ca="1" si="278"/>
        <v>0</v>
      </c>
      <c r="K271">
        <f t="shared" ca="1" si="278"/>
        <v>0</v>
      </c>
      <c r="L271">
        <f t="shared" ca="1" si="278"/>
        <v>0</v>
      </c>
      <c r="M271">
        <f t="shared" ca="1" si="278"/>
        <v>0</v>
      </c>
      <c r="N271">
        <f t="shared" ca="1" si="278"/>
        <v>0</v>
      </c>
      <c r="O271">
        <f t="shared" ca="1" si="278"/>
        <v>0</v>
      </c>
      <c r="P271">
        <f t="shared" ca="1" si="278"/>
        <v>0</v>
      </c>
      <c r="Q271">
        <f t="shared" ca="1" si="278"/>
        <v>0</v>
      </c>
      <c r="R271">
        <f t="shared" ca="1" si="278"/>
        <v>0</v>
      </c>
      <c r="S271">
        <f t="shared" ca="1" si="278"/>
        <v>0</v>
      </c>
      <c r="T271">
        <f t="shared" ca="1" si="278"/>
        <v>0</v>
      </c>
      <c r="U271">
        <f t="shared" ca="1" si="278"/>
        <v>0</v>
      </c>
      <c r="V271">
        <f t="shared" ca="1" si="278"/>
        <v>0</v>
      </c>
      <c r="W271">
        <f t="shared" ca="1" si="278"/>
        <v>0</v>
      </c>
      <c r="X271">
        <f t="shared" ca="1" si="278"/>
        <v>0</v>
      </c>
      <c r="Y271">
        <f t="shared" ca="1" si="278"/>
        <v>0</v>
      </c>
      <c r="Z271">
        <f t="shared" ca="1" si="278"/>
        <v>0</v>
      </c>
      <c r="AA271">
        <f t="shared" ca="1" si="278"/>
        <v>0</v>
      </c>
      <c r="AB271">
        <f t="shared" ca="1" si="278"/>
        <v>0</v>
      </c>
      <c r="AC271">
        <f t="shared" ca="1" si="278"/>
        <v>0</v>
      </c>
      <c r="AD271">
        <f t="shared" ca="1" si="278"/>
        <v>0</v>
      </c>
      <c r="AE271">
        <f t="shared" ca="1" si="278"/>
        <v>0</v>
      </c>
      <c r="AF271">
        <f t="shared" ca="1" si="278"/>
        <v>0</v>
      </c>
      <c r="AG271">
        <f t="shared" ca="1" si="278"/>
        <v>0</v>
      </c>
      <c r="AH271">
        <f t="shared" ca="1" si="278"/>
        <v>0</v>
      </c>
      <c r="AI271">
        <f t="shared" ca="1" si="278"/>
        <v>0</v>
      </c>
      <c r="AJ271">
        <f t="shared" ca="1" si="278"/>
        <v>0</v>
      </c>
      <c r="AK271">
        <f t="shared" ca="1" si="278"/>
        <v>0</v>
      </c>
      <c r="AL271">
        <f t="shared" ca="1" si="278"/>
        <v>0</v>
      </c>
      <c r="AM271">
        <f t="shared" ca="1" si="278"/>
        <v>0</v>
      </c>
      <c r="AN271">
        <f t="shared" ca="1" si="278"/>
        <v>0</v>
      </c>
      <c r="AO271">
        <f t="shared" ca="1" si="278"/>
        <v>0</v>
      </c>
      <c r="AP271">
        <f t="shared" ca="1" si="278"/>
        <v>0</v>
      </c>
      <c r="AQ271">
        <f t="shared" ca="1" si="278"/>
        <v>0</v>
      </c>
      <c r="AR271">
        <f t="shared" ca="1" si="278"/>
        <v>0</v>
      </c>
      <c r="AS271">
        <f t="shared" ca="1" si="278"/>
        <v>0</v>
      </c>
      <c r="AT271">
        <f t="shared" ca="1" si="278"/>
        <v>0</v>
      </c>
      <c r="AU271">
        <f t="shared" ca="1" si="278"/>
        <v>0</v>
      </c>
      <c r="AV271">
        <f t="shared" ca="1" si="278"/>
        <v>0</v>
      </c>
      <c r="AW271">
        <f t="shared" ca="1" si="278"/>
        <v>0</v>
      </c>
      <c r="AX271">
        <f t="shared" ca="1" si="278"/>
        <v>0</v>
      </c>
      <c r="AY271">
        <f t="shared" ca="1" si="278"/>
        <v>0</v>
      </c>
      <c r="AZ271">
        <f t="shared" ca="1" si="278"/>
        <v>0</v>
      </c>
      <c r="BA271">
        <f t="shared" ca="1" si="278"/>
        <v>0</v>
      </c>
    </row>
    <row r="272" spans="1:53" x14ac:dyDescent="0.25">
      <c r="A272" s="2"/>
    </row>
    <row r="273" spans="1:3" ht="21" x14ac:dyDescent="0.35">
      <c r="A273" s="175" t="s">
        <v>261</v>
      </c>
    </row>
    <row r="274" spans="1:3" x14ac:dyDescent="0.25">
      <c r="A274" s="2" t="s">
        <v>58</v>
      </c>
      <c r="B274" t="str">
        <f>'Capacity Summary'!B3</f>
        <v>Caseload 1</v>
      </c>
    </row>
    <row r="275" spans="1:3" x14ac:dyDescent="0.25">
      <c r="A275" s="2" t="s">
        <v>59</v>
      </c>
      <c r="B275" t="str">
        <f>'Capacity Summary'!B4</f>
        <v>Total</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25">
      <c r="A280" s="2" cm="1">
        <f t="array" aca="1" ref="A280" ca="1">INDEX($A$13:$A$64,ROW(A2),1)</f>
        <v>44235</v>
      </c>
      <c r="B280">
        <f t="shared" ref="B280:B330" ca="1" si="279">INDEX(IF($B$275="Non-Group",$B$84:$BA$99,IF($B$275="Group",$B$102:$BA$117,$B$120:$BA$135)),MATCH($B$274,$A$84:$A$99,0),MATCH($A280,$B$83:$BA$83,0))/(IF($B$276="Minutes",1,60))</f>
        <v>0</v>
      </c>
      <c r="C280">
        <f t="shared" ref="C280:C330" ca="1" si="280">INDEX(IF($B$275="Non-Group",$B$220:$BA$235,IF($B$275="Group",$B$237:$BA$253,$B$256:$BA$271)),MATCH($B$274,$A$220:$A$235,0),MATCH($A280,$B$219:$BA$219,0))/IF($B$276="Minutes",1,60)</f>
        <v>0</v>
      </c>
    </row>
    <row r="281" spans="1:3" x14ac:dyDescent="0.25">
      <c r="A281" s="2" cm="1">
        <f t="array" aca="1" ref="A281" ca="1">INDEX($A$13:$A$64,ROW(A3),1)</f>
        <v>44242</v>
      </c>
      <c r="B281">
        <f t="shared" ca="1" si="279"/>
        <v>0</v>
      </c>
      <c r="C281">
        <f t="shared" ca="1" si="280"/>
        <v>0</v>
      </c>
    </row>
    <row r="282" spans="1:3" x14ac:dyDescent="0.25">
      <c r="A282" s="2" cm="1">
        <f t="array" aca="1" ref="A282" ca="1">INDEX($A$13:$A$64,ROW(A4),1)</f>
        <v>44249</v>
      </c>
      <c r="B282">
        <f t="shared" ca="1" si="279"/>
        <v>0</v>
      </c>
      <c r="C282">
        <f t="shared" ca="1" si="280"/>
        <v>0</v>
      </c>
    </row>
    <row r="283" spans="1:3" x14ac:dyDescent="0.25">
      <c r="A283" s="2" cm="1">
        <f t="array" aca="1" ref="A283" ca="1">INDEX($A$13:$A$64,ROW(A5),1)</f>
        <v>44256</v>
      </c>
      <c r="B283">
        <f t="shared" ca="1" si="279"/>
        <v>0</v>
      </c>
      <c r="C283">
        <f t="shared" ca="1" si="280"/>
        <v>0</v>
      </c>
    </row>
    <row r="284" spans="1:3" x14ac:dyDescent="0.25">
      <c r="A284" s="2" cm="1">
        <f t="array" aca="1" ref="A284" ca="1">INDEX($A$13:$A$64,ROW(A6),1)</f>
        <v>44263</v>
      </c>
      <c r="B284">
        <f t="shared" ca="1" si="279"/>
        <v>0</v>
      </c>
      <c r="C284">
        <f t="shared" ca="1" si="280"/>
        <v>0</v>
      </c>
    </row>
    <row r="285" spans="1:3" x14ac:dyDescent="0.25">
      <c r="A285" s="2" cm="1">
        <f t="array" aca="1" ref="A285" ca="1">INDEX($A$13:$A$64,ROW(A7),1)</f>
        <v>44270</v>
      </c>
      <c r="B285">
        <f t="shared" ca="1" si="279"/>
        <v>0</v>
      </c>
      <c r="C285">
        <f t="shared" ca="1" si="280"/>
        <v>0</v>
      </c>
    </row>
    <row r="286" spans="1:3" x14ac:dyDescent="0.25">
      <c r="A286" s="2" cm="1">
        <f t="array" aca="1" ref="A286" ca="1">INDEX($A$13:$A$64,ROW(A8),1)</f>
        <v>44277</v>
      </c>
      <c r="B286">
        <f t="shared" ca="1" si="279"/>
        <v>0</v>
      </c>
      <c r="C286">
        <f t="shared" ca="1" si="280"/>
        <v>0</v>
      </c>
    </row>
    <row r="287" spans="1:3" x14ac:dyDescent="0.25">
      <c r="A287" s="2" cm="1">
        <f t="array" aca="1" ref="A287" ca="1">INDEX($A$13:$A$64,ROW(A9),1)</f>
        <v>44284</v>
      </c>
      <c r="B287">
        <f t="shared" ca="1" si="279"/>
        <v>0</v>
      </c>
      <c r="C287">
        <f t="shared" ca="1" si="280"/>
        <v>0</v>
      </c>
    </row>
    <row r="288" spans="1:3" x14ac:dyDescent="0.25">
      <c r="A288" s="2" cm="1">
        <f t="array" aca="1" ref="A288" ca="1">INDEX($A$13:$A$64,ROW(A10),1)</f>
        <v>44291</v>
      </c>
      <c r="B288">
        <f t="shared" ca="1" si="279"/>
        <v>0</v>
      </c>
      <c r="C288">
        <f t="shared" ca="1" si="280"/>
        <v>0</v>
      </c>
    </row>
    <row r="289" spans="1:3" x14ac:dyDescent="0.25">
      <c r="A289" s="2" cm="1">
        <f t="array" aca="1" ref="A289" ca="1">INDEX($A$13:$A$64,ROW(A11),1)</f>
        <v>44298</v>
      </c>
      <c r="B289">
        <f t="shared" ca="1" si="279"/>
        <v>0</v>
      </c>
      <c r="C289">
        <f t="shared" ca="1" si="280"/>
        <v>0</v>
      </c>
    </row>
    <row r="290" spans="1:3" x14ac:dyDescent="0.25">
      <c r="A290" s="2" cm="1">
        <f t="array" aca="1" ref="A290" ca="1">INDEX($A$13:$A$64,ROW(A12),1)</f>
        <v>44305</v>
      </c>
      <c r="B290">
        <f t="shared" ca="1" si="279"/>
        <v>0</v>
      </c>
      <c r="C290">
        <f t="shared" ca="1" si="280"/>
        <v>0</v>
      </c>
    </row>
    <row r="291" spans="1:3" x14ac:dyDescent="0.25">
      <c r="A291" s="2" cm="1">
        <f t="array" aca="1" ref="A291" ca="1">INDEX($A$13:$A$64,ROW(A13),1)</f>
        <v>44312</v>
      </c>
      <c r="B291">
        <f t="shared" ca="1" si="279"/>
        <v>0</v>
      </c>
      <c r="C291">
        <f t="shared" ca="1" si="280"/>
        <v>0</v>
      </c>
    </row>
    <row r="292" spans="1:3" x14ac:dyDescent="0.25">
      <c r="A292" s="2" cm="1">
        <f t="array" aca="1" ref="A292" ca="1">INDEX($A$13:$A$64,ROW(A14),1)</f>
        <v>44319</v>
      </c>
      <c r="B292">
        <f t="shared" ca="1" si="279"/>
        <v>0</v>
      </c>
      <c r="C292">
        <f t="shared" ca="1" si="280"/>
        <v>0</v>
      </c>
    </row>
    <row r="293" spans="1:3" x14ac:dyDescent="0.25">
      <c r="A293" s="2" cm="1">
        <f t="array" aca="1" ref="A293" ca="1">INDEX($A$13:$A$64,ROW(A15),1)</f>
        <v>44326</v>
      </c>
      <c r="B293">
        <f t="shared" ca="1" si="279"/>
        <v>0</v>
      </c>
      <c r="C293">
        <f t="shared" ca="1" si="280"/>
        <v>0</v>
      </c>
    </row>
    <row r="294" spans="1:3" x14ac:dyDescent="0.25">
      <c r="A294" s="2" cm="1">
        <f t="array" aca="1" ref="A294" ca="1">INDEX($A$13:$A$64,ROW(A16),1)</f>
        <v>44333</v>
      </c>
      <c r="B294">
        <f t="shared" ca="1" si="279"/>
        <v>0</v>
      </c>
      <c r="C294">
        <f t="shared" ca="1" si="280"/>
        <v>0</v>
      </c>
    </row>
    <row r="295" spans="1:3" x14ac:dyDescent="0.25">
      <c r="A295" s="2" cm="1">
        <f t="array" aca="1" ref="A295" ca="1">INDEX($A$13:$A$64,ROW(A17),1)</f>
        <v>44340</v>
      </c>
      <c r="B295">
        <f t="shared" ca="1" si="279"/>
        <v>0</v>
      </c>
      <c r="C295">
        <f t="shared" ca="1" si="280"/>
        <v>0</v>
      </c>
    </row>
    <row r="296" spans="1:3" x14ac:dyDescent="0.25">
      <c r="A296" s="2" cm="1">
        <f t="array" aca="1" ref="A296" ca="1">INDEX($A$13:$A$64,ROW(A18),1)</f>
        <v>44347</v>
      </c>
      <c r="B296">
        <f t="shared" ca="1" si="279"/>
        <v>0</v>
      </c>
      <c r="C296">
        <f t="shared" ca="1" si="280"/>
        <v>0</v>
      </c>
    </row>
    <row r="297" spans="1:3" x14ac:dyDescent="0.25">
      <c r="A297" s="2" cm="1">
        <f t="array" aca="1" ref="A297" ca="1">INDEX($A$13:$A$64,ROW(A19),1)</f>
        <v>44354</v>
      </c>
      <c r="B297">
        <f t="shared" ca="1" si="279"/>
        <v>0</v>
      </c>
      <c r="C297">
        <f t="shared" ca="1" si="280"/>
        <v>0</v>
      </c>
    </row>
    <row r="298" spans="1:3" x14ac:dyDescent="0.25">
      <c r="A298" s="2" cm="1">
        <f t="array" aca="1" ref="A298" ca="1">INDEX($A$13:$A$64,ROW(A20),1)</f>
        <v>44361</v>
      </c>
      <c r="B298">
        <f t="shared" ca="1" si="279"/>
        <v>0</v>
      </c>
      <c r="C298">
        <f t="shared" ca="1" si="280"/>
        <v>0</v>
      </c>
    </row>
    <row r="299" spans="1:3" x14ac:dyDescent="0.25">
      <c r="A299" s="2" cm="1">
        <f t="array" aca="1" ref="A299" ca="1">INDEX($A$13:$A$64,ROW(A21),1)</f>
        <v>44368</v>
      </c>
      <c r="B299">
        <f t="shared" ca="1" si="279"/>
        <v>0</v>
      </c>
      <c r="C299">
        <f t="shared" ca="1" si="280"/>
        <v>0</v>
      </c>
    </row>
    <row r="300" spans="1:3" x14ac:dyDescent="0.25">
      <c r="A300" s="2" cm="1">
        <f t="array" aca="1" ref="A300" ca="1">INDEX($A$13:$A$64,ROW(A22),1)</f>
        <v>44375</v>
      </c>
      <c r="B300">
        <f t="shared" ca="1" si="279"/>
        <v>0</v>
      </c>
      <c r="C300">
        <f t="shared" ca="1" si="280"/>
        <v>0</v>
      </c>
    </row>
    <row r="301" spans="1:3" x14ac:dyDescent="0.25">
      <c r="A301" s="2" cm="1">
        <f t="array" aca="1" ref="A301" ca="1">INDEX($A$13:$A$64,ROW(A23),1)</f>
        <v>44382</v>
      </c>
      <c r="B301">
        <f t="shared" ca="1" si="279"/>
        <v>0</v>
      </c>
      <c r="C301">
        <f t="shared" ca="1" si="280"/>
        <v>0</v>
      </c>
    </row>
    <row r="302" spans="1:3" x14ac:dyDescent="0.25">
      <c r="A302" s="2" cm="1">
        <f t="array" aca="1" ref="A302" ca="1">INDEX($A$13:$A$64,ROW(A24),1)</f>
        <v>44389</v>
      </c>
      <c r="B302">
        <f t="shared" ca="1" si="279"/>
        <v>0</v>
      </c>
      <c r="C302">
        <f t="shared" ca="1" si="280"/>
        <v>0</v>
      </c>
    </row>
    <row r="303" spans="1:3" x14ac:dyDescent="0.25">
      <c r="A303" s="2" cm="1">
        <f t="array" aca="1" ref="A303" ca="1">INDEX($A$13:$A$64,ROW(A25),1)</f>
        <v>44396</v>
      </c>
      <c r="B303">
        <f t="shared" ca="1" si="279"/>
        <v>0</v>
      </c>
      <c r="C303">
        <f t="shared" ca="1" si="280"/>
        <v>0</v>
      </c>
    </row>
    <row r="304" spans="1:3" x14ac:dyDescent="0.25">
      <c r="A304" s="2" cm="1">
        <f t="array" aca="1" ref="A304" ca="1">INDEX($A$13:$A$64,ROW(A26),1)</f>
        <v>44403</v>
      </c>
      <c r="B304">
        <f t="shared" ca="1" si="279"/>
        <v>0</v>
      </c>
      <c r="C304">
        <f t="shared" ca="1" si="280"/>
        <v>0</v>
      </c>
    </row>
    <row r="305" spans="1:3" x14ac:dyDescent="0.25">
      <c r="A305" s="2" cm="1">
        <f t="array" aca="1" ref="A305" ca="1">INDEX($A$13:$A$64,ROW(A27),1)</f>
        <v>44410</v>
      </c>
      <c r="B305">
        <f t="shared" ca="1" si="279"/>
        <v>0</v>
      </c>
      <c r="C305">
        <f t="shared" ca="1" si="280"/>
        <v>0</v>
      </c>
    </row>
    <row r="306" spans="1:3" x14ac:dyDescent="0.25">
      <c r="A306" s="2" cm="1">
        <f t="array" aca="1" ref="A306" ca="1">INDEX($A$13:$A$64,ROW(A28),1)</f>
        <v>44417</v>
      </c>
      <c r="B306">
        <f t="shared" ca="1" si="279"/>
        <v>0</v>
      </c>
      <c r="C306">
        <f t="shared" ca="1" si="280"/>
        <v>0</v>
      </c>
    </row>
    <row r="307" spans="1:3" x14ac:dyDescent="0.25">
      <c r="A307" s="2" cm="1">
        <f t="array" aca="1" ref="A307" ca="1">INDEX($A$13:$A$64,ROW(A29),1)</f>
        <v>44424</v>
      </c>
      <c r="B307">
        <f t="shared" ca="1" si="279"/>
        <v>0</v>
      </c>
      <c r="C307">
        <f t="shared" ca="1" si="280"/>
        <v>0</v>
      </c>
    </row>
    <row r="308" spans="1:3" x14ac:dyDescent="0.25">
      <c r="A308" s="2" cm="1">
        <f t="array" aca="1" ref="A308" ca="1">INDEX($A$13:$A$64,ROW(A30),1)</f>
        <v>44431</v>
      </c>
      <c r="B308">
        <f t="shared" ca="1" si="279"/>
        <v>0</v>
      </c>
      <c r="C308">
        <f t="shared" ca="1" si="280"/>
        <v>0</v>
      </c>
    </row>
    <row r="309" spans="1:3" x14ac:dyDescent="0.25">
      <c r="A309" s="2" cm="1">
        <f t="array" aca="1" ref="A309" ca="1">INDEX($A$13:$A$64,ROW(A31),1)</f>
        <v>44438</v>
      </c>
      <c r="B309">
        <f t="shared" ca="1" si="279"/>
        <v>0</v>
      </c>
      <c r="C309">
        <f t="shared" ca="1" si="280"/>
        <v>0</v>
      </c>
    </row>
    <row r="310" spans="1:3" x14ac:dyDescent="0.25">
      <c r="A310" s="2" cm="1">
        <f t="array" aca="1" ref="A310" ca="1">INDEX($A$13:$A$64,ROW(A32),1)</f>
        <v>44445</v>
      </c>
      <c r="B310">
        <f t="shared" ca="1" si="279"/>
        <v>0</v>
      </c>
      <c r="C310">
        <f t="shared" ca="1" si="280"/>
        <v>0</v>
      </c>
    </row>
    <row r="311" spans="1:3" x14ac:dyDescent="0.25">
      <c r="A311" s="2" cm="1">
        <f t="array" aca="1" ref="A311" ca="1">INDEX($A$13:$A$64,ROW(A33),1)</f>
        <v>44452</v>
      </c>
      <c r="B311">
        <f t="shared" ca="1" si="279"/>
        <v>0</v>
      </c>
      <c r="C311">
        <f t="shared" ca="1" si="280"/>
        <v>0</v>
      </c>
    </row>
    <row r="312" spans="1:3" x14ac:dyDescent="0.25">
      <c r="A312" s="2" cm="1">
        <f t="array" aca="1" ref="A312" ca="1">INDEX($A$13:$A$64,ROW(A34),1)</f>
        <v>44459</v>
      </c>
      <c r="B312">
        <f t="shared" ca="1" si="279"/>
        <v>0</v>
      </c>
      <c r="C312">
        <f t="shared" ca="1" si="280"/>
        <v>0</v>
      </c>
    </row>
    <row r="313" spans="1:3" x14ac:dyDescent="0.25">
      <c r="A313" s="2" cm="1">
        <f t="array" aca="1" ref="A313" ca="1">INDEX($A$13:$A$64,ROW(A35),1)</f>
        <v>44466</v>
      </c>
      <c r="B313">
        <f t="shared" ca="1" si="279"/>
        <v>0</v>
      </c>
      <c r="C313">
        <f t="shared" ca="1" si="280"/>
        <v>0</v>
      </c>
    </row>
    <row r="314" spans="1:3" x14ac:dyDescent="0.25">
      <c r="A314" s="2" cm="1">
        <f t="array" aca="1" ref="A314" ca="1">INDEX($A$13:$A$64,ROW(A36),1)</f>
        <v>44473</v>
      </c>
      <c r="B314">
        <f t="shared" ca="1" si="279"/>
        <v>0</v>
      </c>
      <c r="C314">
        <f t="shared" ca="1" si="280"/>
        <v>0</v>
      </c>
    </row>
    <row r="315" spans="1:3" x14ac:dyDescent="0.25">
      <c r="A315" s="2" cm="1">
        <f t="array" aca="1" ref="A315" ca="1">INDEX($A$13:$A$64,ROW(A37),1)</f>
        <v>44480</v>
      </c>
      <c r="B315">
        <f t="shared" ca="1" si="279"/>
        <v>0</v>
      </c>
      <c r="C315">
        <f t="shared" ca="1" si="280"/>
        <v>0</v>
      </c>
    </row>
    <row r="316" spans="1:3" x14ac:dyDescent="0.25">
      <c r="A316" s="2" cm="1">
        <f t="array" aca="1" ref="A316" ca="1">INDEX($A$13:$A$64,ROW(A38),1)</f>
        <v>44487</v>
      </c>
      <c r="B316">
        <f t="shared" ca="1" si="279"/>
        <v>0</v>
      </c>
      <c r="C316">
        <f t="shared" ca="1" si="280"/>
        <v>0</v>
      </c>
    </row>
    <row r="317" spans="1:3" x14ac:dyDescent="0.25">
      <c r="A317" s="2" cm="1">
        <f t="array" aca="1" ref="A317" ca="1">INDEX($A$13:$A$64,ROW(A39),1)</f>
        <v>44494</v>
      </c>
      <c r="B317">
        <f t="shared" ca="1" si="279"/>
        <v>0</v>
      </c>
      <c r="C317">
        <f t="shared" ca="1" si="280"/>
        <v>0</v>
      </c>
    </row>
    <row r="318" spans="1:3" x14ac:dyDescent="0.25">
      <c r="A318" s="2" cm="1">
        <f t="array" aca="1" ref="A318" ca="1">INDEX($A$13:$A$64,ROW(A40),1)</f>
        <v>44501</v>
      </c>
      <c r="B318">
        <f t="shared" ca="1" si="279"/>
        <v>0</v>
      </c>
      <c r="C318">
        <f t="shared" ca="1" si="280"/>
        <v>0</v>
      </c>
    </row>
    <row r="319" spans="1:3" x14ac:dyDescent="0.25">
      <c r="A319" s="2" cm="1">
        <f t="array" aca="1" ref="A319" ca="1">INDEX($A$13:$A$64,ROW(A41),1)</f>
        <v>44508</v>
      </c>
      <c r="B319">
        <f t="shared" ca="1" si="279"/>
        <v>0</v>
      </c>
      <c r="C319">
        <f t="shared" ca="1" si="280"/>
        <v>0</v>
      </c>
    </row>
    <row r="320" spans="1:3" x14ac:dyDescent="0.25">
      <c r="A320" s="2" cm="1">
        <f t="array" aca="1" ref="A320" ca="1">INDEX($A$13:$A$64,ROW(A42),1)</f>
        <v>44515</v>
      </c>
      <c r="B320">
        <f t="shared" ca="1" si="279"/>
        <v>0</v>
      </c>
      <c r="C320">
        <f t="shared" ca="1" si="280"/>
        <v>0</v>
      </c>
    </row>
    <row r="321" spans="1:3" x14ac:dyDescent="0.25">
      <c r="A321" s="2" cm="1">
        <f t="array" aca="1" ref="A321" ca="1">INDEX($A$13:$A$64,ROW(A43),1)</f>
        <v>44522</v>
      </c>
      <c r="B321">
        <f t="shared" ca="1" si="279"/>
        <v>0</v>
      </c>
      <c r="C321">
        <f t="shared" ca="1" si="280"/>
        <v>0</v>
      </c>
    </row>
    <row r="322" spans="1:3" x14ac:dyDescent="0.25">
      <c r="A322" s="2" cm="1">
        <f t="array" aca="1" ref="A322" ca="1">INDEX($A$13:$A$64,ROW(A44),1)</f>
        <v>44529</v>
      </c>
      <c r="B322">
        <f t="shared" ca="1" si="279"/>
        <v>0</v>
      </c>
      <c r="C322">
        <f t="shared" ca="1" si="280"/>
        <v>0</v>
      </c>
    </row>
    <row r="323" spans="1:3" x14ac:dyDescent="0.25">
      <c r="A323" s="2" cm="1">
        <f t="array" aca="1" ref="A323" ca="1">INDEX($A$13:$A$64,ROW(A45),1)</f>
        <v>44536</v>
      </c>
      <c r="B323">
        <f t="shared" ca="1" si="279"/>
        <v>0</v>
      </c>
      <c r="C323">
        <f t="shared" ca="1" si="280"/>
        <v>0</v>
      </c>
    </row>
    <row r="324" spans="1:3" x14ac:dyDescent="0.25">
      <c r="A324" s="2" cm="1">
        <f t="array" aca="1" ref="A324" ca="1">INDEX($A$13:$A$64,ROW(A46),1)</f>
        <v>44543</v>
      </c>
      <c r="B324">
        <f t="shared" ca="1" si="279"/>
        <v>0</v>
      </c>
      <c r="C324">
        <f t="shared" ca="1" si="280"/>
        <v>0</v>
      </c>
    </row>
    <row r="325" spans="1:3" x14ac:dyDescent="0.25">
      <c r="A325" s="2" cm="1">
        <f t="array" aca="1" ref="A325" ca="1">INDEX($A$13:$A$64,ROW(A47),1)</f>
        <v>44550</v>
      </c>
      <c r="B325">
        <f t="shared" ca="1" si="279"/>
        <v>0</v>
      </c>
      <c r="C325">
        <f t="shared" ca="1" si="280"/>
        <v>0</v>
      </c>
    </row>
    <row r="326" spans="1:3" x14ac:dyDescent="0.25">
      <c r="A326" s="2" cm="1">
        <f t="array" aca="1" ref="A326" ca="1">INDEX($A$13:$A$64,ROW(A48),1)</f>
        <v>44557</v>
      </c>
      <c r="B326">
        <f t="shared" ca="1" si="279"/>
        <v>0</v>
      </c>
      <c r="C326">
        <f t="shared" ca="1" si="280"/>
        <v>0</v>
      </c>
    </row>
    <row r="327" spans="1:3" x14ac:dyDescent="0.25">
      <c r="A327" s="2" cm="1">
        <f t="array" aca="1" ref="A327" ca="1">INDEX($A$13:$A$64,ROW(A49),1)</f>
        <v>44564</v>
      </c>
      <c r="B327">
        <f t="shared" ca="1" si="279"/>
        <v>0</v>
      </c>
      <c r="C327">
        <f t="shared" ca="1" si="280"/>
        <v>0</v>
      </c>
    </row>
    <row r="328" spans="1:3" x14ac:dyDescent="0.25">
      <c r="A328" s="2" cm="1">
        <f t="array" aca="1" ref="A328" ca="1">INDEX($A$13:$A$64,ROW(A50),1)</f>
        <v>44571</v>
      </c>
      <c r="B328">
        <f t="shared" ca="1" si="279"/>
        <v>0</v>
      </c>
      <c r="C328">
        <f t="shared" ca="1" si="280"/>
        <v>0</v>
      </c>
    </row>
    <row r="329" spans="1:3" x14ac:dyDescent="0.25">
      <c r="A329" s="2" cm="1">
        <f t="array" aca="1" ref="A329" ca="1">INDEX($A$13:$A$64,ROW(A51),1)</f>
        <v>44578</v>
      </c>
      <c r="B329">
        <f t="shared" ca="1" si="279"/>
        <v>0</v>
      </c>
      <c r="C329">
        <f t="shared" ca="1" si="280"/>
        <v>0</v>
      </c>
    </row>
    <row r="330" spans="1:3" x14ac:dyDescent="0.25">
      <c r="A330" s="2" cm="1">
        <f t="array" aca="1" ref="A330" ca="1">INDEX($A$13:$A$64,ROW(A52),1)</f>
        <v>44585</v>
      </c>
      <c r="B330">
        <f t="shared" ca="1" si="279"/>
        <v>0</v>
      </c>
      <c r="C330">
        <f t="shared" ca="1" si="280"/>
        <v>0</v>
      </c>
    </row>
    <row r="331" spans="1:3" x14ac:dyDescent="0.25">
      <c r="A331" s="2"/>
    </row>
    <row r="332" spans="1:3" ht="21" x14ac:dyDescent="0.35">
      <c r="A332" s="175" t="s">
        <v>262</v>
      </c>
    </row>
    <row r="333" spans="1:3" x14ac:dyDescent="0.25">
      <c r="A333" s="2" t="s">
        <v>115</v>
      </c>
      <c r="B333" t="str">
        <f>Summary!B3</f>
        <v>By Week</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264</v>
      </c>
    </row>
    <row r="341" spans="1:4" x14ac:dyDescent="0.25">
      <c r="A341" t="s">
        <v>265</v>
      </c>
      <c r="B341" t="s">
        <v>266</v>
      </c>
      <c r="C341" t="s">
        <v>41</v>
      </c>
    </row>
    <row r="342" spans="1:4" x14ac:dyDescent="0.2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35">
      <c r="A344" s="175" t="s">
        <v>267</v>
      </c>
    </row>
    <row r="345" spans="1:4" x14ac:dyDescent="0.25">
      <c r="B345" t="s">
        <v>120</v>
      </c>
      <c r="C345" t="s">
        <v>268</v>
      </c>
      <c r="D345" t="s">
        <v>41</v>
      </c>
    </row>
    <row r="346" spans="1:4" x14ac:dyDescent="0.2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25">
      <c r="A347" t="str">
        <f>Setup!A21</f>
        <v>Caseload 2</v>
      </c>
      <c r="B347">
        <f t="shared" ref="B347:B360" ca="1" si="281">AVERAGE(IF($B$335="Total",$B121:$BA121,IF($B$335="non-group",$B85:$BA85,$B103:$BA103)))/IF($B$337="Minutes",1,60)</f>
        <v>0</v>
      </c>
      <c r="C347">
        <f t="shared" ref="C347:C360" ca="1" si="282">(AVERAGE(IF($B$335="Total",B121:BA121,IF($B$335="non-group",B85:BA85,B103:BA103)))+AVERAGE(IF($B$335="Total",B257:BA257,IF($B$335="non-group",B221:BA221,B239:BA239))))/IF($B$337="Minutes",1,60)</f>
        <v>0</v>
      </c>
      <c r="D347">
        <f t="shared" ref="D347:D360" ca="1" si="283">C347-B347</f>
        <v>0</v>
      </c>
    </row>
    <row r="348" spans="1:4" x14ac:dyDescent="0.25">
      <c r="A348" t="str">
        <f>Setup!A22</f>
        <v>Caseload 3</v>
      </c>
      <c r="B348">
        <f t="shared" ca="1" si="281"/>
        <v>0</v>
      </c>
      <c r="C348">
        <f t="shared" ca="1" si="282"/>
        <v>0</v>
      </c>
      <c r="D348">
        <f t="shared" ca="1" si="283"/>
        <v>0</v>
      </c>
    </row>
    <row r="349" spans="1:4" x14ac:dyDescent="0.25">
      <c r="A349" t="str">
        <f>Setup!A23</f>
        <v>Caseload 4</v>
      </c>
      <c r="B349">
        <f t="shared" ca="1" si="281"/>
        <v>0</v>
      </c>
      <c r="C349">
        <f t="shared" ca="1" si="282"/>
        <v>0</v>
      </c>
      <c r="D349">
        <f t="shared" ca="1" si="283"/>
        <v>0</v>
      </c>
    </row>
    <row r="350" spans="1:4" x14ac:dyDescent="0.25">
      <c r="A350" t="str">
        <f>Setup!A24</f>
        <v>Caseload 5</v>
      </c>
      <c r="B350">
        <f t="shared" ca="1" si="281"/>
        <v>0</v>
      </c>
      <c r="C350">
        <f t="shared" ca="1" si="282"/>
        <v>0</v>
      </c>
      <c r="D350">
        <f t="shared" ca="1" si="283"/>
        <v>0</v>
      </c>
    </row>
    <row r="351" spans="1:4" x14ac:dyDescent="0.25">
      <c r="A351" t="str">
        <f>Setup!A25</f>
        <v>Caseload 6</v>
      </c>
      <c r="B351">
        <f t="shared" ca="1" si="281"/>
        <v>0</v>
      </c>
      <c r="C351">
        <f t="shared" ca="1" si="282"/>
        <v>0</v>
      </c>
      <c r="D351">
        <f t="shared" ca="1" si="283"/>
        <v>0</v>
      </c>
    </row>
    <row r="352" spans="1:4" x14ac:dyDescent="0.25">
      <c r="A352" t="str">
        <f>Setup!A26</f>
        <v>Caseload 7</v>
      </c>
      <c r="B352">
        <f t="shared" ca="1" si="281"/>
        <v>0</v>
      </c>
      <c r="C352">
        <f t="shared" ca="1" si="282"/>
        <v>0</v>
      </c>
      <c r="D352">
        <f t="shared" ca="1" si="283"/>
        <v>0</v>
      </c>
    </row>
    <row r="353" spans="1:4" x14ac:dyDescent="0.25">
      <c r="A353" t="str">
        <f>Setup!A27</f>
        <v>Caseload 8</v>
      </c>
      <c r="B353">
        <f t="shared" ca="1" si="281"/>
        <v>0</v>
      </c>
      <c r="C353">
        <f t="shared" ca="1" si="282"/>
        <v>0</v>
      </c>
      <c r="D353">
        <f t="shared" ca="1" si="283"/>
        <v>0</v>
      </c>
    </row>
    <row r="354" spans="1:4" x14ac:dyDescent="0.25">
      <c r="A354" t="str">
        <f>Setup!A28</f>
        <v>Caseload 9</v>
      </c>
      <c r="B354">
        <f t="shared" ca="1" si="281"/>
        <v>0</v>
      </c>
      <c r="C354">
        <f t="shared" ca="1" si="282"/>
        <v>0</v>
      </c>
      <c r="D354">
        <f t="shared" ca="1" si="283"/>
        <v>0</v>
      </c>
    </row>
    <row r="355" spans="1:4" x14ac:dyDescent="0.25">
      <c r="A355" t="str">
        <f>Setup!A29</f>
        <v>Caseload 10</v>
      </c>
      <c r="B355">
        <f t="shared" ca="1" si="281"/>
        <v>0</v>
      </c>
      <c r="C355">
        <f t="shared" ca="1" si="282"/>
        <v>0</v>
      </c>
      <c r="D355">
        <f t="shared" ca="1" si="283"/>
        <v>0</v>
      </c>
    </row>
    <row r="356" spans="1:4" x14ac:dyDescent="0.25">
      <c r="A356" t="str">
        <f>Setup!A30</f>
        <v>Caseload 11</v>
      </c>
      <c r="B356">
        <f t="shared" ca="1" si="281"/>
        <v>0</v>
      </c>
      <c r="C356">
        <f t="shared" ca="1" si="282"/>
        <v>0</v>
      </c>
      <c r="D356">
        <f t="shared" ca="1" si="283"/>
        <v>0</v>
      </c>
    </row>
    <row r="357" spans="1:4" x14ac:dyDescent="0.25">
      <c r="A357" t="str">
        <f>Setup!A31</f>
        <v>Caseload 12</v>
      </c>
      <c r="B357">
        <f t="shared" ca="1" si="281"/>
        <v>0</v>
      </c>
      <c r="C357">
        <f t="shared" ca="1" si="282"/>
        <v>0</v>
      </c>
      <c r="D357">
        <f t="shared" ca="1" si="283"/>
        <v>0</v>
      </c>
    </row>
    <row r="358" spans="1:4" x14ac:dyDescent="0.25">
      <c r="A358" t="str">
        <f>Setup!A32</f>
        <v>Caseload 13</v>
      </c>
      <c r="B358">
        <f t="shared" ca="1" si="281"/>
        <v>0</v>
      </c>
      <c r="C358">
        <f t="shared" ca="1" si="282"/>
        <v>0</v>
      </c>
      <c r="D358">
        <f t="shared" ca="1" si="283"/>
        <v>0</v>
      </c>
    </row>
    <row r="359" spans="1:4" x14ac:dyDescent="0.25">
      <c r="A359" t="str">
        <f>Setup!A33</f>
        <v>Caseload 14</v>
      </c>
      <c r="B359">
        <f t="shared" ca="1" si="281"/>
        <v>0</v>
      </c>
      <c r="C359">
        <f t="shared" ca="1" si="282"/>
        <v>0</v>
      </c>
      <c r="D359">
        <f t="shared" ca="1" si="283"/>
        <v>0</v>
      </c>
    </row>
    <row r="360" spans="1:4" x14ac:dyDescent="0.25">
      <c r="A360" t="str">
        <f>Setup!A34</f>
        <v>Caseload 15</v>
      </c>
      <c r="B360">
        <f t="shared" ca="1" si="281"/>
        <v>0</v>
      </c>
      <c r="C360">
        <f t="shared" ca="1" si="282"/>
        <v>0</v>
      </c>
      <c r="D360">
        <f t="shared" ca="1" si="283"/>
        <v>0</v>
      </c>
    </row>
    <row r="362" spans="1:4" ht="21" x14ac:dyDescent="0.35">
      <c r="A362" s="175" t="s">
        <v>269</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25">
      <c r="A365" s="2" cm="1">
        <f t="array" aca="1" ref="A365" ca="1">INDEX($A$13:$A$64,ROW(A2),1)</f>
        <v>44235</v>
      </c>
      <c r="B365">
        <f t="shared" ref="B365:B415" ca="1" si="284">INDEX(IF($B$335="Non-Group",$B$84:$BA$99,IF($B$335="Group",$B$102:$BA$117,$B$120:$BA$135)),MATCH($B$334,$A$84:$A$99,0),MATCH($A365,$B$83:$BA$83,0))/(IF($B$337="Minutes",1,60))</f>
        <v>0</v>
      </c>
      <c r="C365">
        <f t="shared" ref="C365:C415" ca="1" si="285">INDEX(IF($B$335="Non-Group",$B$220:$BA$235,IF($B$335="Group",$B$237:$BA$253,$B$256:$BA$271)),MATCH($B$334,$A$220:$A$235,0),MATCH($A365,$B$219:$BA$219,0))/IF($B$337="Minutes",1,60)+B365</f>
        <v>0</v>
      </c>
      <c r="D365">
        <f t="shared" ref="D365:D415" ca="1" si="286">C365-B365</f>
        <v>0</v>
      </c>
    </row>
    <row r="366" spans="1:4" x14ac:dyDescent="0.25">
      <c r="A366" s="2" cm="1">
        <f t="array" aca="1" ref="A366" ca="1">INDEX($A$13:$A$64,ROW(A3),1)</f>
        <v>44242</v>
      </c>
      <c r="B366">
        <f t="shared" ca="1" si="284"/>
        <v>0</v>
      </c>
      <c r="C366">
        <f t="shared" ca="1" si="285"/>
        <v>0</v>
      </c>
      <c r="D366">
        <f t="shared" ca="1" si="286"/>
        <v>0</v>
      </c>
    </row>
    <row r="367" spans="1:4" x14ac:dyDescent="0.25">
      <c r="A367" s="2" cm="1">
        <f t="array" aca="1" ref="A367" ca="1">INDEX($A$13:$A$64,ROW(A4),1)</f>
        <v>44249</v>
      </c>
      <c r="B367">
        <f t="shared" ca="1" si="284"/>
        <v>0</v>
      </c>
      <c r="C367">
        <f t="shared" ca="1" si="285"/>
        <v>0</v>
      </c>
      <c r="D367">
        <f t="shared" ca="1" si="286"/>
        <v>0</v>
      </c>
    </row>
    <row r="368" spans="1:4" x14ac:dyDescent="0.25">
      <c r="A368" s="2" cm="1">
        <f t="array" aca="1" ref="A368" ca="1">INDEX($A$13:$A$64,ROW(A5),1)</f>
        <v>44256</v>
      </c>
      <c r="B368">
        <f t="shared" ca="1" si="284"/>
        <v>0</v>
      </c>
      <c r="C368">
        <f t="shared" ca="1" si="285"/>
        <v>0</v>
      </c>
      <c r="D368">
        <f t="shared" ca="1" si="286"/>
        <v>0</v>
      </c>
    </row>
    <row r="369" spans="1:4" x14ac:dyDescent="0.25">
      <c r="A369" s="2" cm="1">
        <f t="array" aca="1" ref="A369" ca="1">INDEX($A$13:$A$64,ROW(A6),1)</f>
        <v>44263</v>
      </c>
      <c r="B369">
        <f t="shared" ca="1" si="284"/>
        <v>0</v>
      </c>
      <c r="C369">
        <f t="shared" ca="1" si="285"/>
        <v>0</v>
      </c>
      <c r="D369">
        <f t="shared" ca="1" si="286"/>
        <v>0</v>
      </c>
    </row>
    <row r="370" spans="1:4" x14ac:dyDescent="0.25">
      <c r="A370" s="2" cm="1">
        <f t="array" aca="1" ref="A370" ca="1">INDEX($A$13:$A$64,ROW(A7),1)</f>
        <v>44270</v>
      </c>
      <c r="B370">
        <f t="shared" ca="1" si="284"/>
        <v>0</v>
      </c>
      <c r="C370">
        <f t="shared" ca="1" si="285"/>
        <v>0</v>
      </c>
      <c r="D370">
        <f t="shared" ca="1" si="286"/>
        <v>0</v>
      </c>
    </row>
    <row r="371" spans="1:4" x14ac:dyDescent="0.25">
      <c r="A371" s="2" cm="1">
        <f t="array" aca="1" ref="A371" ca="1">INDEX($A$13:$A$64,ROW(A8),1)</f>
        <v>44277</v>
      </c>
      <c r="B371">
        <f t="shared" ca="1" si="284"/>
        <v>0</v>
      </c>
      <c r="C371">
        <f t="shared" ca="1" si="285"/>
        <v>0</v>
      </c>
      <c r="D371">
        <f t="shared" ca="1" si="286"/>
        <v>0</v>
      </c>
    </row>
    <row r="372" spans="1:4" x14ac:dyDescent="0.25">
      <c r="A372" s="2" cm="1">
        <f t="array" aca="1" ref="A372" ca="1">INDEX($A$13:$A$64,ROW(A9),1)</f>
        <v>44284</v>
      </c>
      <c r="B372">
        <f t="shared" ca="1" si="284"/>
        <v>0</v>
      </c>
      <c r="C372">
        <f t="shared" ca="1" si="285"/>
        <v>0</v>
      </c>
      <c r="D372">
        <f t="shared" ca="1" si="286"/>
        <v>0</v>
      </c>
    </row>
    <row r="373" spans="1:4" x14ac:dyDescent="0.25">
      <c r="A373" s="2" cm="1">
        <f t="array" aca="1" ref="A373" ca="1">INDEX($A$13:$A$64,ROW(A10),1)</f>
        <v>44291</v>
      </c>
      <c r="B373">
        <f t="shared" ca="1" si="284"/>
        <v>0</v>
      </c>
      <c r="C373">
        <f t="shared" ca="1" si="285"/>
        <v>0</v>
      </c>
      <c r="D373">
        <f t="shared" ca="1" si="286"/>
        <v>0</v>
      </c>
    </row>
    <row r="374" spans="1:4" x14ac:dyDescent="0.25">
      <c r="A374" s="2" cm="1">
        <f t="array" aca="1" ref="A374" ca="1">INDEX($A$13:$A$64,ROW(A11),1)</f>
        <v>44298</v>
      </c>
      <c r="B374">
        <f t="shared" ca="1" si="284"/>
        <v>0</v>
      </c>
      <c r="C374">
        <f t="shared" ca="1" si="285"/>
        <v>0</v>
      </c>
      <c r="D374">
        <f t="shared" ca="1" si="286"/>
        <v>0</v>
      </c>
    </row>
    <row r="375" spans="1:4" x14ac:dyDescent="0.25">
      <c r="A375" s="2" cm="1">
        <f t="array" aca="1" ref="A375" ca="1">INDEX($A$13:$A$64,ROW(A12),1)</f>
        <v>44305</v>
      </c>
      <c r="B375">
        <f t="shared" ca="1" si="284"/>
        <v>0</v>
      </c>
      <c r="C375">
        <f t="shared" ca="1" si="285"/>
        <v>0</v>
      </c>
      <c r="D375">
        <f t="shared" ca="1" si="286"/>
        <v>0</v>
      </c>
    </row>
    <row r="376" spans="1:4" x14ac:dyDescent="0.25">
      <c r="A376" s="2" cm="1">
        <f t="array" aca="1" ref="A376" ca="1">INDEX($A$13:$A$64,ROW(A13),1)</f>
        <v>44312</v>
      </c>
      <c r="B376">
        <f t="shared" ca="1" si="284"/>
        <v>0</v>
      </c>
      <c r="C376">
        <f t="shared" ca="1" si="285"/>
        <v>0</v>
      </c>
      <c r="D376">
        <f t="shared" ca="1" si="286"/>
        <v>0</v>
      </c>
    </row>
    <row r="377" spans="1:4" x14ac:dyDescent="0.25">
      <c r="A377" s="2" cm="1">
        <f t="array" aca="1" ref="A377" ca="1">INDEX($A$13:$A$64,ROW(A14),1)</f>
        <v>44319</v>
      </c>
      <c r="B377">
        <f t="shared" ca="1" si="284"/>
        <v>0</v>
      </c>
      <c r="C377">
        <f t="shared" ca="1" si="285"/>
        <v>0</v>
      </c>
      <c r="D377">
        <f t="shared" ca="1" si="286"/>
        <v>0</v>
      </c>
    </row>
    <row r="378" spans="1:4" x14ac:dyDescent="0.25">
      <c r="A378" s="2" cm="1">
        <f t="array" aca="1" ref="A378" ca="1">INDEX($A$13:$A$64,ROW(A15),1)</f>
        <v>44326</v>
      </c>
      <c r="B378">
        <f t="shared" ca="1" si="284"/>
        <v>0</v>
      </c>
      <c r="C378">
        <f t="shared" ca="1" si="285"/>
        <v>0</v>
      </c>
      <c r="D378">
        <f t="shared" ca="1" si="286"/>
        <v>0</v>
      </c>
    </row>
    <row r="379" spans="1:4" x14ac:dyDescent="0.25">
      <c r="A379" s="2" cm="1">
        <f t="array" aca="1" ref="A379" ca="1">INDEX($A$13:$A$64,ROW(A16),1)</f>
        <v>44333</v>
      </c>
      <c r="B379">
        <f t="shared" ca="1" si="284"/>
        <v>0</v>
      </c>
      <c r="C379">
        <f t="shared" ca="1" si="285"/>
        <v>0</v>
      </c>
      <c r="D379">
        <f t="shared" ca="1" si="286"/>
        <v>0</v>
      </c>
    </row>
    <row r="380" spans="1:4" x14ac:dyDescent="0.25">
      <c r="A380" s="2" cm="1">
        <f t="array" aca="1" ref="A380" ca="1">INDEX($A$13:$A$64,ROW(A17),1)</f>
        <v>44340</v>
      </c>
      <c r="B380">
        <f t="shared" ca="1" si="284"/>
        <v>0</v>
      </c>
      <c r="C380">
        <f t="shared" ca="1" si="285"/>
        <v>0</v>
      </c>
      <c r="D380">
        <f t="shared" ca="1" si="286"/>
        <v>0</v>
      </c>
    </row>
    <row r="381" spans="1:4" x14ac:dyDescent="0.25">
      <c r="A381" s="2" cm="1">
        <f t="array" aca="1" ref="A381" ca="1">INDEX($A$13:$A$64,ROW(A18),1)</f>
        <v>44347</v>
      </c>
      <c r="B381">
        <f t="shared" ca="1" si="284"/>
        <v>0</v>
      </c>
      <c r="C381">
        <f t="shared" ca="1" si="285"/>
        <v>0</v>
      </c>
      <c r="D381">
        <f t="shared" ca="1" si="286"/>
        <v>0</v>
      </c>
    </row>
    <row r="382" spans="1:4" x14ac:dyDescent="0.25">
      <c r="A382" s="2" cm="1">
        <f t="array" aca="1" ref="A382" ca="1">INDEX($A$13:$A$64,ROW(A19),1)</f>
        <v>44354</v>
      </c>
      <c r="B382">
        <f t="shared" ca="1" si="284"/>
        <v>0</v>
      </c>
      <c r="C382">
        <f t="shared" ca="1" si="285"/>
        <v>0</v>
      </c>
      <c r="D382">
        <f t="shared" ca="1" si="286"/>
        <v>0</v>
      </c>
    </row>
    <row r="383" spans="1:4" x14ac:dyDescent="0.25">
      <c r="A383" s="2" cm="1">
        <f t="array" aca="1" ref="A383" ca="1">INDEX($A$13:$A$64,ROW(A20),1)</f>
        <v>44361</v>
      </c>
      <c r="B383">
        <f t="shared" ca="1" si="284"/>
        <v>0</v>
      </c>
      <c r="C383">
        <f t="shared" ca="1" si="285"/>
        <v>0</v>
      </c>
      <c r="D383">
        <f t="shared" ca="1" si="286"/>
        <v>0</v>
      </c>
    </row>
    <row r="384" spans="1:4" x14ac:dyDescent="0.25">
      <c r="A384" s="2" cm="1">
        <f t="array" aca="1" ref="A384" ca="1">INDEX($A$13:$A$64,ROW(A21),1)</f>
        <v>44368</v>
      </c>
      <c r="B384">
        <f t="shared" ca="1" si="284"/>
        <v>0</v>
      </c>
      <c r="C384">
        <f t="shared" ca="1" si="285"/>
        <v>0</v>
      </c>
      <c r="D384">
        <f t="shared" ca="1" si="286"/>
        <v>0</v>
      </c>
    </row>
    <row r="385" spans="1:4" x14ac:dyDescent="0.25">
      <c r="A385" s="2" cm="1">
        <f t="array" aca="1" ref="A385" ca="1">INDEX($A$13:$A$64,ROW(A22),1)</f>
        <v>44375</v>
      </c>
      <c r="B385">
        <f t="shared" ca="1" si="284"/>
        <v>0</v>
      </c>
      <c r="C385">
        <f t="shared" ca="1" si="285"/>
        <v>0</v>
      </c>
      <c r="D385">
        <f t="shared" ca="1" si="286"/>
        <v>0</v>
      </c>
    </row>
    <row r="386" spans="1:4" x14ac:dyDescent="0.25">
      <c r="A386" s="2" cm="1">
        <f t="array" aca="1" ref="A386" ca="1">INDEX($A$13:$A$64,ROW(A23),1)</f>
        <v>44382</v>
      </c>
      <c r="B386">
        <f t="shared" ca="1" si="284"/>
        <v>0</v>
      </c>
      <c r="C386">
        <f t="shared" ca="1" si="285"/>
        <v>0</v>
      </c>
      <c r="D386">
        <f t="shared" ca="1" si="286"/>
        <v>0</v>
      </c>
    </row>
    <row r="387" spans="1:4" x14ac:dyDescent="0.25">
      <c r="A387" s="2" cm="1">
        <f t="array" aca="1" ref="A387" ca="1">INDEX($A$13:$A$64,ROW(A24),1)</f>
        <v>44389</v>
      </c>
      <c r="B387">
        <f t="shared" ca="1" si="284"/>
        <v>0</v>
      </c>
      <c r="C387">
        <f t="shared" ca="1" si="285"/>
        <v>0</v>
      </c>
      <c r="D387">
        <f t="shared" ca="1" si="286"/>
        <v>0</v>
      </c>
    </row>
    <row r="388" spans="1:4" x14ac:dyDescent="0.25">
      <c r="A388" s="2" cm="1">
        <f t="array" aca="1" ref="A388" ca="1">INDEX($A$13:$A$64,ROW(A25),1)</f>
        <v>44396</v>
      </c>
      <c r="B388">
        <f t="shared" ca="1" si="284"/>
        <v>0</v>
      </c>
      <c r="C388">
        <f t="shared" ca="1" si="285"/>
        <v>0</v>
      </c>
      <c r="D388">
        <f t="shared" ca="1" si="286"/>
        <v>0</v>
      </c>
    </row>
    <row r="389" spans="1:4" x14ac:dyDescent="0.25">
      <c r="A389" s="2" cm="1">
        <f t="array" aca="1" ref="A389" ca="1">INDEX($A$13:$A$64,ROW(A26),1)</f>
        <v>44403</v>
      </c>
      <c r="B389">
        <f t="shared" ca="1" si="284"/>
        <v>0</v>
      </c>
      <c r="C389">
        <f t="shared" ca="1" si="285"/>
        <v>0</v>
      </c>
      <c r="D389">
        <f t="shared" ca="1" si="286"/>
        <v>0</v>
      </c>
    </row>
    <row r="390" spans="1:4" x14ac:dyDescent="0.25">
      <c r="A390" s="2" cm="1">
        <f t="array" aca="1" ref="A390" ca="1">INDEX($A$13:$A$64,ROW(A27),1)</f>
        <v>44410</v>
      </c>
      <c r="B390">
        <f t="shared" ca="1" si="284"/>
        <v>0</v>
      </c>
      <c r="C390">
        <f t="shared" ca="1" si="285"/>
        <v>0</v>
      </c>
      <c r="D390">
        <f t="shared" ca="1" si="286"/>
        <v>0</v>
      </c>
    </row>
    <row r="391" spans="1:4" x14ac:dyDescent="0.25">
      <c r="A391" s="2" cm="1">
        <f t="array" aca="1" ref="A391" ca="1">INDEX($A$13:$A$64,ROW(A28),1)</f>
        <v>44417</v>
      </c>
      <c r="B391">
        <f t="shared" ca="1" si="284"/>
        <v>0</v>
      </c>
      <c r="C391">
        <f t="shared" ca="1" si="285"/>
        <v>0</v>
      </c>
      <c r="D391">
        <f t="shared" ca="1" si="286"/>
        <v>0</v>
      </c>
    </row>
    <row r="392" spans="1:4" x14ac:dyDescent="0.25">
      <c r="A392" s="2" cm="1">
        <f t="array" aca="1" ref="A392" ca="1">INDEX($A$13:$A$64,ROW(A29),1)</f>
        <v>44424</v>
      </c>
      <c r="B392">
        <f t="shared" ca="1" si="284"/>
        <v>0</v>
      </c>
      <c r="C392">
        <f t="shared" ca="1" si="285"/>
        <v>0</v>
      </c>
      <c r="D392">
        <f t="shared" ca="1" si="286"/>
        <v>0</v>
      </c>
    </row>
    <row r="393" spans="1:4" x14ac:dyDescent="0.25">
      <c r="A393" s="2" cm="1">
        <f t="array" aca="1" ref="A393" ca="1">INDEX($A$13:$A$64,ROW(A30),1)</f>
        <v>44431</v>
      </c>
      <c r="B393">
        <f t="shared" ca="1" si="284"/>
        <v>0</v>
      </c>
      <c r="C393">
        <f t="shared" ca="1" si="285"/>
        <v>0</v>
      </c>
      <c r="D393">
        <f t="shared" ca="1" si="286"/>
        <v>0</v>
      </c>
    </row>
    <row r="394" spans="1:4" x14ac:dyDescent="0.25">
      <c r="A394" s="2" cm="1">
        <f t="array" aca="1" ref="A394" ca="1">INDEX($A$13:$A$64,ROW(A31),1)</f>
        <v>44438</v>
      </c>
      <c r="B394">
        <f t="shared" ca="1" si="284"/>
        <v>0</v>
      </c>
      <c r="C394">
        <f t="shared" ca="1" si="285"/>
        <v>0</v>
      </c>
      <c r="D394">
        <f t="shared" ca="1" si="286"/>
        <v>0</v>
      </c>
    </row>
    <row r="395" spans="1:4" x14ac:dyDescent="0.25">
      <c r="A395" s="2" cm="1">
        <f t="array" aca="1" ref="A395" ca="1">INDEX($A$13:$A$64,ROW(A32),1)</f>
        <v>44445</v>
      </c>
      <c r="B395">
        <f t="shared" ca="1" si="284"/>
        <v>0</v>
      </c>
      <c r="C395">
        <f t="shared" ca="1" si="285"/>
        <v>0</v>
      </c>
      <c r="D395">
        <f t="shared" ca="1" si="286"/>
        <v>0</v>
      </c>
    </row>
    <row r="396" spans="1:4" x14ac:dyDescent="0.25">
      <c r="A396" s="2" cm="1">
        <f t="array" aca="1" ref="A396" ca="1">INDEX($A$13:$A$64,ROW(A33),1)</f>
        <v>44452</v>
      </c>
      <c r="B396">
        <f t="shared" ca="1" si="284"/>
        <v>0</v>
      </c>
      <c r="C396">
        <f t="shared" ca="1" si="285"/>
        <v>0</v>
      </c>
      <c r="D396">
        <f t="shared" ca="1" si="286"/>
        <v>0</v>
      </c>
    </row>
    <row r="397" spans="1:4" x14ac:dyDescent="0.25">
      <c r="A397" s="2" cm="1">
        <f t="array" aca="1" ref="A397" ca="1">INDEX($A$13:$A$64,ROW(A34),1)</f>
        <v>44459</v>
      </c>
      <c r="B397">
        <f t="shared" ca="1" si="284"/>
        <v>0</v>
      </c>
      <c r="C397">
        <f t="shared" ca="1" si="285"/>
        <v>0</v>
      </c>
      <c r="D397">
        <f t="shared" ca="1" si="286"/>
        <v>0</v>
      </c>
    </row>
    <row r="398" spans="1:4" x14ac:dyDescent="0.25">
      <c r="A398" s="2" cm="1">
        <f t="array" aca="1" ref="A398" ca="1">INDEX($A$13:$A$64,ROW(A35),1)</f>
        <v>44466</v>
      </c>
      <c r="B398">
        <f t="shared" ca="1" si="284"/>
        <v>0</v>
      </c>
      <c r="C398">
        <f t="shared" ca="1" si="285"/>
        <v>0</v>
      </c>
      <c r="D398">
        <f t="shared" ca="1" si="286"/>
        <v>0</v>
      </c>
    </row>
    <row r="399" spans="1:4" x14ac:dyDescent="0.25">
      <c r="A399" s="2" cm="1">
        <f t="array" aca="1" ref="A399" ca="1">INDEX($A$13:$A$64,ROW(A36),1)</f>
        <v>44473</v>
      </c>
      <c r="B399">
        <f t="shared" ca="1" si="284"/>
        <v>0</v>
      </c>
      <c r="C399">
        <f t="shared" ca="1" si="285"/>
        <v>0</v>
      </c>
      <c r="D399">
        <f t="shared" ca="1" si="286"/>
        <v>0</v>
      </c>
    </row>
    <row r="400" spans="1:4" x14ac:dyDescent="0.25">
      <c r="A400" s="2" cm="1">
        <f t="array" aca="1" ref="A400" ca="1">INDEX($A$13:$A$64,ROW(A37),1)</f>
        <v>44480</v>
      </c>
      <c r="B400">
        <f t="shared" ca="1" si="284"/>
        <v>0</v>
      </c>
      <c r="C400">
        <f t="shared" ca="1" si="285"/>
        <v>0</v>
      </c>
      <c r="D400">
        <f t="shared" ca="1" si="286"/>
        <v>0</v>
      </c>
    </row>
    <row r="401" spans="1:4" x14ac:dyDescent="0.25">
      <c r="A401" s="2" cm="1">
        <f t="array" aca="1" ref="A401" ca="1">INDEX($A$13:$A$64,ROW(A38),1)</f>
        <v>44487</v>
      </c>
      <c r="B401">
        <f t="shared" ca="1" si="284"/>
        <v>0</v>
      </c>
      <c r="C401">
        <f t="shared" ca="1" si="285"/>
        <v>0</v>
      </c>
      <c r="D401">
        <f t="shared" ca="1" si="286"/>
        <v>0</v>
      </c>
    </row>
    <row r="402" spans="1:4" x14ac:dyDescent="0.25">
      <c r="A402" s="2" cm="1">
        <f t="array" aca="1" ref="A402" ca="1">INDEX($A$13:$A$64,ROW(A39),1)</f>
        <v>44494</v>
      </c>
      <c r="B402">
        <f t="shared" ca="1" si="284"/>
        <v>0</v>
      </c>
      <c r="C402">
        <f t="shared" ca="1" si="285"/>
        <v>0</v>
      </c>
      <c r="D402">
        <f t="shared" ca="1" si="286"/>
        <v>0</v>
      </c>
    </row>
    <row r="403" spans="1:4" x14ac:dyDescent="0.25">
      <c r="A403" s="2" cm="1">
        <f t="array" aca="1" ref="A403" ca="1">INDEX($A$13:$A$64,ROW(A40),1)</f>
        <v>44501</v>
      </c>
      <c r="B403">
        <f t="shared" ca="1" si="284"/>
        <v>0</v>
      </c>
      <c r="C403">
        <f t="shared" ca="1" si="285"/>
        <v>0</v>
      </c>
      <c r="D403">
        <f t="shared" ca="1" si="286"/>
        <v>0</v>
      </c>
    </row>
    <row r="404" spans="1:4" x14ac:dyDescent="0.25">
      <c r="A404" s="2" cm="1">
        <f t="array" aca="1" ref="A404" ca="1">INDEX($A$13:$A$64,ROW(A41),1)</f>
        <v>44508</v>
      </c>
      <c r="B404">
        <f t="shared" ca="1" si="284"/>
        <v>0</v>
      </c>
      <c r="C404">
        <f t="shared" ca="1" si="285"/>
        <v>0</v>
      </c>
      <c r="D404">
        <f t="shared" ca="1" si="286"/>
        <v>0</v>
      </c>
    </row>
    <row r="405" spans="1:4" x14ac:dyDescent="0.25">
      <c r="A405" s="2" cm="1">
        <f t="array" aca="1" ref="A405" ca="1">INDEX($A$13:$A$64,ROW(A42),1)</f>
        <v>44515</v>
      </c>
      <c r="B405">
        <f t="shared" ca="1" si="284"/>
        <v>0</v>
      </c>
      <c r="C405">
        <f t="shared" ca="1" si="285"/>
        <v>0</v>
      </c>
      <c r="D405">
        <f t="shared" ca="1" si="286"/>
        <v>0</v>
      </c>
    </row>
    <row r="406" spans="1:4" x14ac:dyDescent="0.25">
      <c r="A406" s="2" cm="1">
        <f t="array" aca="1" ref="A406" ca="1">INDEX($A$13:$A$64,ROW(A43),1)</f>
        <v>44522</v>
      </c>
      <c r="B406">
        <f t="shared" ca="1" si="284"/>
        <v>0</v>
      </c>
      <c r="C406">
        <f t="shared" ca="1" si="285"/>
        <v>0</v>
      </c>
      <c r="D406">
        <f t="shared" ca="1" si="286"/>
        <v>0</v>
      </c>
    </row>
    <row r="407" spans="1:4" x14ac:dyDescent="0.25">
      <c r="A407" s="2" cm="1">
        <f t="array" aca="1" ref="A407" ca="1">INDEX($A$13:$A$64,ROW(A44),1)</f>
        <v>44529</v>
      </c>
      <c r="B407">
        <f t="shared" ca="1" si="284"/>
        <v>0</v>
      </c>
      <c r="C407">
        <f t="shared" ca="1" si="285"/>
        <v>0</v>
      </c>
      <c r="D407">
        <f t="shared" ca="1" si="286"/>
        <v>0</v>
      </c>
    </row>
    <row r="408" spans="1:4" x14ac:dyDescent="0.25">
      <c r="A408" s="2" cm="1">
        <f t="array" aca="1" ref="A408" ca="1">INDEX($A$13:$A$64,ROW(A45),1)</f>
        <v>44536</v>
      </c>
      <c r="B408">
        <f t="shared" ca="1" si="284"/>
        <v>0</v>
      </c>
      <c r="C408">
        <f t="shared" ca="1" si="285"/>
        <v>0</v>
      </c>
      <c r="D408">
        <f t="shared" ca="1" si="286"/>
        <v>0</v>
      </c>
    </row>
    <row r="409" spans="1:4" x14ac:dyDescent="0.25">
      <c r="A409" s="2" cm="1">
        <f t="array" aca="1" ref="A409" ca="1">INDEX($A$13:$A$64,ROW(A46),1)</f>
        <v>44543</v>
      </c>
      <c r="B409">
        <f t="shared" ca="1" si="284"/>
        <v>0</v>
      </c>
      <c r="C409">
        <f t="shared" ca="1" si="285"/>
        <v>0</v>
      </c>
      <c r="D409">
        <f t="shared" ca="1" si="286"/>
        <v>0</v>
      </c>
    </row>
    <row r="410" spans="1:4" x14ac:dyDescent="0.25">
      <c r="A410" s="2" cm="1">
        <f t="array" aca="1" ref="A410" ca="1">INDEX($A$13:$A$64,ROW(A47),1)</f>
        <v>44550</v>
      </c>
      <c r="B410">
        <f t="shared" ca="1" si="284"/>
        <v>0</v>
      </c>
      <c r="C410">
        <f t="shared" ca="1" si="285"/>
        <v>0</v>
      </c>
      <c r="D410">
        <f t="shared" ca="1" si="286"/>
        <v>0</v>
      </c>
    </row>
    <row r="411" spans="1:4" x14ac:dyDescent="0.25">
      <c r="A411" s="2" cm="1">
        <f t="array" aca="1" ref="A411" ca="1">INDEX($A$13:$A$64,ROW(A48),1)</f>
        <v>44557</v>
      </c>
      <c r="B411">
        <f t="shared" ca="1" si="284"/>
        <v>0</v>
      </c>
      <c r="C411">
        <f t="shared" ca="1" si="285"/>
        <v>0</v>
      </c>
      <c r="D411">
        <f t="shared" ca="1" si="286"/>
        <v>0</v>
      </c>
    </row>
    <row r="412" spans="1:4" x14ac:dyDescent="0.25">
      <c r="A412" s="2" cm="1">
        <f t="array" aca="1" ref="A412" ca="1">INDEX($A$13:$A$64,ROW(A49),1)</f>
        <v>44564</v>
      </c>
      <c r="B412">
        <f t="shared" ca="1" si="284"/>
        <v>0</v>
      </c>
      <c r="C412">
        <f t="shared" ca="1" si="285"/>
        <v>0</v>
      </c>
      <c r="D412">
        <f t="shared" ca="1" si="286"/>
        <v>0</v>
      </c>
    </row>
    <row r="413" spans="1:4" x14ac:dyDescent="0.25">
      <c r="A413" s="2" cm="1">
        <f t="array" aca="1" ref="A413" ca="1">INDEX($A$13:$A$64,ROW(A50),1)</f>
        <v>44571</v>
      </c>
      <c r="B413">
        <f t="shared" ca="1" si="284"/>
        <v>0</v>
      </c>
      <c r="C413">
        <f t="shared" ca="1" si="285"/>
        <v>0</v>
      </c>
      <c r="D413">
        <f t="shared" ca="1" si="286"/>
        <v>0</v>
      </c>
    </row>
    <row r="414" spans="1:4" x14ac:dyDescent="0.25">
      <c r="A414" s="2" cm="1">
        <f t="array" aca="1" ref="A414" ca="1">INDEX($A$13:$A$64,ROW(A51),1)</f>
        <v>44578</v>
      </c>
      <c r="B414">
        <f t="shared" ca="1" si="284"/>
        <v>0</v>
      </c>
      <c r="C414">
        <f t="shared" ca="1" si="285"/>
        <v>0</v>
      </c>
      <c r="D414">
        <f t="shared" ca="1" si="286"/>
        <v>0</v>
      </c>
    </row>
    <row r="415" spans="1:4" x14ac:dyDescent="0.25">
      <c r="A415" s="2" cm="1">
        <f t="array" aca="1" ref="A415" ca="1">INDEX($A$13:$A$64,ROW(A52),1)</f>
        <v>44585</v>
      </c>
      <c r="B415">
        <f t="shared" ca="1" si="284"/>
        <v>0</v>
      </c>
      <c r="C415">
        <f t="shared" ca="1" si="285"/>
        <v>0</v>
      </c>
      <c r="D415">
        <f t="shared" ca="1" si="286"/>
        <v>0</v>
      </c>
    </row>
    <row r="416" spans="1:4" x14ac:dyDescent="0.25">
      <c r="A416" s="2"/>
    </row>
    <row r="417" spans="1:16" ht="21" x14ac:dyDescent="0.35">
      <c r="A417" s="175" t="s">
        <v>270</v>
      </c>
    </row>
    <row r="418" spans="1:16" x14ac:dyDescent="0.2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271</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272</v>
      </c>
    </row>
    <row r="423" spans="1:16" x14ac:dyDescent="0.25">
      <c r="A423" s="2"/>
      <c r="B423" t="s">
        <v>273</v>
      </c>
      <c r="C423" t="s">
        <v>274</v>
      </c>
    </row>
    <row r="424" spans="1:16" x14ac:dyDescent="0.2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5"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5"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5"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5"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5"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5"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5" x14ac:dyDescent="0.25">
      <c r="A439" s="2"/>
    </row>
    <row r="440" spans="1:5" ht="18.75" x14ac:dyDescent="0.3">
      <c r="A440" s="177" t="s">
        <v>282</v>
      </c>
      <c r="D440" t="s">
        <v>289</v>
      </c>
    </row>
    <row r="441" spans="1:5" x14ac:dyDescent="0.25">
      <c r="A441" s="2" t="s">
        <v>120</v>
      </c>
      <c r="B441" t="s">
        <v>257</v>
      </c>
      <c r="D441" t="s">
        <v>120</v>
      </c>
      <c r="E441" t="s">
        <v>121</v>
      </c>
    </row>
    <row r="442" spans="1:5" x14ac:dyDescent="0.25">
      <c r="A442" s="2"/>
      <c r="D442" t="str">
        <f>ROW(A1)&amp;". "&amp;Capacity!B10</f>
        <v xml:space="preserve">1. </v>
      </c>
      <c r="E442" t="str">
        <f>ROW(B1)&amp;". "&amp;Capacity!Y10</f>
        <v xml:space="preserve">1. </v>
      </c>
    </row>
    <row r="443" spans="1:5" x14ac:dyDescent="0.25">
      <c r="A443" s="2"/>
      <c r="D443" t="str">
        <f>ROW(A2)&amp;". "&amp;Capacity!B11</f>
        <v xml:space="preserve">2. </v>
      </c>
      <c r="E443" t="str">
        <f>ROW(B2)&amp;". "&amp;Capacity!Y11</f>
        <v xml:space="preserve">2. </v>
      </c>
    </row>
    <row r="444" spans="1:5" x14ac:dyDescent="0.25">
      <c r="A444" s="2"/>
      <c r="D444" t="str">
        <f>ROW(A3)&amp;". "&amp;Capacity!B12</f>
        <v xml:space="preserve">3. </v>
      </c>
      <c r="E444" t="str">
        <f>ROW(B3)&amp;". "&amp;Capacity!Y12</f>
        <v xml:space="preserve">3. </v>
      </c>
    </row>
    <row r="445" spans="1:5" x14ac:dyDescent="0.25">
      <c r="A445" s="2"/>
      <c r="D445" t="str">
        <f>ROW(A4)&amp;". "&amp;Capacity!B13</f>
        <v xml:space="preserve">4. </v>
      </c>
      <c r="E445" t="str">
        <f>ROW(B4)&amp;". "&amp;Capacity!Y13</f>
        <v xml:space="preserve">4. </v>
      </c>
    </row>
    <row r="446" spans="1:5" x14ac:dyDescent="0.25">
      <c r="A446" s="2"/>
      <c r="D446" t="str">
        <f>ROW(A5)&amp;". "&amp;Capacity!B14</f>
        <v xml:space="preserve">5. </v>
      </c>
      <c r="E446" t="str">
        <f>ROW(B5)&amp;". "&amp;Capacity!Y14</f>
        <v xml:space="preserve">5. </v>
      </c>
    </row>
    <row r="447" spans="1:5" x14ac:dyDescent="0.25">
      <c r="A447" s="2"/>
      <c r="D447" t="str">
        <f>ROW(A6)&amp;". "&amp;Capacity!B15</f>
        <v xml:space="preserve">6. </v>
      </c>
      <c r="E447" t="str">
        <f>ROW(B6)&amp;". "&amp;Capacity!Y15</f>
        <v xml:space="preserve">6. </v>
      </c>
    </row>
    <row r="448" spans="1:5" x14ac:dyDescent="0.25">
      <c r="A448" s="2"/>
      <c r="D448" t="str">
        <f>ROW(A7)&amp;". "&amp;Capacity!B16</f>
        <v xml:space="preserve">7. </v>
      </c>
      <c r="E448" t="str">
        <f>ROW(B7)&amp;". "&amp;Capacity!Y16</f>
        <v xml:space="preserve">7. </v>
      </c>
    </row>
    <row r="449" spans="1:5" x14ac:dyDescent="0.25">
      <c r="A449" s="2"/>
      <c r="D449" t="str">
        <f>ROW(A8)&amp;". "&amp;Capacity!B17</f>
        <v xml:space="preserve">8. </v>
      </c>
      <c r="E449" t="str">
        <f>ROW(B8)&amp;". "&amp;Capacity!Y17</f>
        <v xml:space="preserve">8. </v>
      </c>
    </row>
    <row r="450" spans="1:5" x14ac:dyDescent="0.25">
      <c r="A450" s="2"/>
      <c r="D450" t="str">
        <f>ROW(A9)&amp;". "&amp;Capacity!B18</f>
        <v xml:space="preserve">9. </v>
      </c>
      <c r="E450" t="str">
        <f>ROW(B9)&amp;". "&amp;Capacity!Y18</f>
        <v xml:space="preserve">9. </v>
      </c>
    </row>
    <row r="451" spans="1:5" x14ac:dyDescent="0.25">
      <c r="A451" s="2"/>
      <c r="D451" t="str">
        <f>ROW(A10)&amp;". "&amp;Capacity!B19</f>
        <v xml:space="preserve">10. </v>
      </c>
      <c r="E451" t="str">
        <f>ROW(B10)&amp;". "&amp;Capacity!Y19</f>
        <v xml:space="preserve">10. </v>
      </c>
    </row>
    <row r="452" spans="1:5" x14ac:dyDescent="0.25">
      <c r="A452" s="2"/>
      <c r="D452" t="str">
        <f>ROW(A11)&amp;". "&amp;Capacity!B20</f>
        <v xml:space="preserve">11. </v>
      </c>
      <c r="E452" t="str">
        <f>ROW(B11)&amp;". "&amp;Capacity!Y20</f>
        <v xml:space="preserve">11. </v>
      </c>
    </row>
    <row r="453" spans="1:5" x14ac:dyDescent="0.25">
      <c r="A453" s="2"/>
      <c r="D453" t="str">
        <f>ROW(A12)&amp;". "&amp;Capacity!B21</f>
        <v xml:space="preserve">12. </v>
      </c>
      <c r="E453" t="str">
        <f>ROW(B12)&amp;". "&amp;Capacity!Y21</f>
        <v xml:space="preserve">12. </v>
      </c>
    </row>
    <row r="454" spans="1:5" x14ac:dyDescent="0.25">
      <c r="A454" s="2"/>
      <c r="D454" t="str">
        <f>ROW(A13)&amp;". "&amp;Capacity!B22</f>
        <v xml:space="preserve">13. </v>
      </c>
      <c r="E454" t="str">
        <f>ROW(B13)&amp;". "&amp;Capacity!Y22</f>
        <v xml:space="preserve">13. </v>
      </c>
    </row>
    <row r="455" spans="1:5" x14ac:dyDescent="0.25">
      <c r="A455" s="2"/>
      <c r="D455" t="str">
        <f>ROW(A14)&amp;". "&amp;Capacity!B23</f>
        <v xml:space="preserve">14. </v>
      </c>
      <c r="E455" t="str">
        <f>ROW(B14)&amp;". "&amp;Capacity!Y23</f>
        <v xml:space="preserve">14. </v>
      </c>
    </row>
    <row r="456" spans="1:5" x14ac:dyDescent="0.25">
      <c r="A456" s="2"/>
      <c r="D456" t="str">
        <f>ROW(A15)&amp;". "&amp;Capacity!B24</f>
        <v xml:space="preserve">15. </v>
      </c>
      <c r="E456" t="str">
        <f>ROW(B15)&amp;". "&amp;Capacity!Y24</f>
        <v xml:space="preserve">15. </v>
      </c>
    </row>
    <row r="457" spans="1:5" x14ac:dyDescent="0.25">
      <c r="A457" s="2"/>
      <c r="D457" t="str">
        <f>ROW(A16)&amp;". "&amp;Capacity!B25</f>
        <v xml:space="preserve">16. </v>
      </c>
      <c r="E457" t="str">
        <f>ROW(B16)&amp;". "&amp;Capacity!Y25</f>
        <v xml:space="preserve">16. </v>
      </c>
    </row>
    <row r="458" spans="1:5" x14ac:dyDescent="0.25">
      <c r="A458" s="2"/>
      <c r="D458" t="str">
        <f>ROW(A17)&amp;". "&amp;Capacity!B26</f>
        <v xml:space="preserve">17. </v>
      </c>
      <c r="E458" t="str">
        <f>ROW(B17)&amp;". "&amp;Capacity!Y26</f>
        <v xml:space="preserve">17. </v>
      </c>
    </row>
    <row r="459" spans="1:5" x14ac:dyDescent="0.25">
      <c r="A459" s="2"/>
      <c r="D459" t="str">
        <f>ROW(A18)&amp;". "&amp;Capacity!B27</f>
        <v xml:space="preserve">18. </v>
      </c>
      <c r="E459" t="str">
        <f>ROW(B18)&amp;". "&amp;Capacity!Y27</f>
        <v xml:space="preserve">18. </v>
      </c>
    </row>
    <row r="460" spans="1:5" x14ac:dyDescent="0.25">
      <c r="A460" s="2"/>
      <c r="D460" t="str">
        <f>ROW(A19)&amp;". "&amp;Capacity!B28</f>
        <v xml:space="preserve">19. </v>
      </c>
      <c r="E460" t="str">
        <f>ROW(B19)&amp;". "&amp;Capacity!Y28</f>
        <v xml:space="preserve">19. </v>
      </c>
    </row>
    <row r="461" spans="1:5" x14ac:dyDescent="0.25">
      <c r="A461" s="2"/>
      <c r="D461" t="str">
        <f>ROW(A20)&amp;". "&amp;Capacity!B29</f>
        <v xml:space="preserve">20. </v>
      </c>
      <c r="E461" t="str">
        <f>ROW(B20)&amp;". "&amp;Capacity!Y29</f>
        <v xml:space="preserve">20. </v>
      </c>
    </row>
    <row r="462" spans="1:5" x14ac:dyDescent="0.25">
      <c r="A462" s="2"/>
      <c r="D462" t="str">
        <f>ROW(A21)&amp;". "&amp;Capacity!B30</f>
        <v xml:space="preserve">21. </v>
      </c>
      <c r="E462" t="str">
        <f>ROW(B21)&amp;". "&amp;Capacity!Y30</f>
        <v xml:space="preserve">21. </v>
      </c>
    </row>
    <row r="463" spans="1:5" x14ac:dyDescent="0.25">
      <c r="A463" s="2"/>
      <c r="D463" t="str">
        <f>ROW(A22)&amp;". "&amp;Capacity!B31</f>
        <v xml:space="preserve">22. </v>
      </c>
      <c r="E463" t="str">
        <f>ROW(B22)&amp;". "&amp;Capacity!Y31</f>
        <v xml:space="preserve">22. </v>
      </c>
    </row>
    <row r="464" spans="1:5" x14ac:dyDescent="0.25">
      <c r="A464" s="2"/>
      <c r="D464" t="str">
        <f>ROW(A23)&amp;". "&amp;Capacity!B32</f>
        <v xml:space="preserve">23. </v>
      </c>
      <c r="E464" t="str">
        <f>ROW(B23)&amp;". "&amp;Capacity!Y32</f>
        <v xml:space="preserve">23. </v>
      </c>
    </row>
    <row r="465" spans="1:5" x14ac:dyDescent="0.25">
      <c r="A465" s="2"/>
      <c r="D465" t="str">
        <f>ROW(A24)&amp;". "&amp;Capacity!B33</f>
        <v xml:space="preserve">24. </v>
      </c>
      <c r="E465" t="str">
        <f>ROW(B24)&amp;". "&amp;Capacity!Y33</f>
        <v xml:space="preserve">24. </v>
      </c>
    </row>
    <row r="466" spans="1:5" x14ac:dyDescent="0.25">
      <c r="A466" s="2"/>
      <c r="D466" t="str">
        <f>ROW(A25)&amp;". "&amp;Capacity!B34</f>
        <v xml:space="preserve">25. </v>
      </c>
      <c r="E466" t="str">
        <f>ROW(B25)&amp;". "&amp;Capacity!Y34</f>
        <v xml:space="preserve">25. </v>
      </c>
    </row>
    <row r="467" spans="1:5" x14ac:dyDescent="0.25">
      <c r="A467" s="2"/>
      <c r="D467" t="str">
        <f>ROW(A26)&amp;". "&amp;Capacity!B35</f>
        <v xml:space="preserve">26. </v>
      </c>
      <c r="E467" t="str">
        <f>ROW(B26)&amp;". "&amp;Capacity!Y35</f>
        <v xml:space="preserve">26. </v>
      </c>
    </row>
    <row r="468" spans="1:5" x14ac:dyDescent="0.25">
      <c r="A468" s="2"/>
      <c r="D468" t="str">
        <f>ROW(A27)&amp;". "&amp;Capacity!B36</f>
        <v xml:space="preserve">27. </v>
      </c>
      <c r="E468" t="str">
        <f>ROW(B27)&amp;". "&amp;Capacity!Y36</f>
        <v xml:space="preserve">27. </v>
      </c>
    </row>
    <row r="469" spans="1:5" x14ac:dyDescent="0.25">
      <c r="A469" s="2"/>
      <c r="D469" t="str">
        <f>ROW(A28)&amp;". "&amp;Capacity!B37</f>
        <v xml:space="preserve">28. </v>
      </c>
      <c r="E469" t="str">
        <f>ROW(B28)&amp;". "&amp;Capacity!Y37</f>
        <v xml:space="preserve">28. </v>
      </c>
    </row>
    <row r="470" spans="1:5" x14ac:dyDescent="0.25">
      <c r="A470" s="2"/>
      <c r="D470" t="str">
        <f>ROW(A29)&amp;". "&amp;Capacity!B38</f>
        <v xml:space="preserve">29. </v>
      </c>
      <c r="E470" t="str">
        <f>ROW(B29)&amp;". "&amp;Capacity!Y38</f>
        <v xml:space="preserve">29. </v>
      </c>
    </row>
    <row r="471" spans="1:5" x14ac:dyDescent="0.25">
      <c r="A471" s="2"/>
      <c r="D471" t="str">
        <f>ROW(A30)&amp;". "&amp;Capacity!B39</f>
        <v xml:space="preserve">30. </v>
      </c>
      <c r="E471" t="str">
        <f>ROW(B30)&amp;". "&amp;Capacity!Y39</f>
        <v xml:space="preserve">30. </v>
      </c>
    </row>
    <row r="472" spans="1:5" x14ac:dyDescent="0.25">
      <c r="A472" s="2"/>
      <c r="D472" t="str">
        <f>ROW(A31)&amp;". "&amp;Capacity!B40</f>
        <v xml:space="preserve">31. </v>
      </c>
      <c r="E472" t="str">
        <f>ROW(B31)&amp;". "&amp;Capacity!Y40</f>
        <v xml:space="preserve">31. </v>
      </c>
    </row>
    <row r="473" spans="1:5" x14ac:dyDescent="0.25">
      <c r="A473" s="2"/>
      <c r="D473" t="str">
        <f>ROW(A32)&amp;". "&amp;Capacity!B41</f>
        <v xml:space="preserve">32. </v>
      </c>
      <c r="E473" t="str">
        <f>ROW(B32)&amp;". "&amp;Capacity!Y41</f>
        <v xml:space="preserve">32. </v>
      </c>
    </row>
    <row r="474" spans="1:5" x14ac:dyDescent="0.25">
      <c r="A474" s="2"/>
      <c r="D474" t="str">
        <f>ROW(A33)&amp;". "&amp;Capacity!B42</f>
        <v xml:space="preserve">33. </v>
      </c>
      <c r="E474" t="str">
        <f>ROW(B33)&amp;". "&amp;Capacity!Y42</f>
        <v xml:space="preserve">33. </v>
      </c>
    </row>
    <row r="475" spans="1:5" x14ac:dyDescent="0.25">
      <c r="A475" s="2"/>
      <c r="D475" t="str">
        <f>ROW(A34)&amp;". "&amp;Capacity!B43</f>
        <v xml:space="preserve">34. </v>
      </c>
      <c r="E475" t="str">
        <f>ROW(B34)&amp;". "&amp;Capacity!Y43</f>
        <v xml:space="preserve">34. </v>
      </c>
    </row>
    <row r="476" spans="1:5" x14ac:dyDescent="0.25">
      <c r="A476" s="2"/>
      <c r="D476" t="str">
        <f>ROW(A35)&amp;". "&amp;Capacity!B44</f>
        <v xml:space="preserve">35. </v>
      </c>
      <c r="E476" t="str">
        <f>ROW(B35)&amp;". "&amp;Capacity!Y44</f>
        <v xml:space="preserve">35. </v>
      </c>
    </row>
    <row r="477" spans="1:5" x14ac:dyDescent="0.25">
      <c r="A477" s="2"/>
      <c r="D477" t="str">
        <f>ROW(A36)&amp;". "&amp;Capacity!B45</f>
        <v xml:space="preserve">36. </v>
      </c>
      <c r="E477" t="str">
        <f>ROW(B36)&amp;". "&amp;Capacity!Y45</f>
        <v xml:space="preserve">36. </v>
      </c>
    </row>
    <row r="478" spans="1:5" x14ac:dyDescent="0.25">
      <c r="A478" s="2"/>
      <c r="D478" t="str">
        <f>ROW(A37)&amp;". "&amp;Capacity!B46</f>
        <v xml:space="preserve">37. </v>
      </c>
      <c r="E478" t="str">
        <f>ROW(B37)&amp;". "&amp;Capacity!Y46</f>
        <v xml:space="preserve">37. </v>
      </c>
    </row>
    <row r="479" spans="1:5" x14ac:dyDescent="0.25">
      <c r="A479" s="2"/>
      <c r="D479" t="str">
        <f>ROW(A38)&amp;". "&amp;Capacity!B47</f>
        <v xml:space="preserve">38. </v>
      </c>
      <c r="E479" t="str">
        <f>ROW(B38)&amp;". "&amp;Capacity!Y47</f>
        <v xml:space="preserve">38. </v>
      </c>
    </row>
    <row r="480" spans="1:5" x14ac:dyDescent="0.25">
      <c r="A480" s="2"/>
      <c r="D480" t="str">
        <f>ROW(A39)&amp;". "&amp;Capacity!B48</f>
        <v xml:space="preserve">39. </v>
      </c>
      <c r="E480" t="str">
        <f>ROW(B39)&amp;". "&amp;Capacity!Y48</f>
        <v xml:space="preserve">39. </v>
      </c>
    </row>
    <row r="481" spans="1:5" x14ac:dyDescent="0.25">
      <c r="A481" s="2"/>
      <c r="D481" t="str">
        <f>ROW(A40)&amp;". "&amp;Capacity!B49</f>
        <v xml:space="preserve">40. </v>
      </c>
      <c r="E481" t="str">
        <f>ROW(B40)&amp;". "&amp;Capacity!Y49</f>
        <v xml:space="preserve">40. </v>
      </c>
    </row>
    <row r="482" spans="1:5" x14ac:dyDescent="0.25">
      <c r="A482" s="2"/>
      <c r="D482" t="str">
        <f>ROW(A41)&amp;". "&amp;Capacity!B50</f>
        <v xml:space="preserve">41. </v>
      </c>
      <c r="E482" t="str">
        <f>ROW(B41)&amp;". "&amp;Capacity!Y50</f>
        <v xml:space="preserve">41. </v>
      </c>
    </row>
    <row r="483" spans="1:5" x14ac:dyDescent="0.25">
      <c r="A483" s="2"/>
      <c r="D483" t="str">
        <f>ROW(A42)&amp;". "&amp;Capacity!B51</f>
        <v xml:space="preserve">42. </v>
      </c>
      <c r="E483" t="str">
        <f>ROW(B42)&amp;". "&amp;Capacity!Y51</f>
        <v xml:space="preserve">42. </v>
      </c>
    </row>
    <row r="484" spans="1:5" x14ac:dyDescent="0.25">
      <c r="A484" s="2"/>
      <c r="D484" t="str">
        <f>ROW(A43)&amp;". "&amp;Capacity!B52</f>
        <v xml:space="preserve">43. </v>
      </c>
      <c r="E484" t="str">
        <f>ROW(B43)&amp;". "&amp;Capacity!Y52</f>
        <v xml:space="preserve">43. </v>
      </c>
    </row>
    <row r="485" spans="1:5" x14ac:dyDescent="0.25">
      <c r="A485" s="2"/>
      <c r="D485" t="str">
        <f>ROW(A44)&amp;". "&amp;Capacity!B53</f>
        <v xml:space="preserve">44. </v>
      </c>
      <c r="E485" t="str">
        <f>ROW(B44)&amp;". "&amp;Capacity!Y53</f>
        <v xml:space="preserve">44. </v>
      </c>
    </row>
    <row r="486" spans="1:5" x14ac:dyDescent="0.25">
      <c r="A486" s="2"/>
      <c r="D486" t="str">
        <f>ROW(A45)&amp;". "&amp;Capacity!B54</f>
        <v xml:space="preserve">45. </v>
      </c>
      <c r="E486" t="str">
        <f>ROW(B45)&amp;". "&amp;Capacity!Y54</f>
        <v xml:space="preserve">45. </v>
      </c>
    </row>
    <row r="487" spans="1:5" x14ac:dyDescent="0.25">
      <c r="A487" s="2"/>
      <c r="D487" t="str">
        <f>ROW(A46)&amp;". "&amp;Capacity!B55</f>
        <v xml:space="preserve">46. </v>
      </c>
      <c r="E487" t="str">
        <f>ROW(B46)&amp;". "&amp;Capacity!Y55</f>
        <v xml:space="preserve">46. </v>
      </c>
    </row>
    <row r="488" spans="1:5" x14ac:dyDescent="0.25">
      <c r="A488" s="2"/>
      <c r="D488" t="str">
        <f>ROW(A47)&amp;". "&amp;Capacity!B56</f>
        <v xml:space="preserve">47. </v>
      </c>
      <c r="E488" t="str">
        <f>ROW(B47)&amp;". "&amp;Capacity!Y56</f>
        <v xml:space="preserve">47. </v>
      </c>
    </row>
    <row r="489" spans="1:5" x14ac:dyDescent="0.25">
      <c r="A489" s="2"/>
      <c r="D489" t="str">
        <f>ROW(A48)&amp;". "&amp;Capacity!B57</f>
        <v xml:space="preserve">48. </v>
      </c>
      <c r="E489" t="str">
        <f>ROW(B48)&amp;". "&amp;Capacity!Y57</f>
        <v xml:space="preserve">48. </v>
      </c>
    </row>
    <row r="490" spans="1:5" x14ac:dyDescent="0.25">
      <c r="A490" s="2"/>
      <c r="D490" t="str">
        <f>ROW(A49)&amp;". "&amp;Capacity!B58</f>
        <v xml:space="preserve">49. </v>
      </c>
      <c r="E490" t="str">
        <f>ROW(B49)&amp;". "&amp;Capacity!Y58</f>
        <v xml:space="preserve">49. </v>
      </c>
    </row>
    <row r="491" spans="1:5" x14ac:dyDescent="0.25">
      <c r="A491" s="2"/>
      <c r="D491" t="str">
        <f>ROW(A50)&amp;". "&amp;Capacity!B59</f>
        <v xml:space="preserve">50. </v>
      </c>
      <c r="E491" t="str">
        <f>ROW(B50)&amp;". "&amp;Capacity!Y59</f>
        <v xml:space="preserve">50. </v>
      </c>
    </row>
    <row r="492" spans="1:5" x14ac:dyDescent="0.25">
      <c r="A492" s="2"/>
      <c r="D492" t="str">
        <f>ROW(A51)&amp;". "&amp;Capacity!B60</f>
        <v xml:space="preserve">51. </v>
      </c>
      <c r="E492" t="str">
        <f>ROW(B51)&amp;". "&amp;Capacity!Y60</f>
        <v xml:space="preserve">51. </v>
      </c>
    </row>
    <row r="493" spans="1:5" x14ac:dyDescent="0.25">
      <c r="D493" t="str">
        <f>ROW(A52)&amp;". "&amp;Capacity!B61</f>
        <v xml:space="preserve">52. </v>
      </c>
      <c r="E493" t="str">
        <f>ROW(B52)&amp;". "&amp;Capacity!Y61</f>
        <v xml:space="preserve">52. </v>
      </c>
    </row>
    <row r="494" spans="1:5" x14ac:dyDescent="0.25">
      <c r="D494" t="str">
        <f>ROW(A53)&amp;". "&amp;Capacity!B62</f>
        <v xml:space="preserve">53. </v>
      </c>
      <c r="E494" t="str">
        <f>ROW(B53)&amp;". "&amp;Capacity!Y62</f>
        <v xml:space="preserve">53. </v>
      </c>
    </row>
    <row r="495" spans="1:5" x14ac:dyDescent="0.25">
      <c r="D495" t="str">
        <f>ROW(A54)&amp;". "&amp;Capacity!B63</f>
        <v xml:space="preserve">54. </v>
      </c>
      <c r="E495" t="str">
        <f>ROW(B54)&amp;". "&amp;Capacity!Y63</f>
        <v xml:space="preserve">54. </v>
      </c>
    </row>
    <row r="496" spans="1:5" x14ac:dyDescent="0.25">
      <c r="D496" t="str">
        <f>ROW(A55)&amp;". "&amp;Capacity!B64</f>
        <v xml:space="preserve">55. </v>
      </c>
      <c r="E496" t="str">
        <f>ROW(B55)&amp;". "&amp;Capacity!Y64</f>
        <v xml:space="preserve">55. </v>
      </c>
    </row>
    <row r="497" spans="4:5" x14ac:dyDescent="0.25">
      <c r="D497" t="str">
        <f>ROW(A56)&amp;". "&amp;Capacity!B65</f>
        <v xml:space="preserve">56. </v>
      </c>
      <c r="E497" t="str">
        <f>ROW(B56)&amp;". "&amp;Capacity!Y65</f>
        <v xml:space="preserve">56. </v>
      </c>
    </row>
    <row r="498" spans="4:5" x14ac:dyDescent="0.25">
      <c r="D498" t="str">
        <f>ROW(A57)&amp;". "&amp;Capacity!B66</f>
        <v xml:space="preserve">57. </v>
      </c>
      <c r="E498" t="str">
        <f>ROW(B57)&amp;". "&amp;Capacity!Y66</f>
        <v xml:space="preserve">57. </v>
      </c>
    </row>
    <row r="499" spans="4:5" x14ac:dyDescent="0.25">
      <c r="D499" t="str">
        <f>ROW(A58)&amp;". "&amp;Capacity!B67</f>
        <v xml:space="preserve">58. </v>
      </c>
      <c r="E499" t="str">
        <f>ROW(B58)&amp;". "&amp;Capacity!Y67</f>
        <v xml:space="preserve">58. </v>
      </c>
    </row>
    <row r="500" spans="4:5" x14ac:dyDescent="0.25">
      <c r="D500" t="str">
        <f>ROW(A59)&amp;". "&amp;Capacity!B68</f>
        <v xml:space="preserve">59. </v>
      </c>
      <c r="E500" t="str">
        <f>ROW(B59)&amp;". "&amp;Capacity!Y68</f>
        <v xml:space="preserve">59. </v>
      </c>
    </row>
    <row r="501" spans="4:5" x14ac:dyDescent="0.25">
      <c r="D501" t="str">
        <f>ROW(A60)&amp;". "&amp;Capacity!B69</f>
        <v xml:space="preserve">60. </v>
      </c>
      <c r="E501" t="str">
        <f>ROW(B60)&amp;". "&amp;Capacity!Y69</f>
        <v xml:space="preserve">60. </v>
      </c>
    </row>
    <row r="502" spans="4:5" x14ac:dyDescent="0.25">
      <c r="D502" t="str">
        <f>ROW(A61)&amp;". "&amp;Capacity!B70</f>
        <v xml:space="preserve">61. </v>
      </c>
      <c r="E502" t="str">
        <f>ROW(B61)&amp;". "&amp;Capacity!Y70</f>
        <v xml:space="preserve">61. </v>
      </c>
    </row>
    <row r="503" spans="4:5" x14ac:dyDescent="0.25">
      <c r="D503" t="str">
        <f>ROW(A62)&amp;". "&amp;Capacity!B71</f>
        <v xml:space="preserve">62. </v>
      </c>
      <c r="E503" t="str">
        <f>ROW(B62)&amp;". "&amp;Capacity!Y71</f>
        <v xml:space="preserve">62. </v>
      </c>
    </row>
    <row r="504" spans="4:5" x14ac:dyDescent="0.25">
      <c r="D504" t="str">
        <f>ROW(A63)&amp;". "&amp;Capacity!B72</f>
        <v xml:space="preserve">63. </v>
      </c>
      <c r="E504" t="str">
        <f>ROW(B63)&amp;". "&amp;Capacity!Y72</f>
        <v xml:space="preserve">63. </v>
      </c>
    </row>
    <row r="505" spans="4:5" x14ac:dyDescent="0.25">
      <c r="D505" t="str">
        <f>ROW(A64)&amp;". "&amp;Capacity!B73</f>
        <v xml:space="preserve">64. </v>
      </c>
      <c r="E505" t="str">
        <f>ROW(B64)&amp;". "&amp;Capacity!Y73</f>
        <v xml:space="preserve">64. </v>
      </c>
    </row>
    <row r="506" spans="4:5" x14ac:dyDescent="0.25">
      <c r="D506" t="str">
        <f>ROW(A65)&amp;". "&amp;Capacity!B74</f>
        <v xml:space="preserve">65. </v>
      </c>
      <c r="E506" t="str">
        <f>ROW(B65)&amp;". "&amp;Capacity!Y74</f>
        <v xml:space="preserve">65. </v>
      </c>
    </row>
    <row r="507" spans="4:5" x14ac:dyDescent="0.25">
      <c r="D507" t="str">
        <f>ROW(A66)&amp;". "&amp;Capacity!B75</f>
        <v xml:space="preserve">66. </v>
      </c>
      <c r="E507" t="str">
        <f>ROW(B66)&amp;". "&amp;Capacity!Y75</f>
        <v xml:space="preserve">66. </v>
      </c>
    </row>
    <row r="508" spans="4:5" x14ac:dyDescent="0.25">
      <c r="D508" t="str">
        <f>ROW(A67)&amp;". "&amp;Capacity!B76</f>
        <v xml:space="preserve">67. </v>
      </c>
      <c r="E508" t="str">
        <f>ROW(B67)&amp;". "&amp;Capacity!Y76</f>
        <v xml:space="preserve">67. </v>
      </c>
    </row>
    <row r="509" spans="4:5" x14ac:dyDescent="0.25">
      <c r="D509" t="str">
        <f>ROW(A68)&amp;". "&amp;Capacity!B77</f>
        <v xml:space="preserve">68. </v>
      </c>
      <c r="E509" t="str">
        <f>ROW(B68)&amp;". "&amp;Capacity!Y77</f>
        <v xml:space="preserve">68. </v>
      </c>
    </row>
    <row r="510" spans="4:5" x14ac:dyDescent="0.25">
      <c r="D510" t="str">
        <f>ROW(A69)&amp;". "&amp;Capacity!B78</f>
        <v xml:space="preserve">69. </v>
      </c>
      <c r="E510" t="str">
        <f>ROW(B69)&amp;". "&amp;Capacity!Y78</f>
        <v xml:space="preserve">69. </v>
      </c>
    </row>
    <row r="511" spans="4:5" x14ac:dyDescent="0.25">
      <c r="D511" t="str">
        <f>ROW(A70)&amp;". "&amp;Capacity!B79</f>
        <v xml:space="preserve">70. </v>
      </c>
      <c r="E511" t="str">
        <f>ROW(B70)&amp;". "&amp;Capacity!Y79</f>
        <v xml:space="preserve">70. </v>
      </c>
    </row>
    <row r="512" spans="4:5" x14ac:dyDescent="0.25">
      <c r="D512" t="str">
        <f>ROW(A71)&amp;". "&amp;Capacity!B80</f>
        <v xml:space="preserve">71. </v>
      </c>
      <c r="E512" t="str">
        <f>ROW(B71)&amp;". "&amp;Capacity!Y80</f>
        <v xml:space="preserve">71. </v>
      </c>
    </row>
    <row r="513" spans="4:5" x14ac:dyDescent="0.25">
      <c r="D513" t="str">
        <f>ROW(A72)&amp;". "&amp;Capacity!B81</f>
        <v xml:space="preserve">72. </v>
      </c>
      <c r="E513" t="str">
        <f>ROW(B72)&amp;". "&amp;Capacity!Y81</f>
        <v xml:space="preserve">72. </v>
      </c>
    </row>
    <row r="514" spans="4:5" x14ac:dyDescent="0.25">
      <c r="D514" t="str">
        <f>ROW(A73)&amp;". "&amp;Capacity!B82</f>
        <v xml:space="preserve">73. </v>
      </c>
      <c r="E514" t="str">
        <f>ROW(B73)&amp;". "&amp;Capacity!Y82</f>
        <v xml:space="preserve">73. </v>
      </c>
    </row>
    <row r="515" spans="4:5" x14ac:dyDescent="0.25">
      <c r="D515" t="str">
        <f>ROW(A74)&amp;". "&amp;Capacity!B83</f>
        <v xml:space="preserve">74. </v>
      </c>
      <c r="E515" t="str">
        <f>ROW(B74)&amp;". "&amp;Capacity!Y83</f>
        <v xml:space="preserve">74. </v>
      </c>
    </row>
    <row r="516" spans="4:5" x14ac:dyDescent="0.25">
      <c r="D516" t="str">
        <f>ROW(A75)&amp;". "&amp;Capacity!B84</f>
        <v xml:space="preserve">75. </v>
      </c>
      <c r="E516" t="str">
        <f>ROW(B75)&amp;". "&amp;Capacity!Y84</f>
        <v xml:space="preserve">75. </v>
      </c>
    </row>
    <row r="517" spans="4:5" x14ac:dyDescent="0.25">
      <c r="D517" t="str">
        <f>ROW(A76)&amp;". "&amp;Capacity!B85</f>
        <v xml:space="preserve">76. </v>
      </c>
      <c r="E517" t="str">
        <f>ROW(B76)&amp;". "&amp;Capacity!Y85</f>
        <v xml:space="preserve">76. </v>
      </c>
    </row>
    <row r="518" spans="4:5" x14ac:dyDescent="0.25">
      <c r="D518" t="str">
        <f>ROW(A77)&amp;". "&amp;Capacity!B86</f>
        <v xml:space="preserve">77. </v>
      </c>
      <c r="E518" t="str">
        <f>ROW(B77)&amp;". "&amp;Capacity!Y86</f>
        <v xml:space="preserve">77. </v>
      </c>
    </row>
    <row r="519" spans="4:5" x14ac:dyDescent="0.25">
      <c r="D519" t="str">
        <f>ROW(A78)&amp;". "&amp;Capacity!B87</f>
        <v xml:space="preserve">78. </v>
      </c>
      <c r="E519" t="str">
        <f>ROW(B78)&amp;". "&amp;Capacity!Y87</f>
        <v xml:space="preserve">78. </v>
      </c>
    </row>
    <row r="520" spans="4:5" x14ac:dyDescent="0.25">
      <c r="D520" t="str">
        <f>ROW(A79)&amp;". "&amp;Capacity!B88</f>
        <v xml:space="preserve">79. </v>
      </c>
      <c r="E520" t="str">
        <f>ROW(B79)&amp;". "&amp;Capacity!Y88</f>
        <v xml:space="preserve">79. </v>
      </c>
    </row>
    <row r="521" spans="4:5" x14ac:dyDescent="0.25">
      <c r="D521" t="str">
        <f>ROW(A80)&amp;". "&amp;Capacity!B89</f>
        <v xml:space="preserve">80. </v>
      </c>
      <c r="E521" t="str">
        <f>ROW(B80)&amp;". "&amp;Capacity!Y89</f>
        <v xml:space="preserve">80. </v>
      </c>
    </row>
    <row r="522" spans="4:5" x14ac:dyDescent="0.25">
      <c r="D522" t="str">
        <f>ROW(A81)&amp;". "&amp;Capacity!B90</f>
        <v xml:space="preserve">81. </v>
      </c>
      <c r="E522" t="str">
        <f>ROW(B81)&amp;". "&amp;Capacity!Y90</f>
        <v xml:space="preserve">81. </v>
      </c>
    </row>
    <row r="523" spans="4:5" x14ac:dyDescent="0.25">
      <c r="D523" t="str">
        <f>ROW(A82)&amp;". "&amp;Capacity!B91</f>
        <v xml:space="preserve">82. </v>
      </c>
      <c r="E523" t="str">
        <f>ROW(B82)&amp;". "&amp;Capacity!Y91</f>
        <v xml:space="preserve">82. </v>
      </c>
    </row>
    <row r="524" spans="4:5" x14ac:dyDescent="0.25">
      <c r="D524" t="str">
        <f>ROW(A83)&amp;". "&amp;Capacity!B92</f>
        <v xml:space="preserve">83. </v>
      </c>
      <c r="E524" t="str">
        <f>ROW(B83)&amp;". "&amp;Capacity!Y92</f>
        <v xml:space="preserve">83. </v>
      </c>
    </row>
    <row r="525" spans="4:5" x14ac:dyDescent="0.25">
      <c r="D525" t="str">
        <f>ROW(A84)&amp;". "&amp;Capacity!B93</f>
        <v xml:space="preserve">84. </v>
      </c>
      <c r="E525" t="str">
        <f>ROW(B84)&amp;". "&amp;Capacity!Y93</f>
        <v xml:space="preserve">84. </v>
      </c>
    </row>
    <row r="526" spans="4:5" x14ac:dyDescent="0.25">
      <c r="D526" t="str">
        <f>ROW(A85)&amp;". "&amp;Capacity!B94</f>
        <v xml:space="preserve">85. </v>
      </c>
      <c r="E526" t="str">
        <f>ROW(B85)&amp;". "&amp;Capacity!Y94</f>
        <v xml:space="preserve">85. </v>
      </c>
    </row>
    <row r="527" spans="4:5" x14ac:dyDescent="0.25">
      <c r="D527" t="str">
        <f>ROW(A86)&amp;". "&amp;Capacity!B95</f>
        <v xml:space="preserve">86. </v>
      </c>
      <c r="E527" t="str">
        <f>ROW(B86)&amp;". "&amp;Capacity!Y95</f>
        <v xml:space="preserve">86. </v>
      </c>
    </row>
    <row r="528" spans="4:5" x14ac:dyDescent="0.25">
      <c r="D528" t="str">
        <f>ROW(A87)&amp;". "&amp;Capacity!B96</f>
        <v xml:space="preserve">87. </v>
      </c>
      <c r="E528" t="str">
        <f>ROW(B87)&amp;". "&amp;Capacity!Y96</f>
        <v xml:space="preserve">87. </v>
      </c>
    </row>
    <row r="529" spans="4:5" x14ac:dyDescent="0.25">
      <c r="D529" t="str">
        <f>ROW(A88)&amp;". "&amp;Capacity!B97</f>
        <v xml:space="preserve">88. </v>
      </c>
      <c r="E529" t="str">
        <f>ROW(B88)&amp;". "&amp;Capacity!Y97</f>
        <v xml:space="preserve">88. </v>
      </c>
    </row>
    <row r="530" spans="4:5" x14ac:dyDescent="0.25">
      <c r="D530" t="str">
        <f>ROW(A89)&amp;". "&amp;Capacity!B98</f>
        <v xml:space="preserve">89. </v>
      </c>
      <c r="E530" t="str">
        <f>ROW(B89)&amp;". "&amp;Capacity!Y98</f>
        <v xml:space="preserve">89. </v>
      </c>
    </row>
    <row r="531" spans="4:5" x14ac:dyDescent="0.25">
      <c r="D531" t="str">
        <f>ROW(A90)&amp;". "&amp;Capacity!B99</f>
        <v xml:space="preserve">90. </v>
      </c>
      <c r="E531" t="str">
        <f>ROW(B90)&amp;". "&amp;Capacity!Y99</f>
        <v xml:space="preserve">90. </v>
      </c>
    </row>
    <row r="532" spans="4:5" x14ac:dyDescent="0.25">
      <c r="D532" t="str">
        <f>ROW(A91)&amp;". "&amp;Capacity!B100</f>
        <v xml:space="preserve">91. </v>
      </c>
      <c r="E532" t="str">
        <f>ROW(B91)&amp;". "&amp;Capacity!Y100</f>
        <v xml:space="preserve">91. </v>
      </c>
    </row>
    <row r="533" spans="4:5" x14ac:dyDescent="0.25">
      <c r="D533" t="str">
        <f>ROW(A92)&amp;". "&amp;Capacity!B101</f>
        <v xml:space="preserve">92. </v>
      </c>
      <c r="E533" t="str">
        <f>ROW(B92)&amp;". "&amp;Capacity!Y101</f>
        <v xml:space="preserve">92. </v>
      </c>
    </row>
    <row r="534" spans="4:5" x14ac:dyDescent="0.25">
      <c r="D534" t="str">
        <f>ROW(A93)&amp;". "&amp;Capacity!B102</f>
        <v xml:space="preserve">93. </v>
      </c>
      <c r="E534" t="str">
        <f>ROW(B93)&amp;". "&amp;Capacity!Y102</f>
        <v xml:space="preserve">93. </v>
      </c>
    </row>
    <row r="535" spans="4:5" x14ac:dyDescent="0.25">
      <c r="D535" t="str">
        <f>ROW(A94)&amp;". "&amp;Capacity!B103</f>
        <v xml:space="preserve">94. </v>
      </c>
      <c r="E535" t="str">
        <f>ROW(B94)&amp;". "&amp;Capacity!Y103</f>
        <v xml:space="preserve">94. </v>
      </c>
    </row>
    <row r="536" spans="4:5" x14ac:dyDescent="0.25">
      <c r="D536" t="str">
        <f>ROW(A95)&amp;". "&amp;Capacity!B104</f>
        <v xml:space="preserve">95. </v>
      </c>
      <c r="E536" t="str">
        <f>ROW(B95)&amp;". "&amp;Capacity!Y104</f>
        <v xml:space="preserve">95. </v>
      </c>
    </row>
    <row r="537" spans="4:5" x14ac:dyDescent="0.25">
      <c r="D537" t="str">
        <f>ROW(A96)&amp;". "&amp;Capacity!B105</f>
        <v xml:space="preserve">96. </v>
      </c>
      <c r="E537" t="str">
        <f>ROW(B96)&amp;". "&amp;Capacity!Y105</f>
        <v xml:space="preserve">96. </v>
      </c>
    </row>
    <row r="538" spans="4:5" x14ac:dyDescent="0.25">
      <c r="D538" t="str">
        <f>ROW(A97)&amp;". "&amp;Capacity!B106</f>
        <v xml:space="preserve">97. </v>
      </c>
      <c r="E538" t="str">
        <f>ROW(B97)&amp;". "&amp;Capacity!Y106</f>
        <v xml:space="preserve">97. </v>
      </c>
    </row>
    <row r="539" spans="4:5" x14ac:dyDescent="0.25">
      <c r="D539" t="str">
        <f>ROW(A98)&amp;". "&amp;Capacity!B107</f>
        <v xml:space="preserve">98. </v>
      </c>
      <c r="E539" t="str">
        <f>ROW(B98)&amp;". "&amp;Capacity!Y107</f>
        <v xml:space="preserve">98. </v>
      </c>
    </row>
    <row r="540" spans="4:5" x14ac:dyDescent="0.25">
      <c r="D540" t="str">
        <f>ROW(A99)&amp;". "&amp;Capacity!B108</f>
        <v xml:space="preserve">99. </v>
      </c>
      <c r="E540" t="str">
        <f>ROW(B99)&amp;". "&amp;Capacity!Y108</f>
        <v xml:space="preserve">99. </v>
      </c>
    </row>
    <row r="541" spans="4:5" x14ac:dyDescent="0.25">
      <c r="D541" t="str">
        <f>ROW(A100)&amp;". "&amp;Capacity!B109</f>
        <v xml:space="preserve">100. </v>
      </c>
      <c r="E541" t="str">
        <f>ROW(B100)&amp;". "&amp;Capacity!Y109</f>
        <v xml:space="preserve">100. </v>
      </c>
    </row>
  </sheetData>
  <sheetProtection algorithmName="SHA-512" hashValue="69N0sdMygcaYiVZu/Bf+KzEX+rVK6M0xKFd+rUHV8pDNa0eHiBnhiXGmb64srqS9iBFa62n4jroHetAh4S5Dwg==" saltValue="NbfXMgH7y28qC9+LUPyGJg==" spinCount="100000" sheet="1" objects="1" scenarios="1"/>
  <dataConsolidate/>
  <pageMargins left="0.7" right="0.7" top="0.75" bottom="0.75" header="0.3" footer="0.3"/>
  <pageSetup paperSize="9" orientation="portrait"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3" sqref="B3"/>
    </sheetView>
  </sheetViews>
  <sheetFormatPr defaultColWidth="0" defaultRowHeight="15" x14ac:dyDescent="0.25"/>
  <cols>
    <col min="1" max="1" width="22.28515625" customWidth="1"/>
    <col min="2" max="2" width="15.7109375" customWidth="1"/>
    <col min="3" max="4" width="12.7109375" customWidth="1"/>
    <col min="5"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263</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0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 (Avg)</v>
      </c>
    </row>
    <row r="36" spans="1:31" ht="28.9" customHeight="1" thickBot="1" x14ac:dyDescent="0.3">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HIxRCINoWBLcEOWoTmb2BdXrrRmW353QrdXpGo1QdakgMqdQCKRpgVYFid+6hsnDmg+w1RYDc5RJvd8tMgv93g==" saltValue="V9Z3rNG10Qd7k8Ijzxa1pw=="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AV108"/>
  <sheetViews>
    <sheetView workbookViewId="0">
      <selection activeCell="Z19" sqref="Z19"/>
    </sheetView>
  </sheetViews>
  <sheetFormatPr defaultRowHeight="15" outlineLevelCol="1" x14ac:dyDescent="0.25"/>
  <cols>
    <col min="1" max="1" width="16.140625" bestFit="1" customWidth="1"/>
    <col min="3" max="3" width="15.85546875" customWidth="1"/>
    <col min="4" max="4" width="17.28515625" customWidth="1"/>
    <col min="6" max="6" width="17.85546875" customWidth="1"/>
    <col min="7" max="21" width="4.28515625" customWidth="1" outlineLevel="1"/>
    <col min="24" max="24" width="10.42578125" customWidth="1"/>
    <col min="25" max="25" width="19.42578125" customWidth="1"/>
    <col min="26" max="26" width="19" customWidth="1"/>
    <col min="27" max="27" width="16" customWidth="1"/>
    <col min="28" max="28" width="6.28515625" customWidth="1"/>
    <col min="29" max="29" width="10.42578125" customWidth="1"/>
    <col min="30" max="30" width="19.42578125" customWidth="1"/>
    <col min="31" max="31" width="19" customWidth="1"/>
    <col min="32" max="33" width="16" customWidth="1"/>
  </cols>
  <sheetData>
    <row r="1" spans="1:48" x14ac:dyDescent="0.25">
      <c r="A1" t="s">
        <v>313</v>
      </c>
      <c r="X1" t="s">
        <v>314</v>
      </c>
      <c r="AC1" t="s">
        <v>323</v>
      </c>
      <c r="AD1" t="s">
        <v>323</v>
      </c>
      <c r="AE1" t="s">
        <v>323</v>
      </c>
      <c r="AF1" t="s">
        <v>323</v>
      </c>
      <c r="AP1" t="s">
        <v>320</v>
      </c>
    </row>
    <row r="2" spans="1:48" x14ac:dyDescent="0.25">
      <c r="G2" s="223" t="s">
        <v>312</v>
      </c>
      <c r="H2" s="223"/>
      <c r="I2" s="223"/>
      <c r="J2" s="223"/>
      <c r="K2" s="223"/>
      <c r="L2" s="223"/>
      <c r="M2" s="223"/>
      <c r="N2" s="223"/>
      <c r="O2" s="223"/>
      <c r="P2" s="223"/>
      <c r="Q2" s="223"/>
      <c r="R2" s="223"/>
      <c r="S2" s="223"/>
      <c r="T2" s="223"/>
      <c r="U2" s="223"/>
    </row>
    <row r="3" spans="1:48" x14ac:dyDescent="0.25">
      <c r="G3" s="223"/>
      <c r="H3" s="223"/>
      <c r="I3" s="223"/>
      <c r="J3" s="223"/>
      <c r="K3" s="223"/>
      <c r="L3" s="223"/>
      <c r="M3" s="223"/>
      <c r="N3" s="223"/>
      <c r="O3" s="223"/>
      <c r="P3" s="223"/>
      <c r="Q3" s="223"/>
      <c r="R3" s="223"/>
      <c r="S3" s="223"/>
      <c r="T3" s="223"/>
      <c r="U3" s="223"/>
      <c r="X3" t="s">
        <v>315</v>
      </c>
      <c r="Z3" s="169"/>
      <c r="AE3" s="169"/>
      <c r="AH3" t="s">
        <v>316</v>
      </c>
      <c r="AP3" t="s">
        <v>321</v>
      </c>
      <c r="AV3" t="s">
        <v>316</v>
      </c>
    </row>
    <row r="4" spans="1:48" x14ac:dyDescent="0.25">
      <c r="G4" s="223"/>
      <c r="H4" s="223"/>
      <c r="I4" s="223"/>
      <c r="J4" s="223"/>
      <c r="K4" s="223"/>
      <c r="L4" s="223"/>
      <c r="M4" s="223"/>
      <c r="N4" s="223"/>
      <c r="O4" s="223"/>
      <c r="P4" s="223"/>
      <c r="Q4" s="223"/>
      <c r="R4" s="223"/>
      <c r="S4" s="223"/>
      <c r="T4" s="223"/>
      <c r="U4" s="223"/>
      <c r="AH4" s="16" t="s">
        <v>324</v>
      </c>
    </row>
    <row r="5" spans="1:48" x14ac:dyDescent="0.25">
      <c r="G5" s="223"/>
      <c r="H5" s="223"/>
      <c r="I5" s="223"/>
      <c r="J5" s="223"/>
      <c r="K5" s="223"/>
      <c r="L5" s="223"/>
      <c r="M5" s="223"/>
      <c r="N5" s="223"/>
      <c r="O5" s="223"/>
      <c r="P5" s="223"/>
      <c r="Q5" s="223"/>
      <c r="R5" s="223"/>
      <c r="S5" s="223"/>
      <c r="T5" s="223"/>
      <c r="U5" s="223"/>
      <c r="X5" t="s">
        <v>42</v>
      </c>
      <c r="Z5" t="s">
        <v>318</v>
      </c>
    </row>
    <row r="6" spans="1:48" x14ac:dyDescent="0.25">
      <c r="G6" s="223"/>
      <c r="H6" s="223"/>
      <c r="I6" s="223"/>
      <c r="J6" s="223"/>
      <c r="K6" s="223"/>
      <c r="L6" s="223"/>
      <c r="M6" s="223"/>
      <c r="N6" s="223"/>
      <c r="O6" s="223"/>
      <c r="P6" s="223"/>
      <c r="Q6" s="223"/>
      <c r="R6" s="223"/>
      <c r="S6" s="223"/>
      <c r="T6" s="223"/>
      <c r="U6" s="223"/>
    </row>
    <row r="7" spans="1:48" x14ac:dyDescent="0.25">
      <c r="C7" t="s">
        <v>309</v>
      </c>
      <c r="G7" s="223"/>
      <c r="H7" s="223"/>
      <c r="I7" s="223"/>
      <c r="J7" s="223"/>
      <c r="K7" s="223"/>
      <c r="L7" s="223"/>
      <c r="M7" s="223"/>
      <c r="N7" s="223"/>
      <c r="O7" s="223"/>
      <c r="P7" s="223"/>
      <c r="Q7" s="223"/>
      <c r="R7" s="223"/>
      <c r="S7" s="223"/>
      <c r="T7" s="223"/>
      <c r="U7" s="223"/>
    </row>
    <row r="8" spans="1:48" x14ac:dyDescent="0.25">
      <c r="A8" t="s">
        <v>307</v>
      </c>
      <c r="C8" t="s">
        <v>308</v>
      </c>
      <c r="D8" t="s">
        <v>310</v>
      </c>
      <c r="F8" t="s">
        <v>311</v>
      </c>
      <c r="G8" s="223"/>
      <c r="H8" s="223"/>
      <c r="I8" s="223"/>
      <c r="J8" s="223"/>
      <c r="K8" s="223"/>
      <c r="L8" s="223"/>
      <c r="M8" s="223"/>
      <c r="N8" s="223"/>
      <c r="O8" s="223"/>
      <c r="P8" s="223"/>
      <c r="Q8" s="223"/>
      <c r="R8" s="223"/>
      <c r="S8" s="223"/>
      <c r="T8" s="223"/>
      <c r="U8" s="223"/>
    </row>
    <row r="9" spans="1:48" x14ac:dyDescent="0.25">
      <c r="A9" t="str">
        <f>IF('Clinical resources'!B7&lt;&gt;"",'CR Backing (Hide)'!E4,"")</f>
        <v/>
      </c>
    </row>
    <row r="10" spans="1:48" x14ac:dyDescent="0.25">
      <c r="A10" t="str">
        <f>IF('Clinical resources'!B8&lt;&gt;"",'CR Backing (Hide)'!E5,"")</f>
        <v/>
      </c>
    </row>
    <row r="11" spans="1:48" x14ac:dyDescent="0.25">
      <c r="A11" t="str">
        <f>IF('Clinical resources'!B9&lt;&gt;"",'CR Backing (Hide)'!E6,"")</f>
        <v/>
      </c>
    </row>
    <row r="12" spans="1:48" x14ac:dyDescent="0.25">
      <c r="A12" t="str">
        <f>IF('Clinical resources'!B10&lt;&gt;"",'CR Backing (Hide)'!E7,"")</f>
        <v/>
      </c>
    </row>
    <row r="13" spans="1:48" x14ac:dyDescent="0.25">
      <c r="A13" t="str">
        <f>IF('Clinical resources'!B11&lt;&gt;"",'CR Backing (Hide)'!E8,"")</f>
        <v/>
      </c>
    </row>
    <row r="14" spans="1:48" x14ac:dyDescent="0.25">
      <c r="A14" t="str">
        <f>IF('Clinical resources'!B12&lt;&gt;"",'CR Backing (Hide)'!E9,"")</f>
        <v/>
      </c>
    </row>
    <row r="15" spans="1:48" x14ac:dyDescent="0.25">
      <c r="A15" t="str">
        <f>IF('Clinical resources'!B13&lt;&gt;"",'CR Backing (Hide)'!E10,"")</f>
        <v/>
      </c>
    </row>
    <row r="16" spans="1:48" x14ac:dyDescent="0.25">
      <c r="A16" t="str">
        <f>IF('Clinical resources'!B14&lt;&gt;"",'CR Backing (Hide)'!E11,"")</f>
        <v/>
      </c>
    </row>
    <row r="17" spans="1:32" x14ac:dyDescent="0.25">
      <c r="A17" t="str">
        <f>IF('Clinical resources'!B15&lt;&gt;"",'CR Backing (Hide)'!E12,"")</f>
        <v/>
      </c>
    </row>
    <row r="18" spans="1:32" x14ac:dyDescent="0.25">
      <c r="A18" t="str">
        <f>IF('Clinical resources'!B16&lt;&gt;"",'CR Backing (Hide)'!E13,"")</f>
        <v/>
      </c>
    </row>
    <row r="19" spans="1:32" x14ac:dyDescent="0.25">
      <c r="A19" t="str">
        <f>IF('Clinical resources'!B17&lt;&gt;"",'CR Backing (Hide)'!E14,"")</f>
        <v/>
      </c>
    </row>
    <row r="20" spans="1:32" x14ac:dyDescent="0.25">
      <c r="A20" t="str">
        <f>IF('Clinical resources'!B18&lt;&gt;"",'CR Backing (Hide)'!E15,"")</f>
        <v/>
      </c>
    </row>
    <row r="21" spans="1:32" x14ac:dyDescent="0.25">
      <c r="A21" t="str">
        <f>IF('Clinical resources'!B19&lt;&gt;"",'CR Backing (Hide)'!E16,"")</f>
        <v/>
      </c>
    </row>
    <row r="22" spans="1:32" x14ac:dyDescent="0.25">
      <c r="A22" t="str">
        <f>IF('Clinical resources'!B20&lt;&gt;"",'CR Backing (Hide)'!E17,"")</f>
        <v/>
      </c>
      <c r="X22" t="s">
        <v>317</v>
      </c>
      <c r="AC22" t="s">
        <v>317</v>
      </c>
    </row>
    <row r="23" spans="1:32" x14ac:dyDescent="0.25">
      <c r="A23" t="str">
        <f>IF('Clinical resources'!B21&lt;&gt;"",'CR Backing (Hide)'!E18,"")</f>
        <v/>
      </c>
    </row>
    <row r="24" spans="1:32" x14ac:dyDescent="0.25">
      <c r="A24" t="str">
        <f>IF('Clinical resources'!B22&lt;&gt;"",'CR Backing (Hide)'!E19,"")</f>
        <v/>
      </c>
      <c r="X24" t="s">
        <v>120</v>
      </c>
      <c r="Z24" t="s">
        <v>318</v>
      </c>
      <c r="AA24" t="s">
        <v>319</v>
      </c>
      <c r="AC24" t="s">
        <v>322</v>
      </c>
      <c r="AE24" t="s">
        <v>318</v>
      </c>
      <c r="AF24" t="s">
        <v>319</v>
      </c>
    </row>
    <row r="25" spans="1:32" x14ac:dyDescent="0.25">
      <c r="A25" t="str">
        <f>IF('Clinical resources'!B23&lt;&gt;"",'CR Backing (Hide)'!E20,"")</f>
        <v/>
      </c>
    </row>
    <row r="26" spans="1:32" x14ac:dyDescent="0.25">
      <c r="A26" t="str">
        <f>IF('Clinical resources'!B24&lt;&gt;"",'CR Backing (Hide)'!E21,"")</f>
        <v/>
      </c>
    </row>
    <row r="27" spans="1:32" x14ac:dyDescent="0.25">
      <c r="A27" t="str">
        <f>IF('Clinical resources'!B25&lt;&gt;"",'CR Backing (Hide)'!E22,"")</f>
        <v/>
      </c>
    </row>
    <row r="28" spans="1:32" x14ac:dyDescent="0.25">
      <c r="A28" t="str">
        <f>IF('Clinical resources'!B26&lt;&gt;"",'CR Backing (Hide)'!E23,"")</f>
        <v/>
      </c>
    </row>
    <row r="29" spans="1:32" x14ac:dyDescent="0.25">
      <c r="A29" t="str">
        <f>IF('Clinical resources'!B27&lt;&gt;"",'CR Backing (Hide)'!E24,"")</f>
        <v/>
      </c>
    </row>
    <row r="30" spans="1:32" x14ac:dyDescent="0.25">
      <c r="A30" t="str">
        <f>IF('Clinical resources'!B28&lt;&gt;"",'CR Backing (Hide)'!E25,"")</f>
        <v/>
      </c>
    </row>
    <row r="31" spans="1:32" x14ac:dyDescent="0.25">
      <c r="A31" t="str">
        <f>IF('Clinical resources'!B29&lt;&gt;"",'CR Backing (Hide)'!E26,"")</f>
        <v/>
      </c>
    </row>
    <row r="32" spans="1:32" x14ac:dyDescent="0.25">
      <c r="A32" t="str">
        <f>IF('Clinical resources'!B30&lt;&gt;"",'CR Backing (Hide)'!E27,"")</f>
        <v/>
      </c>
    </row>
    <row r="33" spans="1:1" x14ac:dyDescent="0.25">
      <c r="A33" t="str">
        <f>IF('Clinical resources'!B31&lt;&gt;"",'CR Backing (Hide)'!E28,"")</f>
        <v/>
      </c>
    </row>
    <row r="34" spans="1:1" x14ac:dyDescent="0.25">
      <c r="A34" t="str">
        <f>IF('Clinical resources'!B32&lt;&gt;"",'CR Backing (Hide)'!E29,"")</f>
        <v/>
      </c>
    </row>
    <row r="35" spans="1:1" x14ac:dyDescent="0.25">
      <c r="A35" t="str">
        <f>IF('Clinical resources'!B33&lt;&gt;"",'CR Backing (Hide)'!E30,"")</f>
        <v/>
      </c>
    </row>
    <row r="36" spans="1:1" x14ac:dyDescent="0.25">
      <c r="A36" t="str">
        <f>IF('Clinical resources'!B34&lt;&gt;"",'CR Backing (Hide)'!E31,"")</f>
        <v/>
      </c>
    </row>
    <row r="37" spans="1:1" x14ac:dyDescent="0.25">
      <c r="A37" t="str">
        <f>IF('Clinical resources'!B35&lt;&gt;"",'CR Backing (Hide)'!E32,"")</f>
        <v/>
      </c>
    </row>
    <row r="38" spans="1:1" x14ac:dyDescent="0.25">
      <c r="A38" t="str">
        <f>IF('Clinical resources'!B36&lt;&gt;"",'CR Backing (Hide)'!E33,"")</f>
        <v/>
      </c>
    </row>
    <row r="39" spans="1:1" x14ac:dyDescent="0.25">
      <c r="A39" t="str">
        <f>IF('Clinical resources'!B37&lt;&gt;"",'CR Backing (Hide)'!E34,"")</f>
        <v/>
      </c>
    </row>
    <row r="40" spans="1:1" x14ac:dyDescent="0.25">
      <c r="A40" t="str">
        <f>IF('Clinical resources'!B38&lt;&gt;"",'CR Backing (Hide)'!E35,"")</f>
        <v/>
      </c>
    </row>
    <row r="41" spans="1:1" x14ac:dyDescent="0.25">
      <c r="A41" t="str">
        <f>IF('Clinical resources'!B39&lt;&gt;"",'CR Backing (Hide)'!E36,"")</f>
        <v/>
      </c>
    </row>
    <row r="42" spans="1:1" x14ac:dyDescent="0.25">
      <c r="A42" t="str">
        <f>IF('Clinical resources'!B40&lt;&gt;"",'CR Backing (Hide)'!E37,"")</f>
        <v/>
      </c>
    </row>
    <row r="43" spans="1:1" x14ac:dyDescent="0.25">
      <c r="A43" t="str">
        <f>IF('Clinical resources'!B41&lt;&gt;"",'CR Backing (Hide)'!E38,"")</f>
        <v/>
      </c>
    </row>
    <row r="44" spans="1:1" x14ac:dyDescent="0.25">
      <c r="A44" t="str">
        <f>IF('Clinical resources'!B42&lt;&gt;"",'CR Backing (Hide)'!E39,"")</f>
        <v/>
      </c>
    </row>
    <row r="45" spans="1:1" x14ac:dyDescent="0.25">
      <c r="A45" t="str">
        <f>IF('Clinical resources'!B43&lt;&gt;"",'CR Backing (Hide)'!E40,"")</f>
        <v/>
      </c>
    </row>
    <row r="46" spans="1:1" x14ac:dyDescent="0.25">
      <c r="A46" t="str">
        <f>IF('Clinical resources'!B44&lt;&gt;"",'CR Backing (Hide)'!E41,"")</f>
        <v/>
      </c>
    </row>
    <row r="47" spans="1:1" x14ac:dyDescent="0.25">
      <c r="A47" t="str">
        <f>IF('Clinical resources'!B45&lt;&gt;"",'CR Backing (Hide)'!E42,"")</f>
        <v/>
      </c>
    </row>
    <row r="48" spans="1:1" x14ac:dyDescent="0.25">
      <c r="A48" t="str">
        <f>IF('Clinical resources'!B46&lt;&gt;"",'CR Backing (Hide)'!E43,"")</f>
        <v/>
      </c>
    </row>
    <row r="49" spans="1:1" x14ac:dyDescent="0.25">
      <c r="A49" t="str">
        <f>IF('Clinical resources'!B47&lt;&gt;"",'CR Backing (Hide)'!E44,"")</f>
        <v/>
      </c>
    </row>
    <row r="50" spans="1:1" x14ac:dyDescent="0.25">
      <c r="A50" t="str">
        <f>IF('Clinical resources'!B48&lt;&gt;"",'CR Backing (Hide)'!E45,"")</f>
        <v/>
      </c>
    </row>
    <row r="51" spans="1:1" x14ac:dyDescent="0.25">
      <c r="A51" t="str">
        <f>IF('Clinical resources'!B49&lt;&gt;"",'CR Backing (Hide)'!E46,"")</f>
        <v/>
      </c>
    </row>
    <row r="52" spans="1:1" x14ac:dyDescent="0.25">
      <c r="A52" t="str">
        <f>IF('Clinical resources'!B50&lt;&gt;"",'CR Backing (Hide)'!E47,"")</f>
        <v/>
      </c>
    </row>
    <row r="53" spans="1:1" x14ac:dyDescent="0.25">
      <c r="A53" t="str">
        <f>IF('Clinical resources'!B51&lt;&gt;"",'CR Backing (Hide)'!E48,"")</f>
        <v/>
      </c>
    </row>
    <row r="54" spans="1:1" x14ac:dyDescent="0.25">
      <c r="A54" t="str">
        <f>IF('Clinical resources'!B52&lt;&gt;"",'CR Backing (Hide)'!E49,"")</f>
        <v/>
      </c>
    </row>
    <row r="55" spans="1:1" x14ac:dyDescent="0.25">
      <c r="A55" t="str">
        <f>IF('Clinical resources'!B53&lt;&gt;"",'CR Backing (Hide)'!E50,"")</f>
        <v/>
      </c>
    </row>
    <row r="56" spans="1:1" x14ac:dyDescent="0.25">
      <c r="A56" t="str">
        <f>IF('Clinical resources'!B54&lt;&gt;"",'CR Backing (Hide)'!E51,"")</f>
        <v/>
      </c>
    </row>
    <row r="57" spans="1:1" x14ac:dyDescent="0.25">
      <c r="A57" t="str">
        <f>IF('Clinical resources'!B55&lt;&gt;"",'CR Backing (Hide)'!E52,"")</f>
        <v/>
      </c>
    </row>
    <row r="58" spans="1:1" x14ac:dyDescent="0.25">
      <c r="A58" t="str">
        <f>IF('Clinical resources'!B56&lt;&gt;"",'CR Backing (Hide)'!E53,"")</f>
        <v/>
      </c>
    </row>
    <row r="59" spans="1:1" x14ac:dyDescent="0.25">
      <c r="A59" t="str">
        <f>IF('Clinical resources'!B57&lt;&gt;"",'CR Backing (Hide)'!E54,"")</f>
        <v/>
      </c>
    </row>
    <row r="60" spans="1:1" x14ac:dyDescent="0.25">
      <c r="A60" t="str">
        <f>IF('Clinical resources'!B58&lt;&gt;"",'CR Backing (Hide)'!E55,"")</f>
        <v/>
      </c>
    </row>
    <row r="61" spans="1:1" x14ac:dyDescent="0.25">
      <c r="A61" t="str">
        <f>IF('Clinical resources'!B59&lt;&gt;"",'CR Backing (Hide)'!E56,"")</f>
        <v/>
      </c>
    </row>
    <row r="62" spans="1:1" x14ac:dyDescent="0.25">
      <c r="A62" t="str">
        <f>IF('Clinical resources'!B60&lt;&gt;"",'CR Backing (Hide)'!E57,"")</f>
        <v/>
      </c>
    </row>
    <row r="63" spans="1:1" x14ac:dyDescent="0.25">
      <c r="A63" t="str">
        <f>IF('Clinical resources'!B61&lt;&gt;"",'CR Backing (Hide)'!E58,"")</f>
        <v/>
      </c>
    </row>
    <row r="64" spans="1:1" x14ac:dyDescent="0.25">
      <c r="A64" t="str">
        <f>IF('Clinical resources'!B62&lt;&gt;"",'CR Backing (Hide)'!E59,"")</f>
        <v/>
      </c>
    </row>
    <row r="65" spans="1:1" x14ac:dyDescent="0.25">
      <c r="A65" t="str">
        <f>IF('Clinical resources'!B63&lt;&gt;"",'CR Backing (Hide)'!E60,"")</f>
        <v/>
      </c>
    </row>
    <row r="66" spans="1:1" x14ac:dyDescent="0.25">
      <c r="A66" t="str">
        <f>IF('Clinical resources'!B64&lt;&gt;"",'CR Backing (Hide)'!E61,"")</f>
        <v/>
      </c>
    </row>
    <row r="67" spans="1:1" x14ac:dyDescent="0.25">
      <c r="A67" t="str">
        <f>IF('Clinical resources'!B65&lt;&gt;"",'CR Backing (Hide)'!E62,"")</f>
        <v/>
      </c>
    </row>
    <row r="68" spans="1:1" x14ac:dyDescent="0.25">
      <c r="A68" t="str">
        <f>IF('Clinical resources'!B66&lt;&gt;"",'CR Backing (Hide)'!E63,"")</f>
        <v/>
      </c>
    </row>
    <row r="69" spans="1:1" x14ac:dyDescent="0.25">
      <c r="A69" t="str">
        <f>IF('Clinical resources'!B67&lt;&gt;"",'CR Backing (Hide)'!E64,"")</f>
        <v/>
      </c>
    </row>
    <row r="70" spans="1:1" x14ac:dyDescent="0.25">
      <c r="A70" t="str">
        <f>IF('Clinical resources'!B68&lt;&gt;"",'CR Backing (Hide)'!E65,"")</f>
        <v/>
      </c>
    </row>
    <row r="71" spans="1:1" x14ac:dyDescent="0.25">
      <c r="A71" t="str">
        <f>IF('Clinical resources'!B69&lt;&gt;"",'CR Backing (Hide)'!E66,"")</f>
        <v/>
      </c>
    </row>
    <row r="72" spans="1:1" x14ac:dyDescent="0.25">
      <c r="A72" t="str">
        <f>IF('Clinical resources'!B70&lt;&gt;"",'CR Backing (Hide)'!E67,"")</f>
        <v/>
      </c>
    </row>
    <row r="73" spans="1:1" x14ac:dyDescent="0.25">
      <c r="A73" t="str">
        <f>IF('Clinical resources'!B71&lt;&gt;"",'CR Backing (Hide)'!E68,"")</f>
        <v/>
      </c>
    </row>
    <row r="74" spans="1:1" x14ac:dyDescent="0.25">
      <c r="A74" t="str">
        <f>IF('Clinical resources'!B72&lt;&gt;"",'CR Backing (Hide)'!E69,"")</f>
        <v/>
      </c>
    </row>
    <row r="75" spans="1:1" x14ac:dyDescent="0.25">
      <c r="A75" t="str">
        <f>IF('Clinical resources'!B73&lt;&gt;"",'CR Backing (Hide)'!E70,"")</f>
        <v/>
      </c>
    </row>
    <row r="76" spans="1:1" x14ac:dyDescent="0.25">
      <c r="A76" t="str">
        <f>IF('Clinical resources'!B74&lt;&gt;"",'CR Backing (Hide)'!E71,"")</f>
        <v/>
      </c>
    </row>
    <row r="77" spans="1:1" x14ac:dyDescent="0.25">
      <c r="A77" t="str">
        <f>IF('Clinical resources'!B75&lt;&gt;"",'CR Backing (Hide)'!E72,"")</f>
        <v/>
      </c>
    </row>
    <row r="78" spans="1:1" x14ac:dyDescent="0.25">
      <c r="A78" t="str">
        <f>IF('Clinical resources'!B76&lt;&gt;"",'CR Backing (Hide)'!E73,"")</f>
        <v/>
      </c>
    </row>
    <row r="79" spans="1:1" x14ac:dyDescent="0.25">
      <c r="A79" t="str">
        <f>IF('Clinical resources'!B77&lt;&gt;"",'CR Backing (Hide)'!E74,"")</f>
        <v/>
      </c>
    </row>
    <row r="80" spans="1:1" x14ac:dyDescent="0.25">
      <c r="A80" t="str">
        <f>IF('Clinical resources'!B78&lt;&gt;"",'CR Backing (Hide)'!E75,"")</f>
        <v/>
      </c>
    </row>
    <row r="81" spans="1:1" x14ac:dyDescent="0.25">
      <c r="A81" t="str">
        <f>IF('Clinical resources'!B79&lt;&gt;"",'CR Backing (Hide)'!E76,"")</f>
        <v/>
      </c>
    </row>
    <row r="82" spans="1:1" x14ac:dyDescent="0.25">
      <c r="A82" t="str">
        <f>IF('Clinical resources'!B80&lt;&gt;"",'CR Backing (Hide)'!E77,"")</f>
        <v/>
      </c>
    </row>
    <row r="83" spans="1:1" x14ac:dyDescent="0.25">
      <c r="A83" t="str">
        <f>IF('Clinical resources'!B81&lt;&gt;"",'CR Backing (Hide)'!E78,"")</f>
        <v/>
      </c>
    </row>
    <row r="84" spans="1:1" x14ac:dyDescent="0.25">
      <c r="A84" t="str">
        <f>IF('Clinical resources'!B82&lt;&gt;"",'CR Backing (Hide)'!E79,"")</f>
        <v/>
      </c>
    </row>
    <row r="85" spans="1:1" x14ac:dyDescent="0.25">
      <c r="A85" t="str">
        <f>IF('Clinical resources'!B83&lt;&gt;"",'CR Backing (Hide)'!E80,"")</f>
        <v/>
      </c>
    </row>
    <row r="86" spans="1:1" x14ac:dyDescent="0.25">
      <c r="A86" t="str">
        <f>IF('Clinical resources'!B84&lt;&gt;"",'CR Backing (Hide)'!E81,"")</f>
        <v/>
      </c>
    </row>
    <row r="87" spans="1:1" x14ac:dyDescent="0.25">
      <c r="A87" t="str">
        <f>IF('Clinical resources'!B85&lt;&gt;"",'CR Backing (Hide)'!E82,"")</f>
        <v/>
      </c>
    </row>
    <row r="88" spans="1:1" x14ac:dyDescent="0.25">
      <c r="A88" t="str">
        <f>IF('Clinical resources'!B86&lt;&gt;"",'CR Backing (Hide)'!E83,"")</f>
        <v/>
      </c>
    </row>
    <row r="89" spans="1:1" x14ac:dyDescent="0.25">
      <c r="A89" t="str">
        <f>IF('Clinical resources'!B87&lt;&gt;"",'CR Backing (Hide)'!E84,"")</f>
        <v/>
      </c>
    </row>
    <row r="90" spans="1:1" x14ac:dyDescent="0.25">
      <c r="A90" t="str">
        <f>IF('Clinical resources'!B88&lt;&gt;"",'CR Backing (Hide)'!E85,"")</f>
        <v/>
      </c>
    </row>
    <row r="91" spans="1:1" x14ac:dyDescent="0.25">
      <c r="A91" t="str">
        <f>IF('Clinical resources'!B89&lt;&gt;"",'CR Backing (Hide)'!E86,"")</f>
        <v/>
      </c>
    </row>
    <row r="92" spans="1:1" x14ac:dyDescent="0.25">
      <c r="A92" t="str">
        <f>IF('Clinical resources'!B90&lt;&gt;"",'CR Backing (Hide)'!E87,"")</f>
        <v/>
      </c>
    </row>
    <row r="93" spans="1:1" x14ac:dyDescent="0.25">
      <c r="A93" t="str">
        <f>IF('Clinical resources'!B91&lt;&gt;"",'CR Backing (Hide)'!E88,"")</f>
        <v/>
      </c>
    </row>
    <row r="94" spans="1:1" x14ac:dyDescent="0.25">
      <c r="A94" t="str">
        <f>IF('Clinical resources'!B92&lt;&gt;"",'CR Backing (Hide)'!E89,"")</f>
        <v/>
      </c>
    </row>
    <row r="95" spans="1:1" x14ac:dyDescent="0.25">
      <c r="A95" t="str">
        <f>IF('Clinical resources'!B93&lt;&gt;"",'CR Backing (Hide)'!E90,"")</f>
        <v/>
      </c>
    </row>
    <row r="96" spans="1:1" x14ac:dyDescent="0.25">
      <c r="A96" t="str">
        <f>IF('Clinical resources'!B94&lt;&gt;"",'CR Backing (Hide)'!E91,"")</f>
        <v/>
      </c>
    </row>
    <row r="97" spans="1:1" x14ac:dyDescent="0.25">
      <c r="A97" t="str">
        <f>IF('Clinical resources'!B95&lt;&gt;"",'CR Backing (Hide)'!E92,"")</f>
        <v/>
      </c>
    </row>
    <row r="98" spans="1:1" x14ac:dyDescent="0.25">
      <c r="A98" t="str">
        <f>IF('Clinical resources'!B96&lt;&gt;"",'CR Backing (Hide)'!E93,"")</f>
        <v/>
      </c>
    </row>
    <row r="99" spans="1:1" x14ac:dyDescent="0.25">
      <c r="A99" t="str">
        <f>IF('Clinical resources'!B97&lt;&gt;"",'CR Backing (Hide)'!E94,"")</f>
        <v/>
      </c>
    </row>
    <row r="100" spans="1:1" x14ac:dyDescent="0.25">
      <c r="A100" t="str">
        <f>IF('Clinical resources'!B98&lt;&gt;"",'CR Backing (Hide)'!E95,"")</f>
        <v/>
      </c>
    </row>
    <row r="101" spans="1:1" x14ac:dyDescent="0.25">
      <c r="A101" t="str">
        <f>IF('Clinical resources'!B99&lt;&gt;"",'CR Backing (Hide)'!E96,"")</f>
        <v/>
      </c>
    </row>
    <row r="102" spans="1:1" x14ac:dyDescent="0.25">
      <c r="A102" t="str">
        <f>IF('Clinical resources'!B100&lt;&gt;"",'CR Backing (Hide)'!E97,"")</f>
        <v/>
      </c>
    </row>
    <row r="103" spans="1:1" x14ac:dyDescent="0.25">
      <c r="A103" t="str">
        <f>IF('Clinical resources'!B101&lt;&gt;"",'CR Backing (Hide)'!E98,"")</f>
        <v/>
      </c>
    </row>
    <row r="104" spans="1:1" x14ac:dyDescent="0.25">
      <c r="A104" t="str">
        <f>IF('Clinical resources'!B102&lt;&gt;"",'CR Backing (Hide)'!E99,"")</f>
        <v/>
      </c>
    </row>
    <row r="105" spans="1:1" x14ac:dyDescent="0.25">
      <c r="A105" t="str">
        <f>IF('Clinical resources'!B103&lt;&gt;"",'CR Backing (Hide)'!E100,"")</f>
        <v/>
      </c>
    </row>
    <row r="106" spans="1:1" x14ac:dyDescent="0.25">
      <c r="A106" t="str">
        <f>IF('Clinical resources'!B104&lt;&gt;"",'CR Backing (Hide)'!E101,"")</f>
        <v/>
      </c>
    </row>
    <row r="107" spans="1:1" x14ac:dyDescent="0.25">
      <c r="A107" t="str">
        <f>IF('Clinical resources'!B105&lt;&gt;"",'CR Backing (Hide)'!E102,"")</f>
        <v/>
      </c>
    </row>
    <row r="108" spans="1:1" x14ac:dyDescent="0.25">
      <c r="A108" t="str">
        <f>IF('Clinical resources'!B106&lt;&gt;"",'CR Backing (Hide)'!E103,"")</f>
        <v/>
      </c>
    </row>
  </sheetData>
  <sheetProtection algorithmName="SHA-512" hashValue="jIDsrzUZa5DVpCtlP4qdugcm/+9bgTD1JDvEcS43dHE52ir9lfD5yaL+ZHzizSLL8WollI3hGXkd6f17zED+AQ==" saltValue="0iNPKGE6n9a44qM7frGX1A==" spinCount="100000" sheet="1" objects="1" scenarios="1"/>
  <mergeCells count="15">
    <mergeCell ref="S2:S8"/>
    <mergeCell ref="T2:T8"/>
    <mergeCell ref="U2:U8"/>
    <mergeCell ref="M2:M8"/>
    <mergeCell ref="N2:N8"/>
    <mergeCell ref="O2:O8"/>
    <mergeCell ref="P2:P8"/>
    <mergeCell ref="Q2:Q8"/>
    <mergeCell ref="R2:R8"/>
    <mergeCell ref="G2:G8"/>
    <mergeCell ref="H2:H8"/>
    <mergeCell ref="I2:I8"/>
    <mergeCell ref="J2:J8"/>
    <mergeCell ref="K2:K8"/>
    <mergeCell ref="L2:L8"/>
  </mergeCells>
  <pageMargins left="0.7" right="0.7" top="0.75" bottom="0.75" header="0.3" footer="0.3"/>
  <pageSetup paperSize="9"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ht="15.75" thickBot="1" x14ac:dyDescent="0.3">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hidden="1"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hidden="1"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hidden="1"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hidden="1"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hidden="1"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hidden="1"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hidden="1"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ht="15.75" hidden="1" thickBot="1" x14ac:dyDescent="0.3">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hidden="1"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ht="15.75" hidden="1" thickBot="1" x14ac:dyDescent="0.3">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hidden="1"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hidden="1"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0</v>
      </c>
      <c r="C25" s="115">
        <f>INDEX('Planning Backing (Hide)'!$B$21:$C$35,MATCH(A25,'Planning Backing (Hide)'!$A$21:$A$35,0),2)</f>
        <v>0</v>
      </c>
      <c r="D25" s="155"/>
      <c r="E25" s="156"/>
      <c r="F25" s="66"/>
      <c r="G25" s="67"/>
    </row>
    <row r="26" spans="1:7" x14ac:dyDescent="0.25">
      <c r="A26" s="47" t="str">
        <f>Setup!A21</f>
        <v>Caseload 2</v>
      </c>
      <c r="B26" s="100">
        <f>INDEX('Planning Backing (Hide)'!$B$21:$C$35,MATCH(A26,'Planning Backing (Hide)'!$A$21:$A$35,0),1)</f>
        <v>0</v>
      </c>
      <c r="C26" s="116">
        <f>INDEX('Planning Backing (Hide)'!$B$21:$C$35,MATCH(A26,'Planning Backing (Hide)'!$A$21:$A$35,0),2)</f>
        <v>0</v>
      </c>
      <c r="D26" s="157"/>
      <c r="E26" s="158"/>
      <c r="F26" s="68"/>
      <c r="G26" s="69"/>
    </row>
    <row r="27" spans="1:7" ht="15.75" thickBot="1" x14ac:dyDescent="0.3">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hidden="1"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hidden="1"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hidden="1"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hidden="1"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hidden="1"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hidden="1"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hidden="1"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ht="15.75" hidden="1" thickBot="1" x14ac:dyDescent="0.3">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hidden="1"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ht="15.75" hidden="1" thickBot="1" x14ac:dyDescent="0.3">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hidden="1"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hidden="1"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0</v>
      </c>
      <c r="C63" s="99">
        <f ca="1">'Planning Backing (Hide)'!C82</f>
        <v>0</v>
      </c>
      <c r="D63" s="120"/>
      <c r="E63" s="120"/>
    </row>
    <row r="64" spans="1:7" x14ac:dyDescent="0.25">
      <c r="A64" s="47" t="str">
        <f>Setup!A21</f>
        <v>Caseload 2</v>
      </c>
      <c r="B64" s="100">
        <f ca="1">'Planning Backing (Hide)'!B83</f>
        <v>0</v>
      </c>
      <c r="C64" s="100">
        <f ca="1">'Planning Backing (Hide)'!C83</f>
        <v>0</v>
      </c>
      <c r="D64" s="121"/>
      <c r="E64" s="121"/>
    </row>
    <row r="65" spans="1:5" ht="15.75" thickBot="1" x14ac:dyDescent="0.3">
      <c r="A65" s="47" t="str">
        <f>Setup!A22</f>
        <v>Caseload 3</v>
      </c>
      <c r="B65" s="100">
        <f ca="1">'Planning Backing (Hide)'!B84</f>
        <v>0</v>
      </c>
      <c r="C65" s="100">
        <f ca="1">'Planning Backing (Hide)'!C84</f>
        <v>0</v>
      </c>
      <c r="D65" s="121"/>
      <c r="E65" s="121"/>
    </row>
    <row r="66" spans="1:5" hidden="1" x14ac:dyDescent="0.25">
      <c r="A66" s="47" t="str">
        <f>Setup!A23</f>
        <v>Caseload 4</v>
      </c>
      <c r="B66" s="100">
        <f ca="1">'Planning Backing (Hide)'!B85</f>
        <v>0</v>
      </c>
      <c r="C66" s="100">
        <f ca="1">'Planning Backing (Hide)'!C85</f>
        <v>0</v>
      </c>
      <c r="D66" s="121"/>
      <c r="E66" s="121"/>
    </row>
    <row r="67" spans="1:5" hidden="1" x14ac:dyDescent="0.25">
      <c r="A67" s="47" t="str">
        <f>Setup!A24</f>
        <v>Caseload 5</v>
      </c>
      <c r="B67" s="100">
        <f ca="1">'Planning Backing (Hide)'!B86</f>
        <v>0</v>
      </c>
      <c r="C67" s="100">
        <f ca="1">'Planning Backing (Hide)'!C86</f>
        <v>0</v>
      </c>
      <c r="D67" s="121"/>
      <c r="E67" s="121"/>
    </row>
    <row r="68" spans="1:5" hidden="1" x14ac:dyDescent="0.25">
      <c r="A68" s="47" t="str">
        <f>Setup!A25</f>
        <v>Caseload 6</v>
      </c>
      <c r="B68" s="74">
        <f ca="1">'Planning Backing (Hide)'!B87</f>
        <v>0</v>
      </c>
      <c r="C68" s="74">
        <f ca="1">'Planning Backing (Hide)'!C87</f>
        <v>0</v>
      </c>
      <c r="D68" s="121"/>
      <c r="E68" s="121"/>
    </row>
    <row r="69" spans="1:5" hidden="1" x14ac:dyDescent="0.25">
      <c r="A69" s="47" t="str">
        <f>Setup!A26</f>
        <v>Caseload 7</v>
      </c>
      <c r="B69" s="74">
        <f ca="1">'Planning Backing (Hide)'!B88</f>
        <v>0</v>
      </c>
      <c r="C69" s="74">
        <f ca="1">'Planning Backing (Hide)'!C88</f>
        <v>0</v>
      </c>
      <c r="D69" s="121"/>
      <c r="E69" s="121"/>
    </row>
    <row r="70" spans="1:5" hidden="1" x14ac:dyDescent="0.25">
      <c r="A70" s="47" t="str">
        <f>Setup!A27</f>
        <v>Caseload 8</v>
      </c>
      <c r="B70" s="74">
        <f ca="1">'Planning Backing (Hide)'!B89</f>
        <v>0</v>
      </c>
      <c r="C70" s="74">
        <f ca="1">'Planning Backing (Hide)'!C89</f>
        <v>0</v>
      </c>
      <c r="D70" s="121"/>
      <c r="E70" s="121"/>
    </row>
    <row r="71" spans="1:5" hidden="1" x14ac:dyDescent="0.25">
      <c r="A71" s="47" t="str">
        <f>Setup!A28</f>
        <v>Caseload 9</v>
      </c>
      <c r="B71" s="74">
        <f ca="1">'Planning Backing (Hide)'!B90</f>
        <v>0</v>
      </c>
      <c r="C71" s="74">
        <f ca="1">'Planning Backing (Hide)'!C90</f>
        <v>0</v>
      </c>
      <c r="D71" s="121"/>
      <c r="E71" s="121"/>
    </row>
    <row r="72" spans="1:5" hidden="1" x14ac:dyDescent="0.25">
      <c r="A72" s="47" t="str">
        <f>Setup!A29</f>
        <v>Caseload 10</v>
      </c>
      <c r="B72" s="74">
        <f ca="1">'Planning Backing (Hide)'!B91</f>
        <v>0</v>
      </c>
      <c r="C72" s="74">
        <f ca="1">'Planning Backing (Hide)'!C91</f>
        <v>0</v>
      </c>
      <c r="D72" s="121"/>
      <c r="E72" s="121"/>
    </row>
    <row r="73" spans="1:5" ht="15.75" hidden="1" thickBot="1" x14ac:dyDescent="0.3">
      <c r="A73" s="47" t="str">
        <f>Setup!A30</f>
        <v>Caseload 11</v>
      </c>
      <c r="B73" s="74">
        <f ca="1">'Planning Backing (Hide)'!B92</f>
        <v>0</v>
      </c>
      <c r="C73" s="74">
        <f ca="1">'Planning Backing (Hide)'!C92</f>
        <v>0</v>
      </c>
      <c r="D73" s="121"/>
      <c r="E73" s="121"/>
    </row>
    <row r="74" spans="1:5" hidden="1" x14ac:dyDescent="0.25">
      <c r="A74" s="47" t="str">
        <f>Setup!A31</f>
        <v>Caseload 12</v>
      </c>
      <c r="B74" s="74">
        <f ca="1">'Planning Backing (Hide)'!B93</f>
        <v>0</v>
      </c>
      <c r="C74" s="74">
        <f ca="1">'Planning Backing (Hide)'!C93</f>
        <v>0</v>
      </c>
      <c r="D74" s="121"/>
      <c r="E74" s="121"/>
    </row>
    <row r="75" spans="1:5" ht="15.75" hidden="1" thickBot="1" x14ac:dyDescent="0.3">
      <c r="A75" s="47" t="str">
        <f>Setup!A32</f>
        <v>Caseload 13</v>
      </c>
      <c r="B75" s="74">
        <f ca="1">'Planning Backing (Hide)'!B94</f>
        <v>0</v>
      </c>
      <c r="C75" s="74">
        <f ca="1">'Planning Backing (Hide)'!C94</f>
        <v>0</v>
      </c>
      <c r="D75" s="121"/>
      <c r="E75" s="121"/>
    </row>
    <row r="76" spans="1:5" hidden="1" x14ac:dyDescent="0.25">
      <c r="A76" s="47" t="str">
        <f>Setup!A33</f>
        <v>Caseload 14</v>
      </c>
      <c r="B76" s="74">
        <f ca="1">'Planning Backing (Hide)'!B95</f>
        <v>0</v>
      </c>
      <c r="C76" s="74">
        <f ca="1">'Planning Backing (Hide)'!C95</f>
        <v>0</v>
      </c>
      <c r="D76" s="121"/>
      <c r="E76" s="121"/>
    </row>
    <row r="77" spans="1:5" ht="15.75" hidden="1"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KQJXhjCIX2sqvrzC5PsjaEtB+9Jk/JYtMyjlAXBEbe9YtovTurnnaxLldDyKjYzJc83DF09gx+vsBDr3ttrNww==" saltValue="O5keILssKm67hF1KagBrsA=="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e">
        <f>"Based on the service's average capacity, we can expect the waiting list to "&amp;IF('WL Modelling (Hide)'!F2&lt;0,"reduce","grow")&amp;" by "&amp;TEXT(ABS('WL Modelling (Hide)'!F2),"#")&amp;" patients per week"</f>
        <v>#DIV/0!</v>
      </c>
    </row>
    <row r="10" spans="1:4" x14ac:dyDescent="0.2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t="e">
        <f>D2/SUM(Service!I6:J10)</f>
        <v>#DIV/0!</v>
      </c>
      <c r="F2" s="173" t="e">
        <f>C2-E2</f>
        <v>#DIV/0!</v>
      </c>
      <c r="G2">
        <f>'Waiting List Config'!$J$5</f>
        <v>0</v>
      </c>
      <c r="H2">
        <f>'Waiting List Config'!$K$5</f>
        <v>0</v>
      </c>
      <c r="J2">
        <f>COUNTIF(B3:B54,"&gt;="&amp;G2)</f>
        <v>0</v>
      </c>
      <c r="K2">
        <f>COUNTIF(B3:B54,"&gt;="&amp;H2)</f>
        <v>0</v>
      </c>
    </row>
    <row r="3" spans="1:11" x14ac:dyDescent="0.25">
      <c r="A3" s="2" t="e">
        <f>#REF!</f>
        <v>#REF!</v>
      </c>
      <c r="B3" s="173" t="e">
        <f>MAX(0,B2+$C$2-$E$2)</f>
        <v>#DIV/0!</v>
      </c>
      <c r="G3">
        <f>'Waiting List Config'!$J$5</f>
        <v>0</v>
      </c>
      <c r="H3">
        <f>'Waiting List Config'!$K$5</f>
        <v>0</v>
      </c>
      <c r="I3">
        <f>H3-G3</f>
        <v>0</v>
      </c>
    </row>
    <row r="4" spans="1:11" x14ac:dyDescent="0.25">
      <c r="A4" s="2" t="e">
        <f>#REF!</f>
        <v>#REF!</v>
      </c>
      <c r="B4" s="173" t="e">
        <f t="shared" ref="B4:B54" si="0">MAX(0,B3+$C$2-$E$2)</f>
        <v>#DIV/0!</v>
      </c>
      <c r="G4">
        <f>'Waiting List Config'!$J$5</f>
        <v>0</v>
      </c>
      <c r="H4">
        <f>'Waiting List Config'!$K$5</f>
        <v>0</v>
      </c>
      <c r="I4">
        <f t="shared" ref="I4:I54" si="1">H4-G4</f>
        <v>0</v>
      </c>
    </row>
    <row r="5" spans="1:11" x14ac:dyDescent="0.25">
      <c r="A5" s="2" t="e">
        <f>#REF!</f>
        <v>#REF!</v>
      </c>
      <c r="B5" s="173" t="e">
        <f t="shared" si="0"/>
        <v>#DIV/0!</v>
      </c>
      <c r="G5">
        <f>'Waiting List Config'!$J$5</f>
        <v>0</v>
      </c>
      <c r="H5">
        <f>'Waiting List Config'!$K$5</f>
        <v>0</v>
      </c>
      <c r="I5">
        <f t="shared" si="1"/>
        <v>0</v>
      </c>
    </row>
    <row r="6" spans="1:11" x14ac:dyDescent="0.25">
      <c r="A6" s="2" t="e">
        <f>#REF!</f>
        <v>#REF!</v>
      </c>
      <c r="B6" s="173" t="e">
        <f t="shared" si="0"/>
        <v>#DIV/0!</v>
      </c>
      <c r="G6">
        <f>'Waiting List Config'!$J$5</f>
        <v>0</v>
      </c>
      <c r="H6">
        <f>'Waiting List Config'!$K$5</f>
        <v>0</v>
      </c>
      <c r="I6">
        <f t="shared" si="1"/>
        <v>0</v>
      </c>
    </row>
    <row r="7" spans="1:11" x14ac:dyDescent="0.25">
      <c r="A7" s="2" t="e">
        <f>#REF!</f>
        <v>#REF!</v>
      </c>
      <c r="B7" s="173" t="e">
        <f t="shared" si="0"/>
        <v>#DIV/0!</v>
      </c>
      <c r="G7">
        <f>'Waiting List Config'!$J$5</f>
        <v>0</v>
      </c>
      <c r="H7">
        <f>'Waiting List Config'!$K$5</f>
        <v>0</v>
      </c>
      <c r="I7">
        <f t="shared" si="1"/>
        <v>0</v>
      </c>
    </row>
    <row r="8" spans="1:11" x14ac:dyDescent="0.25">
      <c r="A8" s="2" t="e">
        <f>#REF!</f>
        <v>#REF!</v>
      </c>
      <c r="B8" s="173" t="e">
        <f t="shared" si="0"/>
        <v>#DIV/0!</v>
      </c>
      <c r="G8">
        <f>'Waiting List Config'!$J$5</f>
        <v>0</v>
      </c>
      <c r="H8">
        <f>'Waiting List Config'!$K$5</f>
        <v>0</v>
      </c>
      <c r="I8">
        <f t="shared" si="1"/>
        <v>0</v>
      </c>
    </row>
    <row r="9" spans="1:11" x14ac:dyDescent="0.25">
      <c r="A9" s="2" t="e">
        <f>#REF!</f>
        <v>#REF!</v>
      </c>
      <c r="B9" s="173" t="e">
        <f t="shared" si="0"/>
        <v>#DIV/0!</v>
      </c>
      <c r="G9">
        <f>'Waiting List Config'!$J$5</f>
        <v>0</v>
      </c>
      <c r="H9">
        <f>'Waiting List Config'!$K$5</f>
        <v>0</v>
      </c>
      <c r="I9">
        <f t="shared" si="1"/>
        <v>0</v>
      </c>
    </row>
    <row r="10" spans="1:11" x14ac:dyDescent="0.25">
      <c r="A10" s="2" t="e">
        <f>#REF!</f>
        <v>#REF!</v>
      </c>
      <c r="B10" s="173" t="e">
        <f t="shared" si="0"/>
        <v>#DIV/0!</v>
      </c>
      <c r="G10">
        <f>'Waiting List Config'!$J$5</f>
        <v>0</v>
      </c>
      <c r="H10">
        <f>'Waiting List Config'!$K$5</f>
        <v>0</v>
      </c>
      <c r="I10">
        <f t="shared" si="1"/>
        <v>0</v>
      </c>
    </row>
    <row r="11" spans="1:11" x14ac:dyDescent="0.25">
      <c r="A11" s="2" t="e">
        <f>#REF!</f>
        <v>#REF!</v>
      </c>
      <c r="B11" s="173" t="e">
        <f t="shared" si="0"/>
        <v>#DIV/0!</v>
      </c>
      <c r="G11">
        <f>'Waiting List Config'!$J$5</f>
        <v>0</v>
      </c>
      <c r="H11">
        <f>'Waiting List Config'!$K$5</f>
        <v>0</v>
      </c>
      <c r="I11">
        <f t="shared" si="1"/>
        <v>0</v>
      </c>
    </row>
    <row r="12" spans="1:11" x14ac:dyDescent="0.25">
      <c r="A12" s="2" t="e">
        <f>#REF!</f>
        <v>#REF!</v>
      </c>
      <c r="B12" s="173" t="e">
        <f t="shared" si="0"/>
        <v>#DIV/0!</v>
      </c>
      <c r="G12">
        <f>'Waiting List Config'!$J$5</f>
        <v>0</v>
      </c>
      <c r="H12">
        <f>'Waiting List Config'!$K$5</f>
        <v>0</v>
      </c>
      <c r="I12">
        <f t="shared" si="1"/>
        <v>0</v>
      </c>
    </row>
    <row r="13" spans="1:11" x14ac:dyDescent="0.25">
      <c r="A13" s="2" t="e">
        <f>#REF!</f>
        <v>#REF!</v>
      </c>
      <c r="B13" s="173" t="e">
        <f t="shared" si="0"/>
        <v>#DIV/0!</v>
      </c>
      <c r="G13">
        <f>'Waiting List Config'!$J$5</f>
        <v>0</v>
      </c>
      <c r="H13">
        <f>'Waiting List Config'!$K$5</f>
        <v>0</v>
      </c>
      <c r="I13">
        <f t="shared" si="1"/>
        <v>0</v>
      </c>
    </row>
    <row r="14" spans="1:11" x14ac:dyDescent="0.25">
      <c r="A14" s="2" t="e">
        <f>#REF!</f>
        <v>#REF!</v>
      </c>
      <c r="B14" s="173" t="e">
        <f t="shared" si="0"/>
        <v>#DIV/0!</v>
      </c>
      <c r="G14">
        <f>'Waiting List Config'!$J$5</f>
        <v>0</v>
      </c>
      <c r="H14">
        <f>'Waiting List Config'!$K$5</f>
        <v>0</v>
      </c>
      <c r="I14">
        <f t="shared" si="1"/>
        <v>0</v>
      </c>
    </row>
    <row r="15" spans="1:11" x14ac:dyDescent="0.25">
      <c r="A15" s="2" t="e">
        <f>#REF!</f>
        <v>#REF!</v>
      </c>
      <c r="B15" s="173" t="e">
        <f t="shared" si="0"/>
        <v>#DIV/0!</v>
      </c>
      <c r="G15">
        <f>'Waiting List Config'!$J$5</f>
        <v>0</v>
      </c>
      <c r="H15">
        <f>'Waiting List Config'!$K$5</f>
        <v>0</v>
      </c>
      <c r="I15">
        <f t="shared" si="1"/>
        <v>0</v>
      </c>
    </row>
    <row r="16" spans="1:11" x14ac:dyDescent="0.25">
      <c r="A16" s="2" t="e">
        <f>#REF!</f>
        <v>#REF!</v>
      </c>
      <c r="B16" s="173" t="e">
        <f t="shared" si="0"/>
        <v>#DIV/0!</v>
      </c>
      <c r="G16">
        <f>'Waiting List Config'!$J$5</f>
        <v>0</v>
      </c>
      <c r="H16">
        <f>'Waiting List Config'!$K$5</f>
        <v>0</v>
      </c>
      <c r="I16">
        <f t="shared" si="1"/>
        <v>0</v>
      </c>
    </row>
    <row r="17" spans="1:9" x14ac:dyDescent="0.25">
      <c r="A17" s="2" t="e">
        <f>#REF!</f>
        <v>#REF!</v>
      </c>
      <c r="B17" s="173" t="e">
        <f t="shared" si="0"/>
        <v>#DIV/0!</v>
      </c>
      <c r="G17">
        <f>'Waiting List Config'!$J$5</f>
        <v>0</v>
      </c>
      <c r="H17">
        <f>'Waiting List Config'!$K$5</f>
        <v>0</v>
      </c>
      <c r="I17">
        <f t="shared" si="1"/>
        <v>0</v>
      </c>
    </row>
    <row r="18" spans="1:9" x14ac:dyDescent="0.25">
      <c r="A18" s="2" t="e">
        <f>#REF!</f>
        <v>#REF!</v>
      </c>
      <c r="B18" s="173" t="e">
        <f t="shared" si="0"/>
        <v>#DIV/0!</v>
      </c>
      <c r="G18">
        <f>'Waiting List Config'!$J$5</f>
        <v>0</v>
      </c>
      <c r="H18">
        <f>'Waiting List Config'!$K$5</f>
        <v>0</v>
      </c>
      <c r="I18">
        <f t="shared" si="1"/>
        <v>0</v>
      </c>
    </row>
    <row r="19" spans="1:9" x14ac:dyDescent="0.25">
      <c r="A19" s="2" t="e">
        <f>#REF!</f>
        <v>#REF!</v>
      </c>
      <c r="B19" s="173" t="e">
        <f t="shared" si="0"/>
        <v>#DIV/0!</v>
      </c>
      <c r="G19">
        <f>'Waiting List Config'!$J$5</f>
        <v>0</v>
      </c>
      <c r="H19">
        <f>'Waiting List Config'!$K$5</f>
        <v>0</v>
      </c>
      <c r="I19">
        <f t="shared" si="1"/>
        <v>0</v>
      </c>
    </row>
    <row r="20" spans="1:9" x14ac:dyDescent="0.25">
      <c r="A20" s="2" t="e">
        <f>#REF!</f>
        <v>#REF!</v>
      </c>
      <c r="B20" s="173" t="e">
        <f t="shared" si="0"/>
        <v>#DIV/0!</v>
      </c>
      <c r="G20">
        <f>'Waiting List Config'!$J$5</f>
        <v>0</v>
      </c>
      <c r="H20">
        <f>'Waiting List Config'!$K$5</f>
        <v>0</v>
      </c>
      <c r="I20">
        <f t="shared" si="1"/>
        <v>0</v>
      </c>
    </row>
    <row r="21" spans="1:9" x14ac:dyDescent="0.25">
      <c r="A21" s="2" t="e">
        <f>#REF!</f>
        <v>#REF!</v>
      </c>
      <c r="B21" s="173" t="e">
        <f t="shared" si="0"/>
        <v>#DIV/0!</v>
      </c>
      <c r="G21">
        <f>'Waiting List Config'!$J$5</f>
        <v>0</v>
      </c>
      <c r="H21">
        <f>'Waiting List Config'!$K$5</f>
        <v>0</v>
      </c>
      <c r="I21">
        <f t="shared" si="1"/>
        <v>0</v>
      </c>
    </row>
    <row r="22" spans="1:9" x14ac:dyDescent="0.25">
      <c r="A22" s="2" t="e">
        <f>#REF!</f>
        <v>#REF!</v>
      </c>
      <c r="B22" s="173" t="e">
        <f t="shared" si="0"/>
        <v>#DIV/0!</v>
      </c>
      <c r="G22">
        <f>'Waiting List Config'!$J$5</f>
        <v>0</v>
      </c>
      <c r="H22">
        <f>'Waiting List Config'!$K$5</f>
        <v>0</v>
      </c>
      <c r="I22">
        <f t="shared" si="1"/>
        <v>0</v>
      </c>
    </row>
    <row r="23" spans="1:9" x14ac:dyDescent="0.25">
      <c r="A23" s="2" t="e">
        <f>#REF!</f>
        <v>#REF!</v>
      </c>
      <c r="B23" s="173" t="e">
        <f t="shared" si="0"/>
        <v>#DIV/0!</v>
      </c>
      <c r="G23">
        <f>'Waiting List Config'!$J$5</f>
        <v>0</v>
      </c>
      <c r="H23">
        <f>'Waiting List Config'!$K$5</f>
        <v>0</v>
      </c>
      <c r="I23">
        <f t="shared" si="1"/>
        <v>0</v>
      </c>
    </row>
    <row r="24" spans="1:9" x14ac:dyDescent="0.25">
      <c r="A24" s="2" t="e">
        <f>#REF!</f>
        <v>#REF!</v>
      </c>
      <c r="B24" s="173" t="e">
        <f t="shared" si="0"/>
        <v>#DIV/0!</v>
      </c>
      <c r="G24">
        <f>'Waiting List Config'!$J$5</f>
        <v>0</v>
      </c>
      <c r="H24">
        <f>'Waiting List Config'!$K$5</f>
        <v>0</v>
      </c>
      <c r="I24">
        <f t="shared" si="1"/>
        <v>0</v>
      </c>
    </row>
    <row r="25" spans="1:9" x14ac:dyDescent="0.25">
      <c r="A25" s="2" t="e">
        <f>#REF!</f>
        <v>#REF!</v>
      </c>
      <c r="B25" s="173" t="e">
        <f t="shared" si="0"/>
        <v>#DIV/0!</v>
      </c>
      <c r="G25">
        <f>'Waiting List Config'!$J$5</f>
        <v>0</v>
      </c>
      <c r="H25">
        <f>'Waiting List Config'!$K$5</f>
        <v>0</v>
      </c>
      <c r="I25">
        <f t="shared" si="1"/>
        <v>0</v>
      </c>
    </row>
    <row r="26" spans="1:9" x14ac:dyDescent="0.25">
      <c r="A26" s="2" t="e">
        <f>#REF!</f>
        <v>#REF!</v>
      </c>
      <c r="B26" s="173" t="e">
        <f t="shared" si="0"/>
        <v>#DIV/0!</v>
      </c>
      <c r="G26">
        <f>'Waiting List Config'!$J$5</f>
        <v>0</v>
      </c>
      <c r="H26">
        <f>'Waiting List Config'!$K$5</f>
        <v>0</v>
      </c>
      <c r="I26">
        <f t="shared" si="1"/>
        <v>0</v>
      </c>
    </row>
    <row r="27" spans="1:9" x14ac:dyDescent="0.25">
      <c r="A27" s="2" t="e">
        <f>#REF!</f>
        <v>#REF!</v>
      </c>
      <c r="B27" s="173" t="e">
        <f t="shared" si="0"/>
        <v>#DIV/0!</v>
      </c>
      <c r="G27">
        <f>'Waiting List Config'!$J$5</f>
        <v>0</v>
      </c>
      <c r="H27">
        <f>'Waiting List Config'!$K$5</f>
        <v>0</v>
      </c>
      <c r="I27">
        <f t="shared" si="1"/>
        <v>0</v>
      </c>
    </row>
    <row r="28" spans="1:9" x14ac:dyDescent="0.25">
      <c r="A28" s="2" t="e">
        <f>#REF!</f>
        <v>#REF!</v>
      </c>
      <c r="B28" s="173" t="e">
        <f t="shared" si="0"/>
        <v>#DIV/0!</v>
      </c>
      <c r="G28">
        <f>'Waiting List Config'!$J$5</f>
        <v>0</v>
      </c>
      <c r="H28">
        <f>'Waiting List Config'!$K$5</f>
        <v>0</v>
      </c>
      <c r="I28">
        <f t="shared" si="1"/>
        <v>0</v>
      </c>
    </row>
    <row r="29" spans="1:9" x14ac:dyDescent="0.25">
      <c r="A29" s="2" t="e">
        <f>#REF!</f>
        <v>#REF!</v>
      </c>
      <c r="B29" s="173" t="e">
        <f t="shared" si="0"/>
        <v>#DIV/0!</v>
      </c>
      <c r="G29">
        <f>'Waiting List Config'!$J$5</f>
        <v>0</v>
      </c>
      <c r="H29">
        <f>'Waiting List Config'!$K$5</f>
        <v>0</v>
      </c>
      <c r="I29">
        <f t="shared" si="1"/>
        <v>0</v>
      </c>
    </row>
    <row r="30" spans="1:9" x14ac:dyDescent="0.25">
      <c r="A30" s="2" t="e">
        <f>#REF!</f>
        <v>#REF!</v>
      </c>
      <c r="B30" s="173" t="e">
        <f t="shared" si="0"/>
        <v>#DIV/0!</v>
      </c>
      <c r="G30">
        <f>'Waiting List Config'!$J$5</f>
        <v>0</v>
      </c>
      <c r="H30">
        <f>'Waiting List Config'!$K$5</f>
        <v>0</v>
      </c>
      <c r="I30">
        <f t="shared" si="1"/>
        <v>0</v>
      </c>
    </row>
    <row r="31" spans="1:9" x14ac:dyDescent="0.25">
      <c r="A31" s="2" t="e">
        <f>#REF!</f>
        <v>#REF!</v>
      </c>
      <c r="B31" s="173" t="e">
        <f t="shared" si="0"/>
        <v>#DIV/0!</v>
      </c>
      <c r="G31">
        <f>'Waiting List Config'!$J$5</f>
        <v>0</v>
      </c>
      <c r="H31">
        <f>'Waiting List Config'!$K$5</f>
        <v>0</v>
      </c>
      <c r="I31">
        <f t="shared" si="1"/>
        <v>0</v>
      </c>
    </row>
    <row r="32" spans="1:9" x14ac:dyDescent="0.25">
      <c r="A32" s="2" t="e">
        <f>#REF!</f>
        <v>#REF!</v>
      </c>
      <c r="B32" s="173" t="e">
        <f t="shared" si="0"/>
        <v>#DIV/0!</v>
      </c>
      <c r="G32">
        <f>'Waiting List Config'!$J$5</f>
        <v>0</v>
      </c>
      <c r="H32">
        <f>'Waiting List Config'!$K$5</f>
        <v>0</v>
      </c>
      <c r="I32">
        <f t="shared" si="1"/>
        <v>0</v>
      </c>
    </row>
    <row r="33" spans="1:9" x14ac:dyDescent="0.25">
      <c r="A33" s="2" t="e">
        <f>#REF!</f>
        <v>#REF!</v>
      </c>
      <c r="B33" s="173" t="e">
        <f t="shared" si="0"/>
        <v>#DIV/0!</v>
      </c>
      <c r="G33">
        <f>'Waiting List Config'!$J$5</f>
        <v>0</v>
      </c>
      <c r="H33">
        <f>'Waiting List Config'!$K$5</f>
        <v>0</v>
      </c>
      <c r="I33">
        <f t="shared" si="1"/>
        <v>0</v>
      </c>
    </row>
    <row r="34" spans="1:9" x14ac:dyDescent="0.25">
      <c r="A34" s="2" t="e">
        <f>#REF!</f>
        <v>#REF!</v>
      </c>
      <c r="B34" s="173" t="e">
        <f t="shared" si="0"/>
        <v>#DIV/0!</v>
      </c>
      <c r="G34">
        <f>'Waiting List Config'!$J$5</f>
        <v>0</v>
      </c>
      <c r="H34">
        <f>'Waiting List Config'!$K$5</f>
        <v>0</v>
      </c>
      <c r="I34">
        <f t="shared" si="1"/>
        <v>0</v>
      </c>
    </row>
    <row r="35" spans="1:9" x14ac:dyDescent="0.25">
      <c r="A35" s="2" t="e">
        <f>#REF!</f>
        <v>#REF!</v>
      </c>
      <c r="B35" s="173" t="e">
        <f t="shared" si="0"/>
        <v>#DIV/0!</v>
      </c>
      <c r="G35">
        <f>'Waiting List Config'!$J$5</f>
        <v>0</v>
      </c>
      <c r="H35">
        <f>'Waiting List Config'!$K$5</f>
        <v>0</v>
      </c>
      <c r="I35">
        <f t="shared" si="1"/>
        <v>0</v>
      </c>
    </row>
    <row r="36" spans="1:9" x14ac:dyDescent="0.25">
      <c r="A36" s="2" t="e">
        <f>#REF!</f>
        <v>#REF!</v>
      </c>
      <c r="B36" s="173" t="e">
        <f t="shared" si="0"/>
        <v>#DIV/0!</v>
      </c>
      <c r="G36">
        <f>'Waiting List Config'!$J$5</f>
        <v>0</v>
      </c>
      <c r="H36">
        <f>'Waiting List Config'!$K$5</f>
        <v>0</v>
      </c>
      <c r="I36">
        <f t="shared" si="1"/>
        <v>0</v>
      </c>
    </row>
    <row r="37" spans="1:9" x14ac:dyDescent="0.25">
      <c r="A37" s="2" t="e">
        <f>#REF!</f>
        <v>#REF!</v>
      </c>
      <c r="B37" s="173" t="e">
        <f t="shared" si="0"/>
        <v>#DIV/0!</v>
      </c>
      <c r="G37">
        <f>'Waiting List Config'!$J$5</f>
        <v>0</v>
      </c>
      <c r="H37">
        <f>'Waiting List Config'!$K$5</f>
        <v>0</v>
      </c>
      <c r="I37">
        <f t="shared" si="1"/>
        <v>0</v>
      </c>
    </row>
    <row r="38" spans="1:9" x14ac:dyDescent="0.25">
      <c r="A38" s="2" t="e">
        <f>#REF!</f>
        <v>#REF!</v>
      </c>
      <c r="B38" s="173" t="e">
        <f t="shared" si="0"/>
        <v>#DIV/0!</v>
      </c>
      <c r="G38">
        <f>'Waiting List Config'!$J$5</f>
        <v>0</v>
      </c>
      <c r="H38">
        <f>'Waiting List Config'!$K$5</f>
        <v>0</v>
      </c>
      <c r="I38">
        <f t="shared" si="1"/>
        <v>0</v>
      </c>
    </row>
    <row r="39" spans="1:9" x14ac:dyDescent="0.25">
      <c r="A39" s="2" t="e">
        <f>#REF!</f>
        <v>#REF!</v>
      </c>
      <c r="B39" s="173" t="e">
        <f t="shared" si="0"/>
        <v>#DIV/0!</v>
      </c>
      <c r="G39">
        <f>'Waiting List Config'!$J$5</f>
        <v>0</v>
      </c>
      <c r="H39">
        <f>'Waiting List Config'!$K$5</f>
        <v>0</v>
      </c>
      <c r="I39">
        <f t="shared" si="1"/>
        <v>0</v>
      </c>
    </row>
    <row r="40" spans="1:9" x14ac:dyDescent="0.25">
      <c r="A40" s="2" t="e">
        <f>#REF!</f>
        <v>#REF!</v>
      </c>
      <c r="B40" s="173" t="e">
        <f t="shared" si="0"/>
        <v>#DIV/0!</v>
      </c>
      <c r="G40">
        <f>'Waiting List Config'!$J$5</f>
        <v>0</v>
      </c>
      <c r="H40">
        <f>'Waiting List Config'!$K$5</f>
        <v>0</v>
      </c>
      <c r="I40">
        <f t="shared" si="1"/>
        <v>0</v>
      </c>
    </row>
    <row r="41" spans="1:9" x14ac:dyDescent="0.25">
      <c r="A41" s="2" t="e">
        <f>#REF!</f>
        <v>#REF!</v>
      </c>
      <c r="B41" s="173" t="e">
        <f t="shared" si="0"/>
        <v>#DIV/0!</v>
      </c>
      <c r="G41">
        <f>'Waiting List Config'!$J$5</f>
        <v>0</v>
      </c>
      <c r="H41">
        <f>'Waiting List Config'!$K$5</f>
        <v>0</v>
      </c>
      <c r="I41">
        <f t="shared" si="1"/>
        <v>0</v>
      </c>
    </row>
    <row r="42" spans="1:9" x14ac:dyDescent="0.25">
      <c r="A42" s="2" t="e">
        <f>#REF!</f>
        <v>#REF!</v>
      </c>
      <c r="B42" s="173" t="e">
        <f t="shared" si="0"/>
        <v>#DIV/0!</v>
      </c>
      <c r="G42">
        <f>'Waiting List Config'!$J$5</f>
        <v>0</v>
      </c>
      <c r="H42">
        <f>'Waiting List Config'!$K$5</f>
        <v>0</v>
      </c>
      <c r="I42">
        <f t="shared" si="1"/>
        <v>0</v>
      </c>
    </row>
    <row r="43" spans="1:9" x14ac:dyDescent="0.25">
      <c r="A43" s="2" t="e">
        <f>#REF!</f>
        <v>#REF!</v>
      </c>
      <c r="B43" s="173" t="e">
        <f t="shared" si="0"/>
        <v>#DIV/0!</v>
      </c>
      <c r="G43">
        <f>'Waiting List Config'!$J$5</f>
        <v>0</v>
      </c>
      <c r="H43">
        <f>'Waiting List Config'!$K$5</f>
        <v>0</v>
      </c>
      <c r="I43">
        <f t="shared" si="1"/>
        <v>0</v>
      </c>
    </row>
    <row r="44" spans="1:9" x14ac:dyDescent="0.25">
      <c r="A44" s="2" t="e">
        <f>#REF!</f>
        <v>#REF!</v>
      </c>
      <c r="B44" s="173" t="e">
        <f t="shared" si="0"/>
        <v>#DIV/0!</v>
      </c>
      <c r="G44">
        <f>'Waiting List Config'!$J$5</f>
        <v>0</v>
      </c>
      <c r="H44">
        <f>'Waiting List Config'!$K$5</f>
        <v>0</v>
      </c>
      <c r="I44">
        <f t="shared" si="1"/>
        <v>0</v>
      </c>
    </row>
    <row r="45" spans="1:9" x14ac:dyDescent="0.25">
      <c r="A45" s="2" t="e">
        <f>#REF!</f>
        <v>#REF!</v>
      </c>
      <c r="B45" s="173" t="e">
        <f t="shared" si="0"/>
        <v>#DIV/0!</v>
      </c>
      <c r="G45">
        <f>'Waiting List Config'!$J$5</f>
        <v>0</v>
      </c>
      <c r="H45">
        <f>'Waiting List Config'!$K$5</f>
        <v>0</v>
      </c>
      <c r="I45">
        <f t="shared" si="1"/>
        <v>0</v>
      </c>
    </row>
    <row r="46" spans="1:9" x14ac:dyDescent="0.25">
      <c r="A46" s="2" t="e">
        <f>#REF!</f>
        <v>#REF!</v>
      </c>
      <c r="B46" s="173" t="e">
        <f t="shared" si="0"/>
        <v>#DIV/0!</v>
      </c>
      <c r="G46">
        <f>'Waiting List Config'!$J$5</f>
        <v>0</v>
      </c>
      <c r="H46">
        <f>'Waiting List Config'!$K$5</f>
        <v>0</v>
      </c>
      <c r="I46">
        <f t="shared" si="1"/>
        <v>0</v>
      </c>
    </row>
    <row r="47" spans="1:9" x14ac:dyDescent="0.25">
      <c r="A47" s="2" t="e">
        <f>#REF!</f>
        <v>#REF!</v>
      </c>
      <c r="B47" s="173" t="e">
        <f t="shared" si="0"/>
        <v>#DIV/0!</v>
      </c>
      <c r="G47">
        <f>'Waiting List Config'!$J$5</f>
        <v>0</v>
      </c>
      <c r="H47">
        <f>'Waiting List Config'!$K$5</f>
        <v>0</v>
      </c>
      <c r="I47">
        <f t="shared" si="1"/>
        <v>0</v>
      </c>
    </row>
    <row r="48" spans="1:9" x14ac:dyDescent="0.25">
      <c r="A48" s="2" t="e">
        <f>#REF!</f>
        <v>#REF!</v>
      </c>
      <c r="B48" s="173" t="e">
        <f t="shared" si="0"/>
        <v>#DIV/0!</v>
      </c>
      <c r="G48">
        <f>'Waiting List Config'!$J$5</f>
        <v>0</v>
      </c>
      <c r="H48">
        <f>'Waiting List Config'!$K$5</f>
        <v>0</v>
      </c>
      <c r="I48">
        <f t="shared" si="1"/>
        <v>0</v>
      </c>
    </row>
    <row r="49" spans="1:9" x14ac:dyDescent="0.25">
      <c r="A49" s="2" t="e">
        <f>#REF!</f>
        <v>#REF!</v>
      </c>
      <c r="B49" s="173" t="e">
        <f t="shared" si="0"/>
        <v>#DIV/0!</v>
      </c>
      <c r="G49">
        <f>'Waiting List Config'!$J$5</f>
        <v>0</v>
      </c>
      <c r="H49">
        <f>'Waiting List Config'!$K$5</f>
        <v>0</v>
      </c>
      <c r="I49">
        <f t="shared" si="1"/>
        <v>0</v>
      </c>
    </row>
    <row r="50" spans="1:9" x14ac:dyDescent="0.25">
      <c r="A50" s="2" t="e">
        <f>#REF!</f>
        <v>#REF!</v>
      </c>
      <c r="B50" s="173" t="e">
        <f t="shared" si="0"/>
        <v>#DIV/0!</v>
      </c>
      <c r="G50">
        <f>'Waiting List Config'!$J$5</f>
        <v>0</v>
      </c>
      <c r="H50">
        <f>'Waiting List Config'!$K$5</f>
        <v>0</v>
      </c>
      <c r="I50">
        <f t="shared" si="1"/>
        <v>0</v>
      </c>
    </row>
    <row r="51" spans="1:9" x14ac:dyDescent="0.25">
      <c r="A51" s="2" t="e">
        <f>#REF!</f>
        <v>#REF!</v>
      </c>
      <c r="B51" s="173" t="e">
        <f t="shared" si="0"/>
        <v>#DIV/0!</v>
      </c>
      <c r="G51">
        <f>'Waiting List Config'!$J$5</f>
        <v>0</v>
      </c>
      <c r="H51">
        <f>'Waiting List Config'!$K$5</f>
        <v>0</v>
      </c>
      <c r="I51">
        <f t="shared" si="1"/>
        <v>0</v>
      </c>
    </row>
    <row r="52" spans="1:9" x14ac:dyDescent="0.25">
      <c r="A52" s="2" t="e">
        <f>#REF!</f>
        <v>#REF!</v>
      </c>
      <c r="B52" s="173" t="e">
        <f t="shared" si="0"/>
        <v>#DIV/0!</v>
      </c>
      <c r="G52">
        <f>'Waiting List Config'!$J$5</f>
        <v>0</v>
      </c>
      <c r="H52">
        <f>'Waiting List Config'!$K$5</f>
        <v>0</v>
      </c>
      <c r="I52">
        <f t="shared" si="1"/>
        <v>0</v>
      </c>
    </row>
    <row r="53" spans="1:9" x14ac:dyDescent="0.25">
      <c r="A53" s="2" t="e">
        <f>#REF!</f>
        <v>#REF!</v>
      </c>
      <c r="B53" s="173" t="e">
        <f t="shared" si="0"/>
        <v>#DIV/0!</v>
      </c>
      <c r="G53">
        <f>'Waiting List Config'!$J$5</f>
        <v>0</v>
      </c>
      <c r="H53">
        <f>'Waiting List Config'!$K$5</f>
        <v>0</v>
      </c>
      <c r="I53">
        <f t="shared" si="1"/>
        <v>0</v>
      </c>
    </row>
    <row r="54" spans="1:9" x14ac:dyDescent="0.25">
      <c r="A54" s="2" t="e">
        <f>#REF!</f>
        <v>#REF!</v>
      </c>
      <c r="B54" s="173" t="e">
        <f t="shared" si="0"/>
        <v>#DIV/0!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0</v>
      </c>
      <c r="L5">
        <f>INDEX($D$4:$E$18,MATCH(L$1,$A$4:$A$18,0),1)*L$3</f>
        <v>0</v>
      </c>
      <c r="M5">
        <f>INDEX($D$4:$E$18,MATCH(L$1,$A$4:$A$18,0),2)*L$3</f>
        <v>0</v>
      </c>
      <c r="N5">
        <f>SUMIF(J$4:M$4,N$4,J5:M5)</f>
        <v>0</v>
      </c>
      <c r="O5">
        <f>SUMIF(J$4:M$4,O$4,J5:M5)</f>
        <v>0</v>
      </c>
      <c r="P5">
        <f>INDEX($D$4:$E$18,MATCH(P$1,$A$4:$A$18,0),1)*P$3</f>
        <v>0</v>
      </c>
      <c r="Q5">
        <f>INDEX($D$4:$E$18,MATCH(P$1,$A$4:$A$18,0),2)*P$3</f>
        <v>0</v>
      </c>
      <c r="R5">
        <f>INDEX($D$4:$E$18,MATCH(R$1,$A$4:$A$18,0),1)*R$3</f>
        <v>0</v>
      </c>
      <c r="S5">
        <f>INDEX($D$4:$E$18,MATCH(R$1,$A$4:$A$18,0),2)*R$3</f>
        <v>0</v>
      </c>
      <c r="T5">
        <f>SUMIF(P$4:S$4,T$4,P5:S5)</f>
        <v>0</v>
      </c>
      <c r="U5">
        <f>SUMIF(P$4:S$4,U$4,P5:S5)</f>
        <v>0</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f t="shared" ref="CV5:DA5" si="0">SUMIFS($J5:$CU5,$J$2:$CU$2,CV$2,$J$4:$CU$4,CV$4)</f>
        <v>0</v>
      </c>
      <c r="CW5">
        <f t="shared" si="0"/>
        <v>0</v>
      </c>
      <c r="CX5">
        <f t="shared" si="0"/>
        <v>0</v>
      </c>
      <c r="CY5">
        <f t="shared" si="0"/>
        <v>0</v>
      </c>
      <c r="CZ5">
        <f t="shared" si="0"/>
        <v>0</v>
      </c>
      <c r="DA5">
        <f t="shared" si="0"/>
        <v>0</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0</v>
      </c>
      <c r="L6">
        <f t="shared" ref="L6:L56" si="3">INDEX($D$4:$E$18,MATCH(L$1,$A$4:$A$18,0),1)*L$3</f>
        <v>0</v>
      </c>
      <c r="M6">
        <f t="shared" ref="M6:M56" si="4">INDEX($D$4:$E$18,MATCH(L$1,$A$4:$A$18,0),2)*L$3</f>
        <v>0</v>
      </c>
      <c r="N6">
        <f t="shared" ref="N6:N56" si="5">SUMIF(J$4:M$4,N$4,J6:M6)</f>
        <v>0</v>
      </c>
      <c r="O6">
        <f t="shared" ref="O6:O56" si="6">SUMIF(J$4:M$4,O$4,J6:M6)</f>
        <v>0</v>
      </c>
      <c r="P6">
        <f t="shared" ref="P6:P56" si="7">INDEX($D$4:$E$18,MATCH(P$1,$A$4:$A$18,0),1)*P$3</f>
        <v>0</v>
      </c>
      <c r="Q6">
        <f t="shared" ref="Q6:Q56" si="8">INDEX($D$4:$E$18,MATCH(P$1,$A$4:$A$18,0),2)*P$3</f>
        <v>0</v>
      </c>
      <c r="R6">
        <f t="shared" ref="R6:R56" si="9">INDEX($D$4:$E$18,MATCH(R$1,$A$4:$A$18,0),1)*R$3</f>
        <v>0</v>
      </c>
      <c r="S6">
        <f t="shared" ref="S6:S56" si="10">INDEX($D$4:$E$18,MATCH(R$1,$A$4:$A$18,0),2)*R$3</f>
        <v>0</v>
      </c>
      <c r="T6">
        <f t="shared" ref="T6:T56" si="11">SUMIF(P$4:S$4,T$4,P6:S6)</f>
        <v>0</v>
      </c>
      <c r="U6">
        <f t="shared" ref="U6:U56" si="12">SUMIF(P$4:S$4,U$4,P6:S6)</f>
        <v>0</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f t="shared" ref="CV6:CY56" si="91">SUMIFS($J6:$CS6,$J$2:$CS$2,CV$2,$J$4:$CS$4,CV$4)</f>
        <v>0</v>
      </c>
      <c r="CW6">
        <f t="shared" si="91"/>
        <v>0</v>
      </c>
      <c r="CX6">
        <f t="shared" ref="CX6:CY20" si="92">SUMIFS($J6:$CS6,$J$2:$CS$2,CX$2,$J$4:$CS$4,CX$4)</f>
        <v>0</v>
      </c>
      <c r="CY6">
        <f t="shared" si="92"/>
        <v>0</v>
      </c>
      <c r="CZ6">
        <f t="shared" ref="CZ6:DA56" si="93">SUMIFS($J6:$CU6,$J$2:$CU$2,CZ$2,$J$4:$CU$4,CZ$4)</f>
        <v>0</v>
      </c>
      <c r="DA6">
        <f t="shared" si="93"/>
        <v>0</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0</v>
      </c>
      <c r="L7">
        <f t="shared" si="3"/>
        <v>0</v>
      </c>
      <c r="M7">
        <f t="shared" si="4"/>
        <v>0</v>
      </c>
      <c r="N7">
        <f t="shared" si="5"/>
        <v>0</v>
      </c>
      <c r="O7">
        <f t="shared" si="6"/>
        <v>0</v>
      </c>
      <c r="P7">
        <f t="shared" si="7"/>
        <v>0</v>
      </c>
      <c r="Q7">
        <f t="shared" si="8"/>
        <v>0</v>
      </c>
      <c r="R7">
        <f t="shared" si="9"/>
        <v>0</v>
      </c>
      <c r="S7">
        <f t="shared" si="10"/>
        <v>0</v>
      </c>
      <c r="T7">
        <f t="shared" si="11"/>
        <v>0</v>
      </c>
      <c r="U7">
        <f t="shared" si="12"/>
        <v>0</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f t="shared" si="91"/>
        <v>0</v>
      </c>
      <c r="CW7">
        <f t="shared" si="91"/>
        <v>0</v>
      </c>
      <c r="CX7">
        <f t="shared" si="92"/>
        <v>0</v>
      </c>
      <c r="CY7">
        <f t="shared" si="92"/>
        <v>0</v>
      </c>
      <c r="CZ7">
        <f t="shared" si="93"/>
        <v>0</v>
      </c>
      <c r="DA7">
        <f t="shared" si="93"/>
        <v>0</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0</v>
      </c>
      <c r="L8">
        <f t="shared" si="3"/>
        <v>0</v>
      </c>
      <c r="M8">
        <f t="shared" si="4"/>
        <v>0</v>
      </c>
      <c r="N8">
        <f t="shared" si="5"/>
        <v>0</v>
      </c>
      <c r="O8">
        <f t="shared" si="6"/>
        <v>0</v>
      </c>
      <c r="P8">
        <f t="shared" si="7"/>
        <v>0</v>
      </c>
      <c r="Q8">
        <f t="shared" si="8"/>
        <v>0</v>
      </c>
      <c r="R8">
        <f t="shared" si="9"/>
        <v>0</v>
      </c>
      <c r="S8">
        <f t="shared" si="10"/>
        <v>0</v>
      </c>
      <c r="T8">
        <f t="shared" si="11"/>
        <v>0</v>
      </c>
      <c r="U8">
        <f t="shared" si="12"/>
        <v>0</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f t="shared" si="91"/>
        <v>0</v>
      </c>
      <c r="CW8">
        <f t="shared" si="91"/>
        <v>0</v>
      </c>
      <c r="CX8">
        <f t="shared" si="92"/>
        <v>0</v>
      </c>
      <c r="CY8">
        <f t="shared" si="92"/>
        <v>0</v>
      </c>
      <c r="CZ8">
        <f t="shared" si="93"/>
        <v>0</v>
      </c>
      <c r="DA8">
        <f t="shared" si="93"/>
        <v>0</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0</v>
      </c>
      <c r="L9">
        <f t="shared" si="3"/>
        <v>0</v>
      </c>
      <c r="M9">
        <f t="shared" si="4"/>
        <v>0</v>
      </c>
      <c r="N9">
        <f t="shared" si="5"/>
        <v>0</v>
      </c>
      <c r="O9">
        <f t="shared" si="6"/>
        <v>0</v>
      </c>
      <c r="P9">
        <f t="shared" si="7"/>
        <v>0</v>
      </c>
      <c r="Q9">
        <f t="shared" si="8"/>
        <v>0</v>
      </c>
      <c r="R9">
        <f t="shared" si="9"/>
        <v>0</v>
      </c>
      <c r="S9">
        <f t="shared" si="10"/>
        <v>0</v>
      </c>
      <c r="T9">
        <f t="shared" si="11"/>
        <v>0</v>
      </c>
      <c r="U9">
        <f t="shared" si="12"/>
        <v>0</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f t="shared" si="91"/>
        <v>0</v>
      </c>
      <c r="CW9">
        <f t="shared" si="91"/>
        <v>0</v>
      </c>
      <c r="CX9">
        <f t="shared" si="92"/>
        <v>0</v>
      </c>
      <c r="CY9">
        <f t="shared" si="92"/>
        <v>0</v>
      </c>
      <c r="CZ9">
        <f t="shared" si="93"/>
        <v>0</v>
      </c>
      <c r="DA9">
        <f t="shared" si="93"/>
        <v>0</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0</v>
      </c>
      <c r="L10">
        <f t="shared" si="3"/>
        <v>0</v>
      </c>
      <c r="M10">
        <f t="shared" si="4"/>
        <v>0</v>
      </c>
      <c r="N10">
        <f t="shared" si="5"/>
        <v>0</v>
      </c>
      <c r="O10">
        <f t="shared" si="6"/>
        <v>0</v>
      </c>
      <c r="P10">
        <f t="shared" si="7"/>
        <v>0</v>
      </c>
      <c r="Q10">
        <f t="shared" si="8"/>
        <v>0</v>
      </c>
      <c r="R10">
        <f t="shared" si="9"/>
        <v>0</v>
      </c>
      <c r="S10">
        <f t="shared" si="10"/>
        <v>0</v>
      </c>
      <c r="T10">
        <f t="shared" si="11"/>
        <v>0</v>
      </c>
      <c r="U10">
        <f t="shared" si="12"/>
        <v>0</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f t="shared" si="91"/>
        <v>0</v>
      </c>
      <c r="CW10">
        <f t="shared" si="91"/>
        <v>0</v>
      </c>
      <c r="CX10">
        <f t="shared" si="92"/>
        <v>0</v>
      </c>
      <c r="CY10">
        <f t="shared" si="92"/>
        <v>0</v>
      </c>
      <c r="CZ10">
        <f t="shared" si="93"/>
        <v>0</v>
      </c>
      <c r="DA10">
        <f t="shared" si="93"/>
        <v>0</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0</v>
      </c>
      <c r="L11">
        <f t="shared" si="3"/>
        <v>0</v>
      </c>
      <c r="M11">
        <f t="shared" si="4"/>
        <v>0</v>
      </c>
      <c r="N11">
        <f t="shared" si="5"/>
        <v>0</v>
      </c>
      <c r="O11">
        <f t="shared" si="6"/>
        <v>0</v>
      </c>
      <c r="P11">
        <f t="shared" si="7"/>
        <v>0</v>
      </c>
      <c r="Q11">
        <f t="shared" si="8"/>
        <v>0</v>
      </c>
      <c r="R11">
        <f t="shared" si="9"/>
        <v>0</v>
      </c>
      <c r="S11">
        <f t="shared" si="10"/>
        <v>0</v>
      </c>
      <c r="T11">
        <f t="shared" si="11"/>
        <v>0</v>
      </c>
      <c r="U11">
        <f t="shared" si="12"/>
        <v>0</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f t="shared" si="91"/>
        <v>0</v>
      </c>
      <c r="CW11">
        <f t="shared" si="91"/>
        <v>0</v>
      </c>
      <c r="CX11">
        <f t="shared" si="92"/>
        <v>0</v>
      </c>
      <c r="CY11">
        <f t="shared" si="92"/>
        <v>0</v>
      </c>
      <c r="CZ11">
        <f t="shared" si="93"/>
        <v>0</v>
      </c>
      <c r="DA11">
        <f t="shared" si="93"/>
        <v>0</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0</v>
      </c>
      <c r="L12">
        <f t="shared" si="3"/>
        <v>0</v>
      </c>
      <c r="M12">
        <f t="shared" si="4"/>
        <v>0</v>
      </c>
      <c r="N12">
        <f t="shared" si="5"/>
        <v>0</v>
      </c>
      <c r="O12">
        <f t="shared" si="6"/>
        <v>0</v>
      </c>
      <c r="P12">
        <f t="shared" si="7"/>
        <v>0</v>
      </c>
      <c r="Q12">
        <f t="shared" si="8"/>
        <v>0</v>
      </c>
      <c r="R12">
        <f t="shared" si="9"/>
        <v>0</v>
      </c>
      <c r="S12">
        <f t="shared" si="10"/>
        <v>0</v>
      </c>
      <c r="T12">
        <f t="shared" si="11"/>
        <v>0</v>
      </c>
      <c r="U12">
        <f t="shared" si="12"/>
        <v>0</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f t="shared" si="91"/>
        <v>0</v>
      </c>
      <c r="CW12">
        <f t="shared" si="91"/>
        <v>0</v>
      </c>
      <c r="CX12">
        <f t="shared" si="92"/>
        <v>0</v>
      </c>
      <c r="CY12">
        <f t="shared" si="92"/>
        <v>0</v>
      </c>
      <c r="CZ12">
        <f t="shared" si="93"/>
        <v>0</v>
      </c>
      <c r="DA12">
        <f t="shared" si="93"/>
        <v>0</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0</v>
      </c>
      <c r="L13">
        <f t="shared" si="3"/>
        <v>0</v>
      </c>
      <c r="M13">
        <f t="shared" si="4"/>
        <v>0</v>
      </c>
      <c r="N13">
        <f t="shared" si="5"/>
        <v>0</v>
      </c>
      <c r="O13">
        <f t="shared" si="6"/>
        <v>0</v>
      </c>
      <c r="P13">
        <f t="shared" si="7"/>
        <v>0</v>
      </c>
      <c r="Q13">
        <f t="shared" si="8"/>
        <v>0</v>
      </c>
      <c r="R13">
        <f t="shared" si="9"/>
        <v>0</v>
      </c>
      <c r="S13">
        <f t="shared" si="10"/>
        <v>0</v>
      </c>
      <c r="T13">
        <f t="shared" si="11"/>
        <v>0</v>
      </c>
      <c r="U13">
        <f t="shared" si="12"/>
        <v>0</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f t="shared" si="91"/>
        <v>0</v>
      </c>
      <c r="CW13">
        <f t="shared" si="91"/>
        <v>0</v>
      </c>
      <c r="CX13">
        <f t="shared" si="92"/>
        <v>0</v>
      </c>
      <c r="CY13">
        <f t="shared" si="92"/>
        <v>0</v>
      </c>
      <c r="CZ13">
        <f t="shared" si="93"/>
        <v>0</v>
      </c>
      <c r="DA13">
        <f t="shared" si="93"/>
        <v>0</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0</v>
      </c>
      <c r="L14">
        <f t="shared" si="3"/>
        <v>0</v>
      </c>
      <c r="M14">
        <f t="shared" si="4"/>
        <v>0</v>
      </c>
      <c r="N14">
        <f t="shared" si="5"/>
        <v>0</v>
      </c>
      <c r="O14">
        <f t="shared" si="6"/>
        <v>0</v>
      </c>
      <c r="P14">
        <f t="shared" si="7"/>
        <v>0</v>
      </c>
      <c r="Q14">
        <f t="shared" si="8"/>
        <v>0</v>
      </c>
      <c r="R14">
        <f t="shared" si="9"/>
        <v>0</v>
      </c>
      <c r="S14">
        <f t="shared" si="10"/>
        <v>0</v>
      </c>
      <c r="T14">
        <f t="shared" si="11"/>
        <v>0</v>
      </c>
      <c r="U14">
        <f t="shared" si="12"/>
        <v>0</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f t="shared" si="91"/>
        <v>0</v>
      </c>
      <c r="CW14">
        <f t="shared" si="91"/>
        <v>0</v>
      </c>
      <c r="CX14">
        <f t="shared" si="92"/>
        <v>0</v>
      </c>
      <c r="CY14">
        <f t="shared" si="92"/>
        <v>0</v>
      </c>
      <c r="CZ14">
        <f t="shared" si="93"/>
        <v>0</v>
      </c>
      <c r="DA14">
        <f t="shared" si="93"/>
        <v>0</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0</v>
      </c>
      <c r="L15">
        <f t="shared" si="3"/>
        <v>0</v>
      </c>
      <c r="M15">
        <f t="shared" si="4"/>
        <v>0</v>
      </c>
      <c r="N15">
        <f t="shared" si="5"/>
        <v>0</v>
      </c>
      <c r="O15">
        <f t="shared" si="6"/>
        <v>0</v>
      </c>
      <c r="P15">
        <f t="shared" si="7"/>
        <v>0</v>
      </c>
      <c r="Q15">
        <f t="shared" si="8"/>
        <v>0</v>
      </c>
      <c r="R15">
        <f t="shared" si="9"/>
        <v>0</v>
      </c>
      <c r="S15">
        <f t="shared" si="10"/>
        <v>0</v>
      </c>
      <c r="T15">
        <f t="shared" si="11"/>
        <v>0</v>
      </c>
      <c r="U15">
        <f t="shared" si="12"/>
        <v>0</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f t="shared" si="91"/>
        <v>0</v>
      </c>
      <c r="CW15">
        <f t="shared" si="91"/>
        <v>0</v>
      </c>
      <c r="CX15">
        <f t="shared" si="92"/>
        <v>0</v>
      </c>
      <c r="CY15">
        <f t="shared" si="92"/>
        <v>0</v>
      </c>
      <c r="CZ15">
        <f t="shared" si="93"/>
        <v>0</v>
      </c>
      <c r="DA15">
        <f t="shared" si="93"/>
        <v>0</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0</v>
      </c>
      <c r="L16">
        <f t="shared" si="3"/>
        <v>0</v>
      </c>
      <c r="M16">
        <f t="shared" si="4"/>
        <v>0</v>
      </c>
      <c r="N16">
        <f t="shared" si="5"/>
        <v>0</v>
      </c>
      <c r="O16">
        <f t="shared" si="6"/>
        <v>0</v>
      </c>
      <c r="P16">
        <f t="shared" si="7"/>
        <v>0</v>
      </c>
      <c r="Q16">
        <f t="shared" si="8"/>
        <v>0</v>
      </c>
      <c r="R16">
        <f t="shared" si="9"/>
        <v>0</v>
      </c>
      <c r="S16">
        <f t="shared" si="10"/>
        <v>0</v>
      </c>
      <c r="T16">
        <f t="shared" si="11"/>
        <v>0</v>
      </c>
      <c r="U16">
        <f t="shared" si="12"/>
        <v>0</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f t="shared" si="91"/>
        <v>0</v>
      </c>
      <c r="CW16">
        <f t="shared" si="91"/>
        <v>0</v>
      </c>
      <c r="CX16">
        <f t="shared" si="92"/>
        <v>0</v>
      </c>
      <c r="CY16">
        <f t="shared" si="92"/>
        <v>0</v>
      </c>
      <c r="CZ16">
        <f t="shared" si="93"/>
        <v>0</v>
      </c>
      <c r="DA16">
        <f t="shared" si="93"/>
        <v>0</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0</v>
      </c>
      <c r="L17">
        <f t="shared" si="3"/>
        <v>0</v>
      </c>
      <c r="M17">
        <f t="shared" si="4"/>
        <v>0</v>
      </c>
      <c r="N17">
        <f t="shared" si="5"/>
        <v>0</v>
      </c>
      <c r="O17">
        <f t="shared" si="6"/>
        <v>0</v>
      </c>
      <c r="P17">
        <f t="shared" si="7"/>
        <v>0</v>
      </c>
      <c r="Q17">
        <f t="shared" si="8"/>
        <v>0</v>
      </c>
      <c r="R17">
        <f t="shared" si="9"/>
        <v>0</v>
      </c>
      <c r="S17">
        <f t="shared" si="10"/>
        <v>0</v>
      </c>
      <c r="T17">
        <f t="shared" si="11"/>
        <v>0</v>
      </c>
      <c r="U17">
        <f t="shared" si="12"/>
        <v>0</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f t="shared" si="91"/>
        <v>0</v>
      </c>
      <c r="CW17">
        <f t="shared" si="91"/>
        <v>0</v>
      </c>
      <c r="CX17">
        <f t="shared" si="92"/>
        <v>0</v>
      </c>
      <c r="CY17">
        <f t="shared" si="92"/>
        <v>0</v>
      </c>
      <c r="CZ17">
        <f t="shared" si="93"/>
        <v>0</v>
      </c>
      <c r="DA17">
        <f t="shared" si="93"/>
        <v>0</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0</v>
      </c>
      <c r="L18">
        <f t="shared" si="3"/>
        <v>0</v>
      </c>
      <c r="M18">
        <f t="shared" si="4"/>
        <v>0</v>
      </c>
      <c r="N18">
        <f t="shared" si="5"/>
        <v>0</v>
      </c>
      <c r="O18">
        <f t="shared" si="6"/>
        <v>0</v>
      </c>
      <c r="P18">
        <f t="shared" si="7"/>
        <v>0</v>
      </c>
      <c r="Q18">
        <f t="shared" si="8"/>
        <v>0</v>
      </c>
      <c r="R18">
        <f t="shared" si="9"/>
        <v>0</v>
      </c>
      <c r="S18">
        <f t="shared" si="10"/>
        <v>0</v>
      </c>
      <c r="T18">
        <f t="shared" si="11"/>
        <v>0</v>
      </c>
      <c r="U18">
        <f t="shared" si="12"/>
        <v>0</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f t="shared" si="91"/>
        <v>0</v>
      </c>
      <c r="CW18">
        <f t="shared" si="91"/>
        <v>0</v>
      </c>
      <c r="CX18">
        <f t="shared" si="92"/>
        <v>0</v>
      </c>
      <c r="CY18">
        <f t="shared" si="92"/>
        <v>0</v>
      </c>
      <c r="CZ18">
        <f t="shared" si="93"/>
        <v>0</v>
      </c>
      <c r="DA18">
        <f t="shared" si="93"/>
        <v>0</v>
      </c>
    </row>
    <row r="19" spans="1:105" x14ac:dyDescent="0.25">
      <c r="I19" s="12">
        <f ca="1">'Required Capacity (Hide)'!E19</f>
        <v>44326</v>
      </c>
      <c r="J19">
        <f t="shared" si="1"/>
        <v>0</v>
      </c>
      <c r="K19">
        <f t="shared" si="2"/>
        <v>0</v>
      </c>
      <c r="L19">
        <f t="shared" si="3"/>
        <v>0</v>
      </c>
      <c r="M19">
        <f t="shared" si="4"/>
        <v>0</v>
      </c>
      <c r="N19">
        <f t="shared" si="5"/>
        <v>0</v>
      </c>
      <c r="O19">
        <f t="shared" si="6"/>
        <v>0</v>
      </c>
      <c r="P19">
        <f t="shared" si="7"/>
        <v>0</v>
      </c>
      <c r="Q19">
        <f t="shared" si="8"/>
        <v>0</v>
      </c>
      <c r="R19">
        <f t="shared" si="9"/>
        <v>0</v>
      </c>
      <c r="S19">
        <f t="shared" si="10"/>
        <v>0</v>
      </c>
      <c r="T19">
        <f t="shared" si="11"/>
        <v>0</v>
      </c>
      <c r="U19">
        <f t="shared" si="12"/>
        <v>0</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f t="shared" si="91"/>
        <v>0</v>
      </c>
      <c r="CW19">
        <f t="shared" si="91"/>
        <v>0</v>
      </c>
      <c r="CX19">
        <f t="shared" si="92"/>
        <v>0</v>
      </c>
      <c r="CY19">
        <f t="shared" si="92"/>
        <v>0</v>
      </c>
      <c r="CZ19">
        <f t="shared" si="93"/>
        <v>0</v>
      </c>
      <c r="DA19">
        <f t="shared" si="93"/>
        <v>0</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0</v>
      </c>
      <c r="L20">
        <f t="shared" si="3"/>
        <v>0</v>
      </c>
      <c r="M20">
        <f t="shared" si="4"/>
        <v>0</v>
      </c>
      <c r="N20">
        <f t="shared" si="5"/>
        <v>0</v>
      </c>
      <c r="O20">
        <f t="shared" si="6"/>
        <v>0</v>
      </c>
      <c r="P20">
        <f t="shared" si="7"/>
        <v>0</v>
      </c>
      <c r="Q20">
        <f t="shared" si="8"/>
        <v>0</v>
      </c>
      <c r="R20">
        <f t="shared" si="9"/>
        <v>0</v>
      </c>
      <c r="S20">
        <f t="shared" si="10"/>
        <v>0</v>
      </c>
      <c r="T20">
        <f t="shared" si="11"/>
        <v>0</v>
      </c>
      <c r="U20">
        <f t="shared" si="12"/>
        <v>0</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f t="shared" si="91"/>
        <v>0</v>
      </c>
      <c r="CW20">
        <f t="shared" si="91"/>
        <v>0</v>
      </c>
      <c r="CX20">
        <f t="shared" si="92"/>
        <v>0</v>
      </c>
      <c r="CY20">
        <f t="shared" si="92"/>
        <v>0</v>
      </c>
      <c r="CZ20">
        <f t="shared" si="93"/>
        <v>0</v>
      </c>
      <c r="DA20">
        <f t="shared" si="93"/>
        <v>0</v>
      </c>
    </row>
    <row r="21" spans="1:105" x14ac:dyDescent="0.2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f t="shared" si="1"/>
        <v>0</v>
      </c>
      <c r="K21">
        <f t="shared" si="2"/>
        <v>0</v>
      </c>
      <c r="L21">
        <f t="shared" si="3"/>
        <v>0</v>
      </c>
      <c r="M21">
        <f t="shared" si="4"/>
        <v>0</v>
      </c>
      <c r="N21">
        <f t="shared" si="5"/>
        <v>0</v>
      </c>
      <c r="O21">
        <f t="shared" si="6"/>
        <v>0</v>
      </c>
      <c r="P21">
        <f t="shared" si="7"/>
        <v>0</v>
      </c>
      <c r="Q21">
        <f t="shared" si="8"/>
        <v>0</v>
      </c>
      <c r="R21">
        <f t="shared" si="9"/>
        <v>0</v>
      </c>
      <c r="S21">
        <f t="shared" si="10"/>
        <v>0</v>
      </c>
      <c r="T21">
        <f t="shared" si="11"/>
        <v>0</v>
      </c>
      <c r="U21">
        <f t="shared" si="12"/>
        <v>0</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f t="shared" si="91"/>
        <v>0</v>
      </c>
      <c r="CW21">
        <f t="shared" si="91"/>
        <v>0</v>
      </c>
      <c r="CX21">
        <f t="shared" si="91"/>
        <v>0</v>
      </c>
      <c r="CY21">
        <f t="shared" si="91"/>
        <v>0</v>
      </c>
      <c r="CZ21">
        <f t="shared" si="93"/>
        <v>0</v>
      </c>
      <c r="DA21">
        <f t="shared" si="93"/>
        <v>0</v>
      </c>
    </row>
    <row r="22" spans="1:105" x14ac:dyDescent="0.2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f t="shared" si="1"/>
        <v>0</v>
      </c>
      <c r="K22">
        <f t="shared" si="2"/>
        <v>0</v>
      </c>
      <c r="L22">
        <f t="shared" si="3"/>
        <v>0</v>
      </c>
      <c r="M22">
        <f t="shared" si="4"/>
        <v>0</v>
      </c>
      <c r="N22">
        <f t="shared" si="5"/>
        <v>0</v>
      </c>
      <c r="O22">
        <f t="shared" si="6"/>
        <v>0</v>
      </c>
      <c r="P22">
        <f t="shared" si="7"/>
        <v>0</v>
      </c>
      <c r="Q22">
        <f t="shared" si="8"/>
        <v>0</v>
      </c>
      <c r="R22">
        <f t="shared" si="9"/>
        <v>0</v>
      </c>
      <c r="S22">
        <f t="shared" si="10"/>
        <v>0</v>
      </c>
      <c r="T22">
        <f t="shared" si="11"/>
        <v>0</v>
      </c>
      <c r="U22">
        <f t="shared" si="12"/>
        <v>0</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f t="shared" si="91"/>
        <v>0</v>
      </c>
      <c r="CW22">
        <f t="shared" si="91"/>
        <v>0</v>
      </c>
      <c r="CX22">
        <f t="shared" si="91"/>
        <v>0</v>
      </c>
      <c r="CY22">
        <f t="shared" si="91"/>
        <v>0</v>
      </c>
      <c r="CZ22">
        <f t="shared" si="93"/>
        <v>0</v>
      </c>
      <c r="DA22">
        <f t="shared" si="93"/>
        <v>0</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0</v>
      </c>
      <c r="L23">
        <f t="shared" si="3"/>
        <v>0</v>
      </c>
      <c r="M23">
        <f t="shared" si="4"/>
        <v>0</v>
      </c>
      <c r="N23">
        <f t="shared" si="5"/>
        <v>0</v>
      </c>
      <c r="O23">
        <f t="shared" si="6"/>
        <v>0</v>
      </c>
      <c r="P23">
        <f t="shared" si="7"/>
        <v>0</v>
      </c>
      <c r="Q23">
        <f t="shared" si="8"/>
        <v>0</v>
      </c>
      <c r="R23">
        <f t="shared" si="9"/>
        <v>0</v>
      </c>
      <c r="S23">
        <f t="shared" si="10"/>
        <v>0</v>
      </c>
      <c r="T23">
        <f t="shared" si="11"/>
        <v>0</v>
      </c>
      <c r="U23">
        <f t="shared" si="12"/>
        <v>0</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f t="shared" si="91"/>
        <v>0</v>
      </c>
      <c r="CW23">
        <f t="shared" si="91"/>
        <v>0</v>
      </c>
      <c r="CX23">
        <f t="shared" si="91"/>
        <v>0</v>
      </c>
      <c r="CY23">
        <f t="shared" si="91"/>
        <v>0</v>
      </c>
      <c r="CZ23">
        <f t="shared" si="93"/>
        <v>0</v>
      </c>
      <c r="DA23">
        <f t="shared" si="93"/>
        <v>0</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0</v>
      </c>
      <c r="L24">
        <f t="shared" si="3"/>
        <v>0</v>
      </c>
      <c r="M24">
        <f t="shared" si="4"/>
        <v>0</v>
      </c>
      <c r="N24">
        <f t="shared" si="5"/>
        <v>0</v>
      </c>
      <c r="O24">
        <f t="shared" si="6"/>
        <v>0</v>
      </c>
      <c r="P24">
        <f t="shared" si="7"/>
        <v>0</v>
      </c>
      <c r="Q24">
        <f t="shared" si="8"/>
        <v>0</v>
      </c>
      <c r="R24">
        <f t="shared" si="9"/>
        <v>0</v>
      </c>
      <c r="S24">
        <f t="shared" si="10"/>
        <v>0</v>
      </c>
      <c r="T24">
        <f t="shared" si="11"/>
        <v>0</v>
      </c>
      <c r="U24">
        <f t="shared" si="12"/>
        <v>0</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f t="shared" si="91"/>
        <v>0</v>
      </c>
      <c r="CW24">
        <f t="shared" si="91"/>
        <v>0</v>
      </c>
      <c r="CX24">
        <f t="shared" si="91"/>
        <v>0</v>
      </c>
      <c r="CY24">
        <f t="shared" si="91"/>
        <v>0</v>
      </c>
      <c r="CZ24">
        <f t="shared" si="93"/>
        <v>0</v>
      </c>
      <c r="DA24">
        <f t="shared" si="93"/>
        <v>0</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0</v>
      </c>
      <c r="L25">
        <f t="shared" si="3"/>
        <v>0</v>
      </c>
      <c r="M25">
        <f t="shared" si="4"/>
        <v>0</v>
      </c>
      <c r="N25">
        <f t="shared" si="5"/>
        <v>0</v>
      </c>
      <c r="O25">
        <f t="shared" si="6"/>
        <v>0</v>
      </c>
      <c r="P25">
        <f t="shared" si="7"/>
        <v>0</v>
      </c>
      <c r="Q25">
        <f t="shared" si="8"/>
        <v>0</v>
      </c>
      <c r="R25">
        <f t="shared" si="9"/>
        <v>0</v>
      </c>
      <c r="S25">
        <f t="shared" si="10"/>
        <v>0</v>
      </c>
      <c r="T25">
        <f t="shared" si="11"/>
        <v>0</v>
      </c>
      <c r="U25">
        <f t="shared" si="12"/>
        <v>0</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f t="shared" si="91"/>
        <v>0</v>
      </c>
      <c r="CW25">
        <f t="shared" si="91"/>
        <v>0</v>
      </c>
      <c r="CX25">
        <f t="shared" si="91"/>
        <v>0</v>
      </c>
      <c r="CY25">
        <f t="shared" si="91"/>
        <v>0</v>
      </c>
      <c r="CZ25">
        <f t="shared" si="93"/>
        <v>0</v>
      </c>
      <c r="DA25">
        <f t="shared" si="93"/>
        <v>0</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0</v>
      </c>
      <c r="L26">
        <f t="shared" si="3"/>
        <v>0</v>
      </c>
      <c r="M26">
        <f t="shared" si="4"/>
        <v>0</v>
      </c>
      <c r="N26">
        <f t="shared" si="5"/>
        <v>0</v>
      </c>
      <c r="O26">
        <f t="shared" si="6"/>
        <v>0</v>
      </c>
      <c r="P26">
        <f t="shared" si="7"/>
        <v>0</v>
      </c>
      <c r="Q26">
        <f t="shared" si="8"/>
        <v>0</v>
      </c>
      <c r="R26">
        <f t="shared" si="9"/>
        <v>0</v>
      </c>
      <c r="S26">
        <f t="shared" si="10"/>
        <v>0</v>
      </c>
      <c r="T26">
        <f t="shared" si="11"/>
        <v>0</v>
      </c>
      <c r="U26">
        <f t="shared" si="12"/>
        <v>0</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f t="shared" si="91"/>
        <v>0</v>
      </c>
      <c r="CW26">
        <f t="shared" si="91"/>
        <v>0</v>
      </c>
      <c r="CX26">
        <f t="shared" si="91"/>
        <v>0</v>
      </c>
      <c r="CY26">
        <f t="shared" si="91"/>
        <v>0</v>
      </c>
      <c r="CZ26">
        <f t="shared" si="93"/>
        <v>0</v>
      </c>
      <c r="DA26">
        <f t="shared" si="93"/>
        <v>0</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0</v>
      </c>
      <c r="L27">
        <f t="shared" si="3"/>
        <v>0</v>
      </c>
      <c r="M27">
        <f t="shared" si="4"/>
        <v>0</v>
      </c>
      <c r="N27">
        <f t="shared" si="5"/>
        <v>0</v>
      </c>
      <c r="O27">
        <f t="shared" si="6"/>
        <v>0</v>
      </c>
      <c r="P27">
        <f t="shared" si="7"/>
        <v>0</v>
      </c>
      <c r="Q27">
        <f t="shared" si="8"/>
        <v>0</v>
      </c>
      <c r="R27">
        <f t="shared" si="9"/>
        <v>0</v>
      </c>
      <c r="S27">
        <f t="shared" si="10"/>
        <v>0</v>
      </c>
      <c r="T27">
        <f t="shared" si="11"/>
        <v>0</v>
      </c>
      <c r="U27">
        <f t="shared" si="12"/>
        <v>0</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f t="shared" si="91"/>
        <v>0</v>
      </c>
      <c r="CW27">
        <f t="shared" si="91"/>
        <v>0</v>
      </c>
      <c r="CX27">
        <f t="shared" si="91"/>
        <v>0</v>
      </c>
      <c r="CY27">
        <f t="shared" si="91"/>
        <v>0</v>
      </c>
      <c r="CZ27">
        <f t="shared" si="93"/>
        <v>0</v>
      </c>
      <c r="DA27">
        <f t="shared" si="93"/>
        <v>0</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0</v>
      </c>
      <c r="L28">
        <f t="shared" si="3"/>
        <v>0</v>
      </c>
      <c r="M28">
        <f t="shared" si="4"/>
        <v>0</v>
      </c>
      <c r="N28">
        <f t="shared" si="5"/>
        <v>0</v>
      </c>
      <c r="O28">
        <f t="shared" si="6"/>
        <v>0</v>
      </c>
      <c r="P28">
        <f t="shared" si="7"/>
        <v>0</v>
      </c>
      <c r="Q28">
        <f t="shared" si="8"/>
        <v>0</v>
      </c>
      <c r="R28">
        <f t="shared" si="9"/>
        <v>0</v>
      </c>
      <c r="S28">
        <f t="shared" si="10"/>
        <v>0</v>
      </c>
      <c r="T28">
        <f t="shared" si="11"/>
        <v>0</v>
      </c>
      <c r="U28">
        <f t="shared" si="12"/>
        <v>0</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f t="shared" si="91"/>
        <v>0</v>
      </c>
      <c r="CW28">
        <f t="shared" si="91"/>
        <v>0</v>
      </c>
      <c r="CX28">
        <f t="shared" si="91"/>
        <v>0</v>
      </c>
      <c r="CY28">
        <f t="shared" si="91"/>
        <v>0</v>
      </c>
      <c r="CZ28">
        <f t="shared" si="93"/>
        <v>0</v>
      </c>
      <c r="DA28">
        <f t="shared" si="93"/>
        <v>0</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0</v>
      </c>
      <c r="L29">
        <f t="shared" si="3"/>
        <v>0</v>
      </c>
      <c r="M29">
        <f t="shared" si="4"/>
        <v>0</v>
      </c>
      <c r="N29">
        <f t="shared" si="5"/>
        <v>0</v>
      </c>
      <c r="O29">
        <f t="shared" si="6"/>
        <v>0</v>
      </c>
      <c r="P29">
        <f t="shared" si="7"/>
        <v>0</v>
      </c>
      <c r="Q29">
        <f t="shared" si="8"/>
        <v>0</v>
      </c>
      <c r="R29">
        <f t="shared" si="9"/>
        <v>0</v>
      </c>
      <c r="S29">
        <f t="shared" si="10"/>
        <v>0</v>
      </c>
      <c r="T29">
        <f t="shared" si="11"/>
        <v>0</v>
      </c>
      <c r="U29">
        <f t="shared" si="12"/>
        <v>0</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f t="shared" si="91"/>
        <v>0</v>
      </c>
      <c r="CW29">
        <f t="shared" si="91"/>
        <v>0</v>
      </c>
      <c r="CX29">
        <f t="shared" si="91"/>
        <v>0</v>
      </c>
      <c r="CY29">
        <f t="shared" si="91"/>
        <v>0</v>
      </c>
      <c r="CZ29">
        <f t="shared" si="93"/>
        <v>0</v>
      </c>
      <c r="DA29">
        <f t="shared" si="93"/>
        <v>0</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0</v>
      </c>
      <c r="L30">
        <f t="shared" si="3"/>
        <v>0</v>
      </c>
      <c r="M30">
        <f t="shared" si="4"/>
        <v>0</v>
      </c>
      <c r="N30">
        <f t="shared" si="5"/>
        <v>0</v>
      </c>
      <c r="O30">
        <f t="shared" si="6"/>
        <v>0</v>
      </c>
      <c r="P30">
        <f t="shared" si="7"/>
        <v>0</v>
      </c>
      <c r="Q30">
        <f t="shared" si="8"/>
        <v>0</v>
      </c>
      <c r="R30">
        <f t="shared" si="9"/>
        <v>0</v>
      </c>
      <c r="S30">
        <f t="shared" si="10"/>
        <v>0</v>
      </c>
      <c r="T30">
        <f t="shared" si="11"/>
        <v>0</v>
      </c>
      <c r="U30">
        <f t="shared" si="12"/>
        <v>0</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f t="shared" si="91"/>
        <v>0</v>
      </c>
      <c r="CW30">
        <f t="shared" si="91"/>
        <v>0</v>
      </c>
      <c r="CX30">
        <f t="shared" si="91"/>
        <v>0</v>
      </c>
      <c r="CY30">
        <f t="shared" si="91"/>
        <v>0</v>
      </c>
      <c r="CZ30">
        <f t="shared" si="93"/>
        <v>0</v>
      </c>
      <c r="DA30">
        <f t="shared" si="93"/>
        <v>0</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0</v>
      </c>
      <c r="L31">
        <f t="shared" si="3"/>
        <v>0</v>
      </c>
      <c r="M31">
        <f t="shared" si="4"/>
        <v>0</v>
      </c>
      <c r="N31">
        <f t="shared" si="5"/>
        <v>0</v>
      </c>
      <c r="O31">
        <f t="shared" si="6"/>
        <v>0</v>
      </c>
      <c r="P31">
        <f t="shared" si="7"/>
        <v>0</v>
      </c>
      <c r="Q31">
        <f t="shared" si="8"/>
        <v>0</v>
      </c>
      <c r="R31">
        <f t="shared" si="9"/>
        <v>0</v>
      </c>
      <c r="S31">
        <f t="shared" si="10"/>
        <v>0</v>
      </c>
      <c r="T31">
        <f t="shared" si="11"/>
        <v>0</v>
      </c>
      <c r="U31">
        <f t="shared" si="12"/>
        <v>0</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f t="shared" si="91"/>
        <v>0</v>
      </c>
      <c r="CW31">
        <f t="shared" si="91"/>
        <v>0</v>
      </c>
      <c r="CX31">
        <f t="shared" si="91"/>
        <v>0</v>
      </c>
      <c r="CY31">
        <f t="shared" si="91"/>
        <v>0</v>
      </c>
      <c r="CZ31">
        <f t="shared" si="93"/>
        <v>0</v>
      </c>
      <c r="DA31">
        <f t="shared" si="93"/>
        <v>0</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0</v>
      </c>
      <c r="L32">
        <f t="shared" si="3"/>
        <v>0</v>
      </c>
      <c r="M32">
        <f t="shared" si="4"/>
        <v>0</v>
      </c>
      <c r="N32">
        <f t="shared" si="5"/>
        <v>0</v>
      </c>
      <c r="O32">
        <f t="shared" si="6"/>
        <v>0</v>
      </c>
      <c r="P32">
        <f t="shared" si="7"/>
        <v>0</v>
      </c>
      <c r="Q32">
        <f t="shared" si="8"/>
        <v>0</v>
      </c>
      <c r="R32">
        <f t="shared" si="9"/>
        <v>0</v>
      </c>
      <c r="S32">
        <f t="shared" si="10"/>
        <v>0</v>
      </c>
      <c r="T32">
        <f t="shared" si="11"/>
        <v>0</v>
      </c>
      <c r="U32">
        <f t="shared" si="12"/>
        <v>0</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f t="shared" si="91"/>
        <v>0</v>
      </c>
      <c r="CW32">
        <f t="shared" si="91"/>
        <v>0</v>
      </c>
      <c r="CX32">
        <f t="shared" si="91"/>
        <v>0</v>
      </c>
      <c r="CY32">
        <f t="shared" si="91"/>
        <v>0</v>
      </c>
      <c r="CZ32">
        <f t="shared" si="93"/>
        <v>0</v>
      </c>
      <c r="DA32">
        <f t="shared" si="93"/>
        <v>0</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0</v>
      </c>
      <c r="L33">
        <f t="shared" si="3"/>
        <v>0</v>
      </c>
      <c r="M33">
        <f t="shared" si="4"/>
        <v>0</v>
      </c>
      <c r="N33">
        <f t="shared" si="5"/>
        <v>0</v>
      </c>
      <c r="O33">
        <f t="shared" si="6"/>
        <v>0</v>
      </c>
      <c r="P33">
        <f t="shared" si="7"/>
        <v>0</v>
      </c>
      <c r="Q33">
        <f t="shared" si="8"/>
        <v>0</v>
      </c>
      <c r="R33">
        <f t="shared" si="9"/>
        <v>0</v>
      </c>
      <c r="S33">
        <f t="shared" si="10"/>
        <v>0</v>
      </c>
      <c r="T33">
        <f t="shared" si="11"/>
        <v>0</v>
      </c>
      <c r="U33">
        <f t="shared" si="12"/>
        <v>0</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f t="shared" si="91"/>
        <v>0</v>
      </c>
      <c r="CW33">
        <f t="shared" si="91"/>
        <v>0</v>
      </c>
      <c r="CX33">
        <f t="shared" si="91"/>
        <v>0</v>
      </c>
      <c r="CY33">
        <f t="shared" si="91"/>
        <v>0</v>
      </c>
      <c r="CZ33">
        <f t="shared" si="93"/>
        <v>0</v>
      </c>
      <c r="DA33">
        <f t="shared" si="93"/>
        <v>0</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0</v>
      </c>
      <c r="L34">
        <f t="shared" si="3"/>
        <v>0</v>
      </c>
      <c r="M34">
        <f t="shared" si="4"/>
        <v>0</v>
      </c>
      <c r="N34">
        <f t="shared" si="5"/>
        <v>0</v>
      </c>
      <c r="O34">
        <f t="shared" si="6"/>
        <v>0</v>
      </c>
      <c r="P34">
        <f t="shared" si="7"/>
        <v>0</v>
      </c>
      <c r="Q34">
        <f t="shared" si="8"/>
        <v>0</v>
      </c>
      <c r="R34">
        <f t="shared" si="9"/>
        <v>0</v>
      </c>
      <c r="S34">
        <f t="shared" si="10"/>
        <v>0</v>
      </c>
      <c r="T34">
        <f t="shared" si="11"/>
        <v>0</v>
      </c>
      <c r="U34">
        <f t="shared" si="12"/>
        <v>0</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f t="shared" si="91"/>
        <v>0</v>
      </c>
      <c r="CW34">
        <f t="shared" si="91"/>
        <v>0</v>
      </c>
      <c r="CX34">
        <f t="shared" si="91"/>
        <v>0</v>
      </c>
      <c r="CY34">
        <f t="shared" si="91"/>
        <v>0</v>
      </c>
      <c r="CZ34">
        <f t="shared" si="93"/>
        <v>0</v>
      </c>
      <c r="DA34">
        <f t="shared" si="93"/>
        <v>0</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0</v>
      </c>
      <c r="L35">
        <f t="shared" si="3"/>
        <v>0</v>
      </c>
      <c r="M35">
        <f t="shared" si="4"/>
        <v>0</v>
      </c>
      <c r="N35">
        <f t="shared" si="5"/>
        <v>0</v>
      </c>
      <c r="O35">
        <f t="shared" si="6"/>
        <v>0</v>
      </c>
      <c r="P35">
        <f t="shared" si="7"/>
        <v>0</v>
      </c>
      <c r="Q35">
        <f t="shared" si="8"/>
        <v>0</v>
      </c>
      <c r="R35">
        <f t="shared" si="9"/>
        <v>0</v>
      </c>
      <c r="S35">
        <f t="shared" si="10"/>
        <v>0</v>
      </c>
      <c r="T35">
        <f t="shared" si="11"/>
        <v>0</v>
      </c>
      <c r="U35">
        <f t="shared" si="12"/>
        <v>0</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f t="shared" si="91"/>
        <v>0</v>
      </c>
      <c r="CW35">
        <f t="shared" si="91"/>
        <v>0</v>
      </c>
      <c r="CX35">
        <f t="shared" si="91"/>
        <v>0</v>
      </c>
      <c r="CY35">
        <f t="shared" si="91"/>
        <v>0</v>
      </c>
      <c r="CZ35">
        <f t="shared" si="93"/>
        <v>0</v>
      </c>
      <c r="DA35">
        <f t="shared" si="93"/>
        <v>0</v>
      </c>
    </row>
    <row r="36" spans="1:105" x14ac:dyDescent="0.25">
      <c r="I36" s="12">
        <f ca="1">'Required Capacity (Hide)'!E36</f>
        <v>44445</v>
      </c>
      <c r="J36">
        <f t="shared" si="1"/>
        <v>0</v>
      </c>
      <c r="K36">
        <f t="shared" si="2"/>
        <v>0</v>
      </c>
      <c r="L36">
        <f t="shared" si="3"/>
        <v>0</v>
      </c>
      <c r="M36">
        <f t="shared" si="4"/>
        <v>0</v>
      </c>
      <c r="N36">
        <f t="shared" si="5"/>
        <v>0</v>
      </c>
      <c r="O36">
        <f t="shared" si="6"/>
        <v>0</v>
      </c>
      <c r="P36">
        <f t="shared" si="7"/>
        <v>0</v>
      </c>
      <c r="Q36">
        <f t="shared" si="8"/>
        <v>0</v>
      </c>
      <c r="R36">
        <f t="shared" si="9"/>
        <v>0</v>
      </c>
      <c r="S36">
        <f t="shared" si="10"/>
        <v>0</v>
      </c>
      <c r="T36">
        <f t="shared" si="11"/>
        <v>0</v>
      </c>
      <c r="U36">
        <f t="shared" si="12"/>
        <v>0</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f t="shared" si="91"/>
        <v>0</v>
      </c>
      <c r="CW36">
        <f t="shared" si="91"/>
        <v>0</v>
      </c>
      <c r="CX36">
        <f t="shared" si="91"/>
        <v>0</v>
      </c>
      <c r="CY36">
        <f t="shared" si="91"/>
        <v>0</v>
      </c>
      <c r="CZ36">
        <f t="shared" si="93"/>
        <v>0</v>
      </c>
      <c r="DA36">
        <f t="shared" si="93"/>
        <v>0</v>
      </c>
    </row>
    <row r="37" spans="1:105" x14ac:dyDescent="0.25">
      <c r="I37" s="12">
        <f ca="1">'Required Capacity (Hide)'!E37</f>
        <v>44452</v>
      </c>
      <c r="J37">
        <f t="shared" si="1"/>
        <v>0</v>
      </c>
      <c r="K37">
        <f t="shared" si="2"/>
        <v>0</v>
      </c>
      <c r="L37">
        <f t="shared" si="3"/>
        <v>0</v>
      </c>
      <c r="M37">
        <f t="shared" si="4"/>
        <v>0</v>
      </c>
      <c r="N37">
        <f t="shared" si="5"/>
        <v>0</v>
      </c>
      <c r="O37">
        <f t="shared" si="6"/>
        <v>0</v>
      </c>
      <c r="P37">
        <f t="shared" si="7"/>
        <v>0</v>
      </c>
      <c r="Q37">
        <f t="shared" si="8"/>
        <v>0</v>
      </c>
      <c r="R37">
        <f t="shared" si="9"/>
        <v>0</v>
      </c>
      <c r="S37">
        <f t="shared" si="10"/>
        <v>0</v>
      </c>
      <c r="T37">
        <f t="shared" si="11"/>
        <v>0</v>
      </c>
      <c r="U37">
        <f t="shared" si="12"/>
        <v>0</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f t="shared" si="91"/>
        <v>0</v>
      </c>
      <c r="CW37">
        <f t="shared" si="91"/>
        <v>0</v>
      </c>
      <c r="CX37">
        <f t="shared" si="91"/>
        <v>0</v>
      </c>
      <c r="CY37">
        <f t="shared" si="91"/>
        <v>0</v>
      </c>
      <c r="CZ37">
        <f t="shared" si="93"/>
        <v>0</v>
      </c>
      <c r="DA37">
        <f t="shared" si="93"/>
        <v>0</v>
      </c>
    </row>
    <row r="38" spans="1:105" x14ac:dyDescent="0.25">
      <c r="I38" s="12">
        <f ca="1">'Required Capacity (Hide)'!E38</f>
        <v>44459</v>
      </c>
      <c r="J38">
        <f t="shared" si="1"/>
        <v>0</v>
      </c>
      <c r="K38">
        <f t="shared" si="2"/>
        <v>0</v>
      </c>
      <c r="L38">
        <f t="shared" si="3"/>
        <v>0</v>
      </c>
      <c r="M38">
        <f t="shared" si="4"/>
        <v>0</v>
      </c>
      <c r="N38">
        <f t="shared" si="5"/>
        <v>0</v>
      </c>
      <c r="O38">
        <f t="shared" si="6"/>
        <v>0</v>
      </c>
      <c r="P38">
        <f t="shared" si="7"/>
        <v>0</v>
      </c>
      <c r="Q38">
        <f t="shared" si="8"/>
        <v>0</v>
      </c>
      <c r="R38">
        <f t="shared" si="9"/>
        <v>0</v>
      </c>
      <c r="S38">
        <f t="shared" si="10"/>
        <v>0</v>
      </c>
      <c r="T38">
        <f t="shared" si="11"/>
        <v>0</v>
      </c>
      <c r="U38">
        <f t="shared" si="12"/>
        <v>0</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f t="shared" si="91"/>
        <v>0</v>
      </c>
      <c r="CW38">
        <f t="shared" si="91"/>
        <v>0</v>
      </c>
      <c r="CX38">
        <f t="shared" si="91"/>
        <v>0</v>
      </c>
      <c r="CY38">
        <f t="shared" si="91"/>
        <v>0</v>
      </c>
      <c r="CZ38">
        <f t="shared" si="93"/>
        <v>0</v>
      </c>
      <c r="DA38">
        <f t="shared" si="93"/>
        <v>0</v>
      </c>
    </row>
    <row r="39" spans="1:105" x14ac:dyDescent="0.25">
      <c r="I39" s="12">
        <f ca="1">'Required Capacity (Hide)'!E39</f>
        <v>44466</v>
      </c>
      <c r="J39">
        <f t="shared" si="1"/>
        <v>0</v>
      </c>
      <c r="K39">
        <f t="shared" si="2"/>
        <v>0</v>
      </c>
      <c r="L39">
        <f t="shared" si="3"/>
        <v>0</v>
      </c>
      <c r="M39">
        <f t="shared" si="4"/>
        <v>0</v>
      </c>
      <c r="N39">
        <f t="shared" si="5"/>
        <v>0</v>
      </c>
      <c r="O39">
        <f t="shared" si="6"/>
        <v>0</v>
      </c>
      <c r="P39">
        <f t="shared" si="7"/>
        <v>0</v>
      </c>
      <c r="Q39">
        <f t="shared" si="8"/>
        <v>0</v>
      </c>
      <c r="R39">
        <f t="shared" si="9"/>
        <v>0</v>
      </c>
      <c r="S39">
        <f t="shared" si="10"/>
        <v>0</v>
      </c>
      <c r="T39">
        <f t="shared" si="11"/>
        <v>0</v>
      </c>
      <c r="U39">
        <f t="shared" si="12"/>
        <v>0</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f t="shared" si="91"/>
        <v>0</v>
      </c>
      <c r="CW39">
        <f t="shared" si="91"/>
        <v>0</v>
      </c>
      <c r="CX39">
        <f t="shared" si="91"/>
        <v>0</v>
      </c>
      <c r="CY39">
        <f t="shared" si="91"/>
        <v>0</v>
      </c>
      <c r="CZ39">
        <f t="shared" si="93"/>
        <v>0</v>
      </c>
      <c r="DA39">
        <f t="shared" si="93"/>
        <v>0</v>
      </c>
    </row>
    <row r="40" spans="1:105" x14ac:dyDescent="0.25">
      <c r="I40" s="12">
        <f ca="1">'Required Capacity (Hide)'!E40</f>
        <v>44473</v>
      </c>
      <c r="J40">
        <f t="shared" si="1"/>
        <v>0</v>
      </c>
      <c r="K40">
        <f t="shared" si="2"/>
        <v>0</v>
      </c>
      <c r="L40">
        <f t="shared" si="3"/>
        <v>0</v>
      </c>
      <c r="M40">
        <f t="shared" si="4"/>
        <v>0</v>
      </c>
      <c r="N40">
        <f t="shared" si="5"/>
        <v>0</v>
      </c>
      <c r="O40">
        <f t="shared" si="6"/>
        <v>0</v>
      </c>
      <c r="P40">
        <f t="shared" si="7"/>
        <v>0</v>
      </c>
      <c r="Q40">
        <f t="shared" si="8"/>
        <v>0</v>
      </c>
      <c r="R40">
        <f t="shared" si="9"/>
        <v>0</v>
      </c>
      <c r="S40">
        <f t="shared" si="10"/>
        <v>0</v>
      </c>
      <c r="T40">
        <f t="shared" si="11"/>
        <v>0</v>
      </c>
      <c r="U40">
        <f t="shared" si="12"/>
        <v>0</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f t="shared" si="91"/>
        <v>0</v>
      </c>
      <c r="CW40">
        <f t="shared" si="91"/>
        <v>0</v>
      </c>
      <c r="CX40">
        <f t="shared" si="91"/>
        <v>0</v>
      </c>
      <c r="CY40">
        <f t="shared" si="91"/>
        <v>0</v>
      </c>
      <c r="CZ40">
        <f t="shared" si="93"/>
        <v>0</v>
      </c>
      <c r="DA40">
        <f t="shared" si="93"/>
        <v>0</v>
      </c>
    </row>
    <row r="41" spans="1:105" x14ac:dyDescent="0.25">
      <c r="I41" s="12">
        <f ca="1">'Required Capacity (Hide)'!E41</f>
        <v>44480</v>
      </c>
      <c r="J41">
        <f t="shared" si="1"/>
        <v>0</v>
      </c>
      <c r="K41">
        <f t="shared" si="2"/>
        <v>0</v>
      </c>
      <c r="L41">
        <f t="shared" si="3"/>
        <v>0</v>
      </c>
      <c r="M41">
        <f t="shared" si="4"/>
        <v>0</v>
      </c>
      <c r="N41">
        <f t="shared" si="5"/>
        <v>0</v>
      </c>
      <c r="O41">
        <f t="shared" si="6"/>
        <v>0</v>
      </c>
      <c r="P41">
        <f t="shared" si="7"/>
        <v>0</v>
      </c>
      <c r="Q41">
        <f t="shared" si="8"/>
        <v>0</v>
      </c>
      <c r="R41">
        <f t="shared" si="9"/>
        <v>0</v>
      </c>
      <c r="S41">
        <f t="shared" si="10"/>
        <v>0</v>
      </c>
      <c r="T41">
        <f t="shared" si="11"/>
        <v>0</v>
      </c>
      <c r="U41">
        <f t="shared" si="12"/>
        <v>0</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f t="shared" si="91"/>
        <v>0</v>
      </c>
      <c r="CW41">
        <f t="shared" si="91"/>
        <v>0</v>
      </c>
      <c r="CX41">
        <f t="shared" si="91"/>
        <v>0</v>
      </c>
      <c r="CY41">
        <f t="shared" si="91"/>
        <v>0</v>
      </c>
      <c r="CZ41">
        <f t="shared" si="93"/>
        <v>0</v>
      </c>
      <c r="DA41">
        <f t="shared" si="93"/>
        <v>0</v>
      </c>
    </row>
    <row r="42" spans="1:105" x14ac:dyDescent="0.25">
      <c r="I42" s="12">
        <f ca="1">'Required Capacity (Hide)'!E42</f>
        <v>44487</v>
      </c>
      <c r="J42">
        <f t="shared" si="1"/>
        <v>0</v>
      </c>
      <c r="K42">
        <f t="shared" si="2"/>
        <v>0</v>
      </c>
      <c r="L42">
        <f t="shared" si="3"/>
        <v>0</v>
      </c>
      <c r="M42">
        <f t="shared" si="4"/>
        <v>0</v>
      </c>
      <c r="N42">
        <f t="shared" si="5"/>
        <v>0</v>
      </c>
      <c r="O42">
        <f t="shared" si="6"/>
        <v>0</v>
      </c>
      <c r="P42">
        <f t="shared" si="7"/>
        <v>0</v>
      </c>
      <c r="Q42">
        <f t="shared" si="8"/>
        <v>0</v>
      </c>
      <c r="R42">
        <f t="shared" si="9"/>
        <v>0</v>
      </c>
      <c r="S42">
        <f t="shared" si="10"/>
        <v>0</v>
      </c>
      <c r="T42">
        <f t="shared" si="11"/>
        <v>0</v>
      </c>
      <c r="U42">
        <f t="shared" si="12"/>
        <v>0</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f t="shared" si="91"/>
        <v>0</v>
      </c>
      <c r="CW42">
        <f t="shared" si="91"/>
        <v>0</v>
      </c>
      <c r="CX42">
        <f t="shared" si="91"/>
        <v>0</v>
      </c>
      <c r="CY42">
        <f t="shared" si="91"/>
        <v>0</v>
      </c>
      <c r="CZ42">
        <f t="shared" si="93"/>
        <v>0</v>
      </c>
      <c r="DA42">
        <f t="shared" si="93"/>
        <v>0</v>
      </c>
    </row>
    <row r="43" spans="1:105" x14ac:dyDescent="0.25">
      <c r="I43" s="12">
        <f ca="1">'Required Capacity (Hide)'!E43</f>
        <v>44494</v>
      </c>
      <c r="J43">
        <f t="shared" si="1"/>
        <v>0</v>
      </c>
      <c r="K43">
        <f t="shared" si="2"/>
        <v>0</v>
      </c>
      <c r="L43">
        <f t="shared" si="3"/>
        <v>0</v>
      </c>
      <c r="M43">
        <f t="shared" si="4"/>
        <v>0</v>
      </c>
      <c r="N43">
        <f t="shared" si="5"/>
        <v>0</v>
      </c>
      <c r="O43">
        <f t="shared" si="6"/>
        <v>0</v>
      </c>
      <c r="P43">
        <f t="shared" si="7"/>
        <v>0</v>
      </c>
      <c r="Q43">
        <f t="shared" si="8"/>
        <v>0</v>
      </c>
      <c r="R43">
        <f t="shared" si="9"/>
        <v>0</v>
      </c>
      <c r="S43">
        <f t="shared" si="10"/>
        <v>0</v>
      </c>
      <c r="T43">
        <f t="shared" si="11"/>
        <v>0</v>
      </c>
      <c r="U43">
        <f t="shared" si="12"/>
        <v>0</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f t="shared" si="91"/>
        <v>0</v>
      </c>
      <c r="CW43">
        <f t="shared" si="91"/>
        <v>0</v>
      </c>
      <c r="CX43">
        <f t="shared" si="91"/>
        <v>0</v>
      </c>
      <c r="CY43">
        <f t="shared" si="91"/>
        <v>0</v>
      </c>
      <c r="CZ43">
        <f t="shared" si="93"/>
        <v>0</v>
      </c>
      <c r="DA43">
        <f t="shared" si="93"/>
        <v>0</v>
      </c>
    </row>
    <row r="44" spans="1:105" x14ac:dyDescent="0.25">
      <c r="I44" s="12">
        <f ca="1">'Required Capacity (Hide)'!E44</f>
        <v>44501</v>
      </c>
      <c r="J44">
        <f t="shared" si="1"/>
        <v>0</v>
      </c>
      <c r="K44">
        <f t="shared" si="2"/>
        <v>0</v>
      </c>
      <c r="L44">
        <f t="shared" si="3"/>
        <v>0</v>
      </c>
      <c r="M44">
        <f t="shared" si="4"/>
        <v>0</v>
      </c>
      <c r="N44">
        <f t="shared" si="5"/>
        <v>0</v>
      </c>
      <c r="O44">
        <f t="shared" si="6"/>
        <v>0</v>
      </c>
      <c r="P44">
        <f t="shared" si="7"/>
        <v>0</v>
      </c>
      <c r="Q44">
        <f t="shared" si="8"/>
        <v>0</v>
      </c>
      <c r="R44">
        <f t="shared" si="9"/>
        <v>0</v>
      </c>
      <c r="S44">
        <f t="shared" si="10"/>
        <v>0</v>
      </c>
      <c r="T44">
        <f t="shared" si="11"/>
        <v>0</v>
      </c>
      <c r="U44">
        <f t="shared" si="12"/>
        <v>0</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f t="shared" si="91"/>
        <v>0</v>
      </c>
      <c r="CW44">
        <f t="shared" si="91"/>
        <v>0</v>
      </c>
      <c r="CX44">
        <f t="shared" si="91"/>
        <v>0</v>
      </c>
      <c r="CY44">
        <f t="shared" si="91"/>
        <v>0</v>
      </c>
      <c r="CZ44">
        <f t="shared" si="93"/>
        <v>0</v>
      </c>
      <c r="DA44">
        <f t="shared" si="93"/>
        <v>0</v>
      </c>
    </row>
    <row r="45" spans="1:105" x14ac:dyDescent="0.25">
      <c r="I45" s="12">
        <f ca="1">'Required Capacity (Hide)'!E45</f>
        <v>44508</v>
      </c>
      <c r="J45">
        <f t="shared" si="1"/>
        <v>0</v>
      </c>
      <c r="K45">
        <f t="shared" si="2"/>
        <v>0</v>
      </c>
      <c r="L45">
        <f t="shared" si="3"/>
        <v>0</v>
      </c>
      <c r="M45">
        <f t="shared" si="4"/>
        <v>0</v>
      </c>
      <c r="N45">
        <f t="shared" si="5"/>
        <v>0</v>
      </c>
      <c r="O45">
        <f t="shared" si="6"/>
        <v>0</v>
      </c>
      <c r="P45">
        <f t="shared" si="7"/>
        <v>0</v>
      </c>
      <c r="Q45">
        <f t="shared" si="8"/>
        <v>0</v>
      </c>
      <c r="R45">
        <f t="shared" si="9"/>
        <v>0</v>
      </c>
      <c r="S45">
        <f t="shared" si="10"/>
        <v>0</v>
      </c>
      <c r="T45">
        <f t="shared" si="11"/>
        <v>0</v>
      </c>
      <c r="U45">
        <f t="shared" si="12"/>
        <v>0</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f t="shared" si="91"/>
        <v>0</v>
      </c>
      <c r="CW45">
        <f t="shared" si="91"/>
        <v>0</v>
      </c>
      <c r="CX45">
        <f t="shared" si="91"/>
        <v>0</v>
      </c>
      <c r="CY45">
        <f t="shared" si="91"/>
        <v>0</v>
      </c>
      <c r="CZ45">
        <f t="shared" si="93"/>
        <v>0</v>
      </c>
      <c r="DA45">
        <f t="shared" si="93"/>
        <v>0</v>
      </c>
    </row>
    <row r="46" spans="1:105" x14ac:dyDescent="0.25">
      <c r="I46" s="12">
        <f ca="1">'Required Capacity (Hide)'!E46</f>
        <v>44515</v>
      </c>
      <c r="J46">
        <f t="shared" si="1"/>
        <v>0</v>
      </c>
      <c r="K46">
        <f t="shared" si="2"/>
        <v>0</v>
      </c>
      <c r="L46">
        <f t="shared" si="3"/>
        <v>0</v>
      </c>
      <c r="M46">
        <f t="shared" si="4"/>
        <v>0</v>
      </c>
      <c r="N46">
        <f t="shared" si="5"/>
        <v>0</v>
      </c>
      <c r="O46">
        <f t="shared" si="6"/>
        <v>0</v>
      </c>
      <c r="P46">
        <f t="shared" si="7"/>
        <v>0</v>
      </c>
      <c r="Q46">
        <f t="shared" si="8"/>
        <v>0</v>
      </c>
      <c r="R46">
        <f t="shared" si="9"/>
        <v>0</v>
      </c>
      <c r="S46">
        <f t="shared" si="10"/>
        <v>0</v>
      </c>
      <c r="T46">
        <f t="shared" si="11"/>
        <v>0</v>
      </c>
      <c r="U46">
        <f t="shared" si="12"/>
        <v>0</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f t="shared" si="91"/>
        <v>0</v>
      </c>
      <c r="CW46">
        <f t="shared" si="91"/>
        <v>0</v>
      </c>
      <c r="CX46">
        <f t="shared" si="91"/>
        <v>0</v>
      </c>
      <c r="CY46">
        <f t="shared" si="91"/>
        <v>0</v>
      </c>
      <c r="CZ46">
        <f t="shared" si="93"/>
        <v>0</v>
      </c>
      <c r="DA46">
        <f t="shared" si="93"/>
        <v>0</v>
      </c>
    </row>
    <row r="47" spans="1:105" x14ac:dyDescent="0.25">
      <c r="I47" s="12">
        <f ca="1">'Required Capacity (Hide)'!E47</f>
        <v>44522</v>
      </c>
      <c r="J47">
        <f t="shared" si="1"/>
        <v>0</v>
      </c>
      <c r="K47">
        <f t="shared" si="2"/>
        <v>0</v>
      </c>
      <c r="L47">
        <f t="shared" si="3"/>
        <v>0</v>
      </c>
      <c r="M47">
        <f t="shared" si="4"/>
        <v>0</v>
      </c>
      <c r="N47">
        <f t="shared" si="5"/>
        <v>0</v>
      </c>
      <c r="O47">
        <f t="shared" si="6"/>
        <v>0</v>
      </c>
      <c r="P47">
        <f t="shared" si="7"/>
        <v>0</v>
      </c>
      <c r="Q47">
        <f t="shared" si="8"/>
        <v>0</v>
      </c>
      <c r="R47">
        <f t="shared" si="9"/>
        <v>0</v>
      </c>
      <c r="S47">
        <f t="shared" si="10"/>
        <v>0</v>
      </c>
      <c r="T47">
        <f t="shared" si="11"/>
        <v>0</v>
      </c>
      <c r="U47">
        <f t="shared" si="12"/>
        <v>0</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f t="shared" si="91"/>
        <v>0</v>
      </c>
      <c r="CW47">
        <f t="shared" si="91"/>
        <v>0</v>
      </c>
      <c r="CX47">
        <f t="shared" si="91"/>
        <v>0</v>
      </c>
      <c r="CY47">
        <f t="shared" si="91"/>
        <v>0</v>
      </c>
      <c r="CZ47">
        <f t="shared" si="93"/>
        <v>0</v>
      </c>
      <c r="DA47">
        <f t="shared" si="93"/>
        <v>0</v>
      </c>
    </row>
    <row r="48" spans="1:105" x14ac:dyDescent="0.25">
      <c r="I48" s="12">
        <f ca="1">'Required Capacity (Hide)'!E48</f>
        <v>44529</v>
      </c>
      <c r="J48">
        <f t="shared" si="1"/>
        <v>0</v>
      </c>
      <c r="K48">
        <f t="shared" si="2"/>
        <v>0</v>
      </c>
      <c r="L48">
        <f t="shared" si="3"/>
        <v>0</v>
      </c>
      <c r="M48">
        <f t="shared" si="4"/>
        <v>0</v>
      </c>
      <c r="N48">
        <f t="shared" si="5"/>
        <v>0</v>
      </c>
      <c r="O48">
        <f t="shared" si="6"/>
        <v>0</v>
      </c>
      <c r="P48">
        <f t="shared" si="7"/>
        <v>0</v>
      </c>
      <c r="Q48">
        <f t="shared" si="8"/>
        <v>0</v>
      </c>
      <c r="R48">
        <f t="shared" si="9"/>
        <v>0</v>
      </c>
      <c r="S48">
        <f t="shared" si="10"/>
        <v>0</v>
      </c>
      <c r="T48">
        <f t="shared" si="11"/>
        <v>0</v>
      </c>
      <c r="U48">
        <f t="shared" si="12"/>
        <v>0</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f t="shared" si="91"/>
        <v>0</v>
      </c>
      <c r="CW48">
        <f t="shared" si="91"/>
        <v>0</v>
      </c>
      <c r="CX48">
        <f t="shared" si="91"/>
        <v>0</v>
      </c>
      <c r="CY48">
        <f t="shared" si="91"/>
        <v>0</v>
      </c>
      <c r="CZ48">
        <f t="shared" si="93"/>
        <v>0</v>
      </c>
      <c r="DA48">
        <f t="shared" si="93"/>
        <v>0</v>
      </c>
    </row>
    <row r="49" spans="8:105" x14ac:dyDescent="0.25">
      <c r="I49" s="12">
        <f ca="1">'Required Capacity (Hide)'!E49</f>
        <v>44536</v>
      </c>
      <c r="J49">
        <f t="shared" si="1"/>
        <v>0</v>
      </c>
      <c r="K49">
        <f t="shared" si="2"/>
        <v>0</v>
      </c>
      <c r="L49">
        <f t="shared" si="3"/>
        <v>0</v>
      </c>
      <c r="M49">
        <f t="shared" si="4"/>
        <v>0</v>
      </c>
      <c r="N49">
        <f t="shared" si="5"/>
        <v>0</v>
      </c>
      <c r="O49">
        <f t="shared" si="6"/>
        <v>0</v>
      </c>
      <c r="P49">
        <f t="shared" si="7"/>
        <v>0</v>
      </c>
      <c r="Q49">
        <f t="shared" si="8"/>
        <v>0</v>
      </c>
      <c r="R49">
        <f t="shared" si="9"/>
        <v>0</v>
      </c>
      <c r="S49">
        <f t="shared" si="10"/>
        <v>0</v>
      </c>
      <c r="T49">
        <f t="shared" si="11"/>
        <v>0</v>
      </c>
      <c r="U49">
        <f t="shared" si="12"/>
        <v>0</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f t="shared" si="91"/>
        <v>0</v>
      </c>
      <c r="CW49">
        <f t="shared" si="91"/>
        <v>0</v>
      </c>
      <c r="CX49">
        <f t="shared" si="91"/>
        <v>0</v>
      </c>
      <c r="CY49">
        <f t="shared" si="91"/>
        <v>0</v>
      </c>
      <c r="CZ49">
        <f t="shared" si="93"/>
        <v>0</v>
      </c>
      <c r="DA49">
        <f t="shared" si="93"/>
        <v>0</v>
      </c>
    </row>
    <row r="50" spans="8:105" x14ac:dyDescent="0.25">
      <c r="I50" s="12">
        <f ca="1">'Required Capacity (Hide)'!E50</f>
        <v>44543</v>
      </c>
      <c r="J50">
        <f t="shared" si="1"/>
        <v>0</v>
      </c>
      <c r="K50">
        <f t="shared" si="2"/>
        <v>0</v>
      </c>
      <c r="L50">
        <f t="shared" si="3"/>
        <v>0</v>
      </c>
      <c r="M50">
        <f t="shared" si="4"/>
        <v>0</v>
      </c>
      <c r="N50">
        <f t="shared" si="5"/>
        <v>0</v>
      </c>
      <c r="O50">
        <f t="shared" si="6"/>
        <v>0</v>
      </c>
      <c r="P50">
        <f t="shared" si="7"/>
        <v>0</v>
      </c>
      <c r="Q50">
        <f t="shared" si="8"/>
        <v>0</v>
      </c>
      <c r="R50">
        <f t="shared" si="9"/>
        <v>0</v>
      </c>
      <c r="S50">
        <f t="shared" si="10"/>
        <v>0</v>
      </c>
      <c r="T50">
        <f t="shared" si="11"/>
        <v>0</v>
      </c>
      <c r="U50">
        <f t="shared" si="12"/>
        <v>0</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f t="shared" si="91"/>
        <v>0</v>
      </c>
      <c r="CW50">
        <f t="shared" si="91"/>
        <v>0</v>
      </c>
      <c r="CX50">
        <f t="shared" si="91"/>
        <v>0</v>
      </c>
      <c r="CY50">
        <f t="shared" si="91"/>
        <v>0</v>
      </c>
      <c r="CZ50">
        <f t="shared" si="93"/>
        <v>0</v>
      </c>
      <c r="DA50">
        <f t="shared" si="93"/>
        <v>0</v>
      </c>
    </row>
    <row r="51" spans="8:105" x14ac:dyDescent="0.25">
      <c r="I51" s="12">
        <f ca="1">'Required Capacity (Hide)'!E51</f>
        <v>44550</v>
      </c>
      <c r="J51">
        <f t="shared" si="1"/>
        <v>0</v>
      </c>
      <c r="K51">
        <f t="shared" si="2"/>
        <v>0</v>
      </c>
      <c r="L51">
        <f t="shared" si="3"/>
        <v>0</v>
      </c>
      <c r="M51">
        <f t="shared" si="4"/>
        <v>0</v>
      </c>
      <c r="N51">
        <f t="shared" si="5"/>
        <v>0</v>
      </c>
      <c r="O51">
        <f t="shared" si="6"/>
        <v>0</v>
      </c>
      <c r="P51">
        <f t="shared" si="7"/>
        <v>0</v>
      </c>
      <c r="Q51">
        <f t="shared" si="8"/>
        <v>0</v>
      </c>
      <c r="R51">
        <f t="shared" si="9"/>
        <v>0</v>
      </c>
      <c r="S51">
        <f t="shared" si="10"/>
        <v>0</v>
      </c>
      <c r="T51">
        <f t="shared" si="11"/>
        <v>0</v>
      </c>
      <c r="U51">
        <f t="shared" si="12"/>
        <v>0</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f t="shared" si="91"/>
        <v>0</v>
      </c>
      <c r="CW51">
        <f t="shared" si="91"/>
        <v>0</v>
      </c>
      <c r="CX51">
        <f t="shared" si="91"/>
        <v>0</v>
      </c>
      <c r="CY51">
        <f t="shared" si="91"/>
        <v>0</v>
      </c>
      <c r="CZ51">
        <f t="shared" si="93"/>
        <v>0</v>
      </c>
      <c r="DA51">
        <f t="shared" si="93"/>
        <v>0</v>
      </c>
    </row>
    <row r="52" spans="8:105" x14ac:dyDescent="0.25">
      <c r="I52" s="12">
        <f ca="1">'Required Capacity (Hide)'!E52</f>
        <v>44557</v>
      </c>
      <c r="J52">
        <f t="shared" si="1"/>
        <v>0</v>
      </c>
      <c r="K52">
        <f t="shared" si="2"/>
        <v>0</v>
      </c>
      <c r="L52">
        <f t="shared" si="3"/>
        <v>0</v>
      </c>
      <c r="M52">
        <f t="shared" si="4"/>
        <v>0</v>
      </c>
      <c r="N52">
        <f t="shared" si="5"/>
        <v>0</v>
      </c>
      <c r="O52">
        <f t="shared" si="6"/>
        <v>0</v>
      </c>
      <c r="P52">
        <f t="shared" si="7"/>
        <v>0</v>
      </c>
      <c r="Q52">
        <f t="shared" si="8"/>
        <v>0</v>
      </c>
      <c r="R52">
        <f t="shared" si="9"/>
        <v>0</v>
      </c>
      <c r="S52">
        <f t="shared" si="10"/>
        <v>0</v>
      </c>
      <c r="T52">
        <f t="shared" si="11"/>
        <v>0</v>
      </c>
      <c r="U52">
        <f t="shared" si="12"/>
        <v>0</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f t="shared" si="91"/>
        <v>0</v>
      </c>
      <c r="CW52">
        <f t="shared" si="91"/>
        <v>0</v>
      </c>
      <c r="CX52">
        <f t="shared" si="91"/>
        <v>0</v>
      </c>
      <c r="CY52">
        <f t="shared" si="91"/>
        <v>0</v>
      </c>
      <c r="CZ52">
        <f t="shared" si="93"/>
        <v>0</v>
      </c>
      <c r="DA52">
        <f t="shared" si="93"/>
        <v>0</v>
      </c>
    </row>
    <row r="53" spans="8:105" x14ac:dyDescent="0.25">
      <c r="I53" s="12">
        <f ca="1">'Required Capacity (Hide)'!E53</f>
        <v>44564</v>
      </c>
      <c r="J53">
        <f t="shared" si="1"/>
        <v>0</v>
      </c>
      <c r="K53">
        <f t="shared" si="2"/>
        <v>0</v>
      </c>
      <c r="L53">
        <f t="shared" si="3"/>
        <v>0</v>
      </c>
      <c r="M53">
        <f t="shared" si="4"/>
        <v>0</v>
      </c>
      <c r="N53">
        <f t="shared" si="5"/>
        <v>0</v>
      </c>
      <c r="O53">
        <f t="shared" si="6"/>
        <v>0</v>
      </c>
      <c r="P53">
        <f t="shared" si="7"/>
        <v>0</v>
      </c>
      <c r="Q53">
        <f t="shared" si="8"/>
        <v>0</v>
      </c>
      <c r="R53">
        <f t="shared" si="9"/>
        <v>0</v>
      </c>
      <c r="S53">
        <f t="shared" si="10"/>
        <v>0</v>
      </c>
      <c r="T53">
        <f t="shared" si="11"/>
        <v>0</v>
      </c>
      <c r="U53">
        <f t="shared" si="12"/>
        <v>0</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f t="shared" si="91"/>
        <v>0</v>
      </c>
      <c r="CW53">
        <f t="shared" si="91"/>
        <v>0</v>
      </c>
      <c r="CX53">
        <f t="shared" si="91"/>
        <v>0</v>
      </c>
      <c r="CY53">
        <f t="shared" si="91"/>
        <v>0</v>
      </c>
      <c r="CZ53">
        <f t="shared" si="93"/>
        <v>0</v>
      </c>
      <c r="DA53">
        <f t="shared" si="93"/>
        <v>0</v>
      </c>
    </row>
    <row r="54" spans="8:105" x14ac:dyDescent="0.25">
      <c r="I54" s="12">
        <f ca="1">'Required Capacity (Hide)'!E54</f>
        <v>44571</v>
      </c>
      <c r="J54">
        <f t="shared" si="1"/>
        <v>0</v>
      </c>
      <c r="K54">
        <f t="shared" si="2"/>
        <v>0</v>
      </c>
      <c r="L54">
        <f t="shared" si="3"/>
        <v>0</v>
      </c>
      <c r="M54">
        <f t="shared" si="4"/>
        <v>0</v>
      </c>
      <c r="N54">
        <f t="shared" si="5"/>
        <v>0</v>
      </c>
      <c r="O54">
        <f t="shared" si="6"/>
        <v>0</v>
      </c>
      <c r="P54">
        <f t="shared" si="7"/>
        <v>0</v>
      </c>
      <c r="Q54">
        <f t="shared" si="8"/>
        <v>0</v>
      </c>
      <c r="R54">
        <f t="shared" si="9"/>
        <v>0</v>
      </c>
      <c r="S54">
        <f t="shared" si="10"/>
        <v>0</v>
      </c>
      <c r="T54">
        <f t="shared" si="11"/>
        <v>0</v>
      </c>
      <c r="U54">
        <f t="shared" si="12"/>
        <v>0</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f t="shared" si="91"/>
        <v>0</v>
      </c>
      <c r="CW54">
        <f t="shared" si="91"/>
        <v>0</v>
      </c>
      <c r="CX54">
        <f t="shared" si="91"/>
        <v>0</v>
      </c>
      <c r="CY54">
        <f t="shared" si="91"/>
        <v>0</v>
      </c>
      <c r="CZ54">
        <f t="shared" si="93"/>
        <v>0</v>
      </c>
      <c r="DA54">
        <f t="shared" si="93"/>
        <v>0</v>
      </c>
    </row>
    <row r="55" spans="8:105" x14ac:dyDescent="0.25">
      <c r="I55" s="12">
        <f ca="1">'Required Capacity (Hide)'!E55</f>
        <v>44578</v>
      </c>
      <c r="J55">
        <f t="shared" si="1"/>
        <v>0</v>
      </c>
      <c r="K55">
        <f t="shared" si="2"/>
        <v>0</v>
      </c>
      <c r="L55">
        <f t="shared" si="3"/>
        <v>0</v>
      </c>
      <c r="M55">
        <f t="shared" si="4"/>
        <v>0</v>
      </c>
      <c r="N55">
        <f t="shared" si="5"/>
        <v>0</v>
      </c>
      <c r="O55">
        <f t="shared" si="6"/>
        <v>0</v>
      </c>
      <c r="P55">
        <f t="shared" si="7"/>
        <v>0</v>
      </c>
      <c r="Q55">
        <f t="shared" si="8"/>
        <v>0</v>
      </c>
      <c r="R55">
        <f t="shared" si="9"/>
        <v>0</v>
      </c>
      <c r="S55">
        <f t="shared" si="10"/>
        <v>0</v>
      </c>
      <c r="T55">
        <f t="shared" si="11"/>
        <v>0</v>
      </c>
      <c r="U55">
        <f t="shared" si="12"/>
        <v>0</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f t="shared" si="91"/>
        <v>0</v>
      </c>
      <c r="CW55">
        <f t="shared" si="91"/>
        <v>0</v>
      </c>
      <c r="CX55">
        <f t="shared" si="91"/>
        <v>0</v>
      </c>
      <c r="CY55">
        <f t="shared" si="91"/>
        <v>0</v>
      </c>
      <c r="CZ55">
        <f t="shared" si="93"/>
        <v>0</v>
      </c>
      <c r="DA55">
        <f t="shared" si="93"/>
        <v>0</v>
      </c>
    </row>
    <row r="56" spans="8:105" ht="15.75" thickBot="1" x14ac:dyDescent="0.3">
      <c r="I56" s="13">
        <f ca="1">'Required Capacity (Hide)'!E56</f>
        <v>44585</v>
      </c>
      <c r="J56">
        <f t="shared" si="1"/>
        <v>0</v>
      </c>
      <c r="K56">
        <f t="shared" si="2"/>
        <v>0</v>
      </c>
      <c r="L56">
        <f t="shared" si="3"/>
        <v>0</v>
      </c>
      <c r="M56">
        <f t="shared" si="4"/>
        <v>0</v>
      </c>
      <c r="N56">
        <f t="shared" si="5"/>
        <v>0</v>
      </c>
      <c r="O56">
        <f t="shared" si="6"/>
        <v>0</v>
      </c>
      <c r="P56">
        <f t="shared" si="7"/>
        <v>0</v>
      </c>
      <c r="Q56">
        <f t="shared" si="8"/>
        <v>0</v>
      </c>
      <c r="R56">
        <f t="shared" si="9"/>
        <v>0</v>
      </c>
      <c r="S56">
        <f t="shared" si="10"/>
        <v>0</v>
      </c>
      <c r="T56">
        <f t="shared" si="11"/>
        <v>0</v>
      </c>
      <c r="U56">
        <f t="shared" si="12"/>
        <v>0</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f t="shared" si="91"/>
        <v>0</v>
      </c>
      <c r="CW56">
        <f t="shared" si="91"/>
        <v>0</v>
      </c>
      <c r="CX56">
        <f t="shared" si="91"/>
        <v>0</v>
      </c>
      <c r="CY56">
        <f t="shared" si="91"/>
        <v>0</v>
      </c>
      <c r="CZ56">
        <f t="shared" si="93"/>
        <v>0</v>
      </c>
      <c r="DA56">
        <f t="shared" si="93"/>
        <v>0</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0</v>
      </c>
      <c r="L59" s="5">
        <f>AVERAGE(L5:L56)</f>
        <v>0</v>
      </c>
      <c r="M59" s="5">
        <f>AVERAGE(M5:M56)-L59</f>
        <v>0</v>
      </c>
      <c r="N59" s="5">
        <f>AVERAGE(N5:N56)</f>
        <v>0</v>
      </c>
      <c r="O59" s="5">
        <f>AVERAGE(O5:O56)-N59</f>
        <v>0</v>
      </c>
      <c r="P59" s="5">
        <f>AVERAGE(P5:P56)</f>
        <v>0</v>
      </c>
      <c r="Q59" s="5">
        <f>AVERAGE(Q5:Q56)-P59</f>
        <v>0</v>
      </c>
      <c r="R59" s="5">
        <f>AVERAGE(R5:R56)</f>
        <v>0</v>
      </c>
      <c r="S59" s="5">
        <f>AVERAGE(S5:S56)-R59</f>
        <v>0</v>
      </c>
      <c r="T59" s="5">
        <f>AVERAGE(T5:T56)</f>
        <v>0</v>
      </c>
      <c r="U59" s="5">
        <f>AVERAGE(U5:U56)-T59</f>
        <v>0</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0</v>
      </c>
    </row>
    <row r="64" spans="8:105" x14ac:dyDescent="0.25">
      <c r="I64" s="14" t="str">
        <f>'Data Validation (Hide)'!B3</f>
        <v>Caseload 2</v>
      </c>
      <c r="J64" s="5" cm="1">
        <f t="array" ref="J64">INDEX($J$59:$DA$60,1,MATCH(1,($I64=$J$1:$CU$1)*($J$62=$J$4:$CU$4)*(Planning!$M$2=$J$2:$CU$2),0))</f>
        <v>0</v>
      </c>
      <c r="K64" s="5" cm="1">
        <f t="array" ref="K64">INDEX($J$59:$DA$60,1,MATCH(1,($I64=$J$1:$CU$1)*($K$62=$J$58:$CU$58)*(Planning!$M$2=$J$2:$CU$2),0))</f>
        <v>0</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hidden="1" x14ac:dyDescent="0.25">
      <c r="I66" s="14" t="str">
        <f>'Data Validation (Hide)'!B5</f>
        <v>Caseload 4</v>
      </c>
      <c r="J66" s="5" cm="1">
        <f t="array" ref="J66">INDEX($J$59:$DA$60,1,MATCH(1,($I66=$J$1:$CU$1)*($J$62=$J$4:$CU$4)*(Planning!$M$2=$J$2:$CU$2),0))</f>
        <v>0</v>
      </c>
      <c r="K66" s="5" cm="1">
        <f t="array" ref="K66">INDEX($J$59:$DA$60,1,MATCH(1,($I66=$J$1:$CU$1)*($K$62=$J$58:$CU$58)*(Planning!$M$2=$J$2:$CU$2),0))</f>
        <v>0</v>
      </c>
    </row>
    <row r="67" spans="1:11" hidden="1" x14ac:dyDescent="0.25">
      <c r="I67" s="14" t="str">
        <f>'Data Validation (Hide)'!B6</f>
        <v>Caseload 5</v>
      </c>
      <c r="J67" s="5" cm="1">
        <f t="array" ref="J67">INDEX($J$59:$DA$60,1,MATCH(1,($I67=$J$1:$CU$1)*($J$62=$J$4:$CU$4)*(Planning!$M$2=$J$2:$CU$2),0))</f>
        <v>0</v>
      </c>
      <c r="K67" s="5" cm="1">
        <f t="array" ref="K67">INDEX($J$59:$DA$60,1,MATCH(1,($I67=$J$1:$CU$1)*($K$62=$J$58:$CU$58)*(Planning!$M$2=$J$2:$CU$2),0))</f>
        <v>0</v>
      </c>
    </row>
    <row r="68" spans="1:11" hidden="1" x14ac:dyDescent="0.25">
      <c r="I68" s="14" t="str">
        <f>'Data Validation (Hide)'!B7</f>
        <v>Caseload 6</v>
      </c>
      <c r="J68" cm="1">
        <f t="array" ref="J68">INDEX($J$59:$DA$60,1,MATCH(1,($I68=$J$1:$CU$1)*($J$62=$J$4:$CU$4)*(Planning!$M$2=$J$2:$CU$2),0))</f>
        <v>0</v>
      </c>
      <c r="K68" s="5" cm="1">
        <f t="array" ref="K68">INDEX($J$59:$DA$60,1,MATCH(1,($I68=$J$1:$CU$1)*($K$62=$J$58:$CU$58)*(Planning!$M$2=$J$2:$CU$2),0))</f>
        <v>0</v>
      </c>
    </row>
    <row r="69" spans="1:11" hidden="1" x14ac:dyDescent="0.25">
      <c r="I69" s="14" t="str">
        <f>'Data Validation (Hide)'!B8</f>
        <v>Caseload 7</v>
      </c>
      <c r="J69" cm="1">
        <f t="array" ref="J69">INDEX($J$59:$DA$60,1,MATCH(1,($I69=$J$1:$CU$1)*($J$62=$J$4:$CU$4)*(Planning!$M$2=$J$2:$CU$2),0))</f>
        <v>0</v>
      </c>
      <c r="K69" s="5" cm="1">
        <f t="array" ref="K69">INDEX($J$59:$DA$60,1,MATCH(1,($I69=$J$1:$CU$1)*($K$62=$J$58:$CU$58)*(Planning!$M$2=$J$2:$CU$2),0))</f>
        <v>0</v>
      </c>
    </row>
    <row r="70" spans="1:11" hidden="1" x14ac:dyDescent="0.25">
      <c r="I70" s="14" t="str">
        <f>'Data Validation (Hide)'!B9</f>
        <v>Caseload 8</v>
      </c>
      <c r="J70" cm="1">
        <f t="array" ref="J70">INDEX($J$59:$DA$60,1,MATCH(1,($I70=$J$1:$CU$1)*($J$62=$J$4:$CU$4)*(Planning!$M$2=$J$2:$CU$2),0))</f>
        <v>0</v>
      </c>
      <c r="K70" s="5" cm="1">
        <f t="array" ref="K70">INDEX($J$59:$DA$60,1,MATCH(1,($I70=$J$1:$CU$1)*($K$62=$J$58:$CU$58)*(Planning!$M$2=$J$2:$CU$2),0))</f>
        <v>0</v>
      </c>
    </row>
    <row r="71" spans="1:11" hidden="1" x14ac:dyDescent="0.25">
      <c r="I71" s="14" t="str">
        <f>'Data Validation (Hide)'!B10</f>
        <v>Caseload 9</v>
      </c>
      <c r="J71" cm="1">
        <f t="array" ref="J71">INDEX($J$59:$DA$60,1,MATCH(1,($I71=$J$1:$CU$1)*($J$62=$J$4:$CU$4)*(Planning!$M$2=$J$2:$CU$2),0))</f>
        <v>0</v>
      </c>
      <c r="K71" s="5" cm="1">
        <f t="array" ref="K71">INDEX($J$59:$DA$60,1,MATCH(1,($I71=$J$1:$CU$1)*($K$62=$J$58:$CU$58)*(Planning!$M$2=$J$2:$CU$2),0))</f>
        <v>0</v>
      </c>
    </row>
    <row r="72" spans="1:11" hidden="1" x14ac:dyDescent="0.25">
      <c r="I72" s="14" t="str">
        <f>'Data Validation (Hide)'!B11</f>
        <v>Caseload 10</v>
      </c>
      <c r="J72" cm="1">
        <f t="array" ref="J72">INDEX($J$59:$DA$60,1,MATCH(1,($I72=$J$1:$CU$1)*($J$62=$J$4:$CU$4)*(Planning!$M$2=$J$2:$CU$2),0))</f>
        <v>0</v>
      </c>
      <c r="K72" s="5" cm="1">
        <f t="array" ref="K72">INDEX($J$59:$DA$60,1,MATCH(1,($I72=$J$1:$CU$1)*($K$62=$J$58:$CU$58)*(Planning!$M$2=$J$2:$CU$2),0))</f>
        <v>0</v>
      </c>
    </row>
    <row r="73" spans="1:11" hidden="1" x14ac:dyDescent="0.25">
      <c r="I73" s="14" t="str">
        <f>'Data Validation (Hide)'!B12</f>
        <v>Caseload 11</v>
      </c>
      <c r="J73" cm="1">
        <f t="array" ref="J73">INDEX($J$59:$DA$60,1,MATCH(1,($I73=$J$1:$CU$1)*($J$62=$J$4:$CU$4)*(Planning!$M$2=$J$2:$CU$2),0))</f>
        <v>0</v>
      </c>
      <c r="K73" s="5" cm="1">
        <f t="array" ref="K73">INDEX($J$59:$DA$60,1,MATCH(1,($I73=$J$1:$CU$1)*($K$62=$J$58:$CU$58)*(Planning!$M$2=$J$2:$CU$2),0))</f>
        <v>0</v>
      </c>
    </row>
    <row r="74" spans="1:11" hidden="1" x14ac:dyDescent="0.25">
      <c r="I74" s="14" t="str">
        <f>'Data Validation (Hide)'!B13</f>
        <v>Caseload 12</v>
      </c>
      <c r="J74" cm="1">
        <f t="array" ref="J74">INDEX($J$59:$DA$60,1,MATCH(1,($I74=$J$1:$CU$1)*($J$62=$J$4:$CU$4)*(Planning!$M$2=$J$2:$CU$2),0))</f>
        <v>0</v>
      </c>
      <c r="K74" s="5" cm="1">
        <f t="array" ref="K74">INDEX($J$59:$DA$60,1,MATCH(1,($I74=$J$1:$CU$1)*($K$62=$J$58:$CU$58)*(Planning!$M$2=$J$2:$CU$2),0))</f>
        <v>0</v>
      </c>
    </row>
    <row r="75" spans="1:11" hidden="1" x14ac:dyDescent="0.25">
      <c r="I75" s="14" t="str">
        <f>'Data Validation (Hide)'!B14</f>
        <v>Caseload 13</v>
      </c>
      <c r="J75" cm="1">
        <f t="array" ref="J75">INDEX($J$59:$DA$60,1,MATCH(1,($I75=$J$1:$CU$1)*($J$62=$J$4:$CU$4)*(Planning!$M$2=$J$2:$CU$2),0))</f>
        <v>0</v>
      </c>
      <c r="K75" s="5" cm="1">
        <f t="array" ref="K75">INDEX($J$59:$DA$60,1,MATCH(1,($I75=$J$1:$CU$1)*($K$62=$J$58:$CU$58)*(Planning!$M$2=$J$2:$CU$2),0))</f>
        <v>0</v>
      </c>
    </row>
    <row r="76" spans="1:11" hidden="1" x14ac:dyDescent="0.25">
      <c r="I76" s="14" t="str">
        <f>'Data Validation (Hide)'!B15</f>
        <v>Caseload 14</v>
      </c>
      <c r="J76" cm="1">
        <f t="array" ref="J76">INDEX($J$59:$DA$60,1,MATCH(1,($I76=$J$1:$CU$1)*($J$62=$J$4:$CU$4)*(Planning!$M$2=$J$2:$CU$2),0))</f>
        <v>0</v>
      </c>
      <c r="K76" s="5" cm="1">
        <f t="array" ref="K76">INDEX($J$59:$DA$60,1,MATCH(1,($I76=$J$1:$CU$1)*($K$62=$J$58:$CU$58)*(Planning!$M$2=$J$2:$CU$2),0))</f>
        <v>0</v>
      </c>
    </row>
    <row r="77" spans="1:11" hidden="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2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2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hidden="1" x14ac:dyDescent="0.2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hidden="1"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hidden="1"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hidden="1"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hidden="1"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hidden="1"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hidden="1"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hidden="1"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hidden="1"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hidden="1"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hidden="1"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hidden="1"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2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2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9</vt:i4>
      </vt:variant>
    </vt:vector>
  </HeadingPairs>
  <TitlesOfParts>
    <vt:vector size="32"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CR Backing (Hide)</vt:lpstr>
      <vt:lpstr>Capacity Summary</vt:lpstr>
      <vt:lpstr>Capacity Backing (Hide)2</vt:lpstr>
      <vt:lpstr>Summary</vt:lpstr>
      <vt:lpstr>Clinical resource 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2021-08-04T12:42:02Z</dcterms:modified>
</cp:coreProperties>
</file>