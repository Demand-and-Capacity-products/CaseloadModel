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BA1BFB1D-FE1C-4B96-92E0-9B83ACAE2682}" xr6:coauthVersionLast="47" xr6:coauthVersionMax="47" xr10:uidLastSave="{00000000-0000-0000-0000-000000000000}"/>
  <bookViews>
    <workbookView xWindow="-120" yWindow="16080" windowWidth="29040" windowHeight="15840" tabRatio="735" firstSheet="6" activeTab="13"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7" i="24" l="1"/>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9"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RP6" i="22"/>
  <c r="RQ3" i="23" s="1"/>
  <c r="RO6" i="22"/>
  <c r="RP3" i="23" s="1"/>
  <c r="RN6" i="22"/>
  <c r="RO3" i="23" s="1"/>
  <c r="RM6" i="22"/>
  <c r="RN3" i="23" s="1"/>
  <c r="RL6" i="22"/>
  <c r="RM3" i="23" s="1"/>
  <c r="RK6" i="22"/>
  <c r="RL3" i="23" s="1"/>
  <c r="RJ6" i="22"/>
  <c r="RK3" i="23" s="1"/>
  <c r="RI6" i="22"/>
  <c r="RJ3" i="23" s="1"/>
  <c r="RH6" i="22"/>
  <c r="RI3" i="23" s="1"/>
  <c r="RG6" i="22"/>
  <c r="RH3" i="23" s="1"/>
  <c r="RF6" i="22"/>
  <c r="RG3" i="23" s="1"/>
  <c r="RE6" i="22"/>
  <c r="RF3" i="23" s="1"/>
  <c r="RD6" i="22"/>
  <c r="RE3" i="23" s="1"/>
  <c r="RC6" i="22"/>
  <c r="RD3" i="23" s="1"/>
  <c r="RB6" i="22"/>
  <c r="RC3" i="23" s="1"/>
  <c r="RA6" i="22"/>
  <c r="RB3" i="23" s="1"/>
  <c r="QZ6" i="22"/>
  <c r="RA3" i="23" s="1"/>
  <c r="QY6" i="22"/>
  <c r="QZ3" i="23" s="1"/>
  <c r="QX6" i="22"/>
  <c r="QY3" i="23" s="1"/>
  <c r="QW6" i="22"/>
  <c r="QX3" i="23" s="1"/>
  <c r="QV6" i="22"/>
  <c r="QW3" i="23" s="1"/>
  <c r="QU6" i="22"/>
  <c r="QV3" i="23" s="1"/>
  <c r="QT6" i="22"/>
  <c r="QU3" i="23" s="1"/>
  <c r="QS6" i="22"/>
  <c r="QT3" i="23" s="1"/>
  <c r="QR6" i="22"/>
  <c r="QS3" i="23" s="1"/>
  <c r="QQ6" i="22"/>
  <c r="QR3" i="23" s="1"/>
  <c r="QP6" i="22"/>
  <c r="QQ3" i="23" s="1"/>
  <c r="QO6" i="22"/>
  <c r="QP3" i="23" s="1"/>
  <c r="QN6" i="22"/>
  <c r="QO3" i="23" s="1"/>
  <c r="QM6" i="22"/>
  <c r="QN3" i="23" s="1"/>
  <c r="QL6" i="22"/>
  <c r="QM3" i="23" s="1"/>
  <c r="QK6" i="22"/>
  <c r="QL3" i="23" s="1"/>
  <c r="QJ6" i="22"/>
  <c r="QK3" i="23" s="1"/>
  <c r="QI6" i="22"/>
  <c r="QJ3" i="23" s="1"/>
  <c r="QH6" i="22"/>
  <c r="QI3" i="23" s="1"/>
  <c r="QG6" i="22"/>
  <c r="QH3" i="23" s="1"/>
  <c r="QF6" i="22"/>
  <c r="QG3" i="23" s="1"/>
  <c r="QE6" i="22"/>
  <c r="QF3" i="23" s="1"/>
  <c r="QD6" i="22"/>
  <c r="QE3" i="23" s="1"/>
  <c r="QC6" i="22"/>
  <c r="QD3" i="23" s="1"/>
  <c r="QB6" i="22"/>
  <c r="QC3" i="23" s="1"/>
  <c r="QA6" i="22"/>
  <c r="QB3" i="23" s="1"/>
  <c r="PZ6" i="22"/>
  <c r="QA3" i="23" s="1"/>
  <c r="PY6" i="22"/>
  <c r="PZ3" i="23" s="1"/>
  <c r="PX6" i="22"/>
  <c r="PY3" i="23" s="1"/>
  <c r="PW6" i="22"/>
  <c r="PX3" i="23" s="1"/>
  <c r="PV6" i="22"/>
  <c r="PW3" i="23" s="1"/>
  <c r="PU6" i="22"/>
  <c r="PV3" i="23" s="1"/>
  <c r="PT6" i="22"/>
  <c r="PU3" i="23" s="1"/>
  <c r="PS6" i="22"/>
  <c r="PT3" i="23" s="1"/>
  <c r="PR6" i="22"/>
  <c r="PS3" i="23" s="1"/>
  <c r="PQ6" i="22"/>
  <c r="PR3" i="23" s="1"/>
  <c r="PP6" i="22"/>
  <c r="PQ3" i="23" s="1"/>
  <c r="PO6" i="22"/>
  <c r="PP3" i="23" s="1"/>
  <c r="PN6" i="22"/>
  <c r="PO3" i="23" s="1"/>
  <c r="PM6" i="22"/>
  <c r="PN3" i="23" s="1"/>
  <c r="PL6" i="22"/>
  <c r="PM3" i="23" s="1"/>
  <c r="PK6" i="22"/>
  <c r="PL3" i="23" s="1"/>
  <c r="PJ6" i="22"/>
  <c r="PK3" i="23" s="1"/>
  <c r="PI6" i="22"/>
  <c r="PJ3" i="23" s="1"/>
  <c r="PH6" i="22"/>
  <c r="PI3" i="23" s="1"/>
  <c r="PG6" i="22"/>
  <c r="PH3" i="23" s="1"/>
  <c r="PF6" i="22"/>
  <c r="PG3" i="23" s="1"/>
  <c r="PE6" i="22"/>
  <c r="PF3" i="23" s="1"/>
  <c r="PD6" i="22"/>
  <c r="PE3" i="23" s="1"/>
  <c r="PC6" i="22"/>
  <c r="PD3" i="23" s="1"/>
  <c r="PB6" i="22"/>
  <c r="PC3" i="23" s="1"/>
  <c r="PA6" i="22"/>
  <c r="PB3" i="23" s="1"/>
  <c r="OZ6" i="22"/>
  <c r="PA3" i="23" s="1"/>
  <c r="OY6" i="22"/>
  <c r="OZ3" i="23" s="1"/>
  <c r="OX6" i="22"/>
  <c r="OY3" i="23" s="1"/>
  <c r="OW6" i="22"/>
  <c r="OX3" i="23" s="1"/>
  <c r="OV6" i="22"/>
  <c r="OW3" i="23" s="1"/>
  <c r="OU6" i="22"/>
  <c r="OV3" i="23" s="1"/>
  <c r="OT6" i="22"/>
  <c r="OU3" i="23" s="1"/>
  <c r="OS6" i="22"/>
  <c r="OT3" i="23" s="1"/>
  <c r="OR6" i="22"/>
  <c r="OS3" i="23" s="1"/>
  <c r="OQ6" i="22"/>
  <c r="OR3" i="23" s="1"/>
  <c r="OP6" i="22"/>
  <c r="OQ3" i="23" s="1"/>
  <c r="OO6" i="22"/>
  <c r="OP3" i="23" s="1"/>
  <c r="ON6" i="22"/>
  <c r="OO3" i="23" s="1"/>
  <c r="OM6" i="22"/>
  <c r="ON3" i="23" s="1"/>
  <c r="OL6" i="22"/>
  <c r="OM3" i="23" s="1"/>
  <c r="OK6" i="22"/>
  <c r="OL3" i="23" s="1"/>
  <c r="OJ6" i="22"/>
  <c r="OK3" i="23" s="1"/>
  <c r="OI6" i="22"/>
  <c r="OJ3" i="23" s="1"/>
  <c r="OH6" i="22"/>
  <c r="OI3" i="23" s="1"/>
  <c r="OG6" i="22"/>
  <c r="OH3" i="23" s="1"/>
  <c r="OF6" i="22"/>
  <c r="OG3" i="23" s="1"/>
  <c r="OE6" i="22"/>
  <c r="OF3" i="23" s="1"/>
  <c r="OD6" i="22"/>
  <c r="OE3" i="23" s="1"/>
  <c r="OC6" i="22"/>
  <c r="OD3" i="23" s="1"/>
  <c r="OB6" i="22"/>
  <c r="OC3" i="23" s="1"/>
  <c r="OA6" i="22"/>
  <c r="OB3" i="23" s="1"/>
  <c r="NZ6" i="22"/>
  <c r="OA3" i="23" s="1"/>
  <c r="NY6" i="22"/>
  <c r="NZ3" i="23" s="1"/>
  <c r="NX6" i="22"/>
  <c r="NY3" i="23" s="1"/>
  <c r="NW6" i="22"/>
  <c r="NX3" i="23" s="1"/>
  <c r="NV6" i="22"/>
  <c r="NW3" i="23" s="1"/>
  <c r="NU2" i="22"/>
  <c r="CF3" i="23"/>
  <c r="CF6" i="22"/>
  <c r="CG3" i="23" s="1"/>
  <c r="CG6" i="22"/>
  <c r="CH3" i="23" s="1"/>
  <c r="CH6" i="22"/>
  <c r="CI3" i="23" s="1"/>
  <c r="CI6" i="22"/>
  <c r="CJ3" i="23" s="1"/>
  <c r="CJ6" i="22"/>
  <c r="CK3" i="23" s="1"/>
  <c r="CK6" i="22"/>
  <c r="CL3" i="23" s="1"/>
  <c r="CL6" i="22"/>
  <c r="CM3" i="23" s="1"/>
  <c r="CM6" i="22"/>
  <c r="CN3" i="23" s="1"/>
  <c r="CN6" i="22"/>
  <c r="CO3" i="23" s="1"/>
  <c r="CO6" i="22"/>
  <c r="CP3" i="23" s="1"/>
  <c r="CP6" i="22"/>
  <c r="CQ3" i="23" s="1"/>
  <c r="CQ6" i="22"/>
  <c r="CR3" i="23" s="1"/>
  <c r="CR6" i="22"/>
  <c r="CS3" i="23" s="1"/>
  <c r="CS6" i="22"/>
  <c r="CT3" i="23" s="1"/>
  <c r="CT6" i="22"/>
  <c r="CU3" i="23" s="1"/>
  <c r="CU6" i="22"/>
  <c r="CV3" i="23" s="1"/>
  <c r="CV6" i="22"/>
  <c r="CW3" i="23" s="1"/>
  <c r="CW6" i="22"/>
  <c r="CX3" i="23" s="1"/>
  <c r="CX6" i="22"/>
  <c r="CY3" i="23" s="1"/>
  <c r="CY6" i="22"/>
  <c r="CZ3" i="23" s="1"/>
  <c r="CZ6" i="22"/>
  <c r="DA3" i="23" s="1"/>
  <c r="DA6" i="22"/>
  <c r="DB3" i="23" s="1"/>
  <c r="DB6" i="22"/>
  <c r="DC3" i="23" s="1"/>
  <c r="DC6" i="22"/>
  <c r="DD3" i="23" s="1"/>
  <c r="DD6" i="22"/>
  <c r="DE3" i="23" s="1"/>
  <c r="DE6" i="22"/>
  <c r="DF3" i="23" s="1"/>
  <c r="DF6" i="22"/>
  <c r="DG3" i="23" s="1"/>
  <c r="DG6" i="22"/>
  <c r="DH3" i="23" s="1"/>
  <c r="DH6" i="22"/>
  <c r="DI3" i="23" s="1"/>
  <c r="DI6" i="22"/>
  <c r="DJ3" i="23" s="1"/>
  <c r="DJ6" i="22"/>
  <c r="DK3" i="23" s="1"/>
  <c r="DK6" i="22"/>
  <c r="DL3" i="23" s="1"/>
  <c r="DL6" i="22"/>
  <c r="DM3" i="23" s="1"/>
  <c r="DM6" i="22"/>
  <c r="DN3" i="23" s="1"/>
  <c r="DN6" i="22"/>
  <c r="DO3" i="23" s="1"/>
  <c r="DO6" i="22"/>
  <c r="DP3" i="23" s="1"/>
  <c r="DP6" i="22"/>
  <c r="DQ3" i="23" s="1"/>
  <c r="DQ6" i="22"/>
  <c r="DR3" i="23" s="1"/>
  <c r="DR6" i="22"/>
  <c r="DS3" i="23" s="1"/>
  <c r="DS6" i="22"/>
  <c r="DT3" i="23" s="1"/>
  <c r="DT6" i="22"/>
  <c r="DU3" i="23" s="1"/>
  <c r="DU6" i="22"/>
  <c r="DV3" i="23" s="1"/>
  <c r="DV6" i="22"/>
  <c r="DW3" i="23" s="1"/>
  <c r="DW6" i="22"/>
  <c r="DX3" i="23" s="1"/>
  <c r="DX6" i="22"/>
  <c r="DY3" i="23" s="1"/>
  <c r="DY6" i="22"/>
  <c r="DZ3" i="23" s="1"/>
  <c r="DZ6" i="22"/>
  <c r="EA3" i="23" s="1"/>
  <c r="EA6" i="22"/>
  <c r="EB3" i="23" s="1"/>
  <c r="EB6" i="22"/>
  <c r="EC3" i="23" s="1"/>
  <c r="EC6" i="22"/>
  <c r="ED3" i="23" s="1"/>
  <c r="ED6" i="22"/>
  <c r="EE3" i="23" s="1"/>
  <c r="EE6" i="22"/>
  <c r="EF3" i="23" s="1"/>
  <c r="EF6" i="22"/>
  <c r="EG3" i="23" s="1"/>
  <c r="EG6" i="22"/>
  <c r="EH3" i="23" s="1"/>
  <c r="EH6" i="22"/>
  <c r="EI3" i="23" s="1"/>
  <c r="EI6" i="22"/>
  <c r="EJ3" i="23" s="1"/>
  <c r="EJ6" i="22"/>
  <c r="EK3" i="23" s="1"/>
  <c r="EK6" i="22"/>
  <c r="EL3" i="23" s="1"/>
  <c r="EL6" i="22"/>
  <c r="EM3" i="23" s="1"/>
  <c r="EM6" i="22"/>
  <c r="EN3" i="23" s="1"/>
  <c r="EN6" i="22"/>
  <c r="EO3" i="23" s="1"/>
  <c r="EO6" i="22"/>
  <c r="EP3" i="23" s="1"/>
  <c r="EP6" i="22"/>
  <c r="EQ3" i="23" s="1"/>
  <c r="EQ6" i="22"/>
  <c r="ER3" i="23" s="1"/>
  <c r="ER6" i="22"/>
  <c r="ES3" i="23" s="1"/>
  <c r="ES6" i="22"/>
  <c r="ET3" i="23" s="1"/>
  <c r="ET6" i="22"/>
  <c r="EU3" i="23" s="1"/>
  <c r="EU6" i="22"/>
  <c r="EV3" i="23" s="1"/>
  <c r="EV6" i="22"/>
  <c r="EW3" i="23" s="1"/>
  <c r="EW6" i="22"/>
  <c r="EX3" i="23" s="1"/>
  <c r="EX6" i="22"/>
  <c r="EY3" i="23" s="1"/>
  <c r="EY6" i="22"/>
  <c r="EZ3" i="23" s="1"/>
  <c r="EZ6" i="22"/>
  <c r="FA3" i="23" s="1"/>
  <c r="FA6" i="22"/>
  <c r="FB3" i="23" s="1"/>
  <c r="FB6" i="22"/>
  <c r="FC3" i="23" s="1"/>
  <c r="FC6" i="22"/>
  <c r="FD3" i="23" s="1"/>
  <c r="FD6" i="22"/>
  <c r="FE3" i="23" s="1"/>
  <c r="FE6" i="22"/>
  <c r="FF3" i="23" s="1"/>
  <c r="FF6" i="22"/>
  <c r="FG3" i="23" s="1"/>
  <c r="FG6" i="22"/>
  <c r="FH3" i="23" s="1"/>
  <c r="FH6" i="22"/>
  <c r="FI3" i="23" s="1"/>
  <c r="FI6" i="22"/>
  <c r="FJ3" i="23" s="1"/>
  <c r="FJ6" i="22"/>
  <c r="FK3" i="23" s="1"/>
  <c r="FK6" i="22"/>
  <c r="FL3" i="23" s="1"/>
  <c r="FL6" i="22"/>
  <c r="FM3" i="23" s="1"/>
  <c r="FM6" i="22"/>
  <c r="FN3" i="23" s="1"/>
  <c r="FN6" i="22"/>
  <c r="FO3" i="23" s="1"/>
  <c r="FO6" i="22"/>
  <c r="FP3" i="23" s="1"/>
  <c r="FP6" i="22"/>
  <c r="FQ3" i="23" s="1"/>
  <c r="FQ6" i="22"/>
  <c r="FR3" i="23" s="1"/>
  <c r="FR6" i="22"/>
  <c r="FS3" i="23" s="1"/>
  <c r="FS6" i="22"/>
  <c r="FT3" i="23" s="1"/>
  <c r="FT6" i="22"/>
  <c r="FU3" i="23" s="1"/>
  <c r="FU6" i="22"/>
  <c r="FV3" i="23" s="1"/>
  <c r="FV6" i="22"/>
  <c r="FW3" i="23" s="1"/>
  <c r="FW6" i="22"/>
  <c r="FX3" i="23" s="1"/>
  <c r="FX6" i="22"/>
  <c r="FY3" i="23" s="1"/>
  <c r="FY6" i="22"/>
  <c r="FZ3" i="23" s="1"/>
  <c r="FZ6" i="22"/>
  <c r="GA3" i="23" s="1"/>
  <c r="GB6" i="22"/>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CE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A10" i="24" s="1"/>
  <c r="E6" i="23"/>
  <c r="A11" i="24" s="1"/>
  <c r="E7" i="23"/>
  <c r="A12" i="24" s="1"/>
  <c r="E8" i="23"/>
  <c r="A13" i="24" s="1"/>
  <c r="E9" i="23"/>
  <c r="A14" i="24" s="1"/>
  <c r="E10" i="23"/>
  <c r="A15" i="24" s="1"/>
  <c r="E11" i="23"/>
  <c r="A16" i="24" s="1"/>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B6" i="22"/>
  <c r="CB3" i="23" s="1"/>
  <c r="CA6" i="22"/>
  <c r="CA3" i="23" s="1"/>
  <c r="BZ6" i="22"/>
  <c r="BZ3" i="23" s="1"/>
  <c r="BY6" i="22"/>
  <c r="BY3" i="23" s="1"/>
  <c r="BX6" i="22"/>
  <c r="BX3" i="23" s="1"/>
  <c r="BW6" i="22"/>
  <c r="BW3" i="23" s="1"/>
  <c r="BV6" i="22"/>
  <c r="BV3" i="23" s="1"/>
  <c r="BU6" i="22"/>
  <c r="BU3" i="23" s="1"/>
  <c r="BT6" i="22"/>
  <c r="BT3" i="23" s="1"/>
  <c r="BS6" i="22"/>
  <c r="BS3" i="23" s="1"/>
  <c r="BR6" i="22"/>
  <c r="BR3" i="23" s="1"/>
  <c r="BQ6" i="22"/>
  <c r="BQ3" i="23" s="1"/>
  <c r="BP6" i="22"/>
  <c r="BP3" i="23" s="1"/>
  <c r="BO6" i="22"/>
  <c r="BO3" i="23" s="1"/>
  <c r="BN6" i="22"/>
  <c r="BN3" i="23" s="1"/>
  <c r="BM6" i="22"/>
  <c r="BM3" i="23" s="1"/>
  <c r="BL6" i="22"/>
  <c r="BL3" i="23" s="1"/>
  <c r="BK6" i="22"/>
  <c r="BK3" i="23" s="1"/>
  <c r="BJ6" i="22"/>
  <c r="BJ3" i="23" s="1"/>
  <c r="BI6" i="22"/>
  <c r="BI3" i="23" s="1"/>
  <c r="BH6" i="22"/>
  <c r="BH3" i="23" s="1"/>
  <c r="BG6" i="22"/>
  <c r="BG3" i="23" s="1"/>
  <c r="BF6" i="22"/>
  <c r="BF3" i="23" s="1"/>
  <c r="BE6" i="22"/>
  <c r="BE3" i="23" s="1"/>
  <c r="BD6" i="22"/>
  <c r="BD3" i="23" s="1"/>
  <c r="BC6" i="22"/>
  <c r="BC3" i="23" s="1"/>
  <c r="BB6" i="22"/>
  <c r="BB3" i="23" s="1"/>
  <c r="BA6" i="22"/>
  <c r="BA3" i="23" s="1"/>
  <c r="AZ6" i="22"/>
  <c r="AZ3" i="23" s="1"/>
  <c r="AY6" i="22"/>
  <c r="AY3" i="23" s="1"/>
  <c r="AX6" i="22"/>
  <c r="AX3" i="23" s="1"/>
  <c r="AW6" i="22"/>
  <c r="AW3" i="23" s="1"/>
  <c r="AV6" i="22"/>
  <c r="AV3" i="23" s="1"/>
  <c r="AU6" i="22"/>
  <c r="AU3" i="23" s="1"/>
  <c r="AT6" i="22"/>
  <c r="AT3" i="23" s="1"/>
  <c r="AS6" i="22"/>
  <c r="AS3" i="23" s="1"/>
  <c r="AR6" i="22"/>
  <c r="AR3" i="23" s="1"/>
  <c r="AQ6" i="22"/>
  <c r="AQ3" i="23" s="1"/>
  <c r="AP6" i="22"/>
  <c r="AP3" i="23" s="1"/>
  <c r="AO6" i="22"/>
  <c r="AO3" i="23" s="1"/>
  <c r="AN6" i="22"/>
  <c r="AN3" i="23" s="1"/>
  <c r="AM6" i="22"/>
  <c r="AM3" i="23" s="1"/>
  <c r="AL6" i="22"/>
  <c r="AL3" i="23" s="1"/>
  <c r="AK6" i="22"/>
  <c r="AK3" i="23" s="1"/>
  <c r="AJ6" i="22"/>
  <c r="AJ3" i="23" s="1"/>
  <c r="AI6" i="22"/>
  <c r="AI3" i="23" s="1"/>
  <c r="AH6" i="22"/>
  <c r="AH3" i="23" s="1"/>
  <c r="AG6" i="22"/>
  <c r="AG3" i="23" s="1"/>
  <c r="AF6" i="22"/>
  <c r="AF3" i="23" s="1"/>
  <c r="AE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X5" i="22"/>
  <c r="BX2" i="23" s="1"/>
  <c r="BY2" i="23" s="1"/>
  <c r="BZ2" i="23" s="1"/>
  <c r="CA2" i="23" s="1"/>
  <c r="CB2" i="23" s="1"/>
  <c r="BS5" i="22"/>
  <c r="BS2" i="23" s="1"/>
  <c r="BT2" i="23" s="1"/>
  <c r="BU2" i="23" s="1"/>
  <c r="BV2" i="23" s="1"/>
  <c r="BW2" i="23" s="1"/>
  <c r="BN5" i="22"/>
  <c r="BN2" i="23" s="1"/>
  <c r="BO2" i="23" s="1"/>
  <c r="BP2" i="23" s="1"/>
  <c r="BQ2" i="23" s="1"/>
  <c r="BR2" i="23" s="1"/>
  <c r="BI5" i="22"/>
  <c r="BI2" i="23" s="1"/>
  <c r="BJ2" i="23" s="1"/>
  <c r="BK2" i="23" s="1"/>
  <c r="BL2" i="23" s="1"/>
  <c r="BM2" i="23" s="1"/>
  <c r="BD5" i="22"/>
  <c r="BD2" i="23" s="1"/>
  <c r="BE2" i="23" s="1"/>
  <c r="BF2" i="23" s="1"/>
  <c r="BG2" i="23" s="1"/>
  <c r="BH2" i="23" s="1"/>
  <c r="AY5" i="22"/>
  <c r="AY2" i="23" s="1"/>
  <c r="AZ2" i="23" s="1"/>
  <c r="BA2" i="23" s="1"/>
  <c r="BB2" i="23" s="1"/>
  <c r="BC2" i="23" s="1"/>
  <c r="AT5" i="22"/>
  <c r="AT2" i="23" s="1"/>
  <c r="AU2" i="23" s="1"/>
  <c r="AV2" i="23" s="1"/>
  <c r="AW2" i="23" s="1"/>
  <c r="AX2" i="23" s="1"/>
  <c r="AO5" i="22"/>
  <c r="AO2" i="23" s="1"/>
  <c r="AP2" i="23" s="1"/>
  <c r="AQ2" i="23" s="1"/>
  <c r="AR2" i="23" s="1"/>
  <c r="AS2" i="23" s="1"/>
  <c r="AJ5" i="22"/>
  <c r="AJ2" i="23" s="1"/>
  <c r="AK2" i="23" s="1"/>
  <c r="AL2" i="23" s="1"/>
  <c r="AM2" i="23" s="1"/>
  <c r="AN2" i="23" s="1"/>
  <c r="AE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K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W5" i="14" s="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Y176" i="5" a="1"/>
  <c r="Y176" i="5" s="1"/>
  <c r="W176" i="5" a="1"/>
  <c r="W176" i="5" s="1"/>
  <c r="AK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X241" i="5"/>
  <c r="X262" i="5"/>
  <c r="X35" i="5"/>
  <c r="X226" i="5"/>
  <c r="X66" i="5"/>
  <c r="X166" i="5"/>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63" i="5" l="1"/>
  <c r="AM229" i="5"/>
  <c r="AM82" i="5"/>
  <c r="AK165" i="5"/>
  <c r="AM77" i="5"/>
  <c r="AK155" i="5"/>
  <c r="AM166" i="5"/>
  <c r="AK149" i="5"/>
  <c r="AK244" i="5"/>
  <c r="AK124" i="5"/>
  <c r="AK182" i="5"/>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M113" i="5"/>
  <c r="AM93" i="5"/>
  <c r="AM27" i="5"/>
  <c r="AM107" i="5"/>
  <c r="AM114" i="5"/>
  <c r="AM128" i="5"/>
  <c r="AM126" i="5"/>
  <c r="AM144" i="5"/>
  <c r="AM60"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M9" i="5"/>
  <c r="AM99" i="5"/>
  <c r="AM175" i="5"/>
  <c r="AM130" i="5"/>
  <c r="AM71" i="5"/>
  <c r="AM147" i="5"/>
  <c r="AM133" i="5"/>
  <c r="AM187" i="5"/>
  <c r="AM136" i="5"/>
  <c r="AM196" i="5"/>
  <c r="AM226" i="5"/>
  <c r="AM6" i="5"/>
  <c r="AM111" i="5"/>
  <c r="AM132" i="5"/>
  <c r="AM255" i="5"/>
  <c r="AM192" i="5"/>
  <c r="AM76" i="5"/>
  <c r="AM189" i="5"/>
  <c r="AM228" i="5"/>
  <c r="AM142" i="5"/>
  <c r="AM88" i="5"/>
  <c r="AM221" i="5"/>
  <c r="AM174" i="5"/>
  <c r="AM163" i="5"/>
  <c r="AM262"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M141" i="5"/>
  <c r="AM235" i="5"/>
  <c r="AM251" i="5"/>
  <c r="AM242" i="5"/>
  <c r="AM176" i="5"/>
  <c r="AM155" i="5"/>
  <c r="AM121" i="5"/>
  <c r="AM137" i="5"/>
  <c r="AM47" i="5"/>
  <c r="AM116" i="5"/>
  <c r="AM241" i="5"/>
  <c r="AM84" i="5"/>
  <c r="AM215" i="5"/>
  <c r="AM69" i="5"/>
  <c r="AM39" i="5"/>
  <c r="AM194" i="5"/>
  <c r="AM49" i="5"/>
  <c r="AM54" i="5"/>
  <c r="AM44" i="5"/>
  <c r="AM87" i="5"/>
  <c r="AM171" i="5"/>
  <c r="AM19" i="5"/>
  <c r="AM230" i="5"/>
  <c r="AM78" i="5"/>
  <c r="AM157" i="5"/>
  <c r="AM160" i="5"/>
  <c r="AM256" i="5"/>
  <c r="AM172"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174" i="5" l="1"/>
  <c r="AL211" i="5"/>
  <c r="AL93" i="5"/>
  <c r="AL94" i="5"/>
  <c r="AL186" i="5"/>
  <c r="AL92" i="5"/>
  <c r="AL117" i="5"/>
  <c r="AL262" i="5"/>
  <c r="AL115" i="5"/>
  <c r="AL176" i="5"/>
  <c r="AL187" i="5"/>
  <c r="AL178" i="5"/>
  <c r="AL188" i="5"/>
  <c r="AL177" i="5"/>
  <c r="AN262" i="5"/>
  <c r="BF56" i="7"/>
  <c r="AL184" i="5"/>
  <c r="AL91" i="5"/>
  <c r="AL82" i="5"/>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H49" i="13"/>
  <c r="AH48" i="13"/>
  <c r="AH47" i="13"/>
  <c r="AH46" i="13"/>
  <c r="AH45" i="13"/>
  <c r="AH44" i="13"/>
  <c r="AH43" i="13"/>
  <c r="AH42" i="13"/>
  <c r="AH41" i="13"/>
  <c r="AH40" i="13"/>
  <c r="AH39" i="13"/>
  <c r="AH38" i="13"/>
  <c r="AH37" i="13"/>
  <c r="AH36" i="13"/>
  <c r="AH35" i="13"/>
  <c r="AH34" i="13"/>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AZ49" i="13"/>
  <c r="AZ48" i="13"/>
  <c r="AZ47" i="13"/>
  <c r="AZ46" i="13"/>
  <c r="AZ45" i="13"/>
  <c r="AZ44" i="13"/>
  <c r="AZ43" i="13"/>
  <c r="AZ42" i="13"/>
  <c r="AZ41" i="13"/>
  <c r="AZ40" i="13"/>
  <c r="AZ39" i="13"/>
  <c r="AZ38" i="13"/>
  <c r="AZ37" i="13"/>
  <c r="AZ36" i="13"/>
  <c r="AZ35" i="13"/>
  <c r="AZ34" i="13"/>
  <c r="AZ33" i="13"/>
  <c r="AZ32" i="13"/>
  <c r="AZ31" i="13"/>
  <c r="AZ30" i="13"/>
  <c r="AZ29" i="13"/>
  <c r="AZ28" i="13"/>
  <c r="AZ27" i="13"/>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73" i="5" l="1"/>
  <c r="AH4" i="5"/>
  <c r="BD27" i="13"/>
  <c r="AR27" i="13"/>
  <c r="AR51" i="13"/>
  <c r="BD42" i="13"/>
  <c r="BD50" i="13"/>
  <c r="AR10" i="13"/>
  <c r="AR18" i="13"/>
  <c r="AR26" i="13"/>
  <c r="AR34" i="13"/>
  <c r="AR42" i="13"/>
  <c r="AR50" i="13"/>
  <c r="CB50" i="13"/>
  <c r="AL34" i="13"/>
  <c r="AL42" i="13"/>
  <c r="AL50" i="13"/>
  <c r="BD29" i="13"/>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L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Q19" i="7" s="1"/>
  <c r="O13" i="7"/>
  <c r="Q13" i="7" s="1"/>
  <c r="O25" i="7"/>
  <c r="Q25" i="7" s="1"/>
  <c r="O17" i="7"/>
  <c r="Q17" i="7" s="1"/>
  <c r="O43" i="7"/>
  <c r="O26" i="7"/>
  <c r="Q26" i="7" s="1"/>
  <c r="O28" i="7"/>
  <c r="Q28" i="7" s="1"/>
  <c r="O55" i="7"/>
  <c r="Q55" i="7" s="1"/>
  <c r="O12" i="7"/>
  <c r="Q12" i="7" s="1"/>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M42" i="13"/>
  <c r="BM38" i="13"/>
  <c r="BM34" i="13"/>
  <c r="BM30" i="13"/>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AO16" i="7"/>
  <c r="AO7" i="7"/>
  <c r="BF59" i="7"/>
  <c r="F71" i="7" s="1" a="1"/>
  <c r="F71" i="7" s="1"/>
  <c r="AK59" i="7"/>
  <c r="AO51" i="7"/>
  <c r="AO45" i="7"/>
  <c r="AO53" i="7"/>
  <c r="AO13" i="7"/>
  <c r="AO23" i="7"/>
  <c r="AO44" i="7"/>
  <c r="AO38" i="7"/>
  <c r="AO26" i="7"/>
  <c r="AO14" i="7"/>
  <c r="AO2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Q46" i="13" l="1"/>
  <c r="AG31" i="13"/>
  <c r="AG39" i="13"/>
  <c r="CO39" i="13"/>
  <c r="CC8" i="13"/>
  <c r="CC55" i="13"/>
  <c r="BQ30" i="13"/>
  <c r="BK35" i="13"/>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M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N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O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P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Q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R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S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T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U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V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W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X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Y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ZZ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A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B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C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D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E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F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G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H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I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J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K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L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M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N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O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P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Q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R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S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T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U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V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W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X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Y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AZ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A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B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C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D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E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F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G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H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I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J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<sst xmlns="http://schemas.openxmlformats.org/spreadsheetml/2006/main" count="951" uniqueCount="325">
  <si>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</si>
  <si>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</si>
  <si>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</si>
  <si>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</si>
  <si>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</si>
  <si>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</si>
  <si>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</si>
  <si>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</si>
  <si>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</si>
  <si>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</si>
  <si>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</si>
  <si>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</si>
  <si>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</si>
  <si>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</si>
  <si>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</si>
  <si>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</si>
  <si>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</si>
  <si>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</si>
  <si>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</si>
  <si>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</si>
  <si>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</si>
  <si>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</si>
  <si>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</si>
  <si>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</si>
  <si>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</si>
  <si>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</si>
  <si>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</si>
  <si>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</si>
  <si>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</si>
  <si>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</si>
  <si>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</si>
  <si>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</si>
  <si>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</si>
  <si>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</si>
  <si>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</si>
  <si>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</si>
  <si>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</si>
  <si>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</si>
  <si>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</si>
  <si>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</si>
  <si>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</si>
  <si>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</si>
  <si>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</si>
  <si>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</si>
  <si>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</si>
  <si>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</si>
  <si>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</si>
  <si>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</si>
  <si>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</si>
  <si>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</si>
  <si>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</si>
  <si>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</si>
  <si>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</si>
  <si>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</si>
  <si>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</si>
  <si>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</si>
  <si>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</si>
  <si>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</si>
  <si>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</si>
  <si>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</si>
  <si>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</si>
  <si>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</si>
  <si>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</si>
  <si>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</si>
  <si>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</si>
  <si>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</si>
  <si>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</si>
  <si>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</si>
  <si>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</si>
  <si>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</si>
  <si>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</si>
  <si>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</si>
  <si>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</si>
  <si>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</si>
  <si>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</si>
  <si>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</si>
  <si>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</si>
  <si>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</si>
  <si>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</si>
  <si>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</si>
  <si>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</si>
  <si>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</si>
  <si>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</si>
  <si>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</si>
  <si>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</si>
  <si>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</si>
  <si>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</si>
  <si>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</si>
  <si>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</si>
  <si>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</si>
  <si>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</si>
  <si>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</si>
  <si>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</si>
  <si>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</si>
  <si>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</si>
  <si>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</si>
  <si>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</si>
  <si>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</si>
  <si>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</si>
  <si>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</si>
  <si>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</si>
  <si>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</si>
  <si>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</si>
  <si>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</si>
  <si>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</si>
  <si>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</si>
  <si>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</si>
  <si>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</si>
  <si>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</si>
  <si>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</si>
  <si>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</si>
  <si>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</si>
  <si>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</si>
  <si>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</si>
  <si>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</si>
  <si>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</si>
  <si>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</si>
  <si>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</si>
  <si>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</si>
  <si>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</si>
  <si>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</si>
  <si>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</si>
  <si>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</si>
  <si>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</si>
  <si>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</si>
  <si>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</si>
  <si>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</si>
  <si>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</si>
  <si>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</si>
  <si>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</si>
  <si>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</si>
  <si>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</si>
  <si>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</si>
  <si>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</si>
  <si>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</si>
  <si>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</si>
  <si>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</si>
  <si>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</si>
  <si>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</si>
  <si>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</si>
  <si>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</si>
  <si>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</si>
  <si>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</si>
  <si>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</si>
  <si>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</si>
  <si>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</si>
  <si>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</si>
  <si>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</si>
  <si>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</si>
  <si>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</si>
  <si>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</si>
  <si>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</si>
  <si>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</si>
  <si>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</si>
  <si>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</si>
  <si>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</si>
  <si>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</si>
  <si>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</si>
  <si>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</si>
  <si>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</si>
  <si>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</si>
  <si>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</si>
  <si>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</si>
  <si>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</si>
  <si>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</si>
  <si>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</si>
  <si>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</si>
  <si>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</si>
  <si>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</si>
  <si>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</si>
  <si>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</si>
  <si>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</si>
  <si>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</si>
  <si>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</si>
  <si>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</si>
  <si>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</si>
  <si>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</si>
  <si>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</si>
  <si>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</si>
  <si>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</si>
  <si>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</si>
  <si>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</si>
  <si>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</si>
  <si>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</si>
  <si>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</si>
  <si>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</si>
  <si>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</si>
  <si>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</si>
  <si>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</si>
  <si>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</si>
  <si>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</si>
  <si>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</si>
  <si>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</si>
  <si>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</si>
  <si>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</si>
  <si>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</si>
  <si>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</si>
  <si>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</si>
  <si>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</si>
  <si>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</si>
  <si>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</si>
  <si>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</si>
  <si>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</si>
  <si>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</si>
  <si>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</si>
  <si>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</si>
  <si>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</si>
  <si>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</si>
  <si>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</si>
  <si>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</si>
  <si>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</si>
  <si>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</si>
  <si>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</si>
  <si>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</si>
  <si>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</si>
  <si>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</si>
  <si>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</si>
  <si>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</si>
  <si>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</si>
  <si>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</si>
  <si>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</si>
  <si>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</si>
  <si>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</si>
  <si>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</si>
  <si>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</si>
  <si>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</si>
  <si>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</si>
  <si>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</si>
  <si>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</si>
  <si>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</si>
  <si>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</si>
  <si>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</si>
  <si>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</si>
  <si>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</si>
  <si>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</si>
  <si>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</si>
  <si>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</si>
  <si>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</si>
  <si>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</si>
  <si>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</si>
  <si>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</si>
  <si>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</si>
  <si>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</si>
  <si>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</si>
  <si>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</si>
  <si>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</si>
  <si>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</si>
  <si>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</si>
  <si>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</si>
  <si>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</si>
  <si>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</si>
  <si>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</si>
  <si>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</si>
  <si>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</si>
  <si>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</si>
  <si>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</si>
  <si>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</si>
  <si>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</si>
  <si>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</si>
  <si>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</si>
  <si>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</si>
  <si>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</si>
  <si>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</si>
  <si>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</si>
  <si>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</si>
  <si>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</si>
  <si>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</si>
  <si>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</si>
  <si>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</si>
  <si>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</si>
  <si>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</si>
  <si>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</si>
  <si>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</si>
  <si>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</si>
  <si>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</si>
  <si>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</si>
  <si>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</si>
  <si>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</si>
  <si>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</si>
  <si>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</si>
  <si>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</si>
  <si>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</si>
  <si>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</si>
  <si>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</si>
  <si>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</si>
  <si>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</si>
  <si>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</si>
  <si>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</si>
  <si>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</si>
  <si>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</si>
  <si>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</si>
  <si>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</si>
  <si>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</si>
  <si>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</si>
  <si>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</si>
  <si>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</si>
  <si>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</si>
  <si>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</si>
  <si>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</si>
  <si>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</si>
  <si>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</si>
  <si>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</si>
  <si>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</si>
  <si>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</si>
  <si>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</si>
  <si>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</si>
  <si>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</si>
  <si>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</si>
  <si>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</si>
  <si>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</si>
  <si>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</si>
  <si>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</si>
  <si>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1 to 15 [group here]</t>
  </si>
  <si>
    <t>Overall summary</t>
  </si>
  <si>
    <t>Specific resource level summary</t>
  </si>
  <si>
    <t xml:space="preserve">Clinical resource: </t>
  </si>
  <si>
    <t>Weekly availability</t>
  </si>
  <si>
    <t>Capacity sessions</t>
  </si>
  <si>
    <t>Assigned</t>
  </si>
  <si>
    <t>Available</t>
  </si>
  <si>
    <t>Specific session summary</t>
  </si>
  <si>
    <t>Clinical session:</t>
  </si>
  <si>
    <t>Ad Hoc</t>
  </si>
  <si>
    <t>[hideable]</t>
  </si>
  <si>
    <t>-&gt; out to 52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</si>
</sst>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s>
  <cellStyleXfs count="2">
    <xf numFmtId="0" fontId="0" fillId="0" borderId="0"/>
    <xf numFmtId="9" fontId="5" fillId="0" borderId="0" applyFont="0" applyFill="0" applyBorder="0" applyAlignment="0" applyProtection="0"/>
  </cellStyleXfs>
  <cellXfs count="22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0" xfId="0" applyAlignment="1">
      <alignment horizontal="center" textRotation="90"/>
    </xf>
  </cellXfs>
  <cellStyles count="2">
    <cellStyle name="Normal" xfId="0" builtinId="0"/>
    <cellStyle name="Percent" xfId="1" builtinId="5"/>
  </cellStyles>
  <dxfs count="2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3"/>
                <c:pt idx="0">
                  <c:v>Caseload 1</c:v>
                </c:pt>
                <c:pt idx="1">
                  <c:v>Caseload 2</c:v>
                </c:pt>
                <c:pt idx="2">
                  <c:v>Caseload 3</c:v>
                </c:pt>
              </c:strCache>
            </c:strRef>
          </c:cat>
          <c:val>
            <c:numRef>
              <c:f>'Required Capacity (Hide)'!$F$63:$F$77</c:f>
              <c:numCache>
                <c:formatCode>General</c:formatCode>
                <c:ptCount val="3"/>
                <c:pt idx="0">
                  <c:v>0</c:v>
                </c:pt>
                <c:pt idx="1">
                  <c:v>0</c:v>
                </c:pt>
                <c:pt idx="2">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3"/>
                <c:pt idx="0">
                  <c:v>Caseload 1</c:v>
                </c:pt>
                <c:pt idx="1">
                  <c:v>Caseload 2</c:v>
                </c:pt>
                <c:pt idx="2">
                  <c:v>Caseload 3</c:v>
                </c:pt>
              </c:strCache>
            </c:strRef>
          </c:cat>
          <c:val>
            <c:numRef>
              <c:f>'Required Capacity (Hide)'!$G$63:$G$77</c:f>
              <c:numCache>
                <c:formatCode>General</c:formatCode>
                <c:ptCount val="3"/>
                <c:pt idx="0">
                  <c:v>0</c:v>
                </c:pt>
                <c:pt idx="1">
                  <c:v>0</c:v>
                </c:pt>
                <c:pt idx="2">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3"/>
                <c:pt idx="0">
                  <c:v>0</c:v>
                </c:pt>
                <c:pt idx="1">
                  <c:v>0</c:v>
                </c:pt>
                <c:pt idx="2">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3"/>
                <c:pt idx="0">
                  <c:v>0</c:v>
                </c:pt>
                <c:pt idx="1">
                  <c:v>0</c:v>
                </c:pt>
                <c:pt idx="2">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Config'!$J$5:$J$20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Config'!$L$5:$L$20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4"/>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[0]!Summary_WaitingListLower</c:f>
              <c:numCache>
                <c:formatCode>General</c:formatCode>
                <c:ptCount val="3"/>
                <c:pt idx="0">
                  <c:v>0</c:v>
                </c:pt>
                <c:pt idx="1">
                  <c:v>0</c:v>
                </c:pt>
                <c:pt idx="2">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[0]!Summary_WaitingListUpper</c:f>
              <c:numCache>
                <c:formatCode>General</c:formatCode>
                <c:ptCount val="3"/>
                <c:pt idx="0">
                  <c:v>0</c:v>
                </c:pt>
                <c:pt idx="1">
                  <c:v>0</c:v>
                </c:pt>
                <c:pt idx="2">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3"/>
                <c:pt idx="0">
                  <c:v>Caseload 1</c:v>
                </c:pt>
                <c:pt idx="1">
                  <c:v>Caseload 2</c:v>
                </c:pt>
                <c:pt idx="2">
                  <c:v>Caseload 3</c:v>
                </c:pt>
              </c:strCache>
            </c:strRef>
          </c:cat>
          <c:val>
            <c:numRef>
              <c:f>'Planning Backing (Hide)'!$J$63:$J$77</c:f>
              <c:numCache>
                <c:formatCode>General</c:formatCode>
                <c:ptCount val="3"/>
                <c:pt idx="0">
                  <c:v>0</c:v>
                </c:pt>
                <c:pt idx="1">
                  <c:v>0</c:v>
                </c:pt>
                <c:pt idx="2">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3"/>
                <c:pt idx="0">
                  <c:v>Caseload 1</c:v>
                </c:pt>
                <c:pt idx="1">
                  <c:v>Caseload 2</c:v>
                </c:pt>
                <c:pt idx="2">
                  <c:v>Caseload 3</c:v>
                </c:pt>
              </c:strCache>
            </c:strRef>
          </c:cat>
          <c:val>
            <c:numRef>
              <c:f>'Planning Backing (Hide)'!$K$63:$K$77</c:f>
              <c:numCache>
                <c:formatCode>General</c:formatCode>
                <c:ptCount val="3"/>
                <c:pt idx="0">
                  <c:v>0</c:v>
                </c:pt>
                <c:pt idx="1">
                  <c:v>0</c:v>
                </c:pt>
                <c:pt idx="2">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3"/>
                <c:pt idx="0">
                  <c:v>0</c:v>
                </c:pt>
                <c:pt idx="1">
                  <c:v>0</c:v>
                </c:pt>
                <c:pt idx="2">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30</xdr:col>
      <xdr:colOff>92075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30</xdr:col>
      <xdr:colOff>92075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30</xdr:col>
      <xdr:colOff>457201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28</xdr:col>
      <xdr:colOff>34925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30</xdr:col>
      <xdr:colOff>130175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50</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3" t="str">
        <f>"Demand and capacity analysis notes for "&amp;Setup!B5</f>
        <v xml:space="preserve">Demand and capacity analysis notes for </v>
      </c>
      <c r="C2" s="193"/>
      <c r="D2" s="193"/>
      <c r="E2" s="193"/>
      <c r="F2" s="193"/>
      <c r="G2" s="193"/>
      <c r="H2" s="193"/>
      <c r="I2" s="193"/>
      <c r="J2" s="193"/>
      <c r="K2" s="193"/>
      <c r="L2" s="193"/>
      <c r="M2" s="193"/>
      <c r="N2" s="193"/>
      <c r="O2" s="193"/>
      <c r="P2" s="193"/>
      <c r="Q2" s="193"/>
      <c r="R2" s="193"/>
      <c r="S2" s="193"/>
      <c r="T2" s="193"/>
      <c r="U2" s="193"/>
    </row>
    <row r="3" spans="2:21" ht="15.75" thickBot="1" x14ac:dyDescent="0.3">
      <c r="B3" s="172" t="s">
        <v>218</v>
      </c>
    </row>
    <row r="4" spans="2:21" ht="15.75" thickBot="1" x14ac:dyDescent="0.3">
      <c r="B4" s="190"/>
      <c r="C4" s="191"/>
      <c r="D4" s="191"/>
      <c r="E4" s="191"/>
      <c r="F4" s="191"/>
      <c r="G4" s="191"/>
      <c r="H4" s="191"/>
      <c r="I4" s="191"/>
      <c r="J4" s="191"/>
      <c r="K4" s="191"/>
      <c r="L4" s="191"/>
      <c r="M4" s="191"/>
      <c r="N4" s="191"/>
      <c r="O4" s="191"/>
      <c r="P4" s="191"/>
      <c r="Q4" s="191"/>
      <c r="R4" s="191"/>
      <c r="S4" s="191"/>
      <c r="T4" s="191"/>
      <c r="U4" s="192"/>
    </row>
    <row r="5" spans="2:21" x14ac:dyDescent="0.25">
      <c r="B5" s="194"/>
      <c r="C5" s="194"/>
      <c r="D5" s="194"/>
      <c r="E5" s="194"/>
      <c r="F5" s="194"/>
      <c r="G5" s="194"/>
      <c r="H5" s="194"/>
      <c r="I5" s="194"/>
      <c r="J5" s="194"/>
      <c r="K5" s="194"/>
      <c r="L5" s="194"/>
      <c r="M5" s="194"/>
      <c r="N5" s="194"/>
      <c r="O5" s="194"/>
      <c r="P5" s="194"/>
      <c r="Q5" s="194"/>
      <c r="R5" s="194"/>
      <c r="S5" s="194"/>
      <c r="T5" s="194"/>
      <c r="U5" s="194"/>
    </row>
    <row r="6" spans="2:21" x14ac:dyDescent="0.25">
      <c r="B6" s="189"/>
      <c r="C6" s="189"/>
      <c r="D6" s="189"/>
      <c r="E6" s="189"/>
      <c r="F6" s="189"/>
      <c r="G6" s="189"/>
      <c r="H6" s="189"/>
      <c r="I6" s="189"/>
      <c r="J6" s="189"/>
      <c r="K6" s="189"/>
      <c r="L6" s="189"/>
      <c r="M6" s="189"/>
      <c r="N6" s="189"/>
      <c r="O6" s="189"/>
      <c r="P6" s="189"/>
      <c r="Q6" s="189"/>
      <c r="R6" s="189"/>
      <c r="S6" s="189"/>
      <c r="T6" s="189"/>
      <c r="U6" s="189"/>
    </row>
    <row r="7" spans="2:21" x14ac:dyDescent="0.25">
      <c r="B7" s="189"/>
      <c r="C7" s="189"/>
      <c r="D7" s="189"/>
      <c r="E7" s="189"/>
      <c r="F7" s="189"/>
      <c r="G7" s="189"/>
      <c r="H7" s="189"/>
      <c r="I7" s="189"/>
      <c r="J7" s="189"/>
      <c r="K7" s="189"/>
      <c r="L7" s="189"/>
      <c r="M7" s="189"/>
      <c r="N7" s="189"/>
      <c r="O7" s="189"/>
      <c r="P7" s="189"/>
      <c r="Q7" s="189"/>
      <c r="R7" s="189"/>
      <c r="S7" s="189"/>
      <c r="T7" s="189"/>
      <c r="U7" s="189"/>
    </row>
    <row r="8" spans="2:21" x14ac:dyDescent="0.25">
      <c r="B8" s="189"/>
      <c r="C8" s="189"/>
      <c r="D8" s="189"/>
      <c r="E8" s="189"/>
      <c r="F8" s="189"/>
      <c r="G8" s="189"/>
      <c r="H8" s="189"/>
      <c r="I8" s="189"/>
      <c r="J8" s="189"/>
      <c r="K8" s="189"/>
      <c r="L8" s="189"/>
      <c r="M8" s="189"/>
      <c r="N8" s="189"/>
      <c r="O8" s="189"/>
      <c r="P8" s="189"/>
      <c r="Q8" s="189"/>
      <c r="R8" s="189"/>
      <c r="S8" s="189"/>
      <c r="T8" s="189"/>
      <c r="U8" s="189"/>
    </row>
    <row r="9" spans="2:21" x14ac:dyDescent="0.25">
      <c r="B9" s="189"/>
      <c r="C9" s="189"/>
      <c r="D9" s="189"/>
      <c r="E9" s="189"/>
      <c r="F9" s="189"/>
      <c r="G9" s="189"/>
      <c r="H9" s="189"/>
      <c r="I9" s="189"/>
      <c r="J9" s="189"/>
      <c r="K9" s="189"/>
      <c r="L9" s="189"/>
      <c r="M9" s="189"/>
      <c r="N9" s="189"/>
      <c r="O9" s="189"/>
      <c r="P9" s="189"/>
      <c r="Q9" s="189"/>
      <c r="R9" s="189"/>
      <c r="S9" s="189"/>
      <c r="T9" s="189"/>
      <c r="U9" s="189"/>
    </row>
    <row r="10" spans="2:21" x14ac:dyDescent="0.25">
      <c r="B10" s="189"/>
      <c r="C10" s="189"/>
      <c r="D10" s="189"/>
      <c r="E10" s="189"/>
      <c r="F10" s="189"/>
      <c r="G10" s="189"/>
      <c r="H10" s="189"/>
      <c r="I10" s="189"/>
      <c r="J10" s="189"/>
      <c r="K10" s="189"/>
      <c r="L10" s="189"/>
      <c r="M10" s="189"/>
      <c r="N10" s="189"/>
      <c r="O10" s="189"/>
      <c r="P10" s="189"/>
      <c r="Q10" s="189"/>
      <c r="R10" s="189"/>
      <c r="S10" s="189"/>
      <c r="T10" s="189"/>
      <c r="U10" s="189"/>
    </row>
    <row r="11" spans="2:21" x14ac:dyDescent="0.25">
      <c r="B11" s="189"/>
      <c r="C11" s="189"/>
      <c r="D11" s="189"/>
      <c r="E11" s="189"/>
      <c r="F11" s="189"/>
      <c r="G11" s="189"/>
      <c r="H11" s="189"/>
      <c r="I11" s="189"/>
      <c r="J11" s="189"/>
      <c r="K11" s="189"/>
      <c r="L11" s="189"/>
      <c r="M11" s="189"/>
      <c r="N11" s="189"/>
      <c r="O11" s="189"/>
      <c r="P11" s="189"/>
      <c r="Q11" s="189"/>
      <c r="R11" s="189"/>
      <c r="S11" s="189"/>
      <c r="T11" s="189"/>
      <c r="U11" s="189"/>
    </row>
    <row r="12" spans="2:21" x14ac:dyDescent="0.25">
      <c r="B12" s="189"/>
      <c r="C12" s="189"/>
      <c r="D12" s="189"/>
      <c r="E12" s="189"/>
      <c r="F12" s="189"/>
      <c r="G12" s="189"/>
      <c r="H12" s="189"/>
      <c r="I12" s="189"/>
      <c r="J12" s="189"/>
      <c r="K12" s="189"/>
      <c r="L12" s="189"/>
      <c r="M12" s="189"/>
      <c r="N12" s="189"/>
      <c r="O12" s="189"/>
      <c r="P12" s="189"/>
      <c r="Q12" s="189"/>
      <c r="R12" s="189"/>
      <c r="S12" s="189"/>
      <c r="T12" s="189"/>
      <c r="U12" s="189"/>
    </row>
    <row r="13" spans="2:21" x14ac:dyDescent="0.25">
      <c r="B13" s="189"/>
      <c r="C13" s="189"/>
      <c r="D13" s="189"/>
      <c r="E13" s="189"/>
      <c r="F13" s="189"/>
      <c r="G13" s="189"/>
      <c r="H13" s="189"/>
      <c r="I13" s="189"/>
      <c r="J13" s="189"/>
      <c r="K13" s="189"/>
      <c r="L13" s="189"/>
      <c r="M13" s="189"/>
      <c r="N13" s="189"/>
      <c r="O13" s="189"/>
      <c r="P13" s="189"/>
      <c r="Q13" s="189"/>
      <c r="R13" s="189"/>
      <c r="S13" s="189"/>
      <c r="T13" s="189"/>
      <c r="U13" s="189"/>
    </row>
    <row r="14" spans="2:21" x14ac:dyDescent="0.25">
      <c r="B14" s="189"/>
      <c r="C14" s="189"/>
      <c r="D14" s="189"/>
      <c r="E14" s="189"/>
      <c r="F14" s="189"/>
      <c r="G14" s="189"/>
      <c r="H14" s="189"/>
      <c r="I14" s="189"/>
      <c r="J14" s="189"/>
      <c r="K14" s="189"/>
      <c r="L14" s="189"/>
      <c r="M14" s="189"/>
      <c r="N14" s="189"/>
      <c r="O14" s="189"/>
      <c r="P14" s="189"/>
      <c r="Q14" s="189"/>
      <c r="R14" s="189"/>
      <c r="S14" s="189"/>
      <c r="T14" s="189"/>
      <c r="U14" s="189"/>
    </row>
    <row r="15" spans="2:21" x14ac:dyDescent="0.25">
      <c r="B15" s="189"/>
      <c r="C15" s="189"/>
      <c r="D15" s="189"/>
      <c r="E15" s="189"/>
      <c r="F15" s="189"/>
      <c r="G15" s="189"/>
      <c r="H15" s="189"/>
      <c r="I15" s="189"/>
      <c r="J15" s="189"/>
      <c r="K15" s="189"/>
      <c r="L15" s="189"/>
      <c r="M15" s="189"/>
      <c r="N15" s="189"/>
      <c r="O15" s="189"/>
      <c r="P15" s="189"/>
      <c r="Q15" s="189"/>
      <c r="R15" s="189"/>
      <c r="S15" s="189"/>
      <c r="T15" s="189"/>
      <c r="U15" s="189"/>
    </row>
    <row r="16" spans="2:21" x14ac:dyDescent="0.25">
      <c r="B16" s="189"/>
      <c r="C16" s="189"/>
      <c r="D16" s="189"/>
      <c r="E16" s="189"/>
      <c r="F16" s="189"/>
      <c r="G16" s="189"/>
      <c r="H16" s="189"/>
      <c r="I16" s="189"/>
      <c r="J16" s="189"/>
      <c r="K16" s="189"/>
      <c r="L16" s="189"/>
      <c r="M16" s="189"/>
      <c r="N16" s="189"/>
      <c r="O16" s="189"/>
      <c r="P16" s="189"/>
      <c r="Q16" s="189"/>
      <c r="R16" s="189"/>
      <c r="S16" s="189"/>
      <c r="T16" s="189"/>
      <c r="U16" s="189"/>
    </row>
    <row r="17" spans="2:21" x14ac:dyDescent="0.25">
      <c r="B17" s="189"/>
      <c r="C17" s="189"/>
      <c r="D17" s="189"/>
      <c r="E17" s="189"/>
      <c r="F17" s="189"/>
      <c r="G17" s="189"/>
      <c r="H17" s="189"/>
      <c r="I17" s="189"/>
      <c r="J17" s="189"/>
      <c r="K17" s="189"/>
      <c r="L17" s="189"/>
      <c r="M17" s="189"/>
      <c r="N17" s="189"/>
      <c r="O17" s="189"/>
      <c r="P17" s="189"/>
      <c r="Q17" s="189"/>
      <c r="R17" s="189"/>
      <c r="S17" s="189"/>
      <c r="T17" s="189"/>
      <c r="U17" s="189"/>
    </row>
    <row r="18" spans="2:21" x14ac:dyDescent="0.25">
      <c r="B18" s="189"/>
      <c r="C18" s="189"/>
      <c r="D18" s="189"/>
      <c r="E18" s="189"/>
      <c r="F18" s="189"/>
      <c r="G18" s="189"/>
      <c r="H18" s="189"/>
      <c r="I18" s="189"/>
      <c r="J18" s="189"/>
      <c r="K18" s="189"/>
      <c r="L18" s="189"/>
      <c r="M18" s="189"/>
      <c r="N18" s="189"/>
      <c r="O18" s="189"/>
      <c r="P18" s="189"/>
      <c r="Q18" s="189"/>
      <c r="R18" s="189"/>
      <c r="S18" s="189"/>
      <c r="T18" s="189"/>
      <c r="U18" s="189"/>
    </row>
    <row r="19" spans="2:21" x14ac:dyDescent="0.25">
      <c r="B19" s="189"/>
      <c r="C19" s="189"/>
      <c r="D19" s="189"/>
      <c r="E19" s="189"/>
      <c r="F19" s="189"/>
      <c r="G19" s="189"/>
      <c r="H19" s="189"/>
      <c r="I19" s="189"/>
      <c r="J19" s="189"/>
      <c r="K19" s="189"/>
      <c r="L19" s="189"/>
      <c r="M19" s="189"/>
      <c r="N19" s="189"/>
      <c r="O19" s="189"/>
      <c r="P19" s="189"/>
      <c r="Q19" s="189"/>
      <c r="R19" s="189"/>
      <c r="S19" s="189"/>
      <c r="T19" s="189"/>
      <c r="U19" s="189"/>
    </row>
    <row r="20" spans="2:21" x14ac:dyDescent="0.25">
      <c r="B20" s="189"/>
      <c r="C20" s="189"/>
      <c r="D20" s="189"/>
      <c r="E20" s="189"/>
      <c r="F20" s="189"/>
      <c r="G20" s="189"/>
      <c r="H20" s="189"/>
      <c r="I20" s="189"/>
      <c r="J20" s="189"/>
      <c r="K20" s="189"/>
      <c r="L20" s="189"/>
      <c r="M20" s="189"/>
      <c r="N20" s="189"/>
      <c r="O20" s="189"/>
      <c r="P20" s="189"/>
      <c r="Q20" s="189"/>
      <c r="R20" s="189"/>
      <c r="S20" s="189"/>
      <c r="T20" s="189"/>
      <c r="U20" s="189"/>
    </row>
    <row r="21" spans="2:21" x14ac:dyDescent="0.25">
      <c r="B21" s="189"/>
      <c r="C21" s="189"/>
      <c r="D21" s="189"/>
      <c r="E21" s="189"/>
      <c r="F21" s="189"/>
      <c r="G21" s="189"/>
      <c r="H21" s="189"/>
      <c r="I21" s="189"/>
      <c r="J21" s="189"/>
      <c r="K21" s="189"/>
      <c r="L21" s="189"/>
      <c r="M21" s="189"/>
      <c r="N21" s="189"/>
      <c r="O21" s="189"/>
      <c r="P21" s="189"/>
      <c r="Q21" s="189"/>
      <c r="R21" s="189"/>
      <c r="S21" s="189"/>
      <c r="T21" s="189"/>
      <c r="U21" s="189"/>
    </row>
    <row r="22" spans="2:21" x14ac:dyDescent="0.25">
      <c r="B22" s="189"/>
      <c r="C22" s="189"/>
      <c r="D22" s="189"/>
      <c r="E22" s="189"/>
      <c r="F22" s="189"/>
      <c r="G22" s="189"/>
      <c r="H22" s="189"/>
      <c r="I22" s="189"/>
      <c r="J22" s="189"/>
      <c r="K22" s="189"/>
      <c r="L22" s="189"/>
      <c r="M22" s="189"/>
      <c r="N22" s="189"/>
      <c r="O22" s="189"/>
      <c r="P22" s="189"/>
      <c r="Q22" s="189"/>
      <c r="R22" s="189"/>
      <c r="S22" s="189"/>
      <c r="T22" s="189"/>
      <c r="U22" s="189"/>
    </row>
    <row r="23" spans="2:21" x14ac:dyDescent="0.25">
      <c r="B23" s="189"/>
      <c r="C23" s="189"/>
      <c r="D23" s="189"/>
      <c r="E23" s="189"/>
      <c r="F23" s="189"/>
      <c r="G23" s="189"/>
      <c r="H23" s="189"/>
      <c r="I23" s="189"/>
      <c r="J23" s="189"/>
      <c r="K23" s="189"/>
      <c r="L23" s="189"/>
      <c r="M23" s="189"/>
      <c r="N23" s="189"/>
      <c r="O23" s="189"/>
      <c r="P23" s="189"/>
      <c r="Q23" s="189"/>
      <c r="R23" s="189"/>
      <c r="S23" s="189"/>
      <c r="T23" s="189"/>
      <c r="U23" s="189"/>
    </row>
    <row r="24" spans="2:21" x14ac:dyDescent="0.25">
      <c r="B24" s="189"/>
      <c r="C24" s="189"/>
      <c r="D24" s="189"/>
      <c r="E24" s="189"/>
      <c r="F24" s="189"/>
      <c r="G24" s="189"/>
      <c r="H24" s="189"/>
      <c r="I24" s="189"/>
      <c r="J24" s="189"/>
      <c r="K24" s="189"/>
      <c r="L24" s="189"/>
      <c r="M24" s="189"/>
      <c r="N24" s="189"/>
      <c r="O24" s="189"/>
      <c r="P24" s="189"/>
      <c r="Q24" s="189"/>
      <c r="R24" s="189"/>
      <c r="S24" s="189"/>
      <c r="T24" s="189"/>
      <c r="U24" s="189"/>
    </row>
    <row r="25" spans="2:21" x14ac:dyDescent="0.25">
      <c r="B25" s="189"/>
      <c r="C25" s="189"/>
      <c r="D25" s="189"/>
      <c r="E25" s="189"/>
      <c r="F25" s="189"/>
      <c r="G25" s="189"/>
      <c r="H25" s="189"/>
      <c r="I25" s="189"/>
      <c r="J25" s="189"/>
      <c r="K25" s="189"/>
      <c r="L25" s="189"/>
      <c r="M25" s="189"/>
      <c r="N25" s="189"/>
      <c r="O25" s="189"/>
      <c r="P25" s="189"/>
      <c r="Q25" s="189"/>
      <c r="R25" s="189"/>
      <c r="S25" s="189"/>
      <c r="T25" s="189"/>
      <c r="U25" s="189"/>
    </row>
    <row r="26" spans="2:21" x14ac:dyDescent="0.25">
      <c r="B26" s="189"/>
      <c r="C26" s="189"/>
      <c r="D26" s="189"/>
      <c r="E26" s="189"/>
      <c r="F26" s="189"/>
      <c r="G26" s="189"/>
      <c r="H26" s="189"/>
      <c r="I26" s="189"/>
      <c r="J26" s="189"/>
      <c r="K26" s="189"/>
      <c r="L26" s="189"/>
      <c r="M26" s="189"/>
      <c r="N26" s="189"/>
      <c r="O26" s="189"/>
      <c r="P26" s="189"/>
      <c r="Q26" s="189"/>
      <c r="R26" s="189"/>
      <c r="S26" s="189"/>
      <c r="T26" s="189"/>
      <c r="U26" s="189"/>
    </row>
    <row r="27" spans="2:21" x14ac:dyDescent="0.25">
      <c r="B27" s="189"/>
      <c r="C27" s="189"/>
      <c r="D27" s="189"/>
      <c r="E27" s="189"/>
      <c r="F27" s="189"/>
      <c r="G27" s="189"/>
      <c r="H27" s="189"/>
      <c r="I27" s="189"/>
      <c r="J27" s="189"/>
      <c r="K27" s="189"/>
      <c r="L27" s="189"/>
      <c r="M27" s="189"/>
      <c r="N27" s="189"/>
      <c r="O27" s="189"/>
      <c r="P27" s="189"/>
      <c r="Q27" s="189"/>
      <c r="R27" s="189"/>
      <c r="S27" s="189"/>
      <c r="T27" s="189"/>
      <c r="U27" s="189"/>
    </row>
    <row r="28" spans="2:21" x14ac:dyDescent="0.25">
      <c r="B28" s="189"/>
      <c r="C28" s="189"/>
      <c r="D28" s="189"/>
      <c r="E28" s="189"/>
      <c r="F28" s="189"/>
      <c r="G28" s="189"/>
      <c r="H28" s="189"/>
      <c r="I28" s="189"/>
      <c r="J28" s="189"/>
      <c r="K28" s="189"/>
      <c r="L28" s="189"/>
      <c r="M28" s="189"/>
      <c r="N28" s="189"/>
      <c r="O28" s="189"/>
      <c r="P28" s="189"/>
      <c r="Q28" s="189"/>
      <c r="R28" s="189"/>
      <c r="S28" s="189"/>
      <c r="T28" s="189"/>
      <c r="U28" s="189"/>
    </row>
    <row r="29" spans="2:21" x14ac:dyDescent="0.25">
      <c r="B29" s="189"/>
      <c r="C29" s="189"/>
      <c r="D29" s="189"/>
      <c r="E29" s="189"/>
      <c r="F29" s="189"/>
      <c r="G29" s="189"/>
      <c r="H29" s="189"/>
      <c r="I29" s="189"/>
      <c r="J29" s="189"/>
      <c r="K29" s="189"/>
      <c r="L29" s="189"/>
      <c r="M29" s="189"/>
      <c r="N29" s="189"/>
      <c r="O29" s="189"/>
      <c r="P29" s="189"/>
      <c r="Q29" s="189"/>
      <c r="R29" s="189"/>
      <c r="S29" s="189"/>
      <c r="T29" s="189"/>
      <c r="U29" s="189"/>
    </row>
    <row r="30" spans="2:21" x14ac:dyDescent="0.25">
      <c r="B30" s="189"/>
      <c r="C30" s="189"/>
      <c r="D30" s="189"/>
      <c r="E30" s="189"/>
      <c r="F30" s="189"/>
      <c r="G30" s="189"/>
      <c r="H30" s="189"/>
      <c r="I30" s="189"/>
      <c r="J30" s="189"/>
      <c r="K30" s="189"/>
      <c r="L30" s="189"/>
      <c r="M30" s="189"/>
      <c r="N30" s="189"/>
      <c r="O30" s="189"/>
      <c r="P30" s="189"/>
      <c r="Q30" s="189"/>
      <c r="R30" s="189"/>
      <c r="S30" s="189"/>
      <c r="T30" s="189"/>
      <c r="U30" s="189"/>
    </row>
    <row r="31" spans="2:21" x14ac:dyDescent="0.25">
      <c r="B31" s="189"/>
      <c r="C31" s="189"/>
      <c r="D31" s="189"/>
      <c r="E31" s="189"/>
      <c r="F31" s="189"/>
      <c r="G31" s="189"/>
      <c r="H31" s="189"/>
      <c r="I31" s="189"/>
      <c r="J31" s="189"/>
      <c r="K31" s="189"/>
      <c r="L31" s="189"/>
      <c r="M31" s="189"/>
      <c r="N31" s="189"/>
      <c r="O31" s="189"/>
      <c r="P31" s="189"/>
      <c r="Q31" s="189"/>
      <c r="R31" s="189"/>
      <c r="S31" s="189"/>
      <c r="T31" s="189"/>
      <c r="U31" s="189"/>
    </row>
    <row r="32" spans="2:21" x14ac:dyDescent="0.25">
      <c r="B32" s="189"/>
      <c r="C32" s="189"/>
      <c r="D32" s="189"/>
      <c r="E32" s="189"/>
      <c r="F32" s="189"/>
      <c r="G32" s="189"/>
      <c r="H32" s="189"/>
      <c r="I32" s="189"/>
      <c r="J32" s="189"/>
      <c r="K32" s="189"/>
      <c r="L32" s="189"/>
      <c r="M32" s="189"/>
      <c r="N32" s="189"/>
      <c r="O32" s="189"/>
      <c r="P32" s="189"/>
      <c r="Q32" s="189"/>
      <c r="R32" s="189"/>
      <c r="S32" s="189"/>
      <c r="T32" s="189"/>
      <c r="U32" s="189"/>
    </row>
    <row r="33" spans="2:21" x14ac:dyDescent="0.25">
      <c r="B33" s="189"/>
      <c r="C33" s="189"/>
      <c r="D33" s="189"/>
      <c r="E33" s="189"/>
      <c r="F33" s="189"/>
      <c r="G33" s="189"/>
      <c r="H33" s="189"/>
      <c r="I33" s="189"/>
      <c r="J33" s="189"/>
      <c r="K33" s="189"/>
      <c r="L33" s="189"/>
      <c r="M33" s="189"/>
      <c r="N33" s="189"/>
      <c r="O33" s="189"/>
      <c r="P33" s="189"/>
      <c r="Q33" s="189"/>
      <c r="R33" s="189"/>
      <c r="S33" s="189"/>
      <c r="T33" s="189"/>
      <c r="U33" s="189"/>
    </row>
    <row r="34" spans="2:21" x14ac:dyDescent="0.25">
      <c r="B34" s="189"/>
      <c r="C34" s="189"/>
      <c r="D34" s="189"/>
      <c r="E34" s="189"/>
      <c r="F34" s="189"/>
      <c r="G34" s="189"/>
      <c r="H34" s="189"/>
      <c r="I34" s="189"/>
      <c r="J34" s="189"/>
      <c r="K34" s="189"/>
      <c r="L34" s="189"/>
      <c r="M34" s="189"/>
      <c r="N34" s="189"/>
      <c r="O34" s="189"/>
      <c r="P34" s="189"/>
      <c r="Q34" s="189"/>
      <c r="R34" s="189"/>
      <c r="S34" s="189"/>
      <c r="T34" s="189"/>
      <c r="U34" s="189"/>
    </row>
    <row r="35" spans="2:21" x14ac:dyDescent="0.25">
      <c r="B35" s="189"/>
      <c r="C35" s="189"/>
      <c r="D35" s="189"/>
      <c r="E35" s="189"/>
      <c r="F35" s="189"/>
      <c r="G35" s="189"/>
      <c r="H35" s="189"/>
      <c r="I35" s="189"/>
      <c r="J35" s="189"/>
      <c r="K35" s="189"/>
      <c r="L35" s="189"/>
      <c r="M35" s="189"/>
      <c r="N35" s="189"/>
      <c r="O35" s="189"/>
      <c r="P35" s="189"/>
      <c r="Q35" s="189"/>
      <c r="R35" s="189"/>
      <c r="S35" s="189"/>
      <c r="T35" s="189"/>
      <c r="U35" s="189"/>
    </row>
    <row r="36" spans="2:21" x14ac:dyDescent="0.25">
      <c r="B36" s="189"/>
      <c r="C36" s="189"/>
      <c r="D36" s="189"/>
      <c r="E36" s="189"/>
      <c r="F36" s="189"/>
      <c r="G36" s="189"/>
      <c r="H36" s="189"/>
      <c r="I36" s="189"/>
      <c r="J36" s="189"/>
      <c r="K36" s="189"/>
      <c r="L36" s="189"/>
      <c r="M36" s="189"/>
      <c r="N36" s="189"/>
      <c r="O36" s="189"/>
      <c r="P36" s="189"/>
      <c r="Q36" s="189"/>
      <c r="R36" s="189"/>
      <c r="S36" s="189"/>
      <c r="T36" s="189"/>
      <c r="U36" s="189"/>
    </row>
    <row r="37" spans="2:21" x14ac:dyDescent="0.25">
      <c r="B37" s="189"/>
      <c r="C37" s="189"/>
      <c r="D37" s="189"/>
      <c r="E37" s="189"/>
      <c r="F37" s="189"/>
      <c r="G37" s="189"/>
      <c r="H37" s="189"/>
      <c r="I37" s="189"/>
      <c r="J37" s="189"/>
      <c r="K37" s="189"/>
      <c r="L37" s="189"/>
      <c r="M37" s="189"/>
      <c r="N37" s="189"/>
      <c r="O37" s="189"/>
      <c r="P37" s="189"/>
      <c r="Q37" s="189"/>
      <c r="R37" s="189"/>
      <c r="S37" s="189"/>
      <c r="T37" s="189"/>
      <c r="U37" s="189"/>
    </row>
    <row r="38" spans="2:21" x14ac:dyDescent="0.25">
      <c r="B38" s="189"/>
      <c r="C38" s="189"/>
      <c r="D38" s="189"/>
      <c r="E38" s="189"/>
      <c r="F38" s="189"/>
      <c r="G38" s="189"/>
      <c r="H38" s="189"/>
      <c r="I38" s="189"/>
      <c r="J38" s="189"/>
      <c r="K38" s="189"/>
      <c r="L38" s="189"/>
      <c r="M38" s="189"/>
      <c r="N38" s="189"/>
      <c r="O38" s="189"/>
      <c r="P38" s="189"/>
      <c r="Q38" s="189"/>
      <c r="R38" s="189"/>
      <c r="S38" s="189"/>
      <c r="T38" s="189"/>
      <c r="U38" s="189"/>
    </row>
    <row r="39" spans="2:21" x14ac:dyDescent="0.25">
      <c r="B39" s="189"/>
      <c r="C39" s="189"/>
      <c r="D39" s="189"/>
      <c r="E39" s="189"/>
      <c r="F39" s="189"/>
      <c r="G39" s="189"/>
      <c r="H39" s="189"/>
      <c r="I39" s="189"/>
      <c r="J39" s="189"/>
      <c r="K39" s="189"/>
      <c r="L39" s="189"/>
      <c r="M39" s="189"/>
      <c r="N39" s="189"/>
      <c r="O39" s="189"/>
      <c r="P39" s="189"/>
      <c r="Q39" s="189"/>
      <c r="R39" s="189"/>
      <c r="S39" s="189"/>
      <c r="T39" s="189"/>
      <c r="U39" s="189"/>
    </row>
    <row r="40" spans="2:21" x14ac:dyDescent="0.25">
      <c r="B40" s="189"/>
      <c r="C40" s="189"/>
      <c r="D40" s="189"/>
      <c r="E40" s="189"/>
      <c r="F40" s="189"/>
      <c r="G40" s="189"/>
      <c r="H40" s="189"/>
      <c r="I40" s="189"/>
      <c r="J40" s="189"/>
      <c r="K40" s="189"/>
      <c r="L40" s="189"/>
      <c r="M40" s="189"/>
      <c r="N40" s="189"/>
      <c r="O40" s="189"/>
      <c r="P40" s="189"/>
      <c r="Q40" s="189"/>
      <c r="R40" s="189"/>
      <c r="S40" s="189"/>
      <c r="T40" s="189"/>
      <c r="U40" s="189"/>
    </row>
    <row r="41" spans="2:21" x14ac:dyDescent="0.25">
      <c r="B41" s="189"/>
      <c r="C41" s="189"/>
      <c r="D41" s="189"/>
      <c r="E41" s="189"/>
      <c r="F41" s="189"/>
      <c r="G41" s="189"/>
      <c r="H41" s="189"/>
      <c r="I41" s="189"/>
      <c r="J41" s="189"/>
      <c r="K41" s="189"/>
      <c r="L41" s="189"/>
      <c r="M41" s="189"/>
      <c r="N41" s="189"/>
      <c r="O41" s="189"/>
      <c r="P41" s="189"/>
      <c r="Q41" s="189"/>
      <c r="R41" s="189"/>
      <c r="S41" s="189"/>
      <c r="T41" s="189"/>
      <c r="U41" s="189"/>
    </row>
    <row r="42" spans="2:21" x14ac:dyDescent="0.25">
      <c r="B42" s="189"/>
      <c r="C42" s="189"/>
      <c r="D42" s="189"/>
      <c r="E42" s="189"/>
      <c r="F42" s="189"/>
      <c r="G42" s="189"/>
      <c r="H42" s="189"/>
      <c r="I42" s="189"/>
      <c r="J42" s="189"/>
      <c r="K42" s="189"/>
      <c r="L42" s="189"/>
      <c r="M42" s="189"/>
      <c r="N42" s="189"/>
      <c r="O42" s="189"/>
      <c r="P42" s="189"/>
      <c r="Q42" s="189"/>
      <c r="R42" s="189"/>
      <c r="S42" s="189"/>
      <c r="T42" s="189"/>
      <c r="U42" s="189"/>
    </row>
    <row r="43" spans="2:21" x14ac:dyDescent="0.25">
      <c r="B43" s="189"/>
      <c r="C43" s="189"/>
      <c r="D43" s="189"/>
      <c r="E43" s="189"/>
      <c r="F43" s="189"/>
      <c r="G43" s="189"/>
      <c r="H43" s="189"/>
      <c r="I43" s="189"/>
      <c r="J43" s="189"/>
      <c r="K43" s="189"/>
      <c r="L43" s="189"/>
      <c r="M43" s="189"/>
      <c r="N43" s="189"/>
      <c r="O43" s="189"/>
      <c r="P43" s="189"/>
      <c r="Q43" s="189"/>
      <c r="R43" s="189"/>
      <c r="S43" s="189"/>
      <c r="T43" s="189"/>
      <c r="U43" s="189"/>
    </row>
    <row r="44" spans="2:21" x14ac:dyDescent="0.25">
      <c r="B44" s="189"/>
      <c r="C44" s="189"/>
      <c r="D44" s="189"/>
      <c r="E44" s="189"/>
      <c r="F44" s="189"/>
      <c r="G44" s="189"/>
      <c r="H44" s="189"/>
      <c r="I44" s="189"/>
      <c r="J44" s="189"/>
      <c r="K44" s="189"/>
      <c r="L44" s="189"/>
      <c r="M44" s="189"/>
      <c r="N44" s="189"/>
      <c r="O44" s="189"/>
      <c r="P44" s="189"/>
      <c r="Q44" s="189"/>
      <c r="R44" s="189"/>
      <c r="S44" s="189"/>
      <c r="T44" s="189"/>
      <c r="U44" s="189"/>
    </row>
    <row r="45" spans="2:21" x14ac:dyDescent="0.25">
      <c r="B45" s="189"/>
      <c r="C45" s="189"/>
      <c r="D45" s="189"/>
      <c r="E45" s="189"/>
      <c r="F45" s="189"/>
      <c r="G45" s="189"/>
      <c r="H45" s="189"/>
      <c r="I45" s="189"/>
      <c r="J45" s="189"/>
      <c r="K45" s="189"/>
      <c r="L45" s="189"/>
      <c r="M45" s="189"/>
      <c r="N45" s="189"/>
      <c r="O45" s="189"/>
      <c r="P45" s="189"/>
      <c r="Q45" s="189"/>
      <c r="R45" s="189"/>
      <c r="S45" s="189"/>
      <c r="T45" s="189"/>
      <c r="U45" s="189"/>
    </row>
    <row r="46" spans="2:21" x14ac:dyDescent="0.25">
      <c r="B46" s="189"/>
      <c r="C46" s="189"/>
      <c r="D46" s="189"/>
      <c r="E46" s="189"/>
      <c r="F46" s="189"/>
      <c r="G46" s="189"/>
      <c r="H46" s="189"/>
      <c r="I46" s="189"/>
      <c r="J46" s="189"/>
      <c r="K46" s="189"/>
      <c r="L46" s="189"/>
      <c r="M46" s="189"/>
      <c r="N46" s="189"/>
      <c r="O46" s="189"/>
      <c r="P46" s="189"/>
      <c r="Q46" s="189"/>
      <c r="R46" s="189"/>
      <c r="S46" s="189"/>
      <c r="T46" s="189"/>
      <c r="U46" s="189"/>
    </row>
    <row r="47" spans="2:21" x14ac:dyDescent="0.25">
      <c r="B47" s="189"/>
      <c r="C47" s="189"/>
      <c r="D47" s="189"/>
      <c r="E47" s="189"/>
      <c r="F47" s="189"/>
      <c r="G47" s="189"/>
      <c r="H47" s="189"/>
      <c r="I47" s="189"/>
      <c r="J47" s="189"/>
      <c r="K47" s="189"/>
      <c r="L47" s="189"/>
      <c r="M47" s="189"/>
      <c r="N47" s="189"/>
      <c r="O47" s="189"/>
      <c r="P47" s="189"/>
      <c r="Q47" s="189"/>
      <c r="R47" s="189"/>
      <c r="S47" s="189"/>
      <c r="T47" s="189"/>
      <c r="U47" s="189"/>
    </row>
    <row r="48" spans="2:21" x14ac:dyDescent="0.25">
      <c r="B48" s="189"/>
      <c r="C48" s="189"/>
      <c r="D48" s="189"/>
      <c r="E48" s="189"/>
      <c r="F48" s="189"/>
      <c r="G48" s="189"/>
      <c r="H48" s="189"/>
      <c r="I48" s="189"/>
      <c r="J48" s="189"/>
      <c r="K48" s="189"/>
      <c r="L48" s="189"/>
      <c r="M48" s="189"/>
      <c r="N48" s="189"/>
      <c r="O48" s="189"/>
      <c r="P48" s="189"/>
      <c r="Q48" s="189"/>
      <c r="R48" s="189"/>
      <c r="S48" s="189"/>
      <c r="T48" s="189"/>
      <c r="U48" s="189"/>
    </row>
    <row r="49" spans="2:21" x14ac:dyDescent="0.25">
      <c r="B49" s="189"/>
      <c r="C49" s="189"/>
      <c r="D49" s="189"/>
      <c r="E49" s="189"/>
      <c r="F49" s="189"/>
      <c r="G49" s="189"/>
      <c r="H49" s="189"/>
      <c r="I49" s="189"/>
      <c r="J49" s="189"/>
      <c r="K49" s="189"/>
      <c r="L49" s="189"/>
      <c r="M49" s="189"/>
      <c r="N49" s="189"/>
      <c r="O49" s="189"/>
      <c r="P49" s="189"/>
      <c r="Q49" s="189"/>
      <c r="R49" s="189"/>
      <c r="S49" s="189"/>
      <c r="T49" s="189"/>
      <c r="U49" s="189"/>
    </row>
    <row r="50" spans="2:21" x14ac:dyDescent="0.25">
      <c r="B50" s="189"/>
      <c r="C50" s="189"/>
      <c r="D50" s="189"/>
      <c r="E50" s="189"/>
      <c r="F50" s="189"/>
      <c r="G50" s="189"/>
      <c r="H50" s="189"/>
      <c r="I50" s="189"/>
      <c r="J50" s="189"/>
      <c r="K50" s="189"/>
      <c r="L50" s="189"/>
      <c r="M50" s="189"/>
      <c r="N50" s="189"/>
      <c r="O50" s="189"/>
      <c r="P50" s="189"/>
      <c r="Q50" s="189"/>
      <c r="R50" s="189"/>
      <c r="S50" s="189"/>
      <c r="T50" s="189"/>
      <c r="U50" s="189"/>
    </row>
    <row r="51" spans="2:21" x14ac:dyDescent="0.25">
      <c r="B51" s="189"/>
      <c r="C51" s="189"/>
      <c r="D51" s="189"/>
      <c r="E51" s="189"/>
      <c r="F51" s="189"/>
      <c r="G51" s="189"/>
      <c r="H51" s="189"/>
      <c r="I51" s="189"/>
      <c r="J51" s="189"/>
      <c r="K51" s="189"/>
      <c r="L51" s="189"/>
      <c r="M51" s="189"/>
      <c r="N51" s="189"/>
      <c r="O51" s="189"/>
      <c r="P51" s="189"/>
      <c r="Q51" s="189"/>
      <c r="R51" s="189"/>
      <c r="S51" s="189"/>
      <c r="T51" s="189"/>
      <c r="U51" s="189"/>
    </row>
    <row r="52" spans="2:21" x14ac:dyDescent="0.25">
      <c r="B52" s="189"/>
      <c r="C52" s="189"/>
      <c r="D52" s="189"/>
      <c r="E52" s="189"/>
      <c r="F52" s="189"/>
      <c r="G52" s="189"/>
      <c r="H52" s="189"/>
      <c r="I52" s="189"/>
      <c r="J52" s="189"/>
      <c r="K52" s="189"/>
      <c r="L52" s="189"/>
      <c r="M52" s="189"/>
      <c r="N52" s="189"/>
      <c r="O52" s="189"/>
      <c r="P52" s="189"/>
      <c r="Q52" s="189"/>
      <c r="R52" s="189"/>
      <c r="S52" s="189"/>
      <c r="T52" s="189"/>
      <c r="U52" s="189"/>
    </row>
    <row r="53" spans="2:21" x14ac:dyDescent="0.25">
      <c r="B53" s="189"/>
      <c r="C53" s="189"/>
      <c r="D53" s="189"/>
      <c r="E53" s="189"/>
      <c r="F53" s="189"/>
      <c r="G53" s="189"/>
      <c r="H53" s="189"/>
      <c r="I53" s="189"/>
      <c r="J53" s="189"/>
      <c r="K53" s="189"/>
      <c r="L53" s="189"/>
      <c r="M53" s="189"/>
      <c r="N53" s="189"/>
      <c r="O53" s="189"/>
      <c r="P53" s="189"/>
      <c r="Q53" s="189"/>
      <c r="R53" s="189"/>
      <c r="S53" s="189"/>
      <c r="T53" s="189"/>
      <c r="U53" s="189"/>
    </row>
    <row r="54" spans="2:21" x14ac:dyDescent="0.25">
      <c r="B54" s="189"/>
      <c r="C54" s="189"/>
      <c r="D54" s="189"/>
      <c r="E54" s="189"/>
      <c r="F54" s="189"/>
      <c r="G54" s="189"/>
      <c r="H54" s="189"/>
      <c r="I54" s="189"/>
      <c r="J54" s="189"/>
      <c r="K54" s="189"/>
      <c r="L54" s="189"/>
      <c r="M54" s="189"/>
      <c r="N54" s="189"/>
      <c r="O54" s="189"/>
      <c r="P54" s="189"/>
      <c r="Q54" s="189"/>
      <c r="R54" s="189"/>
      <c r="S54" s="189"/>
      <c r="T54" s="189"/>
      <c r="U54" s="189"/>
    </row>
    <row r="55" spans="2:21" x14ac:dyDescent="0.25">
      <c r="B55" s="189"/>
      <c r="C55" s="189"/>
      <c r="D55" s="189"/>
      <c r="E55" s="189"/>
      <c r="F55" s="189"/>
      <c r="G55" s="189"/>
      <c r="H55" s="189"/>
      <c r="I55" s="189"/>
      <c r="J55" s="189"/>
      <c r="K55" s="189"/>
      <c r="L55" s="189"/>
      <c r="M55" s="189"/>
      <c r="N55" s="189"/>
      <c r="O55" s="189"/>
      <c r="P55" s="189"/>
      <c r="Q55" s="189"/>
      <c r="R55" s="189"/>
      <c r="S55" s="189"/>
      <c r="T55" s="189"/>
      <c r="U55" s="189"/>
    </row>
    <row r="56" spans="2:21" x14ac:dyDescent="0.25">
      <c r="B56" s="189"/>
      <c r="C56" s="189"/>
      <c r="D56" s="189"/>
      <c r="E56" s="189"/>
      <c r="F56" s="189"/>
      <c r="G56" s="189"/>
      <c r="H56" s="189"/>
      <c r="I56" s="189"/>
      <c r="J56" s="189"/>
      <c r="K56" s="189"/>
      <c r="L56" s="189"/>
      <c r="M56" s="189"/>
      <c r="N56" s="189"/>
      <c r="O56" s="189"/>
      <c r="P56" s="189"/>
      <c r="Q56" s="189"/>
      <c r="R56" s="189"/>
      <c r="S56" s="189"/>
      <c r="T56" s="189"/>
      <c r="U56" s="189"/>
    </row>
    <row r="57" spans="2:21" x14ac:dyDescent="0.25">
      <c r="B57" s="189"/>
      <c r="C57" s="189"/>
      <c r="D57" s="189"/>
      <c r="E57" s="189"/>
      <c r="F57" s="189"/>
      <c r="G57" s="189"/>
      <c r="H57" s="189"/>
      <c r="I57" s="189"/>
      <c r="J57" s="189"/>
      <c r="K57" s="189"/>
      <c r="L57" s="189"/>
      <c r="M57" s="189"/>
      <c r="N57" s="189"/>
      <c r="O57" s="189"/>
      <c r="P57" s="189"/>
      <c r="Q57" s="189"/>
      <c r="R57" s="189"/>
      <c r="S57" s="189"/>
      <c r="T57" s="189"/>
      <c r="U57" s="189"/>
    </row>
    <row r="58" spans="2:21" x14ac:dyDescent="0.25">
      <c r="B58" s="189"/>
      <c r="C58" s="189"/>
      <c r="D58" s="189"/>
      <c r="E58" s="189"/>
      <c r="F58" s="189"/>
      <c r="G58" s="189"/>
      <c r="H58" s="189"/>
      <c r="I58" s="189"/>
      <c r="J58" s="189"/>
      <c r="K58" s="189"/>
      <c r="L58" s="189"/>
      <c r="M58" s="189"/>
      <c r="N58" s="189"/>
      <c r="O58" s="189"/>
      <c r="P58" s="189"/>
      <c r="Q58" s="189"/>
      <c r="R58" s="189"/>
      <c r="S58" s="189"/>
      <c r="T58" s="189"/>
      <c r="U58" s="189"/>
    </row>
    <row r="59" spans="2:21" x14ac:dyDescent="0.25">
      <c r="B59" s="189"/>
      <c r="C59" s="189"/>
      <c r="D59" s="189"/>
      <c r="E59" s="189"/>
      <c r="F59" s="189"/>
      <c r="G59" s="189"/>
      <c r="H59" s="189"/>
      <c r="I59" s="189"/>
      <c r="J59" s="189"/>
      <c r="K59" s="189"/>
      <c r="L59" s="189"/>
      <c r="M59" s="189"/>
      <c r="N59" s="189"/>
      <c r="O59" s="189"/>
      <c r="P59" s="189"/>
      <c r="Q59" s="189"/>
      <c r="R59" s="189"/>
      <c r="S59" s="189"/>
      <c r="T59" s="189"/>
      <c r="U59" s="189"/>
    </row>
    <row r="60" spans="2:21" x14ac:dyDescent="0.25">
      <c r="B60" s="189"/>
      <c r="C60" s="189"/>
      <c r="D60" s="189"/>
      <c r="E60" s="189"/>
      <c r="F60" s="189"/>
      <c r="G60" s="189"/>
      <c r="H60" s="189"/>
      <c r="I60" s="189"/>
      <c r="J60" s="189"/>
      <c r="K60" s="189"/>
      <c r="L60" s="189"/>
      <c r="M60" s="189"/>
      <c r="N60" s="189"/>
      <c r="O60" s="189"/>
      <c r="P60" s="189"/>
      <c r="Q60" s="189"/>
      <c r="R60" s="189"/>
      <c r="S60" s="189"/>
      <c r="T60" s="189"/>
      <c r="U60" s="189"/>
    </row>
    <row r="61" spans="2:21" x14ac:dyDescent="0.25">
      <c r="B61" s="189"/>
      <c r="C61" s="189"/>
      <c r="D61" s="189"/>
      <c r="E61" s="189"/>
      <c r="F61" s="189"/>
      <c r="G61" s="189"/>
      <c r="H61" s="189"/>
      <c r="I61" s="189"/>
      <c r="J61" s="189"/>
      <c r="K61" s="189"/>
      <c r="L61" s="189"/>
      <c r="M61" s="189"/>
      <c r="N61" s="189"/>
      <c r="O61" s="189"/>
      <c r="P61" s="189"/>
      <c r="Q61" s="189"/>
      <c r="R61" s="189"/>
      <c r="S61" s="189"/>
      <c r="T61" s="189"/>
      <c r="U61" s="189"/>
    </row>
    <row r="62" spans="2:21" x14ac:dyDescent="0.25">
      <c r="B62" s="189"/>
      <c r="C62" s="189"/>
      <c r="D62" s="189"/>
      <c r="E62" s="189"/>
      <c r="F62" s="189"/>
      <c r="G62" s="189"/>
      <c r="H62" s="189"/>
      <c r="I62" s="189"/>
      <c r="J62" s="189"/>
      <c r="K62" s="189"/>
      <c r="L62" s="189"/>
      <c r="M62" s="189"/>
      <c r="N62" s="189"/>
      <c r="O62" s="189"/>
      <c r="P62" s="189"/>
      <c r="Q62" s="189"/>
      <c r="R62" s="189"/>
      <c r="S62" s="189"/>
      <c r="T62" s="189"/>
      <c r="U62" s="189"/>
    </row>
    <row r="63" spans="2:21" x14ac:dyDescent="0.25">
      <c r="B63" s="189"/>
      <c r="C63" s="189"/>
      <c r="D63" s="189"/>
      <c r="E63" s="189"/>
      <c r="F63" s="189"/>
      <c r="G63" s="189"/>
      <c r="H63" s="189"/>
      <c r="I63" s="189"/>
      <c r="J63" s="189"/>
      <c r="K63" s="189"/>
      <c r="L63" s="189"/>
      <c r="M63" s="189"/>
      <c r="N63" s="189"/>
      <c r="O63" s="189"/>
      <c r="P63" s="189"/>
      <c r="Q63" s="189"/>
      <c r="R63" s="189"/>
      <c r="S63" s="189"/>
      <c r="T63" s="189"/>
      <c r="U63" s="189"/>
    </row>
    <row r="64" spans="2:21" x14ac:dyDescent="0.25">
      <c r="B64" s="189"/>
      <c r="C64" s="189"/>
      <c r="D64" s="189"/>
      <c r="E64" s="189"/>
      <c r="F64" s="189"/>
      <c r="G64" s="189"/>
      <c r="H64" s="189"/>
      <c r="I64" s="189"/>
      <c r="J64" s="189"/>
      <c r="K64" s="189"/>
      <c r="L64" s="189"/>
      <c r="M64" s="189"/>
      <c r="N64" s="189"/>
      <c r="O64" s="189"/>
      <c r="P64" s="189"/>
      <c r="Q64" s="189"/>
      <c r="R64" s="189"/>
      <c r="S64" s="189"/>
      <c r="T64" s="189"/>
      <c r="U64" s="189"/>
    </row>
    <row r="65" spans="2:21" x14ac:dyDescent="0.25">
      <c r="B65" s="189"/>
      <c r="C65" s="189"/>
      <c r="D65" s="189"/>
      <c r="E65" s="189"/>
      <c r="F65" s="189"/>
      <c r="G65" s="189"/>
      <c r="H65" s="189"/>
      <c r="I65" s="189"/>
      <c r="J65" s="189"/>
      <c r="K65" s="189"/>
      <c r="L65" s="189"/>
      <c r="M65" s="189"/>
      <c r="N65" s="189"/>
      <c r="O65" s="189"/>
      <c r="P65" s="189"/>
      <c r="Q65" s="189"/>
      <c r="R65" s="189"/>
      <c r="S65" s="189"/>
      <c r="T65" s="189"/>
      <c r="U65" s="189"/>
    </row>
    <row r="66" spans="2:21" x14ac:dyDescent="0.25">
      <c r="B66" s="189"/>
      <c r="C66" s="189"/>
      <c r="D66" s="189"/>
      <c r="E66" s="189"/>
      <c r="F66" s="189"/>
      <c r="G66" s="189"/>
      <c r="H66" s="189"/>
      <c r="I66" s="189"/>
      <c r="J66" s="189"/>
      <c r="K66" s="189"/>
      <c r="L66" s="189"/>
      <c r="M66" s="189"/>
      <c r="N66" s="189"/>
      <c r="O66" s="189"/>
      <c r="P66" s="189"/>
      <c r="Q66" s="189"/>
      <c r="R66" s="189"/>
      <c r="S66" s="189"/>
      <c r="T66" s="189"/>
      <c r="U66" s="189"/>
    </row>
    <row r="67" spans="2:21" x14ac:dyDescent="0.25">
      <c r="B67" s="189"/>
      <c r="C67" s="189"/>
      <c r="D67" s="189"/>
      <c r="E67" s="189"/>
      <c r="F67" s="189"/>
      <c r="G67" s="189"/>
      <c r="H67" s="189"/>
      <c r="I67" s="189"/>
      <c r="J67" s="189"/>
      <c r="K67" s="189"/>
      <c r="L67" s="189"/>
      <c r="M67" s="189"/>
      <c r="N67" s="189"/>
      <c r="O67" s="189"/>
      <c r="P67" s="189"/>
      <c r="Q67" s="189"/>
      <c r="R67" s="189"/>
      <c r="S67" s="189"/>
      <c r="T67" s="189"/>
      <c r="U67" s="189"/>
    </row>
    <row r="68" spans="2:21" x14ac:dyDescent="0.25">
      <c r="B68" s="189"/>
      <c r="C68" s="189"/>
      <c r="D68" s="189"/>
      <c r="E68" s="189"/>
      <c r="F68" s="189"/>
      <c r="G68" s="189"/>
      <c r="H68" s="189"/>
      <c r="I68" s="189"/>
      <c r="J68" s="189"/>
      <c r="K68" s="189"/>
      <c r="L68" s="189"/>
      <c r="M68" s="189"/>
      <c r="N68" s="189"/>
      <c r="O68" s="189"/>
      <c r="P68" s="189"/>
      <c r="Q68" s="189"/>
      <c r="R68" s="189"/>
      <c r="S68" s="189"/>
      <c r="T68" s="189"/>
      <c r="U68" s="189"/>
    </row>
    <row r="69" spans="2:21" x14ac:dyDescent="0.25">
      <c r="B69" s="189"/>
      <c r="C69" s="189"/>
      <c r="D69" s="189"/>
      <c r="E69" s="189"/>
      <c r="F69" s="189"/>
      <c r="G69" s="189"/>
      <c r="H69" s="189"/>
      <c r="I69" s="189"/>
      <c r="J69" s="189"/>
      <c r="K69" s="189"/>
      <c r="L69" s="189"/>
      <c r="M69" s="189"/>
      <c r="N69" s="189"/>
      <c r="O69" s="189"/>
      <c r="P69" s="189"/>
      <c r="Q69" s="189"/>
      <c r="R69" s="189"/>
      <c r="S69" s="189"/>
      <c r="T69" s="189"/>
      <c r="U69" s="189"/>
    </row>
    <row r="70" spans="2:21" x14ac:dyDescent="0.25">
      <c r="B70" s="189"/>
      <c r="C70" s="189"/>
      <c r="D70" s="189"/>
      <c r="E70" s="189"/>
      <c r="F70" s="189"/>
      <c r="G70" s="189"/>
      <c r="H70" s="189"/>
      <c r="I70" s="189"/>
      <c r="J70" s="189"/>
      <c r="K70" s="189"/>
      <c r="L70" s="189"/>
      <c r="M70" s="189"/>
      <c r="N70" s="189"/>
      <c r="O70" s="189"/>
      <c r="P70" s="189"/>
      <c r="Q70" s="189"/>
      <c r="R70" s="189"/>
      <c r="S70" s="189"/>
      <c r="T70" s="189"/>
      <c r="U70" s="189"/>
    </row>
    <row r="71" spans="2:21" x14ac:dyDescent="0.25">
      <c r="B71" s="189"/>
      <c r="C71" s="189"/>
      <c r="D71" s="189"/>
      <c r="E71" s="189"/>
      <c r="F71" s="189"/>
      <c r="G71" s="189"/>
      <c r="H71" s="189"/>
      <c r="I71" s="189"/>
      <c r="J71" s="189"/>
      <c r="K71" s="189"/>
      <c r="L71" s="189"/>
      <c r="M71" s="189"/>
      <c r="N71" s="189"/>
      <c r="O71" s="189"/>
      <c r="P71" s="189"/>
      <c r="Q71" s="189"/>
      <c r="R71" s="189"/>
      <c r="S71" s="189"/>
      <c r="T71" s="189"/>
      <c r="U71" s="189"/>
    </row>
    <row r="72" spans="2:21" x14ac:dyDescent="0.25">
      <c r="B72" s="189"/>
      <c r="C72" s="189"/>
      <c r="D72" s="189"/>
      <c r="E72" s="189"/>
      <c r="F72" s="189"/>
      <c r="G72" s="189"/>
      <c r="H72" s="189"/>
      <c r="I72" s="189"/>
      <c r="J72" s="189"/>
      <c r="K72" s="189"/>
      <c r="L72" s="189"/>
      <c r="M72" s="189"/>
      <c r="N72" s="189"/>
      <c r="O72" s="189"/>
      <c r="P72" s="189"/>
      <c r="Q72" s="189"/>
      <c r="R72" s="189"/>
      <c r="S72" s="189"/>
      <c r="T72" s="189"/>
      <c r="U72" s="189"/>
    </row>
    <row r="73" spans="2:21" x14ac:dyDescent="0.25">
      <c r="B73" s="189"/>
      <c r="C73" s="189"/>
      <c r="D73" s="189"/>
      <c r="E73" s="189"/>
      <c r="F73" s="189"/>
      <c r="G73" s="189"/>
      <c r="H73" s="189"/>
      <c r="I73" s="189"/>
      <c r="J73" s="189"/>
      <c r="K73" s="189"/>
      <c r="L73" s="189"/>
      <c r="M73" s="189"/>
      <c r="N73" s="189"/>
      <c r="O73" s="189"/>
      <c r="P73" s="189"/>
      <c r="Q73" s="189"/>
      <c r="R73" s="189"/>
      <c r="S73" s="189"/>
      <c r="T73" s="189"/>
      <c r="U73" s="189"/>
    </row>
    <row r="74" spans="2:21" x14ac:dyDescent="0.25">
      <c r="B74" s="189"/>
      <c r="C74" s="189"/>
      <c r="D74" s="189"/>
      <c r="E74" s="189"/>
      <c r="F74" s="189"/>
      <c r="G74" s="189"/>
      <c r="H74" s="189"/>
      <c r="I74" s="189"/>
      <c r="J74" s="189"/>
      <c r="K74" s="189"/>
      <c r="L74" s="189"/>
      <c r="M74" s="189"/>
      <c r="N74" s="189"/>
      <c r="O74" s="189"/>
      <c r="P74" s="189"/>
      <c r="Q74" s="189"/>
      <c r="R74" s="189"/>
      <c r="S74" s="189"/>
      <c r="T74" s="189"/>
      <c r="U74" s="189"/>
    </row>
    <row r="75" spans="2:21" x14ac:dyDescent="0.25">
      <c r="B75" s="189"/>
      <c r="C75" s="189"/>
      <c r="D75" s="189"/>
      <c r="E75" s="189"/>
      <c r="F75" s="189"/>
      <c r="G75" s="189"/>
      <c r="H75" s="189"/>
      <c r="I75" s="189"/>
      <c r="J75" s="189"/>
      <c r="K75" s="189"/>
      <c r="L75" s="189"/>
      <c r="M75" s="189"/>
      <c r="N75" s="189"/>
      <c r="O75" s="189"/>
      <c r="P75" s="189"/>
      <c r="Q75" s="189"/>
      <c r="R75" s="189"/>
      <c r="S75" s="189"/>
      <c r="T75" s="189"/>
      <c r="U75" s="189"/>
    </row>
    <row r="76" spans="2:21" x14ac:dyDescent="0.25">
      <c r="B76" s="189"/>
      <c r="C76" s="189"/>
      <c r="D76" s="189"/>
      <c r="E76" s="189"/>
      <c r="F76" s="189"/>
      <c r="G76" s="189"/>
      <c r="H76" s="189"/>
      <c r="I76" s="189"/>
      <c r="J76" s="189"/>
      <c r="K76" s="189"/>
      <c r="L76" s="189"/>
      <c r="M76" s="189"/>
      <c r="N76" s="189"/>
      <c r="O76" s="189"/>
      <c r="P76" s="189"/>
      <c r="Q76" s="189"/>
      <c r="R76" s="189"/>
      <c r="S76" s="189"/>
      <c r="T76" s="189"/>
      <c r="U76" s="189"/>
    </row>
    <row r="77" spans="2:21" x14ac:dyDescent="0.25">
      <c r="B77" s="189"/>
      <c r="C77" s="189"/>
      <c r="D77" s="189"/>
      <c r="E77" s="189"/>
      <c r="F77" s="189"/>
      <c r="G77" s="189"/>
      <c r="H77" s="189"/>
      <c r="I77" s="189"/>
      <c r="J77" s="189"/>
      <c r="K77" s="189"/>
      <c r="L77" s="189"/>
      <c r="M77" s="189"/>
      <c r="N77" s="189"/>
      <c r="O77" s="189"/>
      <c r="P77" s="189"/>
      <c r="Q77" s="189"/>
      <c r="R77" s="189"/>
      <c r="S77" s="189"/>
      <c r="T77" s="189"/>
      <c r="U77" s="189"/>
    </row>
    <row r="78" spans="2:21" x14ac:dyDescent="0.25">
      <c r="B78" s="189"/>
      <c r="C78" s="189"/>
      <c r="D78" s="189"/>
      <c r="E78" s="189"/>
      <c r="F78" s="189"/>
      <c r="G78" s="189"/>
      <c r="H78" s="189"/>
      <c r="I78" s="189"/>
      <c r="J78" s="189"/>
      <c r="K78" s="189"/>
      <c r="L78" s="189"/>
      <c r="M78" s="189"/>
      <c r="N78" s="189"/>
      <c r="O78" s="189"/>
      <c r="P78" s="189"/>
      <c r="Q78" s="189"/>
      <c r="R78" s="189"/>
      <c r="S78" s="189"/>
      <c r="T78" s="189"/>
      <c r="U78" s="189"/>
    </row>
    <row r="79" spans="2:21" x14ac:dyDescent="0.25">
      <c r="B79" s="189"/>
      <c r="C79" s="189"/>
      <c r="D79" s="189"/>
      <c r="E79" s="189"/>
      <c r="F79" s="189"/>
      <c r="G79" s="189"/>
      <c r="H79" s="189"/>
      <c r="I79" s="189"/>
      <c r="J79" s="189"/>
      <c r="K79" s="189"/>
      <c r="L79" s="189"/>
      <c r="M79" s="189"/>
      <c r="N79" s="189"/>
      <c r="O79" s="189"/>
      <c r="P79" s="189"/>
      <c r="Q79" s="189"/>
      <c r="R79" s="189"/>
      <c r="S79" s="189"/>
      <c r="T79" s="189"/>
      <c r="U79" s="189"/>
    </row>
    <row r="80" spans="2:21" x14ac:dyDescent="0.25">
      <c r="B80" s="189"/>
      <c r="C80" s="189"/>
      <c r="D80" s="189"/>
      <c r="E80" s="189"/>
      <c r="F80" s="189"/>
      <c r="G80" s="189"/>
      <c r="H80" s="189"/>
      <c r="I80" s="189"/>
      <c r="J80" s="189"/>
      <c r="K80" s="189"/>
      <c r="L80" s="189"/>
      <c r="M80" s="189"/>
      <c r="N80" s="189"/>
      <c r="O80" s="189"/>
      <c r="P80" s="189"/>
      <c r="Q80" s="189"/>
      <c r="R80" s="189"/>
      <c r="S80" s="189"/>
      <c r="T80" s="189"/>
      <c r="U80" s="189"/>
    </row>
    <row r="81" spans="2:21" x14ac:dyDescent="0.25">
      <c r="B81" s="189"/>
      <c r="C81" s="189"/>
      <c r="D81" s="189"/>
      <c r="E81" s="189"/>
      <c r="F81" s="189"/>
      <c r="G81" s="189"/>
      <c r="H81" s="189"/>
      <c r="I81" s="189"/>
      <c r="J81" s="189"/>
      <c r="K81" s="189"/>
      <c r="L81" s="189"/>
      <c r="M81" s="189"/>
      <c r="N81" s="189"/>
      <c r="O81" s="189"/>
      <c r="P81" s="189"/>
      <c r="Q81" s="189"/>
      <c r="R81" s="189"/>
      <c r="S81" s="189"/>
      <c r="T81" s="189"/>
      <c r="U81" s="189"/>
    </row>
    <row r="82" spans="2:21" x14ac:dyDescent="0.25">
      <c r="B82" s="189"/>
      <c r="C82" s="189"/>
      <c r="D82" s="189"/>
      <c r="E82" s="189"/>
      <c r="F82" s="189"/>
      <c r="G82" s="189"/>
      <c r="H82" s="189"/>
      <c r="I82" s="189"/>
      <c r="J82" s="189"/>
      <c r="K82" s="189"/>
      <c r="L82" s="189"/>
      <c r="M82" s="189"/>
      <c r="N82" s="189"/>
      <c r="O82" s="189"/>
      <c r="P82" s="189"/>
      <c r="Q82" s="189"/>
      <c r="R82" s="189"/>
      <c r="S82" s="189"/>
      <c r="T82" s="189"/>
      <c r="U82" s="189"/>
    </row>
    <row r="83" spans="2:21" x14ac:dyDescent="0.25">
      <c r="B83" s="189"/>
      <c r="C83" s="189"/>
      <c r="D83" s="189"/>
      <c r="E83" s="189"/>
      <c r="F83" s="189"/>
      <c r="G83" s="189"/>
      <c r="H83" s="189"/>
      <c r="I83" s="189"/>
      <c r="J83" s="189"/>
      <c r="K83" s="189"/>
      <c r="L83" s="189"/>
      <c r="M83" s="189"/>
      <c r="N83" s="189"/>
      <c r="O83" s="189"/>
      <c r="P83" s="189"/>
      <c r="Q83" s="189"/>
      <c r="R83" s="189"/>
      <c r="S83" s="189"/>
      <c r="T83" s="189"/>
      <c r="U83" s="189"/>
    </row>
    <row r="84" spans="2:21" x14ac:dyDescent="0.25">
      <c r="B84" s="189"/>
      <c r="C84" s="189"/>
      <c r="D84" s="189"/>
      <c r="E84" s="189"/>
      <c r="F84" s="189"/>
      <c r="G84" s="189"/>
      <c r="H84" s="189"/>
      <c r="I84" s="189"/>
      <c r="J84" s="189"/>
      <c r="K84" s="189"/>
      <c r="L84" s="189"/>
      <c r="M84" s="189"/>
      <c r="N84" s="189"/>
      <c r="O84" s="189"/>
      <c r="P84" s="189"/>
      <c r="Q84" s="189"/>
      <c r="R84" s="189"/>
      <c r="S84" s="189"/>
      <c r="T84" s="189"/>
      <c r="U84" s="189"/>
    </row>
    <row r="85" spans="2:21" x14ac:dyDescent="0.25">
      <c r="B85" s="189"/>
      <c r="C85" s="189"/>
      <c r="D85" s="189"/>
      <c r="E85" s="189"/>
      <c r="F85" s="189"/>
      <c r="G85" s="189"/>
      <c r="H85" s="189"/>
      <c r="I85" s="189"/>
      <c r="J85" s="189"/>
      <c r="K85" s="189"/>
      <c r="L85" s="189"/>
      <c r="M85" s="189"/>
      <c r="N85" s="189"/>
      <c r="O85" s="189"/>
      <c r="P85" s="189"/>
      <c r="Q85" s="189"/>
      <c r="R85" s="189"/>
      <c r="S85" s="189"/>
      <c r="T85" s="189"/>
      <c r="U85" s="189"/>
    </row>
    <row r="86" spans="2:21" x14ac:dyDescent="0.25">
      <c r="B86" s="189"/>
      <c r="C86" s="189"/>
      <c r="D86" s="189"/>
      <c r="E86" s="189"/>
      <c r="F86" s="189"/>
      <c r="G86" s="189"/>
      <c r="H86" s="189"/>
      <c r="I86" s="189"/>
      <c r="J86" s="189"/>
      <c r="K86" s="189"/>
      <c r="L86" s="189"/>
      <c r="M86" s="189"/>
      <c r="N86" s="189"/>
      <c r="O86" s="189"/>
      <c r="P86" s="189"/>
      <c r="Q86" s="189"/>
      <c r="R86" s="189"/>
      <c r="S86" s="189"/>
      <c r="T86" s="189"/>
      <c r="U86" s="189"/>
    </row>
    <row r="87" spans="2:21" x14ac:dyDescent="0.25">
      <c r="B87" s="189"/>
      <c r="C87" s="189"/>
      <c r="D87" s="189"/>
      <c r="E87" s="189"/>
      <c r="F87" s="189"/>
      <c r="G87" s="189"/>
      <c r="H87" s="189"/>
      <c r="I87" s="189"/>
      <c r="J87" s="189"/>
      <c r="K87" s="189"/>
      <c r="L87" s="189"/>
      <c r="M87" s="189"/>
      <c r="N87" s="189"/>
      <c r="O87" s="189"/>
      <c r="P87" s="189"/>
      <c r="Q87" s="189"/>
      <c r="R87" s="189"/>
      <c r="S87" s="189"/>
      <c r="T87" s="189"/>
      <c r="U87" s="189"/>
    </row>
    <row r="88" spans="2:21" x14ac:dyDescent="0.25">
      <c r="B88" s="189"/>
      <c r="C88" s="189"/>
      <c r="D88" s="189"/>
      <c r="E88" s="189"/>
      <c r="F88" s="189"/>
      <c r="G88" s="189"/>
      <c r="H88" s="189"/>
      <c r="I88" s="189"/>
      <c r="J88" s="189"/>
      <c r="K88" s="189"/>
      <c r="L88" s="189"/>
      <c r="M88" s="189"/>
      <c r="N88" s="189"/>
      <c r="O88" s="189"/>
      <c r="P88" s="189"/>
      <c r="Q88" s="189"/>
      <c r="R88" s="189"/>
      <c r="S88" s="189"/>
      <c r="T88" s="189"/>
      <c r="U88" s="189"/>
    </row>
    <row r="89" spans="2:21" x14ac:dyDescent="0.25">
      <c r="B89" s="189"/>
      <c r="C89" s="189"/>
      <c r="D89" s="189"/>
      <c r="E89" s="189"/>
      <c r="F89" s="189"/>
      <c r="G89" s="189"/>
      <c r="H89" s="189"/>
      <c r="I89" s="189"/>
      <c r="J89" s="189"/>
      <c r="K89" s="189"/>
      <c r="L89" s="189"/>
      <c r="M89" s="189"/>
      <c r="N89" s="189"/>
      <c r="O89" s="189"/>
      <c r="P89" s="189"/>
      <c r="Q89" s="189"/>
      <c r="R89" s="189"/>
      <c r="S89" s="189"/>
      <c r="T89" s="189"/>
      <c r="U89" s="189"/>
    </row>
    <row r="90" spans="2:21" x14ac:dyDescent="0.25">
      <c r="B90" s="189"/>
      <c r="C90" s="189"/>
      <c r="D90" s="189"/>
      <c r="E90" s="189"/>
      <c r="F90" s="189"/>
      <c r="G90" s="189"/>
      <c r="H90" s="189"/>
      <c r="I90" s="189"/>
      <c r="J90" s="189"/>
      <c r="K90" s="189"/>
      <c r="L90" s="189"/>
      <c r="M90" s="189"/>
      <c r="N90" s="189"/>
      <c r="O90" s="189"/>
      <c r="P90" s="189"/>
      <c r="Q90" s="189"/>
      <c r="R90" s="189"/>
      <c r="S90" s="189"/>
      <c r="T90" s="189"/>
      <c r="U90" s="189"/>
    </row>
    <row r="91" spans="2:21" x14ac:dyDescent="0.25">
      <c r="B91" s="189"/>
      <c r="C91" s="189"/>
      <c r="D91" s="189"/>
      <c r="E91" s="189"/>
      <c r="F91" s="189"/>
      <c r="G91" s="189"/>
      <c r="H91" s="189"/>
      <c r="I91" s="189"/>
      <c r="J91" s="189"/>
      <c r="K91" s="189"/>
      <c r="L91" s="189"/>
      <c r="M91" s="189"/>
      <c r="N91" s="189"/>
      <c r="O91" s="189"/>
      <c r="P91" s="189"/>
      <c r="Q91" s="189"/>
      <c r="R91" s="189"/>
      <c r="S91" s="189"/>
      <c r="T91" s="189"/>
      <c r="U91" s="189"/>
    </row>
    <row r="92" spans="2:21" x14ac:dyDescent="0.25">
      <c r="B92" s="189"/>
      <c r="C92" s="189"/>
      <c r="D92" s="189"/>
      <c r="E92" s="189"/>
      <c r="F92" s="189"/>
      <c r="G92" s="189"/>
      <c r="H92" s="189"/>
      <c r="I92" s="189"/>
      <c r="J92" s="189"/>
      <c r="K92" s="189"/>
      <c r="L92" s="189"/>
      <c r="M92" s="189"/>
      <c r="N92" s="189"/>
      <c r="O92" s="189"/>
      <c r="P92" s="189"/>
      <c r="Q92" s="189"/>
      <c r="R92" s="189"/>
      <c r="S92" s="189"/>
      <c r="T92" s="189"/>
      <c r="U92" s="189"/>
    </row>
    <row r="93" spans="2:21" x14ac:dyDescent="0.25">
      <c r="B93" s="189"/>
      <c r="C93" s="189"/>
      <c r="D93" s="189"/>
      <c r="E93" s="189"/>
      <c r="F93" s="189"/>
      <c r="G93" s="189"/>
      <c r="H93" s="189"/>
      <c r="I93" s="189"/>
      <c r="J93" s="189"/>
      <c r="K93" s="189"/>
      <c r="L93" s="189"/>
      <c r="M93" s="189"/>
      <c r="N93" s="189"/>
      <c r="O93" s="189"/>
      <c r="P93" s="189"/>
      <c r="Q93" s="189"/>
      <c r="R93" s="189"/>
      <c r="S93" s="189"/>
      <c r="T93" s="189"/>
      <c r="U93" s="189"/>
    </row>
    <row r="94" spans="2:21" x14ac:dyDescent="0.25">
      <c r="B94" s="189"/>
      <c r="C94" s="189"/>
      <c r="D94" s="189"/>
      <c r="E94" s="189"/>
      <c r="F94" s="189"/>
      <c r="G94" s="189"/>
      <c r="H94" s="189"/>
      <c r="I94" s="189"/>
      <c r="J94" s="189"/>
      <c r="K94" s="189"/>
      <c r="L94" s="189"/>
      <c r="M94" s="189"/>
      <c r="N94" s="189"/>
      <c r="O94" s="189"/>
      <c r="P94" s="189"/>
      <c r="Q94" s="189"/>
      <c r="R94" s="189"/>
      <c r="S94" s="189"/>
      <c r="T94" s="189"/>
      <c r="U94" s="189"/>
    </row>
    <row r="95" spans="2:21" x14ac:dyDescent="0.25">
      <c r="B95" s="189"/>
      <c r="C95" s="189"/>
      <c r="D95" s="189"/>
      <c r="E95" s="189"/>
      <c r="F95" s="189"/>
      <c r="G95" s="189"/>
      <c r="H95" s="189"/>
      <c r="I95" s="189"/>
      <c r="J95" s="189"/>
      <c r="K95" s="189"/>
      <c r="L95" s="189"/>
      <c r="M95" s="189"/>
      <c r="N95" s="189"/>
      <c r="O95" s="189"/>
      <c r="P95" s="189"/>
      <c r="Q95" s="189"/>
      <c r="R95" s="189"/>
      <c r="S95" s="189"/>
      <c r="T95" s="189"/>
      <c r="U95" s="189"/>
    </row>
    <row r="96" spans="2:21" x14ac:dyDescent="0.25">
      <c r="B96" s="189"/>
      <c r="C96" s="189"/>
      <c r="D96" s="189"/>
      <c r="E96" s="189"/>
      <c r="F96" s="189"/>
      <c r="G96" s="189"/>
      <c r="H96" s="189"/>
      <c r="I96" s="189"/>
      <c r="J96" s="189"/>
      <c r="K96" s="189"/>
      <c r="L96" s="189"/>
      <c r="M96" s="189"/>
      <c r="N96" s="189"/>
      <c r="O96" s="189"/>
      <c r="P96" s="189"/>
      <c r="Q96" s="189"/>
      <c r="R96" s="189"/>
      <c r="S96" s="189"/>
      <c r="T96" s="189"/>
      <c r="U96" s="189"/>
    </row>
    <row r="97" spans="2:21" x14ac:dyDescent="0.25">
      <c r="B97" s="189"/>
      <c r="C97" s="189"/>
      <c r="D97" s="189"/>
      <c r="E97" s="189"/>
      <c r="F97" s="189"/>
      <c r="G97" s="189"/>
      <c r="H97" s="189"/>
      <c r="I97" s="189"/>
      <c r="J97" s="189"/>
      <c r="K97" s="189"/>
      <c r="L97" s="189"/>
      <c r="M97" s="189"/>
      <c r="N97" s="189"/>
      <c r="O97" s="189"/>
      <c r="P97" s="189"/>
      <c r="Q97" s="189"/>
      <c r="R97" s="189"/>
      <c r="S97" s="189"/>
      <c r="T97" s="189"/>
      <c r="U97" s="189"/>
    </row>
    <row r="98" spans="2:21" x14ac:dyDescent="0.25">
      <c r="B98" s="189"/>
      <c r="C98" s="189"/>
      <c r="D98" s="189"/>
      <c r="E98" s="189"/>
      <c r="F98" s="189"/>
      <c r="G98" s="189"/>
      <c r="H98" s="189"/>
      <c r="I98" s="189"/>
      <c r="J98" s="189"/>
      <c r="K98" s="189"/>
      <c r="L98" s="189"/>
      <c r="M98" s="189"/>
      <c r="N98" s="189"/>
      <c r="O98" s="189"/>
      <c r="P98" s="189"/>
      <c r="Q98" s="189"/>
      <c r="R98" s="189"/>
      <c r="S98" s="189"/>
      <c r="T98" s="189"/>
      <c r="U98" s="189"/>
    </row>
    <row r="99" spans="2:21" x14ac:dyDescent="0.25">
      <c r="B99" s="189"/>
      <c r="C99" s="189"/>
      <c r="D99" s="189"/>
      <c r="E99" s="189"/>
      <c r="F99" s="189"/>
      <c r="G99" s="189"/>
      <c r="H99" s="189"/>
      <c r="I99" s="189"/>
      <c r="J99" s="189"/>
      <c r="K99" s="189"/>
      <c r="L99" s="189"/>
      <c r="M99" s="189"/>
      <c r="N99" s="189"/>
      <c r="O99" s="189"/>
      <c r="P99" s="189"/>
      <c r="Q99" s="189"/>
      <c r="R99" s="189"/>
      <c r="S99" s="189"/>
      <c r="T99" s="189"/>
      <c r="U99" s="189"/>
    </row>
    <row r="100" spans="2:21" x14ac:dyDescent="0.25">
      <c r="B100" s="189"/>
      <c r="C100" s="189"/>
      <c r="D100" s="189"/>
      <c r="E100" s="189"/>
      <c r="F100" s="189"/>
      <c r="G100" s="189"/>
      <c r="H100" s="189"/>
      <c r="I100" s="189"/>
      <c r="J100" s="189"/>
      <c r="K100" s="189"/>
      <c r="L100" s="189"/>
      <c r="M100" s="189"/>
      <c r="N100" s="189"/>
      <c r="O100" s="189"/>
      <c r="P100" s="189"/>
      <c r="Q100" s="189"/>
      <c r="R100" s="189"/>
      <c r="S100" s="189"/>
      <c r="T100" s="189"/>
      <c r="U100" s="189"/>
    </row>
    <row r="101" spans="2:21" x14ac:dyDescent="0.25">
      <c r="B101" s="189"/>
      <c r="C101" s="189"/>
      <c r="D101" s="189"/>
      <c r="E101" s="189"/>
      <c r="F101" s="189"/>
      <c r="G101" s="189"/>
      <c r="H101" s="189"/>
      <c r="I101" s="189"/>
      <c r="J101" s="189"/>
      <c r="K101" s="189"/>
      <c r="L101" s="189"/>
      <c r="M101" s="189"/>
      <c r="N101" s="189"/>
      <c r="O101" s="189"/>
      <c r="P101" s="189"/>
      <c r="Q101" s="189"/>
      <c r="R101" s="189"/>
      <c r="S101" s="189"/>
      <c r="T101" s="189"/>
      <c r="U101" s="189"/>
    </row>
    <row r="102" spans="2:21" x14ac:dyDescent="0.25">
      <c r="B102" s="189"/>
      <c r="C102" s="189"/>
      <c r="D102" s="189"/>
      <c r="E102" s="189"/>
      <c r="F102" s="189"/>
      <c r="G102" s="189"/>
      <c r="H102" s="189"/>
      <c r="I102" s="189"/>
      <c r="J102" s="189"/>
      <c r="K102" s="189"/>
      <c r="L102" s="189"/>
      <c r="M102" s="189"/>
      <c r="N102" s="189"/>
      <c r="O102" s="189"/>
      <c r="P102" s="189"/>
      <c r="Q102" s="189"/>
      <c r="R102" s="189"/>
      <c r="S102" s="189"/>
      <c r="T102" s="189"/>
      <c r="U102" s="189"/>
    </row>
    <row r="103" spans="2:21" x14ac:dyDescent="0.25">
      <c r="B103" s="189"/>
      <c r="C103" s="189"/>
      <c r="D103" s="189"/>
      <c r="E103" s="189"/>
      <c r="F103" s="189"/>
      <c r="G103" s="189"/>
      <c r="H103" s="189"/>
      <c r="I103" s="189"/>
      <c r="J103" s="189"/>
      <c r="K103" s="189"/>
      <c r="L103" s="189"/>
      <c r="M103" s="189"/>
      <c r="N103" s="189"/>
      <c r="O103" s="189"/>
      <c r="P103" s="189"/>
      <c r="Q103" s="189"/>
      <c r="R103" s="189"/>
      <c r="S103" s="189"/>
      <c r="T103" s="189"/>
      <c r="U103" s="189"/>
    </row>
    <row r="104" spans="2:21" x14ac:dyDescent="0.25">
      <c r="B104" s="189"/>
      <c r="C104" s="189"/>
      <c r="D104" s="189"/>
      <c r="E104" s="189"/>
      <c r="F104" s="189"/>
      <c r="G104" s="189"/>
      <c r="H104" s="189"/>
      <c r="I104" s="189"/>
      <c r="J104" s="189"/>
      <c r="K104" s="189"/>
      <c r="L104" s="189"/>
      <c r="M104" s="189"/>
      <c r="N104" s="189"/>
      <c r="O104" s="189"/>
      <c r="P104" s="189"/>
      <c r="Q104" s="189"/>
      <c r="R104" s="189"/>
      <c r="S104" s="189"/>
      <c r="T104" s="189"/>
      <c r="U104" s="189"/>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9"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17" sqref="B17"/>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5"/>
      <c r="C5" s="196"/>
      <c r="D5" s="196"/>
      <c r="E5" s="196"/>
      <c r="F5" s="196"/>
      <c r="G5" s="197"/>
    </row>
    <row r="6" spans="1:19" ht="15.75" thickBot="1" x14ac:dyDescent="0.3"/>
    <row r="7" spans="1:19" ht="15.75" thickBot="1" x14ac:dyDescent="0.3">
      <c r="A7" s="56" t="s">
        <v>1</v>
      </c>
      <c r="B7" s="195"/>
      <c r="C7" s="196"/>
      <c r="D7" s="196"/>
      <c r="E7" s="196"/>
      <c r="F7" s="196"/>
      <c r="G7" s="19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3</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hidden="1" x14ac:dyDescent="0.25">
      <c r="A23" s="121" t="s">
        <v>280</v>
      </c>
      <c r="B23" s="121"/>
    </row>
    <row r="24" spans="1:2" hidden="1" x14ac:dyDescent="0.25">
      <c r="A24" s="121" t="s">
        <v>281</v>
      </c>
      <c r="B24" s="121"/>
    </row>
    <row r="25" spans="1:2" hidden="1" x14ac:dyDescent="0.25">
      <c r="A25" s="121" t="s">
        <v>192</v>
      </c>
      <c r="B25" s="121"/>
    </row>
    <row r="26" spans="1:2" hidden="1" x14ac:dyDescent="0.25">
      <c r="A26" s="121" t="s">
        <v>2</v>
      </c>
      <c r="B26" s="121"/>
    </row>
    <row r="27" spans="1:2" hidden="1" x14ac:dyDescent="0.25">
      <c r="A27" s="121" t="s">
        <v>3</v>
      </c>
      <c r="B27" s="121"/>
    </row>
    <row r="28" spans="1:2" hidden="1" x14ac:dyDescent="0.25">
      <c r="A28" s="121" t="s">
        <v>4</v>
      </c>
      <c r="B28" s="121"/>
    </row>
    <row r="29" spans="1:2" hidden="1" x14ac:dyDescent="0.25">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lkqxfU8NCg9YypSZFA/DKQ1FnhnXEqs2pSNF8ruVmZp9NvQ1k5HZNNpBDDTEcNBvQPFTtRIKRDzJ+m9582ar7g==" saltValue="dBkXxXU1JQsB6xqt5yiDO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8" width="8.7109375" customWidth="1"/>
    <col min="9"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G9gQ8GVdJIgegMywgosbv3uJdnEs/nRY8WYwz6INTe+3gvfWqDRVPQDvUwh4VgMPncej0T97iQRd/4yodKFVLQ==" saltValue="/ec4DiLUs+JEOnN5j+Tyj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18" priority="3">
      <formula>IF($B$8="No",TRUE,FALSE)</formula>
    </cfRule>
  </conditionalFormatting>
  <conditionalFormatting sqref="B13">
    <cfRule type="expression" dxfId="17" priority="2">
      <formula>IF($B$12="Yes",TRUE,FALSE)</formula>
    </cfRule>
  </conditionalFormatting>
  <conditionalFormatting sqref="B14">
    <cfRule type="expression" dxfId="16"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ht="15.75" thickBot="1" x14ac:dyDescent="0.3">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hidden="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hidden="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hidden="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hidden="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hidden="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hidden="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idden="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t="15.75" hidden="1" thickBot="1" x14ac:dyDescent="0.3">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l1jNCh4eRAteWzDuIaC0KTuQtZECWFD0x6WshB+ry7V6l89DLnTll+qVRVwU0K+ZCd6MM/VUiDq0CwO22JBwew==" saltValue="dhxlNsYDf8EJGf97Qtds9g=="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D6" sqref="D6:D10"/>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4">
        <f>SUMIF($E$6:$E$10,1,$H$6:$H$10)</f>
        <v>0</v>
      </c>
      <c r="J6" s="201">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5"/>
      <c r="J7" s="202"/>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5"/>
      <c r="J8" s="202"/>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5"/>
      <c r="J9" s="202"/>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6"/>
      <c r="J10" s="203"/>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4">
        <f>SUMIF($E$11:$E$15,1,$H$11:$H$15)</f>
        <v>0</v>
      </c>
      <c r="J11" s="204">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5"/>
      <c r="J12" s="205"/>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5"/>
      <c r="J13" s="205"/>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5"/>
      <c r="J14" s="205"/>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6"/>
      <c r="J15" s="206"/>
    </row>
    <row r="16" spans="1:10"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4">
        <f>SUMIF($E$16:$E$20,1,$H$16:$H$20)</f>
        <v>0</v>
      </c>
      <c r="J16" s="204">
        <f>SUMIF($E$16:$E$20,"&gt;"&amp;1,$H$16:$H$20)</f>
        <v>0</v>
      </c>
    </row>
    <row r="17" spans="2:10"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5"/>
      <c r="J17" s="205"/>
    </row>
    <row r="18" spans="2:10"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5"/>
      <c r="J18" s="205"/>
    </row>
    <row r="19" spans="2:10"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5"/>
      <c r="J19" s="205"/>
    </row>
    <row r="20" spans="2:10" ht="15.75"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6"/>
      <c r="J20" s="206"/>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4">
        <f>SUMIF($E$21:$E$25,1,$H$21:$H$25)</f>
        <v>0</v>
      </c>
      <c r="J21" s="204">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5"/>
      <c r="J22" s="205"/>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5"/>
      <c r="J23" s="205"/>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5"/>
      <c r="J24" s="205"/>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6"/>
      <c r="J25" s="206"/>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4">
        <f>SUMIF($E$26:$E$30,1,$H$26:$H$30)</f>
        <v>0</v>
      </c>
      <c r="J26" s="204">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5"/>
      <c r="J27" s="205"/>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5"/>
      <c r="J28" s="205"/>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5"/>
      <c r="J29" s="205"/>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6"/>
      <c r="J30" s="206"/>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8">
        <f>SUMIF($E$31:$E$35,1,$H$31:$H$35)</f>
        <v>0</v>
      </c>
      <c r="J31" s="198">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199"/>
      <c r="J32" s="199"/>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199"/>
      <c r="J33" s="199"/>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199"/>
      <c r="J34" s="199"/>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0"/>
      <c r="J35" s="200"/>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8">
        <f>SUMIF($E$36:$E$40,1,$H$36:$H$40)</f>
        <v>0</v>
      </c>
      <c r="J36" s="198">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199"/>
      <c r="J37" s="199"/>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199"/>
      <c r="J38" s="199"/>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199"/>
      <c r="J39" s="199"/>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0"/>
      <c r="J40" s="200"/>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8">
        <f>SUMIF($E$41:$E$45,1,$H$41:$H$45)</f>
        <v>0</v>
      </c>
      <c r="J41" s="198">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199"/>
      <c r="J42" s="199"/>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199"/>
      <c r="J43" s="199"/>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199"/>
      <c r="J44" s="199"/>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0"/>
      <c r="J45" s="200"/>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8">
        <f>SUMIF($E$46:$E$50,1,$H$46:$H$50)</f>
        <v>0</v>
      </c>
      <c r="J46" s="198">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199"/>
      <c r="J47" s="199"/>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199"/>
      <c r="J48" s="199"/>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199"/>
      <c r="J49" s="199"/>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0"/>
      <c r="J50" s="200"/>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8">
        <f>SUMIF($E$51:$E$55,1,$H$51:$H$55)</f>
        <v>0</v>
      </c>
      <c r="J51" s="198">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199"/>
      <c r="J52" s="199"/>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199"/>
      <c r="J53" s="199"/>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199"/>
      <c r="J54" s="199"/>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0"/>
      <c r="J55" s="200"/>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8">
        <f>SUMIF($E$56:$E$60,1,$H$56:$H$60)</f>
        <v>0</v>
      </c>
      <c r="J56" s="198">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199"/>
      <c r="J57" s="199"/>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199"/>
      <c r="J58" s="199"/>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199"/>
      <c r="J59" s="199"/>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0"/>
      <c r="J60" s="200"/>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8">
        <f>SUMIF($E$61:$E$65,1,$H$61:$H$65)</f>
        <v>0</v>
      </c>
      <c r="J61" s="198">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199"/>
      <c r="J62" s="199"/>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199"/>
      <c r="J63" s="199"/>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199"/>
      <c r="J64" s="199"/>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0"/>
      <c r="J65" s="200"/>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8">
        <f>SUMIF($E$66:$E$70,1,$H$66:$H$70)</f>
        <v>0</v>
      </c>
      <c r="J66" s="198">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199"/>
      <c r="J67" s="199"/>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199"/>
      <c r="J68" s="199"/>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199"/>
      <c r="J69" s="199"/>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0"/>
      <c r="J70" s="200"/>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8">
        <f>SUMIF($E$71:$E$75,1,$H$71:$H$75)</f>
        <v>0</v>
      </c>
      <c r="J71" s="198">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199"/>
      <c r="J72" s="199"/>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199"/>
      <c r="J73" s="199"/>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199"/>
      <c r="J74" s="199"/>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0"/>
      <c r="J75" s="200"/>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8">
        <f>SUMIF($E$76:$E$80,1,$H$76:$H$80)</f>
        <v>0</v>
      </c>
      <c r="J76" s="198">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199"/>
      <c r="J77" s="199"/>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199"/>
      <c r="J78" s="199"/>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199"/>
      <c r="J79" s="199"/>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0"/>
      <c r="J80" s="200"/>
    </row>
    <row r="81" spans="5:10" x14ac:dyDescent="0.25">
      <c r="E81" s="29"/>
      <c r="H81" s="29"/>
      <c r="I81" s="29"/>
      <c r="J81" s="29"/>
    </row>
  </sheetData>
  <sheetProtection algorithmName="SHA-512" hashValue="JOmgbrS/kafkiyuGx43kErwxVQ1BWnarFWAhMeeaJpfFbqZnbf5vVLoeCUNAH6NY8bXKEvmkviBeJUCL7JfyyA==" saltValue="VLJWJJK12TPoTXRCR6uvSA=="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A10" sqref="A10"/>
    </sheetView>
  </sheetViews>
  <sheetFormatPr defaultColWidth="0" defaultRowHeight="15" zeroHeight="1" x14ac:dyDescent="0.25"/>
  <cols>
    <col min="1" max="1" width="8.7109375" customWidth="1"/>
    <col min="2" max="2" width="17.7109375" bestFit="1" customWidth="1"/>
    <col min="3" max="5" width="3.28515625" customWidth="1"/>
    <col min="6" max="17" width="3.28515625" hidden="1" customWidth="1"/>
    <col min="18" max="18" width="13.7109375" bestFit="1" customWidth="1"/>
    <col min="19" max="22" width="8.7109375" customWidth="1"/>
    <col min="23" max="23" width="12" customWidth="1"/>
    <col min="24" max="24" width="8.7109375" customWidth="1"/>
    <col min="25" max="25" width="18.28515625" customWidth="1"/>
    <col min="26" max="28" width="3.28515625" customWidth="1"/>
    <col min="29"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NG0VTgHtrEJNUJkyKdllX24s40z0ckMSUo39w9Y6gB8dee7Msn5YqkSLextFZDB+ZT+hsR8Cx/bHQ80xcPI4ow==" saltValue="jPH5e3nQvTPJe4AdsxzF5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tabSelected="1" workbookViewId="0">
      <pane xSplit="2" ySplit="6" topLeftCell="C7" activePane="bottomRight" state="frozenSplit"/>
      <selection pane="topRight" activeCell="B1" sqref="B1"/>
      <selection pane="bottomLeft" activeCell="A7" sqref="A7"/>
      <selection pane="bottomRight" activeCell="RQ8" sqref="RQ8"/>
    </sheetView>
  </sheetViews>
  <sheetFormatPr defaultRowHeight="15" outlineLevelCol="1" x14ac:dyDescent="0.25"/>
  <cols>
    <col min="1" max="1" width="0" hidden="1" customWidth="1"/>
    <col min="2" max="3" width="18.85546875" customWidth="1"/>
    <col min="4" max="4" width="5.7109375" customWidth="1"/>
    <col min="5" max="5" width="14.28515625" customWidth="1"/>
    <col min="6" max="80" width="2.85546875" hidden="1" customWidth="1" outlineLevel="1"/>
    <col min="81" max="81" width="5.7109375" customWidth="1" collapsed="1"/>
    <col min="82" max="82" width="14.28515625" customWidth="1"/>
    <col min="83" max="182" width="2.85546875" hidden="1" customWidth="1" outlineLevel="1"/>
    <col min="183" max="183" width="5.5703125" customWidth="1" collapsed="1"/>
    <col min="184" max="383" width="2.85546875" hidden="1" customWidth="1"/>
    <col min="384" max="384" width="14.28515625" customWidth="1"/>
    <col min="385" max="484" width="2.85546875" hidden="1" customWidth="1" outlineLevel="1"/>
    <col min="485" max="485" width="5.7109375" style="5" customWidth="1" collapsed="1"/>
    <col min="486" max="685" width="2.85546875" hidden="1" customWidth="1"/>
    <col min="686" max="686" width="14.28515625" customWidth="1"/>
    <col min="687" max="738" width="2.85546875" customWidth="1"/>
  </cols>
  <sheetData>
    <row r="2" spans="1:738" x14ac:dyDescent="0.25">
      <c r="CD2" s="5"/>
      <c r="CE2" s="210">
        <f>'Capacity Backing (Hide)2'!B1</f>
        <v>0</v>
      </c>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c r="DQ2" s="210"/>
      <c r="DR2" s="210"/>
      <c r="DS2" s="210"/>
      <c r="DT2" s="210"/>
      <c r="DU2" s="210"/>
      <c r="DV2" s="210"/>
      <c r="DW2" s="210"/>
      <c r="DX2" s="210"/>
      <c r="DY2" s="210"/>
      <c r="DZ2" s="210"/>
      <c r="EA2" s="210"/>
      <c r="EB2" s="210"/>
      <c r="EC2" s="210"/>
      <c r="ED2" s="210"/>
      <c r="EE2" s="210"/>
      <c r="EF2" s="210"/>
      <c r="EG2" s="210"/>
      <c r="EH2" s="210"/>
      <c r="EI2" s="210"/>
      <c r="EJ2" s="210"/>
      <c r="EK2" s="210"/>
      <c r="EL2" s="210"/>
      <c r="EM2" s="210"/>
      <c r="EN2" s="210"/>
      <c r="EO2" s="210"/>
      <c r="EP2" s="210"/>
      <c r="EQ2" s="210"/>
      <c r="ER2" s="210"/>
      <c r="ES2" s="210"/>
      <c r="ET2" s="210"/>
      <c r="EU2" s="210"/>
      <c r="EV2" s="210"/>
      <c r="EW2" s="210"/>
      <c r="EX2" s="210"/>
      <c r="EY2" s="210"/>
      <c r="EZ2" s="210"/>
      <c r="FA2" s="210"/>
      <c r="FB2" s="210"/>
      <c r="FC2" s="210"/>
      <c r="FD2" s="210"/>
      <c r="FE2" s="210"/>
      <c r="FF2" s="210"/>
      <c r="FG2" s="210"/>
      <c r="FH2" s="210"/>
      <c r="FI2" s="210"/>
      <c r="FJ2" s="210"/>
      <c r="FK2" s="210"/>
      <c r="FL2" s="210"/>
      <c r="FM2" s="210"/>
      <c r="FN2" s="210"/>
      <c r="FO2" s="210"/>
      <c r="FP2" s="210"/>
      <c r="FQ2" s="210"/>
      <c r="FR2" s="210"/>
      <c r="FS2" s="210"/>
      <c r="FT2" s="210"/>
      <c r="FU2" s="210"/>
      <c r="FV2" s="210"/>
      <c r="FW2" s="210"/>
      <c r="FX2" s="210"/>
      <c r="FY2" s="210"/>
      <c r="FZ2" s="210"/>
      <c r="GA2" s="187"/>
      <c r="GB2" s="213"/>
      <c r="GC2" s="210"/>
      <c r="GD2" s="210"/>
      <c r="GE2" s="210"/>
      <c r="GF2" s="210"/>
      <c r="GG2" s="210"/>
      <c r="GH2" s="210"/>
      <c r="GI2" s="210"/>
      <c r="GJ2" s="210"/>
      <c r="GK2" s="210"/>
      <c r="GL2" s="210"/>
      <c r="GM2" s="210"/>
      <c r="GN2" s="210"/>
      <c r="GO2" s="210"/>
      <c r="GP2" s="210"/>
      <c r="GQ2" s="210"/>
      <c r="GR2" s="210"/>
      <c r="GS2" s="210"/>
      <c r="GT2" s="210"/>
      <c r="GU2" s="210"/>
      <c r="GV2" s="210"/>
      <c r="GW2" s="210"/>
      <c r="GX2" s="210"/>
      <c r="GY2" s="210"/>
      <c r="GZ2" s="210"/>
      <c r="HA2" s="210"/>
      <c r="HB2" s="210"/>
      <c r="HC2" s="210"/>
      <c r="HD2" s="210"/>
      <c r="HE2" s="210"/>
      <c r="HF2" s="210"/>
      <c r="HG2" s="210"/>
      <c r="HH2" s="210"/>
      <c r="HI2" s="210"/>
      <c r="HJ2" s="210"/>
      <c r="HK2" s="210"/>
      <c r="HL2" s="210"/>
      <c r="HM2" s="210"/>
      <c r="HN2" s="210"/>
      <c r="HO2" s="210"/>
      <c r="HP2" s="210"/>
      <c r="HQ2" s="210"/>
      <c r="HR2" s="210"/>
      <c r="HS2" s="210"/>
      <c r="HT2" s="210"/>
      <c r="HU2" s="210"/>
      <c r="HV2" s="210"/>
      <c r="HW2" s="210"/>
      <c r="HX2" s="210"/>
      <c r="HY2" s="210"/>
      <c r="HZ2" s="210"/>
      <c r="IA2" s="210"/>
      <c r="IB2" s="210"/>
      <c r="IC2" s="210"/>
      <c r="ID2" s="210"/>
      <c r="IE2" s="210"/>
      <c r="IF2" s="210"/>
      <c r="IG2" s="210"/>
      <c r="IH2" s="210"/>
      <c r="II2" s="210"/>
      <c r="IJ2" s="210"/>
      <c r="IK2" s="210"/>
      <c r="IL2" s="210"/>
      <c r="IM2" s="210"/>
      <c r="IN2" s="210"/>
      <c r="IO2" s="210"/>
      <c r="IP2" s="210"/>
      <c r="IQ2" s="210"/>
      <c r="IR2" s="210"/>
      <c r="IS2" s="210"/>
      <c r="IT2" s="210"/>
      <c r="IU2" s="210"/>
      <c r="IV2" s="210"/>
      <c r="IW2" s="210"/>
      <c r="IX2" s="210"/>
      <c r="IY2" s="210"/>
      <c r="IZ2" s="210"/>
      <c r="JA2" s="210"/>
      <c r="JB2" s="210"/>
      <c r="JC2" s="210"/>
      <c r="JD2" s="210"/>
      <c r="JE2" s="210"/>
      <c r="JF2" s="210"/>
      <c r="JG2" s="210"/>
      <c r="JH2" s="210"/>
      <c r="JI2" s="210"/>
      <c r="JJ2" s="210"/>
      <c r="JK2" s="210"/>
      <c r="JL2" s="210"/>
      <c r="JM2" s="210"/>
      <c r="JN2" s="210"/>
      <c r="JO2" s="210"/>
      <c r="JP2" s="210"/>
      <c r="JQ2" s="210"/>
      <c r="JR2" s="210"/>
      <c r="JS2" s="210"/>
      <c r="JT2" s="210"/>
      <c r="JU2" s="210"/>
      <c r="JV2" s="210"/>
      <c r="JW2" s="210"/>
      <c r="JX2" s="210"/>
      <c r="JY2" s="210"/>
      <c r="JZ2" s="210"/>
      <c r="KA2" s="210"/>
      <c r="KB2" s="210"/>
      <c r="KC2" s="210"/>
      <c r="KD2" s="210"/>
      <c r="KE2" s="210"/>
      <c r="KF2" s="210"/>
      <c r="KG2" s="210"/>
      <c r="KH2" s="210"/>
      <c r="KI2" s="210"/>
      <c r="KJ2" s="210"/>
      <c r="KK2" s="210"/>
      <c r="KL2" s="210"/>
      <c r="KM2" s="210"/>
      <c r="KN2" s="210"/>
      <c r="KO2" s="210"/>
      <c r="KP2" s="210"/>
      <c r="KQ2" s="210"/>
      <c r="KR2" s="210"/>
      <c r="KS2" s="210"/>
      <c r="KT2" s="210"/>
      <c r="KU2" s="210"/>
      <c r="KV2" s="210"/>
      <c r="KW2" s="210"/>
      <c r="KX2" s="210"/>
      <c r="KY2" s="210"/>
      <c r="KZ2" s="210"/>
      <c r="LA2" s="210"/>
      <c r="LB2" s="210"/>
      <c r="LC2" s="210"/>
      <c r="LD2" s="210"/>
      <c r="LE2" s="210"/>
      <c r="LF2" s="210"/>
      <c r="LG2" s="210"/>
      <c r="LH2" s="210"/>
      <c r="LI2" s="210"/>
      <c r="LJ2" s="210"/>
      <c r="LK2" s="210"/>
      <c r="LL2" s="210"/>
      <c r="LM2" s="210"/>
      <c r="LN2" s="210"/>
      <c r="LO2" s="210"/>
      <c r="LP2" s="210"/>
      <c r="LQ2" s="210"/>
      <c r="LR2" s="210"/>
      <c r="LS2" s="210"/>
      <c r="LT2" s="210"/>
      <c r="LU2" s="210"/>
      <c r="LV2" s="210"/>
      <c r="LW2" s="210"/>
      <c r="LX2" s="210"/>
      <c r="LY2" s="210"/>
      <c r="LZ2" s="210"/>
      <c r="MA2" s="210"/>
      <c r="MB2" s="210"/>
      <c r="MC2" s="210"/>
      <c r="MD2" s="210"/>
      <c r="ME2" s="210"/>
      <c r="MF2" s="210"/>
      <c r="MG2" s="210"/>
      <c r="MH2" s="210"/>
      <c r="MI2" s="210"/>
      <c r="MJ2" s="210"/>
      <c r="MK2" s="210"/>
      <c r="ML2" s="210"/>
      <c r="MM2" s="210"/>
      <c r="MN2" s="210"/>
      <c r="MO2" s="210"/>
      <c r="MP2" s="210"/>
      <c r="MQ2" s="210"/>
      <c r="MR2" s="210"/>
      <c r="MS2" s="210"/>
      <c r="MT2" s="210"/>
      <c r="MU2" s="210"/>
      <c r="MV2" s="210"/>
      <c r="MW2" s="210"/>
      <c r="MX2" s="210"/>
      <c r="MY2" s="210"/>
      <c r="MZ2" s="210"/>
      <c r="NA2" s="210"/>
      <c r="NB2" s="210"/>
      <c r="NC2" s="210"/>
      <c r="ND2" s="210"/>
      <c r="NE2" s="210"/>
      <c r="NF2" s="210"/>
      <c r="NG2" s="210"/>
      <c r="NH2" s="210"/>
      <c r="NI2" s="210"/>
      <c r="NJ2" s="210"/>
      <c r="NK2" s="210"/>
      <c r="NL2" s="210"/>
      <c r="NM2" s="210"/>
      <c r="NN2" s="210"/>
      <c r="NO2" s="210"/>
      <c r="NP2" s="210"/>
      <c r="NQ2" s="210"/>
      <c r="NR2" s="210"/>
      <c r="NS2" s="216"/>
      <c r="NT2" s="5"/>
      <c r="NU2" s="210">
        <f>'Capacity Backing (Hide)2'!KR1</f>
        <v>0</v>
      </c>
      <c r="NV2" s="210"/>
      <c r="NW2" s="210"/>
      <c r="NX2" s="210"/>
      <c r="NY2" s="210"/>
      <c r="NZ2" s="210"/>
      <c r="OA2" s="210"/>
      <c r="OB2" s="210"/>
      <c r="OC2" s="210"/>
      <c r="OD2" s="210"/>
      <c r="OE2" s="210"/>
      <c r="OF2" s="210"/>
      <c r="OG2" s="210"/>
      <c r="OH2" s="210"/>
      <c r="OI2" s="210"/>
      <c r="OJ2" s="210"/>
      <c r="OK2" s="210"/>
      <c r="OL2" s="210"/>
      <c r="OM2" s="210"/>
      <c r="ON2" s="210"/>
      <c r="OO2" s="210"/>
      <c r="OP2" s="210"/>
      <c r="OQ2" s="210"/>
      <c r="OR2" s="210"/>
      <c r="OS2" s="210"/>
      <c r="OT2" s="210"/>
      <c r="OU2" s="210"/>
      <c r="OV2" s="210"/>
      <c r="OW2" s="210"/>
      <c r="OX2" s="210"/>
      <c r="OY2" s="210"/>
      <c r="OZ2" s="210"/>
      <c r="PA2" s="210"/>
      <c r="PB2" s="210"/>
      <c r="PC2" s="210"/>
      <c r="PD2" s="210"/>
      <c r="PE2" s="210"/>
      <c r="PF2" s="210"/>
      <c r="PG2" s="210"/>
      <c r="PH2" s="210"/>
      <c r="PI2" s="210"/>
      <c r="PJ2" s="210"/>
      <c r="PK2" s="210"/>
      <c r="PL2" s="210"/>
      <c r="PM2" s="210"/>
      <c r="PN2" s="210"/>
      <c r="PO2" s="210"/>
      <c r="PP2" s="210"/>
      <c r="PQ2" s="210"/>
      <c r="PR2" s="210"/>
      <c r="PS2" s="210"/>
      <c r="PT2" s="210"/>
      <c r="PU2" s="210"/>
      <c r="PV2" s="210"/>
      <c r="PW2" s="210"/>
      <c r="PX2" s="210"/>
      <c r="PY2" s="210"/>
      <c r="PZ2" s="210"/>
      <c r="QA2" s="210"/>
      <c r="QB2" s="210"/>
      <c r="QC2" s="210"/>
      <c r="QD2" s="210"/>
      <c r="QE2" s="210"/>
      <c r="QF2" s="210"/>
      <c r="QG2" s="210"/>
      <c r="QH2" s="210"/>
      <c r="QI2" s="210"/>
      <c r="QJ2" s="210"/>
      <c r="QK2" s="210"/>
      <c r="QL2" s="210"/>
      <c r="QM2" s="210"/>
      <c r="QN2" s="210"/>
      <c r="QO2" s="210"/>
      <c r="QP2" s="210"/>
      <c r="QQ2" s="210"/>
      <c r="QR2" s="210"/>
      <c r="QS2" s="210"/>
      <c r="QT2" s="210"/>
      <c r="QU2" s="210"/>
      <c r="QV2" s="210"/>
      <c r="QW2" s="210"/>
      <c r="QX2" s="210"/>
      <c r="QY2" s="210"/>
      <c r="QZ2" s="210"/>
      <c r="RA2" s="210"/>
      <c r="RB2" s="210"/>
      <c r="RC2" s="210"/>
      <c r="RD2" s="210"/>
      <c r="RE2" s="210"/>
      <c r="RF2" s="210"/>
      <c r="RG2" s="210"/>
      <c r="RH2" s="210"/>
      <c r="RI2" s="210"/>
      <c r="RJ2" s="210"/>
      <c r="RK2" s="210"/>
      <c r="RL2" s="210"/>
      <c r="RM2" s="210"/>
      <c r="RN2" s="210"/>
      <c r="RO2" s="210"/>
      <c r="RP2" s="210"/>
      <c r="RQ2" s="187"/>
      <c r="RR2" s="213"/>
      <c r="RS2" s="210"/>
      <c r="RT2" s="210"/>
      <c r="RU2" s="210"/>
      <c r="RV2" s="210"/>
      <c r="RW2" s="210"/>
      <c r="RX2" s="210"/>
      <c r="RY2" s="210"/>
      <c r="RZ2" s="210"/>
      <c r="SA2" s="210"/>
      <c r="SB2" s="210"/>
      <c r="SC2" s="210"/>
      <c r="SD2" s="210"/>
      <c r="SE2" s="210"/>
      <c r="SF2" s="210"/>
      <c r="SG2" s="210"/>
      <c r="SH2" s="210"/>
      <c r="SI2" s="210"/>
      <c r="SJ2" s="210"/>
      <c r="SK2" s="210"/>
      <c r="SL2" s="210"/>
      <c r="SM2" s="210"/>
      <c r="SN2" s="210"/>
      <c r="SO2" s="210"/>
      <c r="SP2" s="210"/>
      <c r="SQ2" s="210"/>
      <c r="SR2" s="210"/>
      <c r="SS2" s="210"/>
      <c r="ST2" s="210"/>
      <c r="SU2" s="210"/>
      <c r="SV2" s="210"/>
      <c r="SW2" s="210"/>
      <c r="SX2" s="210"/>
      <c r="SY2" s="210"/>
      <c r="SZ2" s="210"/>
      <c r="TA2" s="210"/>
      <c r="TB2" s="210"/>
      <c r="TC2" s="210"/>
      <c r="TD2" s="210"/>
      <c r="TE2" s="210"/>
      <c r="TF2" s="210"/>
      <c r="TG2" s="210"/>
      <c r="TH2" s="210"/>
      <c r="TI2" s="210"/>
      <c r="TJ2" s="210"/>
      <c r="TK2" s="210"/>
      <c r="TL2" s="210"/>
      <c r="TM2" s="210"/>
      <c r="TN2" s="210"/>
      <c r="TO2" s="210"/>
      <c r="TP2" s="210"/>
      <c r="TQ2" s="210"/>
      <c r="TR2" s="210"/>
      <c r="TS2" s="210"/>
      <c r="TT2" s="210"/>
      <c r="TU2" s="210"/>
      <c r="TV2" s="210"/>
      <c r="TW2" s="210"/>
      <c r="TX2" s="210"/>
      <c r="TY2" s="210"/>
      <c r="TZ2" s="210"/>
      <c r="UA2" s="210"/>
      <c r="UB2" s="210"/>
      <c r="UC2" s="210"/>
      <c r="UD2" s="210"/>
      <c r="UE2" s="210"/>
      <c r="UF2" s="210"/>
      <c r="UG2" s="210"/>
      <c r="UH2" s="210"/>
      <c r="UI2" s="210"/>
      <c r="UJ2" s="210"/>
      <c r="UK2" s="210"/>
      <c r="UL2" s="210"/>
      <c r="UM2" s="210"/>
      <c r="UN2" s="210"/>
      <c r="UO2" s="210"/>
      <c r="UP2" s="210"/>
      <c r="UQ2" s="210"/>
      <c r="UR2" s="210"/>
      <c r="US2" s="210"/>
      <c r="UT2" s="210"/>
      <c r="UU2" s="210"/>
      <c r="UV2" s="210"/>
      <c r="UW2" s="210"/>
      <c r="UX2" s="210"/>
      <c r="UY2" s="210"/>
      <c r="UZ2" s="210"/>
      <c r="VA2" s="210"/>
      <c r="VB2" s="210"/>
      <c r="VC2" s="210"/>
      <c r="VD2" s="210"/>
      <c r="VE2" s="210"/>
      <c r="VF2" s="210"/>
      <c r="VG2" s="210"/>
      <c r="VH2" s="210"/>
      <c r="VI2" s="210"/>
      <c r="VJ2" s="210"/>
      <c r="VK2" s="210"/>
      <c r="VL2" s="210"/>
      <c r="VM2" s="210"/>
      <c r="VN2" s="210"/>
      <c r="VO2" s="210"/>
      <c r="VP2" s="210"/>
      <c r="VQ2" s="210"/>
      <c r="VR2" s="210"/>
      <c r="VS2" s="210"/>
      <c r="VT2" s="210"/>
      <c r="VU2" s="210"/>
      <c r="VV2" s="210"/>
      <c r="VW2" s="210"/>
      <c r="VX2" s="210"/>
      <c r="VY2" s="210"/>
      <c r="VZ2" s="210"/>
      <c r="WA2" s="210"/>
      <c r="WB2" s="210"/>
      <c r="WC2" s="210"/>
      <c r="WD2" s="210"/>
      <c r="WE2" s="210"/>
      <c r="WF2" s="210"/>
      <c r="WG2" s="210"/>
      <c r="WH2" s="210"/>
      <c r="WI2" s="210"/>
      <c r="WJ2" s="210"/>
      <c r="WK2" s="210"/>
      <c r="WL2" s="210"/>
      <c r="WM2" s="210"/>
      <c r="WN2" s="210"/>
      <c r="WO2" s="210"/>
      <c r="WP2" s="210"/>
      <c r="WQ2" s="210"/>
      <c r="WR2" s="210"/>
      <c r="WS2" s="210"/>
      <c r="WT2" s="210"/>
      <c r="WU2" s="210"/>
      <c r="WV2" s="210"/>
      <c r="WW2" s="210"/>
      <c r="WX2" s="210"/>
      <c r="WY2" s="210"/>
      <c r="WZ2" s="210"/>
      <c r="XA2" s="210"/>
      <c r="XB2" s="210"/>
      <c r="XC2" s="210"/>
      <c r="XD2" s="210"/>
      <c r="XE2" s="210"/>
      <c r="XF2" s="210"/>
      <c r="XG2" s="210"/>
      <c r="XH2" s="210"/>
      <c r="XI2" s="210"/>
      <c r="XJ2" s="210"/>
      <c r="XK2" s="210"/>
      <c r="XL2" s="210"/>
      <c r="XM2" s="210"/>
      <c r="XN2" s="210"/>
      <c r="XO2" s="210"/>
      <c r="XP2" s="210"/>
      <c r="XQ2" s="210"/>
      <c r="XR2" s="210"/>
      <c r="XS2" s="210"/>
      <c r="XT2" s="210"/>
      <c r="XU2" s="210"/>
      <c r="XV2" s="210"/>
      <c r="XW2" s="210"/>
      <c r="XX2" s="210"/>
      <c r="XY2" s="210"/>
      <c r="XZ2" s="210"/>
      <c r="YA2" s="210"/>
      <c r="YB2" s="210"/>
      <c r="YC2" s="210"/>
      <c r="YD2" s="210"/>
      <c r="YE2" s="210"/>
      <c r="YF2" s="210"/>
      <c r="YG2" s="210"/>
      <c r="YH2" s="210"/>
      <c r="YI2" s="210"/>
      <c r="YJ2" s="210"/>
      <c r="YK2" s="210"/>
      <c r="YL2" s="210"/>
      <c r="YM2" s="210"/>
      <c r="YN2" s="210"/>
      <c r="YO2" s="210"/>
      <c r="YP2" s="210"/>
      <c r="YQ2" s="210"/>
      <c r="YR2" s="210"/>
      <c r="YS2" s="210"/>
      <c r="YT2" s="210"/>
      <c r="YU2" s="210"/>
      <c r="YV2" s="210"/>
      <c r="YW2" s="210"/>
      <c r="YX2" s="210"/>
      <c r="YY2" s="210"/>
      <c r="YZ2" s="210"/>
      <c r="ZA2" s="210"/>
      <c r="ZB2" s="210"/>
      <c r="ZC2" s="210"/>
      <c r="ZD2" s="210"/>
      <c r="ZE2" s="210"/>
      <c r="ZF2" s="210"/>
      <c r="ZG2" s="210"/>
      <c r="ZH2" s="210"/>
      <c r="ZI2" s="210"/>
    </row>
    <row r="3" spans="1:738" x14ac:dyDescent="0.25">
      <c r="CD3" s="5"/>
      <c r="CE3" s="211"/>
      <c r="CF3" s="211"/>
      <c r="CG3" s="211"/>
      <c r="CH3" s="211"/>
      <c r="CI3" s="211"/>
      <c r="CJ3" s="211"/>
      <c r="CK3" s="211"/>
      <c r="CL3" s="211"/>
      <c r="CM3" s="211"/>
      <c r="CN3" s="211"/>
      <c r="CO3" s="211"/>
      <c r="CP3" s="211"/>
      <c r="CQ3" s="211"/>
      <c r="CR3" s="211"/>
      <c r="CS3" s="211"/>
      <c r="CT3" s="211"/>
      <c r="CU3" s="211"/>
      <c r="CV3" s="211"/>
      <c r="CW3" s="211"/>
      <c r="CX3" s="211"/>
      <c r="CY3" s="211"/>
      <c r="CZ3" s="211"/>
      <c r="DA3" s="211"/>
      <c r="DB3" s="211"/>
      <c r="DC3" s="211"/>
      <c r="DD3" s="211"/>
      <c r="DE3" s="211"/>
      <c r="DF3" s="211"/>
      <c r="DG3" s="211"/>
      <c r="DH3" s="211"/>
      <c r="DI3" s="211"/>
      <c r="DJ3" s="211"/>
      <c r="DK3" s="211"/>
      <c r="DL3" s="211"/>
      <c r="DM3" s="211"/>
      <c r="DN3" s="211"/>
      <c r="DO3" s="211"/>
      <c r="DP3" s="211"/>
      <c r="DQ3" s="211"/>
      <c r="DR3" s="211"/>
      <c r="DS3" s="211"/>
      <c r="DT3" s="211"/>
      <c r="DU3" s="211"/>
      <c r="DV3" s="211"/>
      <c r="DW3" s="211"/>
      <c r="DX3" s="211"/>
      <c r="DY3" s="211"/>
      <c r="DZ3" s="211"/>
      <c r="EA3" s="211"/>
      <c r="EB3" s="211"/>
      <c r="EC3" s="211"/>
      <c r="ED3" s="211"/>
      <c r="EE3" s="211"/>
      <c r="EF3" s="211"/>
      <c r="EG3" s="211"/>
      <c r="EH3" s="211"/>
      <c r="EI3" s="211"/>
      <c r="EJ3" s="211"/>
      <c r="EK3" s="211"/>
      <c r="EL3" s="211"/>
      <c r="EM3" s="211"/>
      <c r="EN3" s="211"/>
      <c r="EO3" s="211"/>
      <c r="EP3" s="211"/>
      <c r="EQ3" s="211"/>
      <c r="ER3" s="211"/>
      <c r="ES3" s="211"/>
      <c r="ET3" s="211"/>
      <c r="EU3" s="211"/>
      <c r="EV3" s="211"/>
      <c r="EW3" s="211"/>
      <c r="EX3" s="211"/>
      <c r="EY3" s="211"/>
      <c r="EZ3" s="211"/>
      <c r="FA3" s="211"/>
      <c r="FB3" s="211"/>
      <c r="FC3" s="211"/>
      <c r="FD3" s="211"/>
      <c r="FE3" s="211"/>
      <c r="FF3" s="211"/>
      <c r="FG3" s="211"/>
      <c r="FH3" s="211"/>
      <c r="FI3" s="211"/>
      <c r="FJ3" s="211"/>
      <c r="FK3" s="211"/>
      <c r="FL3" s="211"/>
      <c r="FM3" s="211"/>
      <c r="FN3" s="211"/>
      <c r="FO3" s="211"/>
      <c r="FP3" s="211"/>
      <c r="FQ3" s="211"/>
      <c r="FR3" s="211"/>
      <c r="FS3" s="211"/>
      <c r="FT3" s="211"/>
      <c r="FU3" s="211"/>
      <c r="FV3" s="211"/>
      <c r="FW3" s="211"/>
      <c r="FX3" s="211"/>
      <c r="FY3" s="211"/>
      <c r="FZ3" s="211"/>
      <c r="GA3" s="187"/>
      <c r="GB3" s="214"/>
      <c r="GC3" s="211"/>
      <c r="GD3" s="211"/>
      <c r="GE3" s="211"/>
      <c r="GF3" s="211"/>
      <c r="GG3" s="211"/>
      <c r="GH3" s="211"/>
      <c r="GI3" s="211"/>
      <c r="GJ3" s="211"/>
      <c r="GK3" s="211"/>
      <c r="GL3" s="211"/>
      <c r="GM3" s="211"/>
      <c r="GN3" s="211"/>
      <c r="GO3" s="211"/>
      <c r="GP3" s="211"/>
      <c r="GQ3" s="211"/>
      <c r="GR3" s="211"/>
      <c r="GS3" s="211"/>
      <c r="GT3" s="211"/>
      <c r="GU3" s="211"/>
      <c r="GV3" s="211"/>
      <c r="GW3" s="211"/>
      <c r="GX3" s="211"/>
      <c r="GY3" s="211"/>
      <c r="GZ3" s="211"/>
      <c r="HA3" s="211"/>
      <c r="HB3" s="211"/>
      <c r="HC3" s="211"/>
      <c r="HD3" s="211"/>
      <c r="HE3" s="211"/>
      <c r="HF3" s="211"/>
      <c r="HG3" s="211"/>
      <c r="HH3" s="211"/>
      <c r="HI3" s="211"/>
      <c r="HJ3" s="211"/>
      <c r="HK3" s="211"/>
      <c r="HL3" s="211"/>
      <c r="HM3" s="211"/>
      <c r="HN3" s="211"/>
      <c r="HO3" s="211"/>
      <c r="HP3" s="211"/>
      <c r="HQ3" s="211"/>
      <c r="HR3" s="211"/>
      <c r="HS3" s="211"/>
      <c r="HT3" s="211"/>
      <c r="HU3" s="211"/>
      <c r="HV3" s="211"/>
      <c r="HW3" s="211"/>
      <c r="HX3" s="211"/>
      <c r="HY3" s="211"/>
      <c r="HZ3" s="211"/>
      <c r="IA3" s="211"/>
      <c r="IB3" s="211"/>
      <c r="IC3" s="211"/>
      <c r="ID3" s="211"/>
      <c r="IE3" s="211"/>
      <c r="IF3" s="211"/>
      <c r="IG3" s="211"/>
      <c r="IH3" s="211"/>
      <c r="II3" s="211"/>
      <c r="IJ3" s="211"/>
      <c r="IK3" s="211"/>
      <c r="IL3" s="211"/>
      <c r="IM3" s="211"/>
      <c r="IN3" s="211"/>
      <c r="IO3" s="211"/>
      <c r="IP3" s="211"/>
      <c r="IQ3" s="211"/>
      <c r="IR3" s="211"/>
      <c r="IS3" s="211"/>
      <c r="IT3" s="211"/>
      <c r="IU3" s="211"/>
      <c r="IV3" s="211"/>
      <c r="IW3" s="211"/>
      <c r="IX3" s="211"/>
      <c r="IY3" s="211"/>
      <c r="IZ3" s="211"/>
      <c r="JA3" s="211"/>
      <c r="JB3" s="211"/>
      <c r="JC3" s="211"/>
      <c r="JD3" s="211"/>
      <c r="JE3" s="211"/>
      <c r="JF3" s="211"/>
      <c r="JG3" s="211"/>
      <c r="JH3" s="211"/>
      <c r="JI3" s="211"/>
      <c r="JJ3" s="211"/>
      <c r="JK3" s="211"/>
      <c r="JL3" s="211"/>
      <c r="JM3" s="211"/>
      <c r="JN3" s="211"/>
      <c r="JO3" s="211"/>
      <c r="JP3" s="211"/>
      <c r="JQ3" s="211"/>
      <c r="JR3" s="211"/>
      <c r="JS3" s="211"/>
      <c r="JT3" s="211"/>
      <c r="JU3" s="211"/>
      <c r="JV3" s="211"/>
      <c r="JW3" s="211"/>
      <c r="JX3" s="211"/>
      <c r="JY3" s="211"/>
      <c r="JZ3" s="211"/>
      <c r="KA3" s="211"/>
      <c r="KB3" s="211"/>
      <c r="KC3" s="211"/>
      <c r="KD3" s="211"/>
      <c r="KE3" s="211"/>
      <c r="KF3" s="211"/>
      <c r="KG3" s="211"/>
      <c r="KH3" s="211"/>
      <c r="KI3" s="211"/>
      <c r="KJ3" s="211"/>
      <c r="KK3" s="211"/>
      <c r="KL3" s="211"/>
      <c r="KM3" s="211"/>
      <c r="KN3" s="211"/>
      <c r="KO3" s="211"/>
      <c r="KP3" s="211"/>
      <c r="KQ3" s="211"/>
      <c r="KR3" s="211"/>
      <c r="KS3" s="211"/>
      <c r="KT3" s="211"/>
      <c r="KU3" s="211"/>
      <c r="KV3" s="211"/>
      <c r="KW3" s="211"/>
      <c r="KX3" s="211"/>
      <c r="KY3" s="211"/>
      <c r="KZ3" s="211"/>
      <c r="LA3" s="211"/>
      <c r="LB3" s="211"/>
      <c r="LC3" s="211"/>
      <c r="LD3" s="211"/>
      <c r="LE3" s="211"/>
      <c r="LF3" s="211"/>
      <c r="LG3" s="211"/>
      <c r="LH3" s="211"/>
      <c r="LI3" s="211"/>
      <c r="LJ3" s="211"/>
      <c r="LK3" s="211"/>
      <c r="LL3" s="211"/>
      <c r="LM3" s="211"/>
      <c r="LN3" s="211"/>
      <c r="LO3" s="211"/>
      <c r="LP3" s="211"/>
      <c r="LQ3" s="211"/>
      <c r="LR3" s="211"/>
      <c r="LS3" s="211"/>
      <c r="LT3" s="211"/>
      <c r="LU3" s="211"/>
      <c r="LV3" s="211"/>
      <c r="LW3" s="211"/>
      <c r="LX3" s="211"/>
      <c r="LY3" s="211"/>
      <c r="LZ3" s="211"/>
      <c r="MA3" s="211"/>
      <c r="MB3" s="211"/>
      <c r="MC3" s="211"/>
      <c r="MD3" s="211"/>
      <c r="ME3" s="211"/>
      <c r="MF3" s="211"/>
      <c r="MG3" s="211"/>
      <c r="MH3" s="211"/>
      <c r="MI3" s="211"/>
      <c r="MJ3" s="211"/>
      <c r="MK3" s="211"/>
      <c r="ML3" s="211"/>
      <c r="MM3" s="211"/>
      <c r="MN3" s="211"/>
      <c r="MO3" s="211"/>
      <c r="MP3" s="211"/>
      <c r="MQ3" s="211"/>
      <c r="MR3" s="211"/>
      <c r="MS3" s="211"/>
      <c r="MT3" s="211"/>
      <c r="MU3" s="211"/>
      <c r="MV3" s="211"/>
      <c r="MW3" s="211"/>
      <c r="MX3" s="211"/>
      <c r="MY3" s="211"/>
      <c r="MZ3" s="211"/>
      <c r="NA3" s="211"/>
      <c r="NB3" s="211"/>
      <c r="NC3" s="211"/>
      <c r="ND3" s="211"/>
      <c r="NE3" s="211"/>
      <c r="NF3" s="211"/>
      <c r="NG3" s="211"/>
      <c r="NH3" s="211"/>
      <c r="NI3" s="211"/>
      <c r="NJ3" s="211"/>
      <c r="NK3" s="211"/>
      <c r="NL3" s="211"/>
      <c r="NM3" s="211"/>
      <c r="NN3" s="211"/>
      <c r="NO3" s="211"/>
      <c r="NP3" s="211"/>
      <c r="NQ3" s="211"/>
      <c r="NR3" s="211"/>
      <c r="NS3" s="217"/>
      <c r="NT3" s="5"/>
      <c r="NU3" s="211"/>
      <c r="NV3" s="211"/>
      <c r="NW3" s="211"/>
      <c r="NX3" s="211"/>
      <c r="NY3" s="211"/>
      <c r="NZ3" s="211"/>
      <c r="OA3" s="211"/>
      <c r="OB3" s="211"/>
      <c r="OC3" s="211"/>
      <c r="OD3" s="211"/>
      <c r="OE3" s="211"/>
      <c r="OF3" s="211"/>
      <c r="OG3" s="211"/>
      <c r="OH3" s="211"/>
      <c r="OI3" s="211"/>
      <c r="OJ3" s="211"/>
      <c r="OK3" s="211"/>
      <c r="OL3" s="211"/>
      <c r="OM3" s="211"/>
      <c r="ON3" s="211"/>
      <c r="OO3" s="211"/>
      <c r="OP3" s="211"/>
      <c r="OQ3" s="211"/>
      <c r="OR3" s="211"/>
      <c r="OS3" s="211"/>
      <c r="OT3" s="211"/>
      <c r="OU3" s="211"/>
      <c r="OV3" s="211"/>
      <c r="OW3" s="211"/>
      <c r="OX3" s="211"/>
      <c r="OY3" s="211"/>
      <c r="OZ3" s="211"/>
      <c r="PA3" s="211"/>
      <c r="PB3" s="211"/>
      <c r="PC3" s="211"/>
      <c r="PD3" s="211"/>
      <c r="PE3" s="211"/>
      <c r="PF3" s="211"/>
      <c r="PG3" s="211"/>
      <c r="PH3" s="211"/>
      <c r="PI3" s="211"/>
      <c r="PJ3" s="211"/>
      <c r="PK3" s="211"/>
      <c r="PL3" s="211"/>
      <c r="PM3" s="211"/>
      <c r="PN3" s="211"/>
      <c r="PO3" s="211"/>
      <c r="PP3" s="211"/>
      <c r="PQ3" s="211"/>
      <c r="PR3" s="211"/>
      <c r="PS3" s="211"/>
      <c r="PT3" s="211"/>
      <c r="PU3" s="211"/>
      <c r="PV3" s="211"/>
      <c r="PW3" s="211"/>
      <c r="PX3" s="211"/>
      <c r="PY3" s="211"/>
      <c r="PZ3" s="211"/>
      <c r="QA3" s="211"/>
      <c r="QB3" s="211"/>
      <c r="QC3" s="211"/>
      <c r="QD3" s="211"/>
      <c r="QE3" s="211"/>
      <c r="QF3" s="211"/>
      <c r="QG3" s="211"/>
      <c r="QH3" s="211"/>
      <c r="QI3" s="211"/>
      <c r="QJ3" s="211"/>
      <c r="QK3" s="211"/>
      <c r="QL3" s="211"/>
      <c r="QM3" s="211"/>
      <c r="QN3" s="211"/>
      <c r="QO3" s="211"/>
      <c r="QP3" s="211"/>
      <c r="QQ3" s="211"/>
      <c r="QR3" s="211"/>
      <c r="QS3" s="211"/>
      <c r="QT3" s="211"/>
      <c r="QU3" s="211"/>
      <c r="QV3" s="211"/>
      <c r="QW3" s="211"/>
      <c r="QX3" s="211"/>
      <c r="QY3" s="211"/>
      <c r="QZ3" s="211"/>
      <c r="RA3" s="211"/>
      <c r="RB3" s="211"/>
      <c r="RC3" s="211"/>
      <c r="RD3" s="211"/>
      <c r="RE3" s="211"/>
      <c r="RF3" s="211"/>
      <c r="RG3" s="211"/>
      <c r="RH3" s="211"/>
      <c r="RI3" s="211"/>
      <c r="RJ3" s="211"/>
      <c r="RK3" s="211"/>
      <c r="RL3" s="211"/>
      <c r="RM3" s="211"/>
      <c r="RN3" s="211"/>
      <c r="RO3" s="211"/>
      <c r="RP3" s="211"/>
      <c r="RQ3" s="187"/>
      <c r="RR3" s="214"/>
      <c r="RS3" s="211"/>
      <c r="RT3" s="211"/>
      <c r="RU3" s="211"/>
      <c r="RV3" s="211"/>
      <c r="RW3" s="211"/>
      <c r="RX3" s="211"/>
      <c r="RY3" s="211"/>
      <c r="RZ3" s="211"/>
      <c r="SA3" s="211"/>
      <c r="SB3" s="211"/>
      <c r="SC3" s="211"/>
      <c r="SD3" s="211"/>
      <c r="SE3" s="211"/>
      <c r="SF3" s="211"/>
      <c r="SG3" s="211"/>
      <c r="SH3" s="211"/>
      <c r="SI3" s="211"/>
      <c r="SJ3" s="211"/>
      <c r="SK3" s="211"/>
      <c r="SL3" s="211"/>
      <c r="SM3" s="211"/>
      <c r="SN3" s="211"/>
      <c r="SO3" s="211"/>
      <c r="SP3" s="211"/>
      <c r="SQ3" s="211"/>
      <c r="SR3" s="211"/>
      <c r="SS3" s="211"/>
      <c r="ST3" s="211"/>
      <c r="SU3" s="211"/>
      <c r="SV3" s="211"/>
      <c r="SW3" s="211"/>
      <c r="SX3" s="211"/>
      <c r="SY3" s="211"/>
      <c r="SZ3" s="211"/>
      <c r="TA3" s="211"/>
      <c r="TB3" s="211"/>
      <c r="TC3" s="211"/>
      <c r="TD3" s="211"/>
      <c r="TE3" s="211"/>
      <c r="TF3" s="211"/>
      <c r="TG3" s="211"/>
      <c r="TH3" s="211"/>
      <c r="TI3" s="211"/>
      <c r="TJ3" s="211"/>
      <c r="TK3" s="211"/>
      <c r="TL3" s="211"/>
      <c r="TM3" s="211"/>
      <c r="TN3" s="211"/>
      <c r="TO3" s="211"/>
      <c r="TP3" s="211"/>
      <c r="TQ3" s="211"/>
      <c r="TR3" s="211"/>
      <c r="TS3" s="211"/>
      <c r="TT3" s="211"/>
      <c r="TU3" s="211"/>
      <c r="TV3" s="211"/>
      <c r="TW3" s="211"/>
      <c r="TX3" s="211"/>
      <c r="TY3" s="211"/>
      <c r="TZ3" s="211"/>
      <c r="UA3" s="211"/>
      <c r="UB3" s="211"/>
      <c r="UC3" s="211"/>
      <c r="UD3" s="211"/>
      <c r="UE3" s="211"/>
      <c r="UF3" s="211"/>
      <c r="UG3" s="211"/>
      <c r="UH3" s="211"/>
      <c r="UI3" s="211"/>
      <c r="UJ3" s="211"/>
      <c r="UK3" s="211"/>
      <c r="UL3" s="211"/>
      <c r="UM3" s="211"/>
      <c r="UN3" s="211"/>
      <c r="UO3" s="211"/>
      <c r="UP3" s="211"/>
      <c r="UQ3" s="211"/>
      <c r="UR3" s="211"/>
      <c r="US3" s="211"/>
      <c r="UT3" s="211"/>
      <c r="UU3" s="211"/>
      <c r="UV3" s="211"/>
      <c r="UW3" s="211"/>
      <c r="UX3" s="211"/>
      <c r="UY3" s="211"/>
      <c r="UZ3" s="211"/>
      <c r="VA3" s="211"/>
      <c r="VB3" s="211"/>
      <c r="VC3" s="211"/>
      <c r="VD3" s="211"/>
      <c r="VE3" s="211"/>
      <c r="VF3" s="211"/>
      <c r="VG3" s="211"/>
      <c r="VH3" s="211"/>
      <c r="VI3" s="211"/>
      <c r="VJ3" s="211"/>
      <c r="VK3" s="211"/>
      <c r="VL3" s="211"/>
      <c r="VM3" s="211"/>
      <c r="VN3" s="211"/>
      <c r="VO3" s="211"/>
      <c r="VP3" s="211"/>
      <c r="VQ3" s="211"/>
      <c r="VR3" s="211"/>
      <c r="VS3" s="211"/>
      <c r="VT3" s="211"/>
      <c r="VU3" s="211"/>
      <c r="VV3" s="211"/>
      <c r="VW3" s="211"/>
      <c r="VX3" s="211"/>
      <c r="VY3" s="211"/>
      <c r="VZ3" s="211"/>
      <c r="WA3" s="211"/>
      <c r="WB3" s="211"/>
      <c r="WC3" s="211"/>
      <c r="WD3" s="211"/>
      <c r="WE3" s="211"/>
      <c r="WF3" s="211"/>
      <c r="WG3" s="211"/>
      <c r="WH3" s="211"/>
      <c r="WI3" s="211"/>
      <c r="WJ3" s="211"/>
      <c r="WK3" s="211"/>
      <c r="WL3" s="211"/>
      <c r="WM3" s="211"/>
      <c r="WN3" s="211"/>
      <c r="WO3" s="211"/>
      <c r="WP3" s="211"/>
      <c r="WQ3" s="211"/>
      <c r="WR3" s="211"/>
      <c r="WS3" s="211"/>
      <c r="WT3" s="211"/>
      <c r="WU3" s="211"/>
      <c r="WV3" s="211"/>
      <c r="WW3" s="211"/>
      <c r="WX3" s="211"/>
      <c r="WY3" s="211"/>
      <c r="WZ3" s="211"/>
      <c r="XA3" s="211"/>
      <c r="XB3" s="211"/>
      <c r="XC3" s="211"/>
      <c r="XD3" s="211"/>
      <c r="XE3" s="211"/>
      <c r="XF3" s="211"/>
      <c r="XG3" s="211"/>
      <c r="XH3" s="211"/>
      <c r="XI3" s="211"/>
      <c r="XJ3" s="211"/>
      <c r="XK3" s="211"/>
      <c r="XL3" s="211"/>
      <c r="XM3" s="211"/>
      <c r="XN3" s="211"/>
      <c r="XO3" s="211"/>
      <c r="XP3" s="211"/>
      <c r="XQ3" s="211"/>
      <c r="XR3" s="211"/>
      <c r="XS3" s="211"/>
      <c r="XT3" s="211"/>
      <c r="XU3" s="211"/>
      <c r="XV3" s="211"/>
      <c r="XW3" s="211"/>
      <c r="XX3" s="211"/>
      <c r="XY3" s="211"/>
      <c r="XZ3" s="211"/>
      <c r="YA3" s="211"/>
      <c r="YB3" s="211"/>
      <c r="YC3" s="211"/>
      <c r="YD3" s="211"/>
      <c r="YE3" s="211"/>
      <c r="YF3" s="211"/>
      <c r="YG3" s="211"/>
      <c r="YH3" s="211"/>
      <c r="YI3" s="211"/>
      <c r="YJ3" s="211"/>
      <c r="YK3" s="211"/>
      <c r="YL3" s="211"/>
      <c r="YM3" s="211"/>
      <c r="YN3" s="211"/>
      <c r="YO3" s="211"/>
      <c r="YP3" s="211"/>
      <c r="YQ3" s="211"/>
      <c r="YR3" s="211"/>
      <c r="YS3" s="211"/>
      <c r="YT3" s="211"/>
      <c r="YU3" s="211"/>
      <c r="YV3" s="211"/>
      <c r="YW3" s="211"/>
      <c r="YX3" s="211"/>
      <c r="YY3" s="211"/>
      <c r="YZ3" s="211"/>
      <c r="ZA3" s="211"/>
      <c r="ZB3" s="211"/>
      <c r="ZC3" s="211"/>
      <c r="ZD3" s="211"/>
      <c r="ZE3" s="211"/>
      <c r="ZF3" s="211"/>
      <c r="ZG3" s="211"/>
      <c r="ZH3" s="211"/>
      <c r="ZI3" s="211"/>
    </row>
    <row r="4" spans="1:738" ht="15.75" thickBot="1" x14ac:dyDescent="0.3">
      <c r="CD4" s="5"/>
      <c r="CE4" s="211"/>
      <c r="CF4" s="211"/>
      <c r="CG4" s="211"/>
      <c r="CH4" s="211"/>
      <c r="CI4" s="211"/>
      <c r="CJ4" s="211"/>
      <c r="CK4" s="211"/>
      <c r="CL4" s="211"/>
      <c r="CM4" s="211"/>
      <c r="CN4" s="211"/>
      <c r="CO4" s="211"/>
      <c r="CP4" s="211"/>
      <c r="CQ4" s="211"/>
      <c r="CR4" s="211"/>
      <c r="CS4" s="211"/>
      <c r="CT4" s="211"/>
      <c r="CU4" s="211"/>
      <c r="CV4" s="211"/>
      <c r="CW4" s="211"/>
      <c r="CX4" s="211"/>
      <c r="CY4" s="211"/>
      <c r="CZ4" s="211"/>
      <c r="DA4" s="211"/>
      <c r="DB4" s="211"/>
      <c r="DC4" s="211"/>
      <c r="DD4" s="211"/>
      <c r="DE4" s="211"/>
      <c r="DF4" s="211"/>
      <c r="DG4" s="211"/>
      <c r="DH4" s="211"/>
      <c r="DI4" s="211"/>
      <c r="DJ4" s="211"/>
      <c r="DK4" s="211"/>
      <c r="DL4" s="211"/>
      <c r="DM4" s="211"/>
      <c r="DN4" s="211"/>
      <c r="DO4" s="211"/>
      <c r="DP4" s="211"/>
      <c r="DQ4" s="211"/>
      <c r="DR4" s="211"/>
      <c r="DS4" s="211"/>
      <c r="DT4" s="211"/>
      <c r="DU4" s="211"/>
      <c r="DV4" s="211"/>
      <c r="DW4" s="211"/>
      <c r="DX4" s="211"/>
      <c r="DY4" s="211"/>
      <c r="DZ4" s="211"/>
      <c r="EA4" s="211"/>
      <c r="EB4" s="211"/>
      <c r="EC4" s="211"/>
      <c r="ED4" s="211"/>
      <c r="EE4" s="211"/>
      <c r="EF4" s="211"/>
      <c r="EG4" s="211"/>
      <c r="EH4" s="211"/>
      <c r="EI4" s="211"/>
      <c r="EJ4" s="211"/>
      <c r="EK4" s="211"/>
      <c r="EL4" s="211"/>
      <c r="EM4" s="211"/>
      <c r="EN4" s="211"/>
      <c r="EO4" s="211"/>
      <c r="EP4" s="211"/>
      <c r="EQ4" s="211"/>
      <c r="ER4" s="211"/>
      <c r="ES4" s="211"/>
      <c r="ET4" s="211"/>
      <c r="EU4" s="211"/>
      <c r="EV4" s="211"/>
      <c r="EW4" s="211"/>
      <c r="EX4" s="211"/>
      <c r="EY4" s="211"/>
      <c r="EZ4" s="211"/>
      <c r="FA4" s="211"/>
      <c r="FB4" s="211"/>
      <c r="FC4" s="211"/>
      <c r="FD4" s="211"/>
      <c r="FE4" s="211"/>
      <c r="FF4" s="211"/>
      <c r="FG4" s="211"/>
      <c r="FH4" s="211"/>
      <c r="FI4" s="211"/>
      <c r="FJ4" s="211"/>
      <c r="FK4" s="211"/>
      <c r="FL4" s="211"/>
      <c r="FM4" s="211"/>
      <c r="FN4" s="211"/>
      <c r="FO4" s="211"/>
      <c r="FP4" s="211"/>
      <c r="FQ4" s="211"/>
      <c r="FR4" s="211"/>
      <c r="FS4" s="211"/>
      <c r="FT4" s="211"/>
      <c r="FU4" s="211"/>
      <c r="FV4" s="211"/>
      <c r="FW4" s="211"/>
      <c r="FX4" s="211"/>
      <c r="FY4" s="211"/>
      <c r="FZ4" s="211"/>
      <c r="GA4" s="187"/>
      <c r="GB4" s="214"/>
      <c r="GC4" s="211"/>
      <c r="GD4" s="211"/>
      <c r="GE4" s="211"/>
      <c r="GF4" s="211"/>
      <c r="GG4" s="211"/>
      <c r="GH4" s="211"/>
      <c r="GI4" s="211"/>
      <c r="GJ4" s="211"/>
      <c r="GK4" s="211"/>
      <c r="GL4" s="211"/>
      <c r="GM4" s="211"/>
      <c r="GN4" s="211"/>
      <c r="GO4" s="211"/>
      <c r="GP4" s="211"/>
      <c r="GQ4" s="211"/>
      <c r="GR4" s="211"/>
      <c r="GS4" s="211"/>
      <c r="GT4" s="211"/>
      <c r="GU4" s="211"/>
      <c r="GV4" s="211"/>
      <c r="GW4" s="211"/>
      <c r="GX4" s="211"/>
      <c r="GY4" s="211"/>
      <c r="GZ4" s="211"/>
      <c r="HA4" s="211"/>
      <c r="HB4" s="211"/>
      <c r="HC4" s="211"/>
      <c r="HD4" s="211"/>
      <c r="HE4" s="211"/>
      <c r="HF4" s="211"/>
      <c r="HG4" s="211"/>
      <c r="HH4" s="211"/>
      <c r="HI4" s="211"/>
      <c r="HJ4" s="211"/>
      <c r="HK4" s="211"/>
      <c r="HL4" s="211"/>
      <c r="HM4" s="211"/>
      <c r="HN4" s="211"/>
      <c r="HO4" s="211"/>
      <c r="HP4" s="211"/>
      <c r="HQ4" s="211"/>
      <c r="HR4" s="211"/>
      <c r="HS4" s="211"/>
      <c r="HT4" s="211"/>
      <c r="HU4" s="211"/>
      <c r="HV4" s="211"/>
      <c r="HW4" s="211"/>
      <c r="HX4" s="211"/>
      <c r="HY4" s="211"/>
      <c r="HZ4" s="211"/>
      <c r="IA4" s="211"/>
      <c r="IB4" s="211"/>
      <c r="IC4" s="211"/>
      <c r="ID4" s="211"/>
      <c r="IE4" s="211"/>
      <c r="IF4" s="211"/>
      <c r="IG4" s="211"/>
      <c r="IH4" s="211"/>
      <c r="II4" s="211"/>
      <c r="IJ4" s="211"/>
      <c r="IK4" s="211"/>
      <c r="IL4" s="211"/>
      <c r="IM4" s="211"/>
      <c r="IN4" s="211"/>
      <c r="IO4" s="211"/>
      <c r="IP4" s="211"/>
      <c r="IQ4" s="211"/>
      <c r="IR4" s="211"/>
      <c r="IS4" s="211"/>
      <c r="IT4" s="211"/>
      <c r="IU4" s="211"/>
      <c r="IV4" s="211"/>
      <c r="IW4" s="211"/>
      <c r="IX4" s="211"/>
      <c r="IY4" s="211"/>
      <c r="IZ4" s="211"/>
      <c r="JA4" s="211"/>
      <c r="JB4" s="211"/>
      <c r="JC4" s="211"/>
      <c r="JD4" s="211"/>
      <c r="JE4" s="211"/>
      <c r="JF4" s="211"/>
      <c r="JG4" s="211"/>
      <c r="JH4" s="211"/>
      <c r="JI4" s="211"/>
      <c r="JJ4" s="211"/>
      <c r="JK4" s="211"/>
      <c r="JL4" s="211"/>
      <c r="JM4" s="211"/>
      <c r="JN4" s="211"/>
      <c r="JO4" s="211"/>
      <c r="JP4" s="211"/>
      <c r="JQ4" s="211"/>
      <c r="JR4" s="211"/>
      <c r="JS4" s="211"/>
      <c r="JT4" s="211"/>
      <c r="JU4" s="211"/>
      <c r="JV4" s="211"/>
      <c r="JW4" s="211"/>
      <c r="JX4" s="211"/>
      <c r="JY4" s="211"/>
      <c r="JZ4" s="211"/>
      <c r="KA4" s="211"/>
      <c r="KB4" s="211"/>
      <c r="KC4" s="211"/>
      <c r="KD4" s="211"/>
      <c r="KE4" s="211"/>
      <c r="KF4" s="211"/>
      <c r="KG4" s="211"/>
      <c r="KH4" s="211"/>
      <c r="KI4" s="211"/>
      <c r="KJ4" s="211"/>
      <c r="KK4" s="211"/>
      <c r="KL4" s="211"/>
      <c r="KM4" s="211"/>
      <c r="KN4" s="211"/>
      <c r="KO4" s="211"/>
      <c r="KP4" s="211"/>
      <c r="KQ4" s="211"/>
      <c r="KR4" s="211"/>
      <c r="KS4" s="211"/>
      <c r="KT4" s="211"/>
      <c r="KU4" s="211"/>
      <c r="KV4" s="211"/>
      <c r="KW4" s="211"/>
      <c r="KX4" s="211"/>
      <c r="KY4" s="211"/>
      <c r="KZ4" s="211"/>
      <c r="LA4" s="211"/>
      <c r="LB4" s="211"/>
      <c r="LC4" s="211"/>
      <c r="LD4" s="211"/>
      <c r="LE4" s="211"/>
      <c r="LF4" s="211"/>
      <c r="LG4" s="211"/>
      <c r="LH4" s="211"/>
      <c r="LI4" s="211"/>
      <c r="LJ4" s="211"/>
      <c r="LK4" s="211"/>
      <c r="LL4" s="211"/>
      <c r="LM4" s="211"/>
      <c r="LN4" s="211"/>
      <c r="LO4" s="211"/>
      <c r="LP4" s="211"/>
      <c r="LQ4" s="211"/>
      <c r="LR4" s="211"/>
      <c r="LS4" s="211"/>
      <c r="LT4" s="211"/>
      <c r="LU4" s="211"/>
      <c r="LV4" s="211"/>
      <c r="LW4" s="211"/>
      <c r="LX4" s="211"/>
      <c r="LY4" s="211"/>
      <c r="LZ4" s="211"/>
      <c r="MA4" s="211"/>
      <c r="MB4" s="211"/>
      <c r="MC4" s="211"/>
      <c r="MD4" s="211"/>
      <c r="ME4" s="211"/>
      <c r="MF4" s="211"/>
      <c r="MG4" s="211"/>
      <c r="MH4" s="211"/>
      <c r="MI4" s="211"/>
      <c r="MJ4" s="211"/>
      <c r="MK4" s="211"/>
      <c r="ML4" s="211"/>
      <c r="MM4" s="211"/>
      <c r="MN4" s="211"/>
      <c r="MO4" s="211"/>
      <c r="MP4" s="211"/>
      <c r="MQ4" s="211"/>
      <c r="MR4" s="211"/>
      <c r="MS4" s="211"/>
      <c r="MT4" s="211"/>
      <c r="MU4" s="211"/>
      <c r="MV4" s="211"/>
      <c r="MW4" s="211"/>
      <c r="MX4" s="211"/>
      <c r="MY4" s="211"/>
      <c r="MZ4" s="211"/>
      <c r="NA4" s="211"/>
      <c r="NB4" s="211"/>
      <c r="NC4" s="211"/>
      <c r="ND4" s="211"/>
      <c r="NE4" s="211"/>
      <c r="NF4" s="211"/>
      <c r="NG4" s="211"/>
      <c r="NH4" s="211"/>
      <c r="NI4" s="211"/>
      <c r="NJ4" s="211"/>
      <c r="NK4" s="211"/>
      <c r="NL4" s="211"/>
      <c r="NM4" s="211"/>
      <c r="NN4" s="211"/>
      <c r="NO4" s="211"/>
      <c r="NP4" s="211"/>
      <c r="NQ4" s="211"/>
      <c r="NR4" s="211"/>
      <c r="NS4" s="217"/>
      <c r="NT4" s="5"/>
      <c r="NU4" s="211"/>
      <c r="NV4" s="211"/>
      <c r="NW4" s="211"/>
      <c r="NX4" s="211"/>
      <c r="NY4" s="211"/>
      <c r="NZ4" s="211"/>
      <c r="OA4" s="211"/>
      <c r="OB4" s="211"/>
      <c r="OC4" s="211"/>
      <c r="OD4" s="211"/>
      <c r="OE4" s="211"/>
      <c r="OF4" s="211"/>
      <c r="OG4" s="211"/>
      <c r="OH4" s="211"/>
      <c r="OI4" s="211"/>
      <c r="OJ4" s="211"/>
      <c r="OK4" s="211"/>
      <c r="OL4" s="211"/>
      <c r="OM4" s="211"/>
      <c r="ON4" s="211"/>
      <c r="OO4" s="211"/>
      <c r="OP4" s="211"/>
      <c r="OQ4" s="211"/>
      <c r="OR4" s="211"/>
      <c r="OS4" s="211"/>
      <c r="OT4" s="211"/>
      <c r="OU4" s="211"/>
      <c r="OV4" s="211"/>
      <c r="OW4" s="211"/>
      <c r="OX4" s="211"/>
      <c r="OY4" s="211"/>
      <c r="OZ4" s="211"/>
      <c r="PA4" s="211"/>
      <c r="PB4" s="211"/>
      <c r="PC4" s="211"/>
      <c r="PD4" s="211"/>
      <c r="PE4" s="211"/>
      <c r="PF4" s="211"/>
      <c r="PG4" s="211"/>
      <c r="PH4" s="211"/>
      <c r="PI4" s="211"/>
      <c r="PJ4" s="211"/>
      <c r="PK4" s="211"/>
      <c r="PL4" s="211"/>
      <c r="PM4" s="211"/>
      <c r="PN4" s="211"/>
      <c r="PO4" s="211"/>
      <c r="PP4" s="211"/>
      <c r="PQ4" s="211"/>
      <c r="PR4" s="211"/>
      <c r="PS4" s="211"/>
      <c r="PT4" s="211"/>
      <c r="PU4" s="211"/>
      <c r="PV4" s="211"/>
      <c r="PW4" s="211"/>
      <c r="PX4" s="211"/>
      <c r="PY4" s="211"/>
      <c r="PZ4" s="211"/>
      <c r="QA4" s="211"/>
      <c r="QB4" s="211"/>
      <c r="QC4" s="211"/>
      <c r="QD4" s="211"/>
      <c r="QE4" s="211"/>
      <c r="QF4" s="211"/>
      <c r="QG4" s="211"/>
      <c r="QH4" s="211"/>
      <c r="QI4" s="211"/>
      <c r="QJ4" s="211"/>
      <c r="QK4" s="211"/>
      <c r="QL4" s="211"/>
      <c r="QM4" s="211"/>
      <c r="QN4" s="211"/>
      <c r="QO4" s="211"/>
      <c r="QP4" s="211"/>
      <c r="QQ4" s="211"/>
      <c r="QR4" s="211"/>
      <c r="QS4" s="211"/>
      <c r="QT4" s="211"/>
      <c r="QU4" s="211"/>
      <c r="QV4" s="211"/>
      <c r="QW4" s="211"/>
      <c r="QX4" s="211"/>
      <c r="QY4" s="211"/>
      <c r="QZ4" s="211"/>
      <c r="RA4" s="211"/>
      <c r="RB4" s="211"/>
      <c r="RC4" s="211"/>
      <c r="RD4" s="211"/>
      <c r="RE4" s="211"/>
      <c r="RF4" s="211"/>
      <c r="RG4" s="211"/>
      <c r="RH4" s="211"/>
      <c r="RI4" s="211"/>
      <c r="RJ4" s="211"/>
      <c r="RK4" s="211"/>
      <c r="RL4" s="211"/>
      <c r="RM4" s="211"/>
      <c r="RN4" s="211"/>
      <c r="RO4" s="211"/>
      <c r="RP4" s="211"/>
      <c r="RQ4" s="187"/>
      <c r="RR4" s="214"/>
      <c r="RS4" s="211"/>
      <c r="RT4" s="211"/>
      <c r="RU4" s="211"/>
      <c r="RV4" s="211"/>
      <c r="RW4" s="211"/>
      <c r="RX4" s="211"/>
      <c r="RY4" s="211"/>
      <c r="RZ4" s="211"/>
      <c r="SA4" s="211"/>
      <c r="SB4" s="211"/>
      <c r="SC4" s="211"/>
      <c r="SD4" s="211"/>
      <c r="SE4" s="211"/>
      <c r="SF4" s="211"/>
      <c r="SG4" s="211"/>
      <c r="SH4" s="211"/>
      <c r="SI4" s="211"/>
      <c r="SJ4" s="211"/>
      <c r="SK4" s="211"/>
      <c r="SL4" s="211"/>
      <c r="SM4" s="211"/>
      <c r="SN4" s="211"/>
      <c r="SO4" s="211"/>
      <c r="SP4" s="211"/>
      <c r="SQ4" s="211"/>
      <c r="SR4" s="211"/>
      <c r="SS4" s="211"/>
      <c r="ST4" s="211"/>
      <c r="SU4" s="211"/>
      <c r="SV4" s="211"/>
      <c r="SW4" s="211"/>
      <c r="SX4" s="211"/>
      <c r="SY4" s="211"/>
      <c r="SZ4" s="211"/>
      <c r="TA4" s="211"/>
      <c r="TB4" s="211"/>
      <c r="TC4" s="211"/>
      <c r="TD4" s="211"/>
      <c r="TE4" s="211"/>
      <c r="TF4" s="211"/>
      <c r="TG4" s="211"/>
      <c r="TH4" s="211"/>
      <c r="TI4" s="211"/>
      <c r="TJ4" s="211"/>
      <c r="TK4" s="211"/>
      <c r="TL4" s="211"/>
      <c r="TM4" s="211"/>
      <c r="TN4" s="211"/>
      <c r="TO4" s="211"/>
      <c r="TP4" s="211"/>
      <c r="TQ4" s="211"/>
      <c r="TR4" s="211"/>
      <c r="TS4" s="211"/>
      <c r="TT4" s="211"/>
      <c r="TU4" s="211"/>
      <c r="TV4" s="211"/>
      <c r="TW4" s="211"/>
      <c r="TX4" s="211"/>
      <c r="TY4" s="211"/>
      <c r="TZ4" s="211"/>
      <c r="UA4" s="211"/>
      <c r="UB4" s="211"/>
      <c r="UC4" s="211"/>
      <c r="UD4" s="211"/>
      <c r="UE4" s="211"/>
      <c r="UF4" s="211"/>
      <c r="UG4" s="211"/>
      <c r="UH4" s="211"/>
      <c r="UI4" s="211"/>
      <c r="UJ4" s="211"/>
      <c r="UK4" s="211"/>
      <c r="UL4" s="211"/>
      <c r="UM4" s="211"/>
      <c r="UN4" s="211"/>
      <c r="UO4" s="211"/>
      <c r="UP4" s="211"/>
      <c r="UQ4" s="211"/>
      <c r="UR4" s="211"/>
      <c r="US4" s="211"/>
      <c r="UT4" s="211"/>
      <c r="UU4" s="211"/>
      <c r="UV4" s="211"/>
      <c r="UW4" s="211"/>
      <c r="UX4" s="211"/>
      <c r="UY4" s="211"/>
      <c r="UZ4" s="211"/>
      <c r="VA4" s="211"/>
      <c r="VB4" s="211"/>
      <c r="VC4" s="211"/>
      <c r="VD4" s="211"/>
      <c r="VE4" s="211"/>
      <c r="VF4" s="211"/>
      <c r="VG4" s="211"/>
      <c r="VH4" s="211"/>
      <c r="VI4" s="211"/>
      <c r="VJ4" s="211"/>
      <c r="VK4" s="211"/>
      <c r="VL4" s="211"/>
      <c r="VM4" s="211"/>
      <c r="VN4" s="211"/>
      <c r="VO4" s="211"/>
      <c r="VP4" s="211"/>
      <c r="VQ4" s="211"/>
      <c r="VR4" s="211"/>
      <c r="VS4" s="211"/>
      <c r="VT4" s="211"/>
      <c r="VU4" s="211"/>
      <c r="VV4" s="211"/>
      <c r="VW4" s="211"/>
      <c r="VX4" s="211"/>
      <c r="VY4" s="211"/>
      <c r="VZ4" s="211"/>
      <c r="WA4" s="211"/>
      <c r="WB4" s="211"/>
      <c r="WC4" s="211"/>
      <c r="WD4" s="211"/>
      <c r="WE4" s="211"/>
      <c r="WF4" s="211"/>
      <c r="WG4" s="211"/>
      <c r="WH4" s="211"/>
      <c r="WI4" s="211"/>
      <c r="WJ4" s="211"/>
      <c r="WK4" s="211"/>
      <c r="WL4" s="211"/>
      <c r="WM4" s="211"/>
      <c r="WN4" s="211"/>
      <c r="WO4" s="211"/>
      <c r="WP4" s="211"/>
      <c r="WQ4" s="211"/>
      <c r="WR4" s="211"/>
      <c r="WS4" s="211"/>
      <c r="WT4" s="211"/>
      <c r="WU4" s="211"/>
      <c r="WV4" s="211"/>
      <c r="WW4" s="211"/>
      <c r="WX4" s="211"/>
      <c r="WY4" s="211"/>
      <c r="WZ4" s="211"/>
      <c r="XA4" s="211"/>
      <c r="XB4" s="211"/>
      <c r="XC4" s="211"/>
      <c r="XD4" s="211"/>
      <c r="XE4" s="211"/>
      <c r="XF4" s="211"/>
      <c r="XG4" s="211"/>
      <c r="XH4" s="211"/>
      <c r="XI4" s="211"/>
      <c r="XJ4" s="211"/>
      <c r="XK4" s="211"/>
      <c r="XL4" s="211"/>
      <c r="XM4" s="211"/>
      <c r="XN4" s="211"/>
      <c r="XO4" s="211"/>
      <c r="XP4" s="211"/>
      <c r="XQ4" s="211"/>
      <c r="XR4" s="211"/>
      <c r="XS4" s="211"/>
      <c r="XT4" s="211"/>
      <c r="XU4" s="211"/>
      <c r="XV4" s="211"/>
      <c r="XW4" s="211"/>
      <c r="XX4" s="211"/>
      <c r="XY4" s="211"/>
      <c r="XZ4" s="211"/>
      <c r="YA4" s="211"/>
      <c r="YB4" s="211"/>
      <c r="YC4" s="211"/>
      <c r="YD4" s="211"/>
      <c r="YE4" s="211"/>
      <c r="YF4" s="211"/>
      <c r="YG4" s="211"/>
      <c r="YH4" s="211"/>
      <c r="YI4" s="211"/>
      <c r="YJ4" s="211"/>
      <c r="YK4" s="211"/>
      <c r="YL4" s="211"/>
      <c r="YM4" s="211"/>
      <c r="YN4" s="211"/>
      <c r="YO4" s="211"/>
      <c r="YP4" s="211"/>
      <c r="YQ4" s="211"/>
      <c r="YR4" s="211"/>
      <c r="YS4" s="211"/>
      <c r="YT4" s="211"/>
      <c r="YU4" s="211"/>
      <c r="YV4" s="211"/>
      <c r="YW4" s="211"/>
      <c r="YX4" s="211"/>
      <c r="YY4" s="211"/>
      <c r="YZ4" s="211"/>
      <c r="ZA4" s="211"/>
      <c r="ZB4" s="211"/>
      <c r="ZC4" s="211"/>
      <c r="ZD4" s="211"/>
      <c r="ZE4" s="211"/>
      <c r="ZF4" s="211"/>
      <c r="ZG4" s="211"/>
      <c r="ZH4" s="211"/>
      <c r="ZI4" s="211"/>
    </row>
    <row r="5" spans="1:738" ht="32.25" customHeight="1" thickBot="1" x14ac:dyDescent="0.3">
      <c r="C5" s="219" t="s">
        <v>302</v>
      </c>
      <c r="E5" s="219" t="s">
        <v>293</v>
      </c>
      <c r="F5" s="207" t="str">
        <f>Setup!$A$20</f>
        <v>Caseload 1</v>
      </c>
      <c r="G5" s="208"/>
      <c r="H5" s="208"/>
      <c r="I5" s="208"/>
      <c r="J5" s="209"/>
      <c r="K5" s="207" t="str">
        <f>Setup!$A$21</f>
        <v>Caseload 2</v>
      </c>
      <c r="L5" s="208"/>
      <c r="M5" s="208"/>
      <c r="N5" s="208"/>
      <c r="O5" s="209"/>
      <c r="P5" s="207" t="str">
        <f>Setup!$A$22</f>
        <v>Caseload 3</v>
      </c>
      <c r="Q5" s="208"/>
      <c r="R5" s="208"/>
      <c r="S5" s="208"/>
      <c r="T5" s="209"/>
      <c r="U5" s="207" t="str">
        <f>Setup!$A$23</f>
        <v>Caseload 4</v>
      </c>
      <c r="V5" s="208"/>
      <c r="W5" s="208"/>
      <c r="X5" s="208"/>
      <c r="Y5" s="209"/>
      <c r="Z5" s="207" t="str">
        <f>Setup!$A$24</f>
        <v>Caseload 5</v>
      </c>
      <c r="AA5" s="208"/>
      <c r="AB5" s="208"/>
      <c r="AC5" s="208"/>
      <c r="AD5" s="209"/>
      <c r="AE5" s="207" t="str">
        <f>Setup!$A$25</f>
        <v>Caseload 6</v>
      </c>
      <c r="AF5" s="208"/>
      <c r="AG5" s="208"/>
      <c r="AH5" s="208"/>
      <c r="AI5" s="209"/>
      <c r="AJ5" s="207" t="str">
        <f>Setup!$A$26</f>
        <v>Caseload 7</v>
      </c>
      <c r="AK5" s="208"/>
      <c r="AL5" s="208"/>
      <c r="AM5" s="208"/>
      <c r="AN5" s="209"/>
      <c r="AO5" s="207" t="str">
        <f>Setup!$A$27</f>
        <v>Caseload 8</v>
      </c>
      <c r="AP5" s="208"/>
      <c r="AQ5" s="208"/>
      <c r="AR5" s="208"/>
      <c r="AS5" s="209"/>
      <c r="AT5" s="207" t="str">
        <f>Setup!$A$28</f>
        <v>Caseload 9</v>
      </c>
      <c r="AU5" s="208"/>
      <c r="AV5" s="208"/>
      <c r="AW5" s="208"/>
      <c r="AX5" s="209"/>
      <c r="AY5" s="207" t="str">
        <f>Setup!$A$29</f>
        <v>Caseload 10</v>
      </c>
      <c r="AZ5" s="208"/>
      <c r="BA5" s="208"/>
      <c r="BB5" s="208"/>
      <c r="BC5" s="209"/>
      <c r="BD5" s="207" t="str">
        <f>Setup!$A$30</f>
        <v>Caseload 11</v>
      </c>
      <c r="BE5" s="208"/>
      <c r="BF5" s="208"/>
      <c r="BG5" s="208"/>
      <c r="BH5" s="209"/>
      <c r="BI5" s="207" t="str">
        <f>Setup!$A$31</f>
        <v>Caseload 12</v>
      </c>
      <c r="BJ5" s="208"/>
      <c r="BK5" s="208"/>
      <c r="BL5" s="208"/>
      <c r="BM5" s="209"/>
      <c r="BN5" s="207" t="str">
        <f>Setup!$A$32</f>
        <v>Caseload 13</v>
      </c>
      <c r="BO5" s="208"/>
      <c r="BP5" s="208"/>
      <c r="BQ5" s="208"/>
      <c r="BR5" s="209"/>
      <c r="BS5" s="207" t="str">
        <f>Setup!$A$33</f>
        <v>Caseload 14</v>
      </c>
      <c r="BT5" s="208"/>
      <c r="BU5" s="208"/>
      <c r="BV5" s="208"/>
      <c r="BW5" s="209"/>
      <c r="BX5" s="207" t="str">
        <f>Setup!$A$34</f>
        <v>Caseload 15</v>
      </c>
      <c r="BY5" s="208"/>
      <c r="BZ5" s="208"/>
      <c r="CA5" s="208"/>
      <c r="CB5" s="209"/>
      <c r="CD5" s="219" t="s">
        <v>296</v>
      </c>
      <c r="CE5" s="211"/>
      <c r="CF5" s="211"/>
      <c r="CG5" s="211"/>
      <c r="CH5" s="211"/>
      <c r="CI5" s="211"/>
      <c r="CJ5" s="211"/>
      <c r="CK5" s="211"/>
      <c r="CL5" s="211"/>
      <c r="CM5" s="211"/>
      <c r="CN5" s="211"/>
      <c r="CO5" s="211"/>
      <c r="CP5" s="211"/>
      <c r="CQ5" s="211"/>
      <c r="CR5" s="211"/>
      <c r="CS5" s="211"/>
      <c r="CT5" s="211"/>
      <c r="CU5" s="211"/>
      <c r="CV5" s="211"/>
      <c r="CW5" s="211"/>
      <c r="CX5" s="211"/>
      <c r="CY5" s="211"/>
      <c r="CZ5" s="211"/>
      <c r="DA5" s="211"/>
      <c r="DB5" s="211"/>
      <c r="DC5" s="211"/>
      <c r="DD5" s="211"/>
      <c r="DE5" s="211"/>
      <c r="DF5" s="211"/>
      <c r="DG5" s="211"/>
      <c r="DH5" s="211"/>
      <c r="DI5" s="211"/>
      <c r="DJ5" s="211"/>
      <c r="DK5" s="211"/>
      <c r="DL5" s="211"/>
      <c r="DM5" s="211"/>
      <c r="DN5" s="211"/>
      <c r="DO5" s="211"/>
      <c r="DP5" s="211"/>
      <c r="DQ5" s="211"/>
      <c r="DR5" s="211"/>
      <c r="DS5" s="211"/>
      <c r="DT5" s="211"/>
      <c r="DU5" s="211"/>
      <c r="DV5" s="211"/>
      <c r="DW5" s="211"/>
      <c r="DX5" s="211"/>
      <c r="DY5" s="211"/>
      <c r="DZ5" s="211"/>
      <c r="EA5" s="211"/>
      <c r="EB5" s="211"/>
      <c r="EC5" s="211"/>
      <c r="ED5" s="211"/>
      <c r="EE5" s="211"/>
      <c r="EF5" s="211"/>
      <c r="EG5" s="211"/>
      <c r="EH5" s="211"/>
      <c r="EI5" s="211"/>
      <c r="EJ5" s="211"/>
      <c r="EK5" s="211"/>
      <c r="EL5" s="211"/>
      <c r="EM5" s="211"/>
      <c r="EN5" s="211"/>
      <c r="EO5" s="211"/>
      <c r="EP5" s="211"/>
      <c r="EQ5" s="211"/>
      <c r="ER5" s="211"/>
      <c r="ES5" s="211"/>
      <c r="ET5" s="211"/>
      <c r="EU5" s="211"/>
      <c r="EV5" s="211"/>
      <c r="EW5" s="211"/>
      <c r="EX5" s="211"/>
      <c r="EY5" s="211"/>
      <c r="EZ5" s="211"/>
      <c r="FA5" s="211"/>
      <c r="FB5" s="211"/>
      <c r="FC5" s="211"/>
      <c r="FD5" s="211"/>
      <c r="FE5" s="211"/>
      <c r="FF5" s="211"/>
      <c r="FG5" s="211"/>
      <c r="FH5" s="211"/>
      <c r="FI5" s="211"/>
      <c r="FJ5" s="211"/>
      <c r="FK5" s="211"/>
      <c r="FL5" s="211"/>
      <c r="FM5" s="211"/>
      <c r="FN5" s="211"/>
      <c r="FO5" s="211"/>
      <c r="FP5" s="211"/>
      <c r="FQ5" s="211"/>
      <c r="FR5" s="211"/>
      <c r="FS5" s="211"/>
      <c r="FT5" s="211"/>
      <c r="FU5" s="211"/>
      <c r="FV5" s="211"/>
      <c r="FW5" s="211"/>
      <c r="FX5" s="211"/>
      <c r="FY5" s="211"/>
      <c r="FZ5" s="211"/>
      <c r="GA5" s="187"/>
      <c r="GB5" s="214"/>
      <c r="GC5" s="211"/>
      <c r="GD5" s="211"/>
      <c r="GE5" s="211"/>
      <c r="GF5" s="211"/>
      <c r="GG5" s="211"/>
      <c r="GH5" s="211"/>
      <c r="GI5" s="211"/>
      <c r="GJ5" s="211"/>
      <c r="GK5" s="211"/>
      <c r="GL5" s="211"/>
      <c r="GM5" s="211"/>
      <c r="GN5" s="211"/>
      <c r="GO5" s="211"/>
      <c r="GP5" s="211"/>
      <c r="GQ5" s="211"/>
      <c r="GR5" s="211"/>
      <c r="GS5" s="211"/>
      <c r="GT5" s="211"/>
      <c r="GU5" s="211"/>
      <c r="GV5" s="211"/>
      <c r="GW5" s="211"/>
      <c r="GX5" s="211"/>
      <c r="GY5" s="211"/>
      <c r="GZ5" s="211"/>
      <c r="HA5" s="211"/>
      <c r="HB5" s="211"/>
      <c r="HC5" s="211"/>
      <c r="HD5" s="211"/>
      <c r="HE5" s="211"/>
      <c r="HF5" s="211"/>
      <c r="HG5" s="211"/>
      <c r="HH5" s="211"/>
      <c r="HI5" s="211"/>
      <c r="HJ5" s="211"/>
      <c r="HK5" s="211"/>
      <c r="HL5" s="211"/>
      <c r="HM5" s="211"/>
      <c r="HN5" s="211"/>
      <c r="HO5" s="211"/>
      <c r="HP5" s="211"/>
      <c r="HQ5" s="211"/>
      <c r="HR5" s="211"/>
      <c r="HS5" s="211"/>
      <c r="HT5" s="211"/>
      <c r="HU5" s="211"/>
      <c r="HV5" s="211"/>
      <c r="HW5" s="211"/>
      <c r="HX5" s="211"/>
      <c r="HY5" s="211"/>
      <c r="HZ5" s="211"/>
      <c r="IA5" s="211"/>
      <c r="IB5" s="211"/>
      <c r="IC5" s="211"/>
      <c r="ID5" s="211"/>
      <c r="IE5" s="211"/>
      <c r="IF5" s="211"/>
      <c r="IG5" s="211"/>
      <c r="IH5" s="211"/>
      <c r="II5" s="211"/>
      <c r="IJ5" s="211"/>
      <c r="IK5" s="211"/>
      <c r="IL5" s="211"/>
      <c r="IM5" s="211"/>
      <c r="IN5" s="211"/>
      <c r="IO5" s="211"/>
      <c r="IP5" s="211"/>
      <c r="IQ5" s="211"/>
      <c r="IR5" s="211"/>
      <c r="IS5" s="211"/>
      <c r="IT5" s="211"/>
      <c r="IU5" s="211"/>
      <c r="IV5" s="211"/>
      <c r="IW5" s="211"/>
      <c r="IX5" s="211"/>
      <c r="IY5" s="211"/>
      <c r="IZ5" s="211"/>
      <c r="JA5" s="211"/>
      <c r="JB5" s="211"/>
      <c r="JC5" s="211"/>
      <c r="JD5" s="211"/>
      <c r="JE5" s="211"/>
      <c r="JF5" s="211"/>
      <c r="JG5" s="211"/>
      <c r="JH5" s="211"/>
      <c r="JI5" s="211"/>
      <c r="JJ5" s="211"/>
      <c r="JK5" s="211"/>
      <c r="JL5" s="211"/>
      <c r="JM5" s="211"/>
      <c r="JN5" s="211"/>
      <c r="JO5" s="211"/>
      <c r="JP5" s="211"/>
      <c r="JQ5" s="211"/>
      <c r="JR5" s="211"/>
      <c r="JS5" s="211"/>
      <c r="JT5" s="211"/>
      <c r="JU5" s="211"/>
      <c r="JV5" s="211"/>
      <c r="JW5" s="211"/>
      <c r="JX5" s="211"/>
      <c r="JY5" s="211"/>
      <c r="JZ5" s="211"/>
      <c r="KA5" s="211"/>
      <c r="KB5" s="211"/>
      <c r="KC5" s="211"/>
      <c r="KD5" s="211"/>
      <c r="KE5" s="211"/>
      <c r="KF5" s="211"/>
      <c r="KG5" s="211"/>
      <c r="KH5" s="211"/>
      <c r="KI5" s="211"/>
      <c r="KJ5" s="211"/>
      <c r="KK5" s="211"/>
      <c r="KL5" s="211"/>
      <c r="KM5" s="211"/>
      <c r="KN5" s="211"/>
      <c r="KO5" s="211"/>
      <c r="KP5" s="211"/>
      <c r="KQ5" s="211"/>
      <c r="KR5" s="211"/>
      <c r="KS5" s="211"/>
      <c r="KT5" s="211"/>
      <c r="KU5" s="211"/>
      <c r="KV5" s="211"/>
      <c r="KW5" s="211"/>
      <c r="KX5" s="211"/>
      <c r="KY5" s="211"/>
      <c r="KZ5" s="211"/>
      <c r="LA5" s="211"/>
      <c r="LB5" s="211"/>
      <c r="LC5" s="211"/>
      <c r="LD5" s="211"/>
      <c r="LE5" s="211"/>
      <c r="LF5" s="211"/>
      <c r="LG5" s="211"/>
      <c r="LH5" s="211"/>
      <c r="LI5" s="211"/>
      <c r="LJ5" s="211"/>
      <c r="LK5" s="211"/>
      <c r="LL5" s="211"/>
      <c r="LM5" s="211"/>
      <c r="LN5" s="211"/>
      <c r="LO5" s="211"/>
      <c r="LP5" s="211"/>
      <c r="LQ5" s="211"/>
      <c r="LR5" s="211"/>
      <c r="LS5" s="211"/>
      <c r="LT5" s="211"/>
      <c r="LU5" s="211"/>
      <c r="LV5" s="211"/>
      <c r="LW5" s="211"/>
      <c r="LX5" s="211"/>
      <c r="LY5" s="211"/>
      <c r="LZ5" s="211"/>
      <c r="MA5" s="211"/>
      <c r="MB5" s="211"/>
      <c r="MC5" s="211"/>
      <c r="MD5" s="211"/>
      <c r="ME5" s="211"/>
      <c r="MF5" s="211"/>
      <c r="MG5" s="211"/>
      <c r="MH5" s="211"/>
      <c r="MI5" s="211"/>
      <c r="MJ5" s="211"/>
      <c r="MK5" s="211"/>
      <c r="ML5" s="211"/>
      <c r="MM5" s="211"/>
      <c r="MN5" s="211"/>
      <c r="MO5" s="211"/>
      <c r="MP5" s="211"/>
      <c r="MQ5" s="211"/>
      <c r="MR5" s="211"/>
      <c r="MS5" s="211"/>
      <c r="MT5" s="211"/>
      <c r="MU5" s="211"/>
      <c r="MV5" s="211"/>
      <c r="MW5" s="211"/>
      <c r="MX5" s="211"/>
      <c r="MY5" s="211"/>
      <c r="MZ5" s="211"/>
      <c r="NA5" s="211"/>
      <c r="NB5" s="211"/>
      <c r="NC5" s="211"/>
      <c r="ND5" s="211"/>
      <c r="NE5" s="211"/>
      <c r="NF5" s="211"/>
      <c r="NG5" s="211"/>
      <c r="NH5" s="211"/>
      <c r="NI5" s="211"/>
      <c r="NJ5" s="211"/>
      <c r="NK5" s="211"/>
      <c r="NL5" s="211"/>
      <c r="NM5" s="211"/>
      <c r="NN5" s="211"/>
      <c r="NO5" s="211"/>
      <c r="NP5" s="211"/>
      <c r="NQ5" s="211"/>
      <c r="NR5" s="211"/>
      <c r="NS5" s="217"/>
      <c r="NT5" s="219" t="s">
        <v>303</v>
      </c>
      <c r="NU5" s="211"/>
      <c r="NV5" s="211"/>
      <c r="NW5" s="211"/>
      <c r="NX5" s="211"/>
      <c r="NY5" s="211"/>
      <c r="NZ5" s="211"/>
      <c r="OA5" s="211"/>
      <c r="OB5" s="211"/>
      <c r="OC5" s="211"/>
      <c r="OD5" s="211"/>
      <c r="OE5" s="211"/>
      <c r="OF5" s="211"/>
      <c r="OG5" s="211"/>
      <c r="OH5" s="211"/>
      <c r="OI5" s="211"/>
      <c r="OJ5" s="211"/>
      <c r="OK5" s="211"/>
      <c r="OL5" s="211"/>
      <c r="OM5" s="211"/>
      <c r="ON5" s="211"/>
      <c r="OO5" s="211"/>
      <c r="OP5" s="211"/>
      <c r="OQ5" s="211"/>
      <c r="OR5" s="211"/>
      <c r="OS5" s="211"/>
      <c r="OT5" s="211"/>
      <c r="OU5" s="211"/>
      <c r="OV5" s="211"/>
      <c r="OW5" s="211"/>
      <c r="OX5" s="211"/>
      <c r="OY5" s="211"/>
      <c r="OZ5" s="211"/>
      <c r="PA5" s="211"/>
      <c r="PB5" s="211"/>
      <c r="PC5" s="211"/>
      <c r="PD5" s="211"/>
      <c r="PE5" s="211"/>
      <c r="PF5" s="211"/>
      <c r="PG5" s="211"/>
      <c r="PH5" s="211"/>
      <c r="PI5" s="211"/>
      <c r="PJ5" s="211"/>
      <c r="PK5" s="211"/>
      <c r="PL5" s="211"/>
      <c r="PM5" s="211"/>
      <c r="PN5" s="211"/>
      <c r="PO5" s="211"/>
      <c r="PP5" s="211"/>
      <c r="PQ5" s="211"/>
      <c r="PR5" s="211"/>
      <c r="PS5" s="211"/>
      <c r="PT5" s="211"/>
      <c r="PU5" s="211"/>
      <c r="PV5" s="211"/>
      <c r="PW5" s="211"/>
      <c r="PX5" s="211"/>
      <c r="PY5" s="211"/>
      <c r="PZ5" s="211"/>
      <c r="QA5" s="211"/>
      <c r="QB5" s="211"/>
      <c r="QC5" s="211"/>
      <c r="QD5" s="211"/>
      <c r="QE5" s="211"/>
      <c r="QF5" s="211"/>
      <c r="QG5" s="211"/>
      <c r="QH5" s="211"/>
      <c r="QI5" s="211"/>
      <c r="QJ5" s="211"/>
      <c r="QK5" s="211"/>
      <c r="QL5" s="211"/>
      <c r="QM5" s="211"/>
      <c r="QN5" s="211"/>
      <c r="QO5" s="211"/>
      <c r="QP5" s="211"/>
      <c r="QQ5" s="211"/>
      <c r="QR5" s="211"/>
      <c r="QS5" s="211"/>
      <c r="QT5" s="211"/>
      <c r="QU5" s="211"/>
      <c r="QV5" s="211"/>
      <c r="QW5" s="211"/>
      <c r="QX5" s="211"/>
      <c r="QY5" s="211"/>
      <c r="QZ5" s="211"/>
      <c r="RA5" s="211"/>
      <c r="RB5" s="211"/>
      <c r="RC5" s="211"/>
      <c r="RD5" s="211"/>
      <c r="RE5" s="211"/>
      <c r="RF5" s="211"/>
      <c r="RG5" s="211"/>
      <c r="RH5" s="211"/>
      <c r="RI5" s="211"/>
      <c r="RJ5" s="211"/>
      <c r="RK5" s="211"/>
      <c r="RL5" s="211"/>
      <c r="RM5" s="211"/>
      <c r="RN5" s="211"/>
      <c r="RO5" s="211"/>
      <c r="RP5" s="211"/>
      <c r="RQ5" s="187"/>
      <c r="RR5" s="214"/>
      <c r="RS5" s="211"/>
      <c r="RT5" s="211"/>
      <c r="RU5" s="211"/>
      <c r="RV5" s="211"/>
      <c r="RW5" s="211"/>
      <c r="RX5" s="211"/>
      <c r="RY5" s="211"/>
      <c r="RZ5" s="211"/>
      <c r="SA5" s="211"/>
      <c r="SB5" s="211"/>
      <c r="SC5" s="211"/>
      <c r="SD5" s="211"/>
      <c r="SE5" s="211"/>
      <c r="SF5" s="211"/>
      <c r="SG5" s="211"/>
      <c r="SH5" s="211"/>
      <c r="SI5" s="211"/>
      <c r="SJ5" s="211"/>
      <c r="SK5" s="211"/>
      <c r="SL5" s="211"/>
      <c r="SM5" s="211"/>
      <c r="SN5" s="211"/>
      <c r="SO5" s="211"/>
      <c r="SP5" s="211"/>
      <c r="SQ5" s="211"/>
      <c r="SR5" s="211"/>
      <c r="SS5" s="211"/>
      <c r="ST5" s="211"/>
      <c r="SU5" s="211"/>
      <c r="SV5" s="211"/>
      <c r="SW5" s="211"/>
      <c r="SX5" s="211"/>
      <c r="SY5" s="211"/>
      <c r="SZ5" s="211"/>
      <c r="TA5" s="211"/>
      <c r="TB5" s="211"/>
      <c r="TC5" s="211"/>
      <c r="TD5" s="211"/>
      <c r="TE5" s="211"/>
      <c r="TF5" s="211"/>
      <c r="TG5" s="211"/>
      <c r="TH5" s="211"/>
      <c r="TI5" s="211"/>
      <c r="TJ5" s="211"/>
      <c r="TK5" s="211"/>
      <c r="TL5" s="211"/>
      <c r="TM5" s="211"/>
      <c r="TN5" s="211"/>
      <c r="TO5" s="211"/>
      <c r="TP5" s="211"/>
      <c r="TQ5" s="211"/>
      <c r="TR5" s="211"/>
      <c r="TS5" s="211"/>
      <c r="TT5" s="211"/>
      <c r="TU5" s="211"/>
      <c r="TV5" s="211"/>
      <c r="TW5" s="211"/>
      <c r="TX5" s="211"/>
      <c r="TY5" s="211"/>
      <c r="TZ5" s="211"/>
      <c r="UA5" s="211"/>
      <c r="UB5" s="211"/>
      <c r="UC5" s="211"/>
      <c r="UD5" s="211"/>
      <c r="UE5" s="211"/>
      <c r="UF5" s="211"/>
      <c r="UG5" s="211"/>
      <c r="UH5" s="211"/>
      <c r="UI5" s="211"/>
      <c r="UJ5" s="211"/>
      <c r="UK5" s="211"/>
      <c r="UL5" s="211"/>
      <c r="UM5" s="211"/>
      <c r="UN5" s="211"/>
      <c r="UO5" s="211"/>
      <c r="UP5" s="211"/>
      <c r="UQ5" s="211"/>
      <c r="UR5" s="211"/>
      <c r="US5" s="211"/>
      <c r="UT5" s="211"/>
      <c r="UU5" s="211"/>
      <c r="UV5" s="211"/>
      <c r="UW5" s="211"/>
      <c r="UX5" s="211"/>
      <c r="UY5" s="211"/>
      <c r="UZ5" s="211"/>
      <c r="VA5" s="211"/>
      <c r="VB5" s="211"/>
      <c r="VC5" s="211"/>
      <c r="VD5" s="211"/>
      <c r="VE5" s="211"/>
      <c r="VF5" s="211"/>
      <c r="VG5" s="211"/>
      <c r="VH5" s="211"/>
      <c r="VI5" s="211"/>
      <c r="VJ5" s="211"/>
      <c r="VK5" s="211"/>
      <c r="VL5" s="211"/>
      <c r="VM5" s="211"/>
      <c r="VN5" s="211"/>
      <c r="VO5" s="211"/>
      <c r="VP5" s="211"/>
      <c r="VQ5" s="211"/>
      <c r="VR5" s="211"/>
      <c r="VS5" s="211"/>
      <c r="VT5" s="211"/>
      <c r="VU5" s="211"/>
      <c r="VV5" s="211"/>
      <c r="VW5" s="211"/>
      <c r="VX5" s="211"/>
      <c r="VY5" s="211"/>
      <c r="VZ5" s="211"/>
      <c r="WA5" s="211"/>
      <c r="WB5" s="211"/>
      <c r="WC5" s="211"/>
      <c r="WD5" s="211"/>
      <c r="WE5" s="211"/>
      <c r="WF5" s="211"/>
      <c r="WG5" s="211"/>
      <c r="WH5" s="211"/>
      <c r="WI5" s="211"/>
      <c r="WJ5" s="211"/>
      <c r="WK5" s="211"/>
      <c r="WL5" s="211"/>
      <c r="WM5" s="211"/>
      <c r="WN5" s="211"/>
      <c r="WO5" s="211"/>
      <c r="WP5" s="211"/>
      <c r="WQ5" s="211"/>
      <c r="WR5" s="211"/>
      <c r="WS5" s="211"/>
      <c r="WT5" s="211"/>
      <c r="WU5" s="211"/>
      <c r="WV5" s="211"/>
      <c r="WW5" s="211"/>
      <c r="WX5" s="211"/>
      <c r="WY5" s="211"/>
      <c r="WZ5" s="211"/>
      <c r="XA5" s="211"/>
      <c r="XB5" s="211"/>
      <c r="XC5" s="211"/>
      <c r="XD5" s="211"/>
      <c r="XE5" s="211"/>
      <c r="XF5" s="211"/>
      <c r="XG5" s="211"/>
      <c r="XH5" s="211"/>
      <c r="XI5" s="211"/>
      <c r="XJ5" s="211"/>
      <c r="XK5" s="211"/>
      <c r="XL5" s="211"/>
      <c r="XM5" s="211"/>
      <c r="XN5" s="211"/>
      <c r="XO5" s="211"/>
      <c r="XP5" s="211"/>
      <c r="XQ5" s="211"/>
      <c r="XR5" s="211"/>
      <c r="XS5" s="211"/>
      <c r="XT5" s="211"/>
      <c r="XU5" s="211"/>
      <c r="XV5" s="211"/>
      <c r="XW5" s="211"/>
      <c r="XX5" s="211"/>
      <c r="XY5" s="211"/>
      <c r="XZ5" s="211"/>
      <c r="YA5" s="211"/>
      <c r="YB5" s="211"/>
      <c r="YC5" s="211"/>
      <c r="YD5" s="211"/>
      <c r="YE5" s="211"/>
      <c r="YF5" s="211"/>
      <c r="YG5" s="211"/>
      <c r="YH5" s="211"/>
      <c r="YI5" s="211"/>
      <c r="YJ5" s="211"/>
      <c r="YK5" s="211"/>
      <c r="YL5" s="211"/>
      <c r="YM5" s="211"/>
      <c r="YN5" s="211"/>
      <c r="YO5" s="211"/>
      <c r="YP5" s="211"/>
      <c r="YQ5" s="211"/>
      <c r="YR5" s="211"/>
      <c r="YS5" s="211"/>
      <c r="YT5" s="211"/>
      <c r="YU5" s="211"/>
      <c r="YV5" s="211"/>
      <c r="YW5" s="211"/>
      <c r="YX5" s="211"/>
      <c r="YY5" s="211"/>
      <c r="YZ5" s="211"/>
      <c r="ZA5" s="211"/>
      <c r="ZB5" s="211"/>
      <c r="ZC5" s="211"/>
      <c r="ZD5" s="211"/>
      <c r="ZE5" s="211"/>
      <c r="ZF5" s="211"/>
      <c r="ZG5" s="211"/>
      <c r="ZH5" s="211"/>
      <c r="ZI5" s="211"/>
      <c r="ZJ5" s="219" t="s">
        <v>304</v>
      </c>
    </row>
    <row r="6" spans="1:738" ht="99" customHeight="1" thickBot="1" x14ac:dyDescent="0.3">
      <c r="A6">
        <f>MAX(A7:A106)</f>
        <v>0</v>
      </c>
      <c r="B6" s="92" t="s">
        <v>292</v>
      </c>
      <c r="C6" s="220"/>
      <c r="D6" s="92"/>
      <c r="E6" s="220"/>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20" t="s">
        <v>297</v>
      </c>
      <c r="CE6" s="212"/>
      <c r="CF6" s="212">
        <f>'Capacity Backing (Hide)2'!C1</f>
        <v>0</v>
      </c>
      <c r="CG6" s="212">
        <f>'Capacity Backing (Hide)2'!D1</f>
        <v>0</v>
      </c>
      <c r="CH6" s="212">
        <f>'Capacity Backing (Hide)2'!E1</f>
        <v>0</v>
      </c>
      <c r="CI6" s="212">
        <f>'Capacity Backing (Hide)2'!F1</f>
        <v>0</v>
      </c>
      <c r="CJ6" s="212">
        <f>'Capacity Backing (Hide)2'!G1</f>
        <v>0</v>
      </c>
      <c r="CK6" s="212">
        <f>'Capacity Backing (Hide)2'!H1</f>
        <v>0</v>
      </c>
      <c r="CL6" s="212">
        <f>'Capacity Backing (Hide)2'!I1</f>
        <v>0</v>
      </c>
      <c r="CM6" s="212">
        <f>'Capacity Backing (Hide)2'!J1</f>
        <v>0</v>
      </c>
      <c r="CN6" s="212">
        <f>'Capacity Backing (Hide)2'!K1</f>
        <v>0</v>
      </c>
      <c r="CO6" s="212">
        <f>'Capacity Backing (Hide)2'!L1</f>
        <v>0</v>
      </c>
      <c r="CP6" s="212">
        <f>'Capacity Backing (Hide)2'!M1</f>
        <v>0</v>
      </c>
      <c r="CQ6" s="212">
        <f>'Capacity Backing (Hide)2'!N1</f>
        <v>0</v>
      </c>
      <c r="CR6" s="212">
        <f>'Capacity Backing (Hide)2'!O1</f>
        <v>0</v>
      </c>
      <c r="CS6" s="212">
        <f>'Capacity Backing (Hide)2'!P1</f>
        <v>0</v>
      </c>
      <c r="CT6" s="212">
        <f>'Capacity Backing (Hide)2'!Q1</f>
        <v>0</v>
      </c>
      <c r="CU6" s="212">
        <f>'Capacity Backing (Hide)2'!R1</f>
        <v>0</v>
      </c>
      <c r="CV6" s="212">
        <f>'Capacity Backing (Hide)2'!S1</f>
        <v>0</v>
      </c>
      <c r="CW6" s="212">
        <f>'Capacity Backing (Hide)2'!T1</f>
        <v>0</v>
      </c>
      <c r="CX6" s="212">
        <f>'Capacity Backing (Hide)2'!U1</f>
        <v>0</v>
      </c>
      <c r="CY6" s="212">
        <f>'Capacity Backing (Hide)2'!V1</f>
        <v>0</v>
      </c>
      <c r="CZ6" s="212">
        <f>'Capacity Backing (Hide)2'!W1</f>
        <v>0</v>
      </c>
      <c r="DA6" s="212">
        <f>'Capacity Backing (Hide)2'!X1</f>
        <v>0</v>
      </c>
      <c r="DB6" s="212">
        <f>'Capacity Backing (Hide)2'!Y1</f>
        <v>0</v>
      </c>
      <c r="DC6" s="212">
        <f>'Capacity Backing (Hide)2'!Z1</f>
        <v>0</v>
      </c>
      <c r="DD6" s="212">
        <f>'Capacity Backing (Hide)2'!AA1</f>
        <v>0</v>
      </c>
      <c r="DE6" s="212">
        <f>'Capacity Backing (Hide)2'!AB1</f>
        <v>0</v>
      </c>
      <c r="DF6" s="212">
        <f>'Capacity Backing (Hide)2'!AC1</f>
        <v>0</v>
      </c>
      <c r="DG6" s="212">
        <f>'Capacity Backing (Hide)2'!AD1</f>
        <v>0</v>
      </c>
      <c r="DH6" s="212">
        <f>'Capacity Backing (Hide)2'!AE1</f>
        <v>0</v>
      </c>
      <c r="DI6" s="212">
        <f>'Capacity Backing (Hide)2'!AF1</f>
        <v>0</v>
      </c>
      <c r="DJ6" s="212">
        <f>'Capacity Backing (Hide)2'!AG1</f>
        <v>0</v>
      </c>
      <c r="DK6" s="212">
        <f>'Capacity Backing (Hide)2'!AH1</f>
        <v>0</v>
      </c>
      <c r="DL6" s="212">
        <f>'Capacity Backing (Hide)2'!AI1</f>
        <v>0</v>
      </c>
      <c r="DM6" s="212">
        <f>'Capacity Backing (Hide)2'!AJ1</f>
        <v>0</v>
      </c>
      <c r="DN6" s="212">
        <f>'Capacity Backing (Hide)2'!AK1</f>
        <v>0</v>
      </c>
      <c r="DO6" s="212">
        <f>'Capacity Backing (Hide)2'!AL1</f>
        <v>0</v>
      </c>
      <c r="DP6" s="212">
        <f>'Capacity Backing (Hide)2'!AM1</f>
        <v>0</v>
      </c>
      <c r="DQ6" s="212">
        <f>'Capacity Backing (Hide)2'!AN1</f>
        <v>0</v>
      </c>
      <c r="DR6" s="212">
        <f>'Capacity Backing (Hide)2'!AO1</f>
        <v>0</v>
      </c>
      <c r="DS6" s="212">
        <f>'Capacity Backing (Hide)2'!AP1</f>
        <v>0</v>
      </c>
      <c r="DT6" s="212">
        <f>'Capacity Backing (Hide)2'!AQ1</f>
        <v>0</v>
      </c>
      <c r="DU6" s="212">
        <f>'Capacity Backing (Hide)2'!AR1</f>
        <v>0</v>
      </c>
      <c r="DV6" s="212">
        <f>'Capacity Backing (Hide)2'!AS1</f>
        <v>0</v>
      </c>
      <c r="DW6" s="212">
        <f>'Capacity Backing (Hide)2'!AT1</f>
        <v>0</v>
      </c>
      <c r="DX6" s="212">
        <f>'Capacity Backing (Hide)2'!AU1</f>
        <v>0</v>
      </c>
      <c r="DY6" s="212">
        <f>'Capacity Backing (Hide)2'!AV1</f>
        <v>0</v>
      </c>
      <c r="DZ6" s="212">
        <f>'Capacity Backing (Hide)2'!AW1</f>
        <v>0</v>
      </c>
      <c r="EA6" s="212">
        <f>'Capacity Backing (Hide)2'!AX1</f>
        <v>0</v>
      </c>
      <c r="EB6" s="212">
        <f>'Capacity Backing (Hide)2'!AY1</f>
        <v>0</v>
      </c>
      <c r="EC6" s="212">
        <f>'Capacity Backing (Hide)2'!AZ1</f>
        <v>0</v>
      </c>
      <c r="ED6" s="212">
        <f>'Capacity Backing (Hide)2'!BA1</f>
        <v>0</v>
      </c>
      <c r="EE6" s="212">
        <f>'Capacity Backing (Hide)2'!BB1</f>
        <v>0</v>
      </c>
      <c r="EF6" s="212">
        <f>'Capacity Backing (Hide)2'!BC1</f>
        <v>0</v>
      </c>
      <c r="EG6" s="212">
        <f>'Capacity Backing (Hide)2'!BD1</f>
        <v>0</v>
      </c>
      <c r="EH6" s="212">
        <f>'Capacity Backing (Hide)2'!BE1</f>
        <v>0</v>
      </c>
      <c r="EI6" s="212">
        <f>'Capacity Backing (Hide)2'!BF1</f>
        <v>0</v>
      </c>
      <c r="EJ6" s="212">
        <f>'Capacity Backing (Hide)2'!BG1</f>
        <v>0</v>
      </c>
      <c r="EK6" s="212">
        <f>'Capacity Backing (Hide)2'!BH1</f>
        <v>0</v>
      </c>
      <c r="EL6" s="212">
        <f>'Capacity Backing (Hide)2'!BI1</f>
        <v>0</v>
      </c>
      <c r="EM6" s="212">
        <f>'Capacity Backing (Hide)2'!BJ1</f>
        <v>0</v>
      </c>
      <c r="EN6" s="212">
        <f>'Capacity Backing (Hide)2'!BK1</f>
        <v>0</v>
      </c>
      <c r="EO6" s="212">
        <f>'Capacity Backing (Hide)2'!BL1</f>
        <v>0</v>
      </c>
      <c r="EP6" s="212">
        <f>'Capacity Backing (Hide)2'!BM1</f>
        <v>0</v>
      </c>
      <c r="EQ6" s="212">
        <f>'Capacity Backing (Hide)2'!BN1</f>
        <v>0</v>
      </c>
      <c r="ER6" s="212">
        <f>'Capacity Backing (Hide)2'!BO1</f>
        <v>0</v>
      </c>
      <c r="ES6" s="212">
        <f>'Capacity Backing (Hide)2'!BP1</f>
        <v>0</v>
      </c>
      <c r="ET6" s="212">
        <f>'Capacity Backing (Hide)2'!BQ1</f>
        <v>0</v>
      </c>
      <c r="EU6" s="212">
        <f>'Capacity Backing (Hide)2'!BR1</f>
        <v>0</v>
      </c>
      <c r="EV6" s="212">
        <f>'Capacity Backing (Hide)2'!BS1</f>
        <v>0</v>
      </c>
      <c r="EW6" s="212">
        <f>'Capacity Backing (Hide)2'!BT1</f>
        <v>0</v>
      </c>
      <c r="EX6" s="212">
        <f>'Capacity Backing (Hide)2'!BU1</f>
        <v>0</v>
      </c>
      <c r="EY6" s="212">
        <f>'Capacity Backing (Hide)2'!BV1</f>
        <v>0</v>
      </c>
      <c r="EZ6" s="212">
        <f>'Capacity Backing (Hide)2'!BW1</f>
        <v>0</v>
      </c>
      <c r="FA6" s="212">
        <f>'Capacity Backing (Hide)2'!BX1</f>
        <v>0</v>
      </c>
      <c r="FB6" s="212">
        <f>'Capacity Backing (Hide)2'!BY1</f>
        <v>0</v>
      </c>
      <c r="FC6" s="212">
        <f>'Capacity Backing (Hide)2'!BZ1</f>
        <v>0</v>
      </c>
      <c r="FD6" s="212">
        <f>'Capacity Backing (Hide)2'!CA1</f>
        <v>0</v>
      </c>
      <c r="FE6" s="212">
        <f>'Capacity Backing (Hide)2'!CB1</f>
        <v>0</v>
      </c>
      <c r="FF6" s="212">
        <f>'Capacity Backing (Hide)2'!CC1</f>
        <v>0</v>
      </c>
      <c r="FG6" s="212">
        <f>'Capacity Backing (Hide)2'!CD1</f>
        <v>0</v>
      </c>
      <c r="FH6" s="212">
        <f>'Capacity Backing (Hide)2'!CE1</f>
        <v>0</v>
      </c>
      <c r="FI6" s="212">
        <f>'Capacity Backing (Hide)2'!CF1</f>
        <v>0</v>
      </c>
      <c r="FJ6" s="212">
        <f>'Capacity Backing (Hide)2'!CG1</f>
        <v>0</v>
      </c>
      <c r="FK6" s="212">
        <f>'Capacity Backing (Hide)2'!CH1</f>
        <v>0</v>
      </c>
      <c r="FL6" s="212">
        <f>'Capacity Backing (Hide)2'!CI1</f>
        <v>0</v>
      </c>
      <c r="FM6" s="212">
        <f>'Capacity Backing (Hide)2'!CJ1</f>
        <v>0</v>
      </c>
      <c r="FN6" s="212">
        <f>'Capacity Backing (Hide)2'!CK1</f>
        <v>0</v>
      </c>
      <c r="FO6" s="212">
        <f>'Capacity Backing (Hide)2'!CL1</f>
        <v>0</v>
      </c>
      <c r="FP6" s="212">
        <f>'Capacity Backing (Hide)2'!CM1</f>
        <v>0</v>
      </c>
      <c r="FQ6" s="212">
        <f>'Capacity Backing (Hide)2'!CN1</f>
        <v>0</v>
      </c>
      <c r="FR6" s="212">
        <f>'Capacity Backing (Hide)2'!CO1</f>
        <v>0</v>
      </c>
      <c r="FS6" s="212">
        <f>'Capacity Backing (Hide)2'!CP1</f>
        <v>0</v>
      </c>
      <c r="FT6" s="212">
        <f>'Capacity Backing (Hide)2'!CQ1</f>
        <v>0</v>
      </c>
      <c r="FU6" s="212">
        <f>'Capacity Backing (Hide)2'!CR1</f>
        <v>0</v>
      </c>
      <c r="FV6" s="212">
        <f>'Capacity Backing (Hide)2'!CS1</f>
        <v>0</v>
      </c>
      <c r="FW6" s="212">
        <f>'Capacity Backing (Hide)2'!CT1</f>
        <v>0</v>
      </c>
      <c r="FX6" s="212">
        <f>'Capacity Backing (Hide)2'!CU1</f>
        <v>0</v>
      </c>
      <c r="FY6" s="212">
        <f>'Capacity Backing (Hide)2'!CV1</f>
        <v>0</v>
      </c>
      <c r="FZ6" s="212">
        <f>'Capacity Backing (Hide)2'!CW1</f>
        <v>0</v>
      </c>
      <c r="GA6" s="187"/>
      <c r="GB6" s="215">
        <f>'Capacity Backing (Hide)2'!CX1</f>
        <v>0</v>
      </c>
      <c r="GC6" s="212">
        <f>'Capacity Backing (Hide)2'!CY1</f>
        <v>0</v>
      </c>
      <c r="GD6" s="212">
        <f>'Capacity Backing (Hide)2'!CZ1</f>
        <v>0</v>
      </c>
      <c r="GE6" s="212">
        <f>'Capacity Backing (Hide)2'!DA1</f>
        <v>0</v>
      </c>
      <c r="GF6" s="212">
        <f>'Capacity Backing (Hide)2'!DB1</f>
        <v>0</v>
      </c>
      <c r="GG6" s="212">
        <f>'Capacity Backing (Hide)2'!DC1</f>
        <v>0</v>
      </c>
      <c r="GH6" s="212">
        <f>'Capacity Backing (Hide)2'!DD1</f>
        <v>0</v>
      </c>
      <c r="GI6" s="212">
        <f>'Capacity Backing (Hide)2'!DE1</f>
        <v>0</v>
      </c>
      <c r="GJ6" s="212">
        <f>'Capacity Backing (Hide)2'!DF1</f>
        <v>0</v>
      </c>
      <c r="GK6" s="212">
        <f>'Capacity Backing (Hide)2'!DG1</f>
        <v>0</v>
      </c>
      <c r="GL6" s="212">
        <f>'Capacity Backing (Hide)2'!DH1</f>
        <v>0</v>
      </c>
      <c r="GM6" s="212">
        <f>'Capacity Backing (Hide)2'!DI1</f>
        <v>0</v>
      </c>
      <c r="GN6" s="212">
        <f>'Capacity Backing (Hide)2'!DJ1</f>
        <v>0</v>
      </c>
      <c r="GO6" s="212">
        <f>'Capacity Backing (Hide)2'!DK1</f>
        <v>0</v>
      </c>
      <c r="GP6" s="212">
        <f>'Capacity Backing (Hide)2'!DL1</f>
        <v>0</v>
      </c>
      <c r="GQ6" s="212">
        <f>'Capacity Backing (Hide)2'!DM1</f>
        <v>0</v>
      </c>
      <c r="GR6" s="212">
        <f>'Capacity Backing (Hide)2'!DN1</f>
        <v>0</v>
      </c>
      <c r="GS6" s="212">
        <f>'Capacity Backing (Hide)2'!DO1</f>
        <v>0</v>
      </c>
      <c r="GT6" s="212">
        <f>'Capacity Backing (Hide)2'!DP1</f>
        <v>0</v>
      </c>
      <c r="GU6" s="212">
        <f>'Capacity Backing (Hide)2'!DQ1</f>
        <v>0</v>
      </c>
      <c r="GV6" s="212">
        <f>'Capacity Backing (Hide)2'!DR1</f>
        <v>0</v>
      </c>
      <c r="GW6" s="212">
        <f>'Capacity Backing (Hide)2'!DS1</f>
        <v>0</v>
      </c>
      <c r="GX6" s="212">
        <f>'Capacity Backing (Hide)2'!DT1</f>
        <v>0</v>
      </c>
      <c r="GY6" s="212">
        <f>'Capacity Backing (Hide)2'!DU1</f>
        <v>0</v>
      </c>
      <c r="GZ6" s="212">
        <f>'Capacity Backing (Hide)2'!DV1</f>
        <v>0</v>
      </c>
      <c r="HA6" s="212">
        <f>'Capacity Backing (Hide)2'!DW1</f>
        <v>0</v>
      </c>
      <c r="HB6" s="212">
        <f>'Capacity Backing (Hide)2'!DX1</f>
        <v>0</v>
      </c>
      <c r="HC6" s="212">
        <f>'Capacity Backing (Hide)2'!DY1</f>
        <v>0</v>
      </c>
      <c r="HD6" s="212">
        <f>'Capacity Backing (Hide)2'!DZ1</f>
        <v>0</v>
      </c>
      <c r="HE6" s="212">
        <f>'Capacity Backing (Hide)2'!EA1</f>
        <v>0</v>
      </c>
      <c r="HF6" s="212">
        <f>'Capacity Backing (Hide)2'!EB1</f>
        <v>0</v>
      </c>
      <c r="HG6" s="212">
        <f>'Capacity Backing (Hide)2'!EC1</f>
        <v>0</v>
      </c>
      <c r="HH6" s="212">
        <f>'Capacity Backing (Hide)2'!ED1</f>
        <v>0</v>
      </c>
      <c r="HI6" s="212">
        <f>'Capacity Backing (Hide)2'!EE1</f>
        <v>0</v>
      </c>
      <c r="HJ6" s="212">
        <f>'Capacity Backing (Hide)2'!EF1</f>
        <v>0</v>
      </c>
      <c r="HK6" s="212">
        <f>'Capacity Backing (Hide)2'!EG1</f>
        <v>0</v>
      </c>
      <c r="HL6" s="212">
        <f>'Capacity Backing (Hide)2'!EH1</f>
        <v>0</v>
      </c>
      <c r="HM6" s="212">
        <f>'Capacity Backing (Hide)2'!EI1</f>
        <v>0</v>
      </c>
      <c r="HN6" s="212">
        <f>'Capacity Backing (Hide)2'!EJ1</f>
        <v>0</v>
      </c>
      <c r="HO6" s="212">
        <f>'Capacity Backing (Hide)2'!EK1</f>
        <v>0</v>
      </c>
      <c r="HP6" s="212">
        <f>'Capacity Backing (Hide)2'!EL1</f>
        <v>0</v>
      </c>
      <c r="HQ6" s="212">
        <f>'Capacity Backing (Hide)2'!EM1</f>
        <v>0</v>
      </c>
      <c r="HR6" s="212">
        <f>'Capacity Backing (Hide)2'!EN1</f>
        <v>0</v>
      </c>
      <c r="HS6" s="212">
        <f>'Capacity Backing (Hide)2'!EO1</f>
        <v>0</v>
      </c>
      <c r="HT6" s="212">
        <f>'Capacity Backing (Hide)2'!EP1</f>
        <v>0</v>
      </c>
      <c r="HU6" s="212">
        <f>'Capacity Backing (Hide)2'!EQ1</f>
        <v>0</v>
      </c>
      <c r="HV6" s="212">
        <f>'Capacity Backing (Hide)2'!ER1</f>
        <v>0</v>
      </c>
      <c r="HW6" s="212">
        <f>'Capacity Backing (Hide)2'!ES1</f>
        <v>0</v>
      </c>
      <c r="HX6" s="212">
        <f>'Capacity Backing (Hide)2'!ET1</f>
        <v>0</v>
      </c>
      <c r="HY6" s="212">
        <f>'Capacity Backing (Hide)2'!EU1</f>
        <v>0</v>
      </c>
      <c r="HZ6" s="212">
        <f>'Capacity Backing (Hide)2'!EV1</f>
        <v>0</v>
      </c>
      <c r="IA6" s="212">
        <f>'Capacity Backing (Hide)2'!EW1</f>
        <v>0</v>
      </c>
      <c r="IB6" s="212">
        <f>'Capacity Backing (Hide)2'!EX1</f>
        <v>0</v>
      </c>
      <c r="IC6" s="212">
        <f>'Capacity Backing (Hide)2'!EY1</f>
        <v>0</v>
      </c>
      <c r="ID6" s="212">
        <f>'Capacity Backing (Hide)2'!EZ1</f>
        <v>0</v>
      </c>
      <c r="IE6" s="212">
        <f>'Capacity Backing (Hide)2'!FA1</f>
        <v>0</v>
      </c>
      <c r="IF6" s="212">
        <f>'Capacity Backing (Hide)2'!FB1</f>
        <v>0</v>
      </c>
      <c r="IG6" s="212">
        <f>'Capacity Backing (Hide)2'!FC1</f>
        <v>0</v>
      </c>
      <c r="IH6" s="212">
        <f>'Capacity Backing (Hide)2'!FD1</f>
        <v>0</v>
      </c>
      <c r="II6" s="212">
        <f>'Capacity Backing (Hide)2'!FE1</f>
        <v>0</v>
      </c>
      <c r="IJ6" s="212">
        <f>'Capacity Backing (Hide)2'!FF1</f>
        <v>0</v>
      </c>
      <c r="IK6" s="212">
        <f>'Capacity Backing (Hide)2'!FG1</f>
        <v>0</v>
      </c>
      <c r="IL6" s="212">
        <f>'Capacity Backing (Hide)2'!FH1</f>
        <v>0</v>
      </c>
      <c r="IM6" s="212">
        <f>'Capacity Backing (Hide)2'!FI1</f>
        <v>0</v>
      </c>
      <c r="IN6" s="212">
        <f>'Capacity Backing (Hide)2'!FJ1</f>
        <v>0</v>
      </c>
      <c r="IO6" s="212">
        <f>'Capacity Backing (Hide)2'!FK1</f>
        <v>0</v>
      </c>
      <c r="IP6" s="212">
        <f>'Capacity Backing (Hide)2'!FL1</f>
        <v>0</v>
      </c>
      <c r="IQ6" s="212">
        <f>'Capacity Backing (Hide)2'!FM1</f>
        <v>0</v>
      </c>
      <c r="IR6" s="212">
        <f>'Capacity Backing (Hide)2'!FN1</f>
        <v>0</v>
      </c>
      <c r="IS6" s="212">
        <f>'Capacity Backing (Hide)2'!FO1</f>
        <v>0</v>
      </c>
      <c r="IT6" s="212">
        <f>'Capacity Backing (Hide)2'!FP1</f>
        <v>0</v>
      </c>
      <c r="IU6" s="212">
        <f>'Capacity Backing (Hide)2'!FQ1</f>
        <v>0</v>
      </c>
      <c r="IV6" s="212">
        <f>'Capacity Backing (Hide)2'!FR1</f>
        <v>0</v>
      </c>
      <c r="IW6" s="212">
        <f>'Capacity Backing (Hide)2'!FS1</f>
        <v>0</v>
      </c>
      <c r="IX6" s="212">
        <f>'Capacity Backing (Hide)2'!FT1</f>
        <v>0</v>
      </c>
      <c r="IY6" s="212">
        <f>'Capacity Backing (Hide)2'!FU1</f>
        <v>0</v>
      </c>
      <c r="IZ6" s="212">
        <f>'Capacity Backing (Hide)2'!FV1</f>
        <v>0</v>
      </c>
      <c r="JA6" s="212">
        <f>'Capacity Backing (Hide)2'!FW1</f>
        <v>0</v>
      </c>
      <c r="JB6" s="212">
        <f>'Capacity Backing (Hide)2'!FX1</f>
        <v>0</v>
      </c>
      <c r="JC6" s="212">
        <f>'Capacity Backing (Hide)2'!FY1</f>
        <v>0</v>
      </c>
      <c r="JD6" s="212">
        <f>'Capacity Backing (Hide)2'!FZ1</f>
        <v>0</v>
      </c>
      <c r="JE6" s="212">
        <f>'Capacity Backing (Hide)2'!GA1</f>
        <v>0</v>
      </c>
      <c r="JF6" s="212">
        <f>'Capacity Backing (Hide)2'!GB1</f>
        <v>0</v>
      </c>
      <c r="JG6" s="212">
        <f>'Capacity Backing (Hide)2'!GC1</f>
        <v>0</v>
      </c>
      <c r="JH6" s="212">
        <f>'Capacity Backing (Hide)2'!GD1</f>
        <v>0</v>
      </c>
      <c r="JI6" s="212">
        <f>'Capacity Backing (Hide)2'!GE1</f>
        <v>0</v>
      </c>
      <c r="JJ6" s="212">
        <f>'Capacity Backing (Hide)2'!GF1</f>
        <v>0</v>
      </c>
      <c r="JK6" s="212">
        <f>'Capacity Backing (Hide)2'!GG1</f>
        <v>0</v>
      </c>
      <c r="JL6" s="212">
        <f>'Capacity Backing (Hide)2'!GH1</f>
        <v>0</v>
      </c>
      <c r="JM6" s="212">
        <f>'Capacity Backing (Hide)2'!GI1</f>
        <v>0</v>
      </c>
      <c r="JN6" s="212">
        <f>'Capacity Backing (Hide)2'!GJ1</f>
        <v>0</v>
      </c>
      <c r="JO6" s="212">
        <f>'Capacity Backing (Hide)2'!GK1</f>
        <v>0</v>
      </c>
      <c r="JP6" s="212">
        <f>'Capacity Backing (Hide)2'!GL1</f>
        <v>0</v>
      </c>
      <c r="JQ6" s="212">
        <f>'Capacity Backing (Hide)2'!GM1</f>
        <v>0</v>
      </c>
      <c r="JR6" s="212">
        <f>'Capacity Backing (Hide)2'!GN1</f>
        <v>0</v>
      </c>
      <c r="JS6" s="212">
        <f>'Capacity Backing (Hide)2'!GO1</f>
        <v>0</v>
      </c>
      <c r="JT6" s="212">
        <f>'Capacity Backing (Hide)2'!GP1</f>
        <v>0</v>
      </c>
      <c r="JU6" s="212">
        <f>'Capacity Backing (Hide)2'!GQ1</f>
        <v>0</v>
      </c>
      <c r="JV6" s="212">
        <f>'Capacity Backing (Hide)2'!GR1</f>
        <v>0</v>
      </c>
      <c r="JW6" s="212">
        <f>'Capacity Backing (Hide)2'!GS1</f>
        <v>0</v>
      </c>
      <c r="JX6" s="212">
        <f>'Capacity Backing (Hide)2'!GT1</f>
        <v>0</v>
      </c>
      <c r="JY6" s="212">
        <f>'Capacity Backing (Hide)2'!GU1</f>
        <v>0</v>
      </c>
      <c r="JZ6" s="212">
        <f>'Capacity Backing (Hide)2'!GV1</f>
        <v>0</v>
      </c>
      <c r="KA6" s="212">
        <f>'Capacity Backing (Hide)2'!GW1</f>
        <v>0</v>
      </c>
      <c r="KB6" s="212">
        <f>'Capacity Backing (Hide)2'!GX1</f>
        <v>0</v>
      </c>
      <c r="KC6" s="212">
        <f>'Capacity Backing (Hide)2'!GY1</f>
        <v>0</v>
      </c>
      <c r="KD6" s="212">
        <f>'Capacity Backing (Hide)2'!GZ1</f>
        <v>0</v>
      </c>
      <c r="KE6" s="212">
        <f>'Capacity Backing (Hide)2'!HA1</f>
        <v>0</v>
      </c>
      <c r="KF6" s="212">
        <f>'Capacity Backing (Hide)2'!HB1</f>
        <v>0</v>
      </c>
      <c r="KG6" s="212">
        <f>'Capacity Backing (Hide)2'!HC1</f>
        <v>0</v>
      </c>
      <c r="KH6" s="212">
        <f>'Capacity Backing (Hide)2'!HD1</f>
        <v>0</v>
      </c>
      <c r="KI6" s="212">
        <f>'Capacity Backing (Hide)2'!HE1</f>
        <v>0</v>
      </c>
      <c r="KJ6" s="212">
        <f>'Capacity Backing (Hide)2'!HF1</f>
        <v>0</v>
      </c>
      <c r="KK6" s="212">
        <f>'Capacity Backing (Hide)2'!HG1</f>
        <v>0</v>
      </c>
      <c r="KL6" s="212">
        <f>'Capacity Backing (Hide)2'!HH1</f>
        <v>0</v>
      </c>
      <c r="KM6" s="212">
        <f>'Capacity Backing (Hide)2'!HI1</f>
        <v>0</v>
      </c>
      <c r="KN6" s="212">
        <f>'Capacity Backing (Hide)2'!HJ1</f>
        <v>0</v>
      </c>
      <c r="KO6" s="212">
        <f>'Capacity Backing (Hide)2'!HK1</f>
        <v>0</v>
      </c>
      <c r="KP6" s="212">
        <f>'Capacity Backing (Hide)2'!HL1</f>
        <v>0</v>
      </c>
      <c r="KQ6" s="212">
        <f>'Capacity Backing (Hide)2'!HM1</f>
        <v>0</v>
      </c>
      <c r="KR6" s="212">
        <f>'Capacity Backing (Hide)2'!HN1</f>
        <v>0</v>
      </c>
      <c r="KS6" s="212">
        <f>'Capacity Backing (Hide)2'!HO1</f>
        <v>0</v>
      </c>
      <c r="KT6" s="212">
        <f>'Capacity Backing (Hide)2'!HP1</f>
        <v>0</v>
      </c>
      <c r="KU6" s="212">
        <f>'Capacity Backing (Hide)2'!HQ1</f>
        <v>0</v>
      </c>
      <c r="KV6" s="212">
        <f>'Capacity Backing (Hide)2'!HR1</f>
        <v>0</v>
      </c>
      <c r="KW6" s="212">
        <f>'Capacity Backing (Hide)2'!HS1</f>
        <v>0</v>
      </c>
      <c r="KX6" s="212">
        <f>'Capacity Backing (Hide)2'!HT1</f>
        <v>0</v>
      </c>
      <c r="KY6" s="212">
        <f>'Capacity Backing (Hide)2'!HU1</f>
        <v>0</v>
      </c>
      <c r="KZ6" s="212">
        <f>'Capacity Backing (Hide)2'!HV1</f>
        <v>0</v>
      </c>
      <c r="LA6" s="212">
        <f>'Capacity Backing (Hide)2'!HW1</f>
        <v>0</v>
      </c>
      <c r="LB6" s="212">
        <f>'Capacity Backing (Hide)2'!HX1</f>
        <v>0</v>
      </c>
      <c r="LC6" s="212">
        <f>'Capacity Backing (Hide)2'!HY1</f>
        <v>0</v>
      </c>
      <c r="LD6" s="212">
        <f>'Capacity Backing (Hide)2'!HZ1</f>
        <v>0</v>
      </c>
      <c r="LE6" s="212">
        <f>'Capacity Backing (Hide)2'!IA1</f>
        <v>0</v>
      </c>
      <c r="LF6" s="212">
        <f>'Capacity Backing (Hide)2'!IB1</f>
        <v>0</v>
      </c>
      <c r="LG6" s="212">
        <f>'Capacity Backing (Hide)2'!IC1</f>
        <v>0</v>
      </c>
      <c r="LH6" s="212">
        <f>'Capacity Backing (Hide)2'!ID1</f>
        <v>0</v>
      </c>
      <c r="LI6" s="212">
        <f>'Capacity Backing (Hide)2'!IE1</f>
        <v>0</v>
      </c>
      <c r="LJ6" s="212">
        <f>'Capacity Backing (Hide)2'!IF1</f>
        <v>0</v>
      </c>
      <c r="LK6" s="212">
        <f>'Capacity Backing (Hide)2'!IG1</f>
        <v>0</v>
      </c>
      <c r="LL6" s="212">
        <f>'Capacity Backing (Hide)2'!IH1</f>
        <v>0</v>
      </c>
      <c r="LM6" s="212">
        <f>'Capacity Backing (Hide)2'!II1</f>
        <v>0</v>
      </c>
      <c r="LN6" s="212">
        <f>'Capacity Backing (Hide)2'!IJ1</f>
        <v>0</v>
      </c>
      <c r="LO6" s="212">
        <f>'Capacity Backing (Hide)2'!IK1</f>
        <v>0</v>
      </c>
      <c r="LP6" s="212">
        <f>'Capacity Backing (Hide)2'!IL1</f>
        <v>0</v>
      </c>
      <c r="LQ6" s="212">
        <f>'Capacity Backing (Hide)2'!IM1</f>
        <v>0</v>
      </c>
      <c r="LR6" s="212">
        <f>'Capacity Backing (Hide)2'!IN1</f>
        <v>0</v>
      </c>
      <c r="LS6" s="212">
        <f>'Capacity Backing (Hide)2'!IO1</f>
        <v>0</v>
      </c>
      <c r="LT6" s="212">
        <f>'Capacity Backing (Hide)2'!IP1</f>
        <v>0</v>
      </c>
      <c r="LU6" s="212">
        <f>'Capacity Backing (Hide)2'!IQ1</f>
        <v>0</v>
      </c>
      <c r="LV6" s="212">
        <f>'Capacity Backing (Hide)2'!IR1</f>
        <v>0</v>
      </c>
      <c r="LW6" s="212">
        <f>'Capacity Backing (Hide)2'!IS1</f>
        <v>0</v>
      </c>
      <c r="LX6" s="212">
        <f>'Capacity Backing (Hide)2'!IT1</f>
        <v>0</v>
      </c>
      <c r="LY6" s="212">
        <f>'Capacity Backing (Hide)2'!IU1</f>
        <v>0</v>
      </c>
      <c r="LZ6" s="212">
        <f>'Capacity Backing (Hide)2'!IV1</f>
        <v>0</v>
      </c>
      <c r="MA6" s="212">
        <f>'Capacity Backing (Hide)2'!IW1</f>
        <v>0</v>
      </c>
      <c r="MB6" s="212">
        <f>'Capacity Backing (Hide)2'!IX1</f>
        <v>0</v>
      </c>
      <c r="MC6" s="212">
        <f>'Capacity Backing (Hide)2'!IY1</f>
        <v>0</v>
      </c>
      <c r="MD6" s="212">
        <f>'Capacity Backing (Hide)2'!IZ1</f>
        <v>0</v>
      </c>
      <c r="ME6" s="212">
        <f>'Capacity Backing (Hide)2'!JA1</f>
        <v>0</v>
      </c>
      <c r="MF6" s="212">
        <f>'Capacity Backing (Hide)2'!JB1</f>
        <v>0</v>
      </c>
      <c r="MG6" s="212">
        <f>'Capacity Backing (Hide)2'!JC1</f>
        <v>0</v>
      </c>
      <c r="MH6" s="212">
        <f>'Capacity Backing (Hide)2'!JD1</f>
        <v>0</v>
      </c>
      <c r="MI6" s="212">
        <f>'Capacity Backing (Hide)2'!JE1</f>
        <v>0</v>
      </c>
      <c r="MJ6" s="212">
        <f>'Capacity Backing (Hide)2'!JF1</f>
        <v>0</v>
      </c>
      <c r="MK6" s="212">
        <f>'Capacity Backing (Hide)2'!JG1</f>
        <v>0</v>
      </c>
      <c r="ML6" s="212">
        <f>'Capacity Backing (Hide)2'!JH1</f>
        <v>0</v>
      </c>
      <c r="MM6" s="212">
        <f>'Capacity Backing (Hide)2'!JI1</f>
        <v>0</v>
      </c>
      <c r="MN6" s="212">
        <f>'Capacity Backing (Hide)2'!JJ1</f>
        <v>0</v>
      </c>
      <c r="MO6" s="212">
        <f>'Capacity Backing (Hide)2'!JK1</f>
        <v>0</v>
      </c>
      <c r="MP6" s="212">
        <f>'Capacity Backing (Hide)2'!JL1</f>
        <v>0</v>
      </c>
      <c r="MQ6" s="212">
        <f>'Capacity Backing (Hide)2'!JM1</f>
        <v>0</v>
      </c>
      <c r="MR6" s="212">
        <f>'Capacity Backing (Hide)2'!JN1</f>
        <v>0</v>
      </c>
      <c r="MS6" s="212">
        <f>'Capacity Backing (Hide)2'!JO1</f>
        <v>0</v>
      </c>
      <c r="MT6" s="212">
        <f>'Capacity Backing (Hide)2'!JP1</f>
        <v>0</v>
      </c>
      <c r="MU6" s="212">
        <f>'Capacity Backing (Hide)2'!JQ1</f>
        <v>0</v>
      </c>
      <c r="MV6" s="212">
        <f>'Capacity Backing (Hide)2'!JR1</f>
        <v>0</v>
      </c>
      <c r="MW6" s="212">
        <f>'Capacity Backing (Hide)2'!JS1</f>
        <v>0</v>
      </c>
      <c r="MX6" s="212">
        <f>'Capacity Backing (Hide)2'!JT1</f>
        <v>0</v>
      </c>
      <c r="MY6" s="212">
        <f>'Capacity Backing (Hide)2'!JU1</f>
        <v>0</v>
      </c>
      <c r="MZ6" s="212">
        <f>'Capacity Backing (Hide)2'!JV1</f>
        <v>0</v>
      </c>
      <c r="NA6" s="212">
        <f>'Capacity Backing (Hide)2'!JW1</f>
        <v>0</v>
      </c>
      <c r="NB6" s="212">
        <f>'Capacity Backing (Hide)2'!JX1</f>
        <v>0</v>
      </c>
      <c r="NC6" s="212">
        <f>'Capacity Backing (Hide)2'!JY1</f>
        <v>0</v>
      </c>
      <c r="ND6" s="212">
        <f>'Capacity Backing (Hide)2'!JZ1</f>
        <v>0</v>
      </c>
      <c r="NE6" s="212">
        <f>'Capacity Backing (Hide)2'!KA1</f>
        <v>0</v>
      </c>
      <c r="NF6" s="212">
        <f>'Capacity Backing (Hide)2'!KB1</f>
        <v>0</v>
      </c>
      <c r="NG6" s="212">
        <f>'Capacity Backing (Hide)2'!KC1</f>
        <v>0</v>
      </c>
      <c r="NH6" s="212">
        <f>'Capacity Backing (Hide)2'!KD1</f>
        <v>0</v>
      </c>
      <c r="NI6" s="212">
        <f>'Capacity Backing (Hide)2'!KE1</f>
        <v>0</v>
      </c>
      <c r="NJ6" s="212">
        <f>'Capacity Backing (Hide)2'!KF1</f>
        <v>0</v>
      </c>
      <c r="NK6" s="212">
        <f>'Capacity Backing (Hide)2'!KG1</f>
        <v>0</v>
      </c>
      <c r="NL6" s="212">
        <f>'Capacity Backing (Hide)2'!KH1</f>
        <v>0</v>
      </c>
      <c r="NM6" s="212">
        <f>'Capacity Backing (Hide)2'!KI1</f>
        <v>0</v>
      </c>
      <c r="NN6" s="212">
        <f>'Capacity Backing (Hide)2'!KJ1</f>
        <v>0</v>
      </c>
      <c r="NO6" s="212">
        <f>'Capacity Backing (Hide)2'!KK1</f>
        <v>0</v>
      </c>
      <c r="NP6" s="212">
        <f>'Capacity Backing (Hide)2'!KL1</f>
        <v>0</v>
      </c>
      <c r="NQ6" s="212">
        <f>'Capacity Backing (Hide)2'!KM1</f>
        <v>0</v>
      </c>
      <c r="NR6" s="212">
        <f>'Capacity Backing (Hide)2'!KN1</f>
        <v>0</v>
      </c>
      <c r="NS6" s="218">
        <f>'Capacity Backing (Hide)2'!KO1</f>
        <v>0</v>
      </c>
      <c r="NT6" s="220" t="s">
        <v>298</v>
      </c>
      <c r="NU6" s="212"/>
      <c r="NV6" s="212">
        <f>'Capacity Backing (Hide)2'!KS1</f>
        <v>0</v>
      </c>
      <c r="NW6" s="212">
        <f>'Capacity Backing (Hide)2'!KT1</f>
        <v>0</v>
      </c>
      <c r="NX6" s="212">
        <f>'Capacity Backing (Hide)2'!KU1</f>
        <v>0</v>
      </c>
      <c r="NY6" s="212">
        <f>'Capacity Backing (Hide)2'!KV1</f>
        <v>0</v>
      </c>
      <c r="NZ6" s="212">
        <f>'Capacity Backing (Hide)2'!KW1</f>
        <v>0</v>
      </c>
      <c r="OA6" s="212">
        <f>'Capacity Backing (Hide)2'!KX1</f>
        <v>0</v>
      </c>
      <c r="OB6" s="212">
        <f>'Capacity Backing (Hide)2'!KY1</f>
        <v>0</v>
      </c>
      <c r="OC6" s="212">
        <f>'Capacity Backing (Hide)2'!KZ1</f>
        <v>0</v>
      </c>
      <c r="OD6" s="212">
        <f>'Capacity Backing (Hide)2'!LA1</f>
        <v>0</v>
      </c>
      <c r="OE6" s="212">
        <f>'Capacity Backing (Hide)2'!LB1</f>
        <v>0</v>
      </c>
      <c r="OF6" s="212">
        <f>'Capacity Backing (Hide)2'!LC1</f>
        <v>0</v>
      </c>
      <c r="OG6" s="212">
        <f>'Capacity Backing (Hide)2'!LD1</f>
        <v>0</v>
      </c>
      <c r="OH6" s="212">
        <f>'Capacity Backing (Hide)2'!LE1</f>
        <v>0</v>
      </c>
      <c r="OI6" s="212">
        <f>'Capacity Backing (Hide)2'!LF1</f>
        <v>0</v>
      </c>
      <c r="OJ6" s="212">
        <f>'Capacity Backing (Hide)2'!LG1</f>
        <v>0</v>
      </c>
      <c r="OK6" s="212">
        <f>'Capacity Backing (Hide)2'!LH1</f>
        <v>0</v>
      </c>
      <c r="OL6" s="212">
        <f>'Capacity Backing (Hide)2'!LI1</f>
        <v>0</v>
      </c>
      <c r="OM6" s="212">
        <f>'Capacity Backing (Hide)2'!LJ1</f>
        <v>0</v>
      </c>
      <c r="ON6" s="212">
        <f>'Capacity Backing (Hide)2'!LK1</f>
        <v>0</v>
      </c>
      <c r="OO6" s="212">
        <f>'Capacity Backing (Hide)2'!LL1</f>
        <v>0</v>
      </c>
      <c r="OP6" s="212">
        <f>'Capacity Backing (Hide)2'!LM1</f>
        <v>0</v>
      </c>
      <c r="OQ6" s="212">
        <f>'Capacity Backing (Hide)2'!LN1</f>
        <v>0</v>
      </c>
      <c r="OR6" s="212">
        <f>'Capacity Backing (Hide)2'!LO1</f>
        <v>0</v>
      </c>
      <c r="OS6" s="212">
        <f>'Capacity Backing (Hide)2'!LP1</f>
        <v>0</v>
      </c>
      <c r="OT6" s="212">
        <f>'Capacity Backing (Hide)2'!LQ1</f>
        <v>0</v>
      </c>
      <c r="OU6" s="212">
        <f>'Capacity Backing (Hide)2'!LR1</f>
        <v>0</v>
      </c>
      <c r="OV6" s="212">
        <f>'Capacity Backing (Hide)2'!LS1</f>
        <v>0</v>
      </c>
      <c r="OW6" s="212">
        <f>'Capacity Backing (Hide)2'!LT1</f>
        <v>0</v>
      </c>
      <c r="OX6" s="212">
        <f>'Capacity Backing (Hide)2'!LU1</f>
        <v>0</v>
      </c>
      <c r="OY6" s="212">
        <f>'Capacity Backing (Hide)2'!LV1</f>
        <v>0</v>
      </c>
      <c r="OZ6" s="212">
        <f>'Capacity Backing (Hide)2'!LW1</f>
        <v>0</v>
      </c>
      <c r="PA6" s="212">
        <f>'Capacity Backing (Hide)2'!LX1</f>
        <v>0</v>
      </c>
      <c r="PB6" s="212">
        <f>'Capacity Backing (Hide)2'!LY1</f>
        <v>0</v>
      </c>
      <c r="PC6" s="212">
        <f>'Capacity Backing (Hide)2'!LZ1</f>
        <v>0</v>
      </c>
      <c r="PD6" s="212">
        <f>'Capacity Backing (Hide)2'!MA1</f>
        <v>0</v>
      </c>
      <c r="PE6" s="212">
        <f>'Capacity Backing (Hide)2'!MB1</f>
        <v>0</v>
      </c>
      <c r="PF6" s="212">
        <f>'Capacity Backing (Hide)2'!MC1</f>
        <v>0</v>
      </c>
      <c r="PG6" s="212">
        <f>'Capacity Backing (Hide)2'!MD1</f>
        <v>0</v>
      </c>
      <c r="PH6" s="212">
        <f>'Capacity Backing (Hide)2'!ME1</f>
        <v>0</v>
      </c>
      <c r="PI6" s="212">
        <f>'Capacity Backing (Hide)2'!MF1</f>
        <v>0</v>
      </c>
      <c r="PJ6" s="212">
        <f>'Capacity Backing (Hide)2'!MG1</f>
        <v>0</v>
      </c>
      <c r="PK6" s="212">
        <f>'Capacity Backing (Hide)2'!MH1</f>
        <v>0</v>
      </c>
      <c r="PL6" s="212">
        <f>'Capacity Backing (Hide)2'!MI1</f>
        <v>0</v>
      </c>
      <c r="PM6" s="212">
        <f>'Capacity Backing (Hide)2'!MJ1</f>
        <v>0</v>
      </c>
      <c r="PN6" s="212">
        <f>'Capacity Backing (Hide)2'!MK1</f>
        <v>0</v>
      </c>
      <c r="PO6" s="212">
        <f>'Capacity Backing (Hide)2'!ML1</f>
        <v>0</v>
      </c>
      <c r="PP6" s="212">
        <f>'Capacity Backing (Hide)2'!MM1</f>
        <v>0</v>
      </c>
      <c r="PQ6" s="212">
        <f>'Capacity Backing (Hide)2'!MN1</f>
        <v>0</v>
      </c>
      <c r="PR6" s="212">
        <f>'Capacity Backing (Hide)2'!MO1</f>
        <v>0</v>
      </c>
      <c r="PS6" s="212">
        <f>'Capacity Backing (Hide)2'!MP1</f>
        <v>0</v>
      </c>
      <c r="PT6" s="212">
        <f>'Capacity Backing (Hide)2'!MQ1</f>
        <v>0</v>
      </c>
      <c r="PU6" s="212">
        <f>'Capacity Backing (Hide)2'!MR1</f>
        <v>0</v>
      </c>
      <c r="PV6" s="212">
        <f>'Capacity Backing (Hide)2'!MS1</f>
        <v>0</v>
      </c>
      <c r="PW6" s="212">
        <f>'Capacity Backing (Hide)2'!MT1</f>
        <v>0</v>
      </c>
      <c r="PX6" s="212">
        <f>'Capacity Backing (Hide)2'!MU1</f>
        <v>0</v>
      </c>
      <c r="PY6" s="212">
        <f>'Capacity Backing (Hide)2'!MV1</f>
        <v>0</v>
      </c>
      <c r="PZ6" s="212">
        <f>'Capacity Backing (Hide)2'!MW1</f>
        <v>0</v>
      </c>
      <c r="QA6" s="212">
        <f>'Capacity Backing (Hide)2'!MX1</f>
        <v>0</v>
      </c>
      <c r="QB6" s="212">
        <f>'Capacity Backing (Hide)2'!MY1</f>
        <v>0</v>
      </c>
      <c r="QC6" s="212">
        <f>'Capacity Backing (Hide)2'!MZ1</f>
        <v>0</v>
      </c>
      <c r="QD6" s="212">
        <f>'Capacity Backing (Hide)2'!NA1</f>
        <v>0</v>
      </c>
      <c r="QE6" s="212">
        <f>'Capacity Backing (Hide)2'!NB1</f>
        <v>0</v>
      </c>
      <c r="QF6" s="212">
        <f>'Capacity Backing (Hide)2'!NC1</f>
        <v>0</v>
      </c>
      <c r="QG6" s="212">
        <f>'Capacity Backing (Hide)2'!ND1</f>
        <v>0</v>
      </c>
      <c r="QH6" s="212">
        <f>'Capacity Backing (Hide)2'!NE1</f>
        <v>0</v>
      </c>
      <c r="QI6" s="212">
        <f>'Capacity Backing (Hide)2'!NF1</f>
        <v>0</v>
      </c>
      <c r="QJ6" s="212">
        <f>'Capacity Backing (Hide)2'!NG1</f>
        <v>0</v>
      </c>
      <c r="QK6" s="212">
        <f>'Capacity Backing (Hide)2'!NH1</f>
        <v>0</v>
      </c>
      <c r="QL6" s="212">
        <f>'Capacity Backing (Hide)2'!NI1</f>
        <v>0</v>
      </c>
      <c r="QM6" s="212">
        <f>'Capacity Backing (Hide)2'!NJ1</f>
        <v>0</v>
      </c>
      <c r="QN6" s="212">
        <f>'Capacity Backing (Hide)2'!NK1</f>
        <v>0</v>
      </c>
      <c r="QO6" s="212">
        <f>'Capacity Backing (Hide)2'!NL1</f>
        <v>0</v>
      </c>
      <c r="QP6" s="212">
        <f>'Capacity Backing (Hide)2'!NM1</f>
        <v>0</v>
      </c>
      <c r="QQ6" s="212">
        <f>'Capacity Backing (Hide)2'!NN1</f>
        <v>0</v>
      </c>
      <c r="QR6" s="212">
        <f>'Capacity Backing (Hide)2'!NO1</f>
        <v>0</v>
      </c>
      <c r="QS6" s="212">
        <f>'Capacity Backing (Hide)2'!NP1</f>
        <v>0</v>
      </c>
      <c r="QT6" s="212">
        <f>'Capacity Backing (Hide)2'!NQ1</f>
        <v>0</v>
      </c>
      <c r="QU6" s="212">
        <f>'Capacity Backing (Hide)2'!NR1</f>
        <v>0</v>
      </c>
      <c r="QV6" s="212">
        <f>'Capacity Backing (Hide)2'!NS1</f>
        <v>0</v>
      </c>
      <c r="QW6" s="212">
        <f>'Capacity Backing (Hide)2'!NT1</f>
        <v>0</v>
      </c>
      <c r="QX6" s="212">
        <f>'Capacity Backing (Hide)2'!NU1</f>
        <v>0</v>
      </c>
      <c r="QY6" s="212">
        <f>'Capacity Backing (Hide)2'!NV1</f>
        <v>0</v>
      </c>
      <c r="QZ6" s="212">
        <f>'Capacity Backing (Hide)2'!NW1</f>
        <v>0</v>
      </c>
      <c r="RA6" s="212">
        <f>'Capacity Backing (Hide)2'!NX1</f>
        <v>0</v>
      </c>
      <c r="RB6" s="212">
        <f>'Capacity Backing (Hide)2'!NY1</f>
        <v>0</v>
      </c>
      <c r="RC6" s="212">
        <f>'Capacity Backing (Hide)2'!NZ1</f>
        <v>0</v>
      </c>
      <c r="RD6" s="212">
        <f>'Capacity Backing (Hide)2'!OA1</f>
        <v>0</v>
      </c>
      <c r="RE6" s="212">
        <f>'Capacity Backing (Hide)2'!OB1</f>
        <v>0</v>
      </c>
      <c r="RF6" s="212">
        <f>'Capacity Backing (Hide)2'!OC1</f>
        <v>0</v>
      </c>
      <c r="RG6" s="212">
        <f>'Capacity Backing (Hide)2'!OD1</f>
        <v>0</v>
      </c>
      <c r="RH6" s="212">
        <f>'Capacity Backing (Hide)2'!OE1</f>
        <v>0</v>
      </c>
      <c r="RI6" s="212">
        <f>'Capacity Backing (Hide)2'!OF1</f>
        <v>0</v>
      </c>
      <c r="RJ6" s="212">
        <f>'Capacity Backing (Hide)2'!OG1</f>
        <v>0</v>
      </c>
      <c r="RK6" s="212">
        <f>'Capacity Backing (Hide)2'!OH1</f>
        <v>0</v>
      </c>
      <c r="RL6" s="212">
        <f>'Capacity Backing (Hide)2'!OI1</f>
        <v>0</v>
      </c>
      <c r="RM6" s="212">
        <f>'Capacity Backing (Hide)2'!OJ1</f>
        <v>0</v>
      </c>
      <c r="RN6" s="212">
        <f>'Capacity Backing (Hide)2'!OK1</f>
        <v>0</v>
      </c>
      <c r="RO6" s="212">
        <f>'Capacity Backing (Hide)2'!OL1</f>
        <v>0</v>
      </c>
      <c r="RP6" s="212">
        <f>'Capacity Backing (Hide)2'!OM1</f>
        <v>0</v>
      </c>
      <c r="RQ6" s="187"/>
      <c r="RR6" s="215">
        <f>'Capacity Backing (Hide)2'!ON1</f>
        <v>0</v>
      </c>
      <c r="RS6" s="212">
        <f>'Capacity Backing (Hide)2'!OO1</f>
        <v>0</v>
      </c>
      <c r="RT6" s="212">
        <f>'Capacity Backing (Hide)2'!OP1</f>
        <v>0</v>
      </c>
      <c r="RU6" s="212">
        <f>'Capacity Backing (Hide)2'!OQ1</f>
        <v>0</v>
      </c>
      <c r="RV6" s="212">
        <f>'Capacity Backing (Hide)2'!OR1</f>
        <v>0</v>
      </c>
      <c r="RW6" s="212">
        <f>'Capacity Backing (Hide)2'!OS1</f>
        <v>0</v>
      </c>
      <c r="RX6" s="212">
        <f>'Capacity Backing (Hide)2'!OT1</f>
        <v>0</v>
      </c>
      <c r="RY6" s="212">
        <f>'Capacity Backing (Hide)2'!OU1</f>
        <v>0</v>
      </c>
      <c r="RZ6" s="212">
        <f>'Capacity Backing (Hide)2'!OV1</f>
        <v>0</v>
      </c>
      <c r="SA6" s="212">
        <f>'Capacity Backing (Hide)2'!OW1</f>
        <v>0</v>
      </c>
      <c r="SB6" s="212">
        <f>'Capacity Backing (Hide)2'!OX1</f>
        <v>0</v>
      </c>
      <c r="SC6" s="212">
        <f>'Capacity Backing (Hide)2'!OY1</f>
        <v>0</v>
      </c>
      <c r="SD6" s="212">
        <f>'Capacity Backing (Hide)2'!OZ1</f>
        <v>0</v>
      </c>
      <c r="SE6" s="212">
        <f>'Capacity Backing (Hide)2'!PA1</f>
        <v>0</v>
      </c>
      <c r="SF6" s="212">
        <f>'Capacity Backing (Hide)2'!PB1</f>
        <v>0</v>
      </c>
      <c r="SG6" s="212">
        <f>'Capacity Backing (Hide)2'!PC1</f>
        <v>0</v>
      </c>
      <c r="SH6" s="212">
        <f>'Capacity Backing (Hide)2'!PD1</f>
        <v>0</v>
      </c>
      <c r="SI6" s="212">
        <f>'Capacity Backing (Hide)2'!PE1</f>
        <v>0</v>
      </c>
      <c r="SJ6" s="212">
        <f>'Capacity Backing (Hide)2'!PF1</f>
        <v>0</v>
      </c>
      <c r="SK6" s="212">
        <f>'Capacity Backing (Hide)2'!PG1</f>
        <v>0</v>
      </c>
      <c r="SL6" s="212">
        <f>'Capacity Backing (Hide)2'!PH1</f>
        <v>0</v>
      </c>
      <c r="SM6" s="212">
        <f>'Capacity Backing (Hide)2'!PI1</f>
        <v>0</v>
      </c>
      <c r="SN6" s="212">
        <f>'Capacity Backing (Hide)2'!PJ1</f>
        <v>0</v>
      </c>
      <c r="SO6" s="212">
        <f>'Capacity Backing (Hide)2'!PK1</f>
        <v>0</v>
      </c>
      <c r="SP6" s="212">
        <f>'Capacity Backing (Hide)2'!PL1</f>
        <v>0</v>
      </c>
      <c r="SQ6" s="212">
        <f>'Capacity Backing (Hide)2'!PM1</f>
        <v>0</v>
      </c>
      <c r="SR6" s="212">
        <f>'Capacity Backing (Hide)2'!PN1</f>
        <v>0</v>
      </c>
      <c r="SS6" s="212">
        <f>'Capacity Backing (Hide)2'!PO1</f>
        <v>0</v>
      </c>
      <c r="ST6" s="212">
        <f>'Capacity Backing (Hide)2'!PP1</f>
        <v>0</v>
      </c>
      <c r="SU6" s="212">
        <f>'Capacity Backing (Hide)2'!PQ1</f>
        <v>0</v>
      </c>
      <c r="SV6" s="212">
        <f>'Capacity Backing (Hide)2'!PR1</f>
        <v>0</v>
      </c>
      <c r="SW6" s="212">
        <f>'Capacity Backing (Hide)2'!PS1</f>
        <v>0</v>
      </c>
      <c r="SX6" s="212">
        <f>'Capacity Backing (Hide)2'!PT1</f>
        <v>0</v>
      </c>
      <c r="SY6" s="212">
        <f>'Capacity Backing (Hide)2'!PU1</f>
        <v>0</v>
      </c>
      <c r="SZ6" s="212">
        <f>'Capacity Backing (Hide)2'!PV1</f>
        <v>0</v>
      </c>
      <c r="TA6" s="212">
        <f>'Capacity Backing (Hide)2'!PW1</f>
        <v>0</v>
      </c>
      <c r="TB6" s="212">
        <f>'Capacity Backing (Hide)2'!PX1</f>
        <v>0</v>
      </c>
      <c r="TC6" s="212">
        <f>'Capacity Backing (Hide)2'!PY1</f>
        <v>0</v>
      </c>
      <c r="TD6" s="212">
        <f>'Capacity Backing (Hide)2'!PZ1</f>
        <v>0</v>
      </c>
      <c r="TE6" s="212">
        <f>'Capacity Backing (Hide)2'!QA1</f>
        <v>0</v>
      </c>
      <c r="TF6" s="212">
        <f>'Capacity Backing (Hide)2'!QB1</f>
        <v>0</v>
      </c>
      <c r="TG6" s="212">
        <f>'Capacity Backing (Hide)2'!QC1</f>
        <v>0</v>
      </c>
      <c r="TH6" s="212">
        <f>'Capacity Backing (Hide)2'!QD1</f>
        <v>0</v>
      </c>
      <c r="TI6" s="212">
        <f>'Capacity Backing (Hide)2'!QE1</f>
        <v>0</v>
      </c>
      <c r="TJ6" s="212">
        <f>'Capacity Backing (Hide)2'!QF1</f>
        <v>0</v>
      </c>
      <c r="TK6" s="212">
        <f>'Capacity Backing (Hide)2'!QG1</f>
        <v>0</v>
      </c>
      <c r="TL6" s="212">
        <f>'Capacity Backing (Hide)2'!QH1</f>
        <v>0</v>
      </c>
      <c r="TM6" s="212">
        <f>'Capacity Backing (Hide)2'!QI1</f>
        <v>0</v>
      </c>
      <c r="TN6" s="212">
        <f>'Capacity Backing (Hide)2'!QJ1</f>
        <v>0</v>
      </c>
      <c r="TO6" s="212">
        <f>'Capacity Backing (Hide)2'!QK1</f>
        <v>0</v>
      </c>
      <c r="TP6" s="212">
        <f>'Capacity Backing (Hide)2'!QL1</f>
        <v>0</v>
      </c>
      <c r="TQ6" s="212">
        <f>'Capacity Backing (Hide)2'!QM1</f>
        <v>0</v>
      </c>
      <c r="TR6" s="212">
        <f>'Capacity Backing (Hide)2'!QN1</f>
        <v>0</v>
      </c>
      <c r="TS6" s="212">
        <f>'Capacity Backing (Hide)2'!QO1</f>
        <v>0</v>
      </c>
      <c r="TT6" s="212">
        <f>'Capacity Backing (Hide)2'!QP1</f>
        <v>0</v>
      </c>
      <c r="TU6" s="212">
        <f>'Capacity Backing (Hide)2'!QQ1</f>
        <v>0</v>
      </c>
      <c r="TV6" s="212">
        <f>'Capacity Backing (Hide)2'!QR1</f>
        <v>0</v>
      </c>
      <c r="TW6" s="212">
        <f>'Capacity Backing (Hide)2'!QS1</f>
        <v>0</v>
      </c>
      <c r="TX6" s="212">
        <f>'Capacity Backing (Hide)2'!QT1</f>
        <v>0</v>
      </c>
      <c r="TY6" s="212">
        <f>'Capacity Backing (Hide)2'!QU1</f>
        <v>0</v>
      </c>
      <c r="TZ6" s="212">
        <f>'Capacity Backing (Hide)2'!QV1</f>
        <v>0</v>
      </c>
      <c r="UA6" s="212">
        <f>'Capacity Backing (Hide)2'!QW1</f>
        <v>0</v>
      </c>
      <c r="UB6" s="212">
        <f>'Capacity Backing (Hide)2'!QX1</f>
        <v>0</v>
      </c>
      <c r="UC6" s="212">
        <f>'Capacity Backing (Hide)2'!QY1</f>
        <v>0</v>
      </c>
      <c r="UD6" s="212">
        <f>'Capacity Backing (Hide)2'!QZ1</f>
        <v>0</v>
      </c>
      <c r="UE6" s="212">
        <f>'Capacity Backing (Hide)2'!RA1</f>
        <v>0</v>
      </c>
      <c r="UF6" s="212">
        <f>'Capacity Backing (Hide)2'!RB1</f>
        <v>0</v>
      </c>
      <c r="UG6" s="212">
        <f>'Capacity Backing (Hide)2'!RC1</f>
        <v>0</v>
      </c>
      <c r="UH6" s="212">
        <f>'Capacity Backing (Hide)2'!RD1</f>
        <v>0</v>
      </c>
      <c r="UI6" s="212">
        <f>'Capacity Backing (Hide)2'!RE1</f>
        <v>0</v>
      </c>
      <c r="UJ6" s="212">
        <f>'Capacity Backing (Hide)2'!RF1</f>
        <v>0</v>
      </c>
      <c r="UK6" s="212">
        <f>'Capacity Backing (Hide)2'!RG1</f>
        <v>0</v>
      </c>
      <c r="UL6" s="212">
        <f>'Capacity Backing (Hide)2'!RH1</f>
        <v>0</v>
      </c>
      <c r="UM6" s="212">
        <f>'Capacity Backing (Hide)2'!RI1</f>
        <v>0</v>
      </c>
      <c r="UN6" s="212">
        <f>'Capacity Backing (Hide)2'!RJ1</f>
        <v>0</v>
      </c>
      <c r="UO6" s="212">
        <f>'Capacity Backing (Hide)2'!RK1</f>
        <v>0</v>
      </c>
      <c r="UP6" s="212">
        <f>'Capacity Backing (Hide)2'!RL1</f>
        <v>0</v>
      </c>
      <c r="UQ6" s="212">
        <f>'Capacity Backing (Hide)2'!RM1</f>
        <v>0</v>
      </c>
      <c r="UR6" s="212">
        <f>'Capacity Backing (Hide)2'!RN1</f>
        <v>0</v>
      </c>
      <c r="US6" s="212">
        <f>'Capacity Backing (Hide)2'!RO1</f>
        <v>0</v>
      </c>
      <c r="UT6" s="212">
        <f>'Capacity Backing (Hide)2'!RP1</f>
        <v>0</v>
      </c>
      <c r="UU6" s="212">
        <f>'Capacity Backing (Hide)2'!RQ1</f>
        <v>0</v>
      </c>
      <c r="UV6" s="212">
        <f>'Capacity Backing (Hide)2'!RR1</f>
        <v>0</v>
      </c>
      <c r="UW6" s="212">
        <f>'Capacity Backing (Hide)2'!RS1</f>
        <v>0</v>
      </c>
      <c r="UX6" s="212">
        <f>'Capacity Backing (Hide)2'!RT1</f>
        <v>0</v>
      </c>
      <c r="UY6" s="212">
        <f>'Capacity Backing (Hide)2'!RU1</f>
        <v>0</v>
      </c>
      <c r="UZ6" s="212">
        <f>'Capacity Backing (Hide)2'!RV1</f>
        <v>0</v>
      </c>
      <c r="VA6" s="212">
        <f>'Capacity Backing (Hide)2'!RW1</f>
        <v>0</v>
      </c>
      <c r="VB6" s="212">
        <f>'Capacity Backing (Hide)2'!RX1</f>
        <v>0</v>
      </c>
      <c r="VC6" s="212">
        <f>'Capacity Backing (Hide)2'!RY1</f>
        <v>0</v>
      </c>
      <c r="VD6" s="212">
        <f>'Capacity Backing (Hide)2'!RZ1</f>
        <v>0</v>
      </c>
      <c r="VE6" s="212">
        <f>'Capacity Backing (Hide)2'!SA1</f>
        <v>0</v>
      </c>
      <c r="VF6" s="212">
        <f>'Capacity Backing (Hide)2'!SB1</f>
        <v>0</v>
      </c>
      <c r="VG6" s="212">
        <f>'Capacity Backing (Hide)2'!SC1</f>
        <v>0</v>
      </c>
      <c r="VH6" s="212">
        <f>'Capacity Backing (Hide)2'!SD1</f>
        <v>0</v>
      </c>
      <c r="VI6" s="212">
        <f>'Capacity Backing (Hide)2'!SE1</f>
        <v>0</v>
      </c>
      <c r="VJ6" s="212">
        <f>'Capacity Backing (Hide)2'!SF1</f>
        <v>0</v>
      </c>
      <c r="VK6" s="212">
        <f>'Capacity Backing (Hide)2'!SG1</f>
        <v>0</v>
      </c>
      <c r="VL6" s="212">
        <f>'Capacity Backing (Hide)2'!SH1</f>
        <v>0</v>
      </c>
      <c r="VM6" s="212">
        <f>'Capacity Backing (Hide)2'!SI1</f>
        <v>0</v>
      </c>
      <c r="VN6" s="212">
        <f>'Capacity Backing (Hide)2'!SJ1</f>
        <v>0</v>
      </c>
      <c r="VO6" s="212">
        <f>'Capacity Backing (Hide)2'!SK1</f>
        <v>0</v>
      </c>
      <c r="VP6" s="212">
        <f>'Capacity Backing (Hide)2'!SL1</f>
        <v>0</v>
      </c>
      <c r="VQ6" s="212">
        <f>'Capacity Backing (Hide)2'!SM1</f>
        <v>0</v>
      </c>
      <c r="VR6" s="212">
        <f>'Capacity Backing (Hide)2'!SN1</f>
        <v>0</v>
      </c>
      <c r="VS6" s="212">
        <f>'Capacity Backing (Hide)2'!SO1</f>
        <v>0</v>
      </c>
      <c r="VT6" s="212">
        <f>'Capacity Backing (Hide)2'!SP1</f>
        <v>0</v>
      </c>
      <c r="VU6" s="212">
        <f>'Capacity Backing (Hide)2'!SQ1</f>
        <v>0</v>
      </c>
      <c r="VV6" s="212">
        <f>'Capacity Backing (Hide)2'!SR1</f>
        <v>0</v>
      </c>
      <c r="VW6" s="212">
        <f>'Capacity Backing (Hide)2'!SS1</f>
        <v>0</v>
      </c>
      <c r="VX6" s="212">
        <f>'Capacity Backing (Hide)2'!ST1</f>
        <v>0</v>
      </c>
      <c r="VY6" s="212">
        <f>'Capacity Backing (Hide)2'!SU1</f>
        <v>0</v>
      </c>
      <c r="VZ6" s="212">
        <f>'Capacity Backing (Hide)2'!SV1</f>
        <v>0</v>
      </c>
      <c r="WA6" s="212">
        <f>'Capacity Backing (Hide)2'!SW1</f>
        <v>0</v>
      </c>
      <c r="WB6" s="212">
        <f>'Capacity Backing (Hide)2'!SX1</f>
        <v>0</v>
      </c>
      <c r="WC6" s="212">
        <f>'Capacity Backing (Hide)2'!SY1</f>
        <v>0</v>
      </c>
      <c r="WD6" s="212">
        <f>'Capacity Backing (Hide)2'!SZ1</f>
        <v>0</v>
      </c>
      <c r="WE6" s="212">
        <f>'Capacity Backing (Hide)2'!TA1</f>
        <v>0</v>
      </c>
      <c r="WF6" s="212">
        <f>'Capacity Backing (Hide)2'!TB1</f>
        <v>0</v>
      </c>
      <c r="WG6" s="212">
        <f>'Capacity Backing (Hide)2'!TC1</f>
        <v>0</v>
      </c>
      <c r="WH6" s="212">
        <f>'Capacity Backing (Hide)2'!TD1</f>
        <v>0</v>
      </c>
      <c r="WI6" s="212">
        <f>'Capacity Backing (Hide)2'!TE1</f>
        <v>0</v>
      </c>
      <c r="WJ6" s="212">
        <f>'Capacity Backing (Hide)2'!TF1</f>
        <v>0</v>
      </c>
      <c r="WK6" s="212">
        <f>'Capacity Backing (Hide)2'!TG1</f>
        <v>0</v>
      </c>
      <c r="WL6" s="212">
        <f>'Capacity Backing (Hide)2'!TH1</f>
        <v>0</v>
      </c>
      <c r="WM6" s="212">
        <f>'Capacity Backing (Hide)2'!TI1</f>
        <v>0</v>
      </c>
      <c r="WN6" s="212">
        <f>'Capacity Backing (Hide)2'!TJ1</f>
        <v>0</v>
      </c>
      <c r="WO6" s="212">
        <f>'Capacity Backing (Hide)2'!TK1</f>
        <v>0</v>
      </c>
      <c r="WP6" s="212">
        <f>'Capacity Backing (Hide)2'!TL1</f>
        <v>0</v>
      </c>
      <c r="WQ6" s="212">
        <f>'Capacity Backing (Hide)2'!TM1</f>
        <v>0</v>
      </c>
      <c r="WR6" s="212">
        <f>'Capacity Backing (Hide)2'!TN1</f>
        <v>0</v>
      </c>
      <c r="WS6" s="212">
        <f>'Capacity Backing (Hide)2'!TO1</f>
        <v>0</v>
      </c>
      <c r="WT6" s="212">
        <f>'Capacity Backing (Hide)2'!TP1</f>
        <v>0</v>
      </c>
      <c r="WU6" s="212">
        <f>'Capacity Backing (Hide)2'!TQ1</f>
        <v>0</v>
      </c>
      <c r="WV6" s="212">
        <f>'Capacity Backing (Hide)2'!TR1</f>
        <v>0</v>
      </c>
      <c r="WW6" s="212">
        <f>'Capacity Backing (Hide)2'!TS1</f>
        <v>0</v>
      </c>
      <c r="WX6" s="212">
        <f>'Capacity Backing (Hide)2'!TT1</f>
        <v>0</v>
      </c>
      <c r="WY6" s="212">
        <f>'Capacity Backing (Hide)2'!TU1</f>
        <v>0</v>
      </c>
      <c r="WZ6" s="212">
        <f>'Capacity Backing (Hide)2'!TV1</f>
        <v>0</v>
      </c>
      <c r="XA6" s="212">
        <f>'Capacity Backing (Hide)2'!TW1</f>
        <v>0</v>
      </c>
      <c r="XB6" s="212">
        <f>'Capacity Backing (Hide)2'!TX1</f>
        <v>0</v>
      </c>
      <c r="XC6" s="212">
        <f>'Capacity Backing (Hide)2'!TY1</f>
        <v>0</v>
      </c>
      <c r="XD6" s="212">
        <f>'Capacity Backing (Hide)2'!TZ1</f>
        <v>0</v>
      </c>
      <c r="XE6" s="212">
        <f>'Capacity Backing (Hide)2'!UA1</f>
        <v>0</v>
      </c>
      <c r="XF6" s="212">
        <f>'Capacity Backing (Hide)2'!UB1</f>
        <v>0</v>
      </c>
      <c r="XG6" s="212">
        <f>'Capacity Backing (Hide)2'!UC1</f>
        <v>0</v>
      </c>
      <c r="XH6" s="212">
        <f>'Capacity Backing (Hide)2'!UD1</f>
        <v>0</v>
      </c>
      <c r="XI6" s="212">
        <f>'Capacity Backing (Hide)2'!UE1</f>
        <v>0</v>
      </c>
      <c r="XJ6" s="212">
        <f>'Capacity Backing (Hide)2'!UF1</f>
        <v>0</v>
      </c>
      <c r="XK6" s="212">
        <f>'Capacity Backing (Hide)2'!UG1</f>
        <v>0</v>
      </c>
      <c r="XL6" s="212">
        <f>'Capacity Backing (Hide)2'!UH1</f>
        <v>0</v>
      </c>
      <c r="XM6" s="212">
        <f>'Capacity Backing (Hide)2'!UI1</f>
        <v>0</v>
      </c>
      <c r="XN6" s="212">
        <f>'Capacity Backing (Hide)2'!UJ1</f>
        <v>0</v>
      </c>
      <c r="XO6" s="212">
        <f>'Capacity Backing (Hide)2'!UK1</f>
        <v>0</v>
      </c>
      <c r="XP6" s="212">
        <f>'Capacity Backing (Hide)2'!UL1</f>
        <v>0</v>
      </c>
      <c r="XQ6" s="212">
        <f>'Capacity Backing (Hide)2'!UM1</f>
        <v>0</v>
      </c>
      <c r="XR6" s="212">
        <f>'Capacity Backing (Hide)2'!UN1</f>
        <v>0</v>
      </c>
      <c r="XS6" s="212">
        <f>'Capacity Backing (Hide)2'!UO1</f>
        <v>0</v>
      </c>
      <c r="XT6" s="212">
        <f>'Capacity Backing (Hide)2'!UP1</f>
        <v>0</v>
      </c>
      <c r="XU6" s="212">
        <f>'Capacity Backing (Hide)2'!UQ1</f>
        <v>0</v>
      </c>
      <c r="XV6" s="212">
        <f>'Capacity Backing (Hide)2'!UR1</f>
        <v>0</v>
      </c>
      <c r="XW6" s="212">
        <f>'Capacity Backing (Hide)2'!US1</f>
        <v>0</v>
      </c>
      <c r="XX6" s="212">
        <f>'Capacity Backing (Hide)2'!UT1</f>
        <v>0</v>
      </c>
      <c r="XY6" s="212">
        <f>'Capacity Backing (Hide)2'!UU1</f>
        <v>0</v>
      </c>
      <c r="XZ6" s="212">
        <f>'Capacity Backing (Hide)2'!UV1</f>
        <v>0</v>
      </c>
      <c r="YA6" s="212">
        <f>'Capacity Backing (Hide)2'!UW1</f>
        <v>0</v>
      </c>
      <c r="YB6" s="212">
        <f>'Capacity Backing (Hide)2'!UX1</f>
        <v>0</v>
      </c>
      <c r="YC6" s="212">
        <f>'Capacity Backing (Hide)2'!UY1</f>
        <v>0</v>
      </c>
      <c r="YD6" s="212">
        <f>'Capacity Backing (Hide)2'!UZ1</f>
        <v>0</v>
      </c>
      <c r="YE6" s="212">
        <f>'Capacity Backing (Hide)2'!VA1</f>
        <v>0</v>
      </c>
      <c r="YF6" s="212">
        <f>'Capacity Backing (Hide)2'!VB1</f>
        <v>0</v>
      </c>
      <c r="YG6" s="212">
        <f>'Capacity Backing (Hide)2'!VC1</f>
        <v>0</v>
      </c>
      <c r="YH6" s="212">
        <f>'Capacity Backing (Hide)2'!VD1</f>
        <v>0</v>
      </c>
      <c r="YI6" s="212">
        <f>'Capacity Backing (Hide)2'!VE1</f>
        <v>0</v>
      </c>
      <c r="YJ6" s="212">
        <f>'Capacity Backing (Hide)2'!VF1</f>
        <v>0</v>
      </c>
      <c r="YK6" s="212">
        <f>'Capacity Backing (Hide)2'!VG1</f>
        <v>0</v>
      </c>
      <c r="YL6" s="212">
        <f>'Capacity Backing (Hide)2'!VH1</f>
        <v>0</v>
      </c>
      <c r="YM6" s="212">
        <f>'Capacity Backing (Hide)2'!VI1</f>
        <v>0</v>
      </c>
      <c r="YN6" s="212">
        <f>'Capacity Backing (Hide)2'!VJ1</f>
        <v>0</v>
      </c>
      <c r="YO6" s="212">
        <f>'Capacity Backing (Hide)2'!VK1</f>
        <v>0</v>
      </c>
      <c r="YP6" s="212">
        <f>'Capacity Backing (Hide)2'!VL1</f>
        <v>0</v>
      </c>
      <c r="YQ6" s="212">
        <f>'Capacity Backing (Hide)2'!VM1</f>
        <v>0</v>
      </c>
      <c r="YR6" s="212">
        <f>'Capacity Backing (Hide)2'!VN1</f>
        <v>0</v>
      </c>
      <c r="YS6" s="212">
        <f>'Capacity Backing (Hide)2'!VO1</f>
        <v>0</v>
      </c>
      <c r="YT6" s="212">
        <f>'Capacity Backing (Hide)2'!VP1</f>
        <v>0</v>
      </c>
      <c r="YU6" s="212">
        <f>'Capacity Backing (Hide)2'!VQ1</f>
        <v>0</v>
      </c>
      <c r="YV6" s="212">
        <f>'Capacity Backing (Hide)2'!VR1</f>
        <v>0</v>
      </c>
      <c r="YW6" s="212">
        <f>'Capacity Backing (Hide)2'!VS1</f>
        <v>0</v>
      </c>
      <c r="YX6" s="212">
        <f>'Capacity Backing (Hide)2'!VT1</f>
        <v>0</v>
      </c>
      <c r="YY6" s="212">
        <f>'Capacity Backing (Hide)2'!VU1</f>
        <v>0</v>
      </c>
      <c r="YZ6" s="212">
        <f>'Capacity Backing (Hide)2'!VV1</f>
        <v>0</v>
      </c>
      <c r="ZA6" s="212">
        <f>'Capacity Backing (Hide)2'!VW1</f>
        <v>0</v>
      </c>
      <c r="ZB6" s="212">
        <f>'Capacity Backing (Hide)2'!VX1</f>
        <v>0</v>
      </c>
      <c r="ZC6" s="212">
        <f>'Capacity Backing (Hide)2'!VY1</f>
        <v>0</v>
      </c>
      <c r="ZD6" s="212">
        <f>'Capacity Backing (Hide)2'!VZ1</f>
        <v>0</v>
      </c>
      <c r="ZE6" s="212">
        <f>'Capacity Backing (Hide)2'!WA1</f>
        <v>0</v>
      </c>
      <c r="ZF6" s="212">
        <f>'Capacity Backing (Hide)2'!WB1</f>
        <v>0</v>
      </c>
      <c r="ZG6" s="212">
        <f>'Capacity Backing (Hide)2'!WC1</f>
        <v>0</v>
      </c>
      <c r="ZH6" s="212">
        <f>'Capacity Backing (Hide)2'!WD1</f>
        <v>0</v>
      </c>
      <c r="ZI6" s="212">
        <f>'Capacity Backing (Hide)2'!WE1</f>
        <v>0</v>
      </c>
      <c r="ZJ6" s="220" t="s">
        <v>299</v>
      </c>
      <c r="ZK6" s="186">
        <f ca="1">'Capacity Summary'!H35</f>
        <v>44228</v>
      </c>
      <c r="ZL6" s="186">
        <f ca="1">'Capacity Summary'!I35</f>
        <v>44235</v>
      </c>
      <c r="ZM6" s="186">
        <f ca="1">'Capacity Summary'!J35</f>
        <v>44242</v>
      </c>
      <c r="ZN6" s="186">
        <f ca="1">'Capacity Summary'!K35</f>
        <v>44249</v>
      </c>
      <c r="ZO6" s="186">
        <f ca="1">'Capacity Summary'!L35</f>
        <v>44256</v>
      </c>
      <c r="ZP6" s="186">
        <f ca="1">'Capacity Summary'!M35</f>
        <v>44263</v>
      </c>
      <c r="ZQ6" s="186">
        <f ca="1">'Capacity Summary'!N35</f>
        <v>44270</v>
      </c>
      <c r="ZR6" s="186">
        <f ca="1">'Capacity Summary'!O35</f>
        <v>44277</v>
      </c>
      <c r="ZS6" s="186">
        <f ca="1">'Capacity Summary'!P35</f>
        <v>44284</v>
      </c>
      <c r="ZT6" s="186">
        <f ca="1">'Capacity Summary'!Q35</f>
        <v>44291</v>
      </c>
      <c r="ZU6" s="186">
        <f ca="1">'Capacity Summary'!R35</f>
        <v>44298</v>
      </c>
      <c r="ZV6" s="186">
        <f ca="1">'Capacity Summary'!S35</f>
        <v>44305</v>
      </c>
      <c r="ZW6" s="186">
        <f ca="1">'Capacity Summary'!T35</f>
        <v>44312</v>
      </c>
      <c r="ZX6" s="186">
        <f ca="1">'Capacity Summary'!U35</f>
        <v>44319</v>
      </c>
      <c r="ZY6" s="186">
        <f ca="1">'Capacity Summary'!V35</f>
        <v>44326</v>
      </c>
      <c r="ZZ6" s="186">
        <f ca="1">'Capacity Summary'!W35</f>
        <v>44333</v>
      </c>
      <c r="AAA6" s="186">
        <f ca="1">'Capacity Summary'!X35</f>
        <v>44340</v>
      </c>
      <c r="AAB6" s="186">
        <f ca="1">'Capacity Summary'!Y35</f>
        <v>44347</v>
      </c>
      <c r="AAC6" s="186">
        <f ca="1">'Capacity Summary'!Z35</f>
        <v>44354</v>
      </c>
      <c r="AAD6" s="186">
        <f ca="1">'Capacity Summary'!AA35</f>
        <v>44361</v>
      </c>
      <c r="AAE6" s="186">
        <f ca="1">'Capacity Summary'!AB35</f>
        <v>44368</v>
      </c>
      <c r="AAF6" s="186">
        <f ca="1">'Capacity Summary'!AC35</f>
        <v>44375</v>
      </c>
      <c r="AAG6" s="186">
        <f ca="1">'Capacity Summary'!AD35</f>
        <v>44382</v>
      </c>
      <c r="AAH6" s="186">
        <f ca="1">'Capacity Summary'!AE35</f>
        <v>44389</v>
      </c>
      <c r="AAI6" s="186">
        <f ca="1">'Capacity Summary'!AF35</f>
        <v>44396</v>
      </c>
      <c r="AAJ6" s="186">
        <f ca="1">'Capacity Summary'!AG35</f>
        <v>44403</v>
      </c>
      <c r="AAK6" s="186">
        <f ca="1">'Capacity Summary'!AH35</f>
        <v>44410</v>
      </c>
      <c r="AAL6" s="186">
        <f ca="1">'Capacity Summary'!AI35</f>
        <v>44417</v>
      </c>
      <c r="AAM6" s="186">
        <f ca="1">'Capacity Summary'!AJ35</f>
        <v>44424</v>
      </c>
      <c r="AAN6" s="186">
        <f ca="1">'Capacity Summary'!AK35</f>
        <v>44431</v>
      </c>
      <c r="AAO6" s="186">
        <f ca="1">'Capacity Summary'!AL35</f>
        <v>44438</v>
      </c>
      <c r="AAP6" s="186">
        <f ca="1">'Capacity Summary'!AM35</f>
        <v>44445</v>
      </c>
      <c r="AAQ6" s="186">
        <f ca="1">'Capacity Summary'!AN35</f>
        <v>44452</v>
      </c>
      <c r="AAR6" s="186">
        <f ca="1">'Capacity Summary'!AO35</f>
        <v>44459</v>
      </c>
      <c r="AAS6" s="186">
        <f ca="1">'Capacity Summary'!AP35</f>
        <v>44466</v>
      </c>
      <c r="AAT6" s="186">
        <f ca="1">'Capacity Summary'!AQ35</f>
        <v>44473</v>
      </c>
      <c r="AAU6" s="186">
        <f ca="1">'Capacity Summary'!AR35</f>
        <v>44480</v>
      </c>
      <c r="AAV6" s="186">
        <f ca="1">'Capacity Summary'!AS35</f>
        <v>44487</v>
      </c>
      <c r="AAW6" s="186">
        <f ca="1">'Capacity Summary'!AT35</f>
        <v>44494</v>
      </c>
      <c r="AAX6" s="186">
        <f ca="1">'Capacity Summary'!AU35</f>
        <v>44501</v>
      </c>
      <c r="AAY6" s="186">
        <f ca="1">'Capacity Summary'!AV35</f>
        <v>44508</v>
      </c>
      <c r="AAZ6" s="186">
        <f ca="1">'Capacity Summary'!AW35</f>
        <v>44515</v>
      </c>
      <c r="ABA6" s="186">
        <f ca="1">'Capacity Summary'!AX35</f>
        <v>44522</v>
      </c>
      <c r="ABB6" s="186">
        <f ca="1">'Capacity Summary'!AY35</f>
        <v>44529</v>
      </c>
      <c r="ABC6" s="186">
        <f ca="1">'Capacity Summary'!AZ35</f>
        <v>44536</v>
      </c>
      <c r="ABD6" s="186">
        <f ca="1">'Capacity Summary'!BA35</f>
        <v>44543</v>
      </c>
      <c r="ABE6" s="186">
        <f ca="1">'Capacity Summary'!BB35</f>
        <v>44550</v>
      </c>
      <c r="ABF6" s="186">
        <f ca="1">'Capacity Summary'!BC35</f>
        <v>44557</v>
      </c>
      <c r="ABG6" s="186">
        <f ca="1">'Capacity Summary'!BD35</f>
        <v>44564</v>
      </c>
      <c r="ABH6" s="186">
        <f ca="1">'Capacity Summary'!BE35</f>
        <v>44571</v>
      </c>
      <c r="ABI6" s="186">
        <f ca="1">'Capacity Summary'!BF35</f>
        <v>44578</v>
      </c>
      <c r="ABJ6" s="186">
        <f ca="1">'Capacity Summary'!BG35</f>
        <v>44585</v>
      </c>
    </row>
    <row r="7" spans="1:738" x14ac:dyDescent="0.25">
      <c r="A7">
        <f>IF(B7&lt;&gt;"",ROW(A1),0)</f>
        <v>0</v>
      </c>
    </row>
    <row r="8" spans="1:738" x14ac:dyDescent="0.25">
      <c r="A8">
        <f t="shared" ref="A8:A71" si="0">IF(B8&lt;&gt;"",ROW(A2),0)</f>
        <v>0</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 ref="YT2:YT6"/>
    <mergeCell ref="YK2:YK6"/>
    <mergeCell ref="YL2:YL6"/>
    <mergeCell ref="YM2:YM6"/>
    <mergeCell ref="YN2:YN6"/>
    <mergeCell ref="YO2:YO6"/>
    <mergeCell ref="YF2:YF6"/>
    <mergeCell ref="YG2:YG6"/>
    <mergeCell ref="YH2:YH6"/>
    <mergeCell ref="YI2:YI6"/>
    <mergeCell ref="YJ2:YJ6"/>
    <mergeCell ref="YA2:YA6"/>
    <mergeCell ref="YB2:YB6"/>
    <mergeCell ref="YC2:YC6"/>
    <mergeCell ref="YD2:YD6"/>
    <mergeCell ref="YE2:YE6"/>
    <mergeCell ref="XV2:XV6"/>
    <mergeCell ref="XW2:XW6"/>
    <mergeCell ref="XX2:XX6"/>
    <mergeCell ref="XY2:XY6"/>
    <mergeCell ref="XZ2:XZ6"/>
    <mergeCell ref="XQ2:XQ6"/>
    <mergeCell ref="XR2:XR6"/>
    <mergeCell ref="XS2:XS6"/>
    <mergeCell ref="XT2:XT6"/>
    <mergeCell ref="XU2:XU6"/>
    <mergeCell ref="XL2:XL6"/>
    <mergeCell ref="XM2:XM6"/>
    <mergeCell ref="XN2:XN6"/>
    <mergeCell ref="XO2:XO6"/>
    <mergeCell ref="XP2:XP6"/>
    <mergeCell ref="XG2:XG6"/>
    <mergeCell ref="XH2:XH6"/>
    <mergeCell ref="XI2:XI6"/>
    <mergeCell ref="XJ2:XJ6"/>
    <mergeCell ref="XK2:XK6"/>
    <mergeCell ref="XB2:XB6"/>
    <mergeCell ref="XC2:XC6"/>
    <mergeCell ref="XD2:XD6"/>
    <mergeCell ref="XE2:XE6"/>
    <mergeCell ref="XF2:XF6"/>
    <mergeCell ref="WW2:WW6"/>
    <mergeCell ref="WX2:WX6"/>
    <mergeCell ref="WY2:WY6"/>
    <mergeCell ref="WZ2:WZ6"/>
    <mergeCell ref="XA2:XA6"/>
    <mergeCell ref="WR2:WR6"/>
    <mergeCell ref="WS2:WS6"/>
    <mergeCell ref="WT2:WT6"/>
    <mergeCell ref="WU2:WU6"/>
    <mergeCell ref="WV2:WV6"/>
    <mergeCell ref="WM2:WM6"/>
    <mergeCell ref="WN2:WN6"/>
    <mergeCell ref="WO2:WO6"/>
    <mergeCell ref="WP2:WP6"/>
    <mergeCell ref="WQ2:WQ6"/>
    <mergeCell ref="WH2:WH6"/>
    <mergeCell ref="WI2:WI6"/>
    <mergeCell ref="WJ2:WJ6"/>
    <mergeCell ref="WK2:WK6"/>
    <mergeCell ref="WL2:WL6"/>
    <mergeCell ref="WC2:WC6"/>
    <mergeCell ref="WD2:WD6"/>
    <mergeCell ref="WE2:WE6"/>
    <mergeCell ref="WF2:WF6"/>
    <mergeCell ref="WG2:WG6"/>
    <mergeCell ref="VX2:VX6"/>
    <mergeCell ref="VY2:VY6"/>
    <mergeCell ref="VZ2:VZ6"/>
    <mergeCell ref="WA2:WA6"/>
    <mergeCell ref="WB2:WB6"/>
    <mergeCell ref="VS2:VS6"/>
    <mergeCell ref="VT2:VT6"/>
    <mergeCell ref="VU2:VU6"/>
    <mergeCell ref="VV2:VV6"/>
    <mergeCell ref="VW2:VW6"/>
    <mergeCell ref="VN2:VN6"/>
    <mergeCell ref="VO2:VO6"/>
    <mergeCell ref="VP2:VP6"/>
    <mergeCell ref="VQ2:VQ6"/>
    <mergeCell ref="VR2:VR6"/>
    <mergeCell ref="VI2:VI6"/>
    <mergeCell ref="VJ2:VJ6"/>
    <mergeCell ref="VK2:VK6"/>
    <mergeCell ref="VL2:VL6"/>
    <mergeCell ref="VM2:VM6"/>
    <mergeCell ref="VD2:VD6"/>
    <mergeCell ref="VE2:VE6"/>
    <mergeCell ref="VF2:VF6"/>
    <mergeCell ref="VG2:VG6"/>
    <mergeCell ref="VH2:VH6"/>
    <mergeCell ref="UY2:UY6"/>
    <mergeCell ref="UZ2:UZ6"/>
    <mergeCell ref="VA2:VA6"/>
    <mergeCell ref="VB2:VB6"/>
    <mergeCell ref="VC2:VC6"/>
    <mergeCell ref="UT2:UT6"/>
    <mergeCell ref="UU2:UU6"/>
    <mergeCell ref="UV2:UV6"/>
    <mergeCell ref="UW2:UW6"/>
    <mergeCell ref="UX2:UX6"/>
    <mergeCell ref="UO2:UO6"/>
    <mergeCell ref="UP2:UP6"/>
    <mergeCell ref="UQ2:UQ6"/>
    <mergeCell ref="UR2:UR6"/>
    <mergeCell ref="US2:US6"/>
    <mergeCell ref="UJ2:UJ6"/>
    <mergeCell ref="UK2:UK6"/>
    <mergeCell ref="UL2:UL6"/>
    <mergeCell ref="UM2:UM6"/>
    <mergeCell ref="UN2:UN6"/>
    <mergeCell ref="UE2:UE6"/>
    <mergeCell ref="UF2:UF6"/>
    <mergeCell ref="UG2:UG6"/>
    <mergeCell ref="UH2:UH6"/>
    <mergeCell ref="UI2:UI6"/>
    <mergeCell ref="TZ2:TZ6"/>
    <mergeCell ref="UA2:UA6"/>
    <mergeCell ref="UB2:UB6"/>
    <mergeCell ref="UC2:UC6"/>
    <mergeCell ref="UD2:UD6"/>
    <mergeCell ref="TU2:TU6"/>
    <mergeCell ref="TV2:TV6"/>
    <mergeCell ref="TW2:TW6"/>
    <mergeCell ref="TX2:TX6"/>
    <mergeCell ref="TY2:TY6"/>
    <mergeCell ref="TP2:TP6"/>
    <mergeCell ref="TQ2:TQ6"/>
    <mergeCell ref="TR2:TR6"/>
    <mergeCell ref="TS2:TS6"/>
    <mergeCell ref="TT2:TT6"/>
    <mergeCell ref="TK2:TK6"/>
    <mergeCell ref="TL2:TL6"/>
    <mergeCell ref="TM2:TM6"/>
    <mergeCell ref="TN2:TN6"/>
    <mergeCell ref="TO2:TO6"/>
    <mergeCell ref="TF2:TF6"/>
    <mergeCell ref="TG2:TG6"/>
    <mergeCell ref="TH2:TH6"/>
    <mergeCell ref="TI2:TI6"/>
    <mergeCell ref="TJ2:TJ6"/>
    <mergeCell ref="TA2:TA6"/>
    <mergeCell ref="TB2:TB6"/>
    <mergeCell ref="TC2:TC6"/>
    <mergeCell ref="TD2:TD6"/>
    <mergeCell ref="TE2:TE6"/>
    <mergeCell ref="SV2:SV6"/>
    <mergeCell ref="SW2:SW6"/>
    <mergeCell ref="SX2:SX6"/>
    <mergeCell ref="SY2:SY6"/>
    <mergeCell ref="SZ2:SZ6"/>
    <mergeCell ref="SQ2:SQ6"/>
    <mergeCell ref="SR2:SR6"/>
    <mergeCell ref="SS2:SS6"/>
    <mergeCell ref="ST2:ST6"/>
    <mergeCell ref="SU2:SU6"/>
    <mergeCell ref="SL2:SL6"/>
    <mergeCell ref="SM2:SM6"/>
    <mergeCell ref="SN2:SN6"/>
    <mergeCell ref="SO2:SO6"/>
    <mergeCell ref="SP2:SP6"/>
    <mergeCell ref="SG2:SG6"/>
    <mergeCell ref="SH2:SH6"/>
    <mergeCell ref="SI2:SI6"/>
    <mergeCell ref="SJ2:SJ6"/>
    <mergeCell ref="SK2:SK6"/>
    <mergeCell ref="SB2:SB6"/>
    <mergeCell ref="SC2:SC6"/>
    <mergeCell ref="SD2:SD6"/>
    <mergeCell ref="SE2:SE6"/>
    <mergeCell ref="SF2:SF6"/>
    <mergeCell ref="RW2:RW6"/>
    <mergeCell ref="RX2:RX6"/>
    <mergeCell ref="RY2:RY6"/>
    <mergeCell ref="RZ2:RZ6"/>
    <mergeCell ref="SA2:SA6"/>
    <mergeCell ref="RR2:RR6"/>
    <mergeCell ref="RS2:RS6"/>
    <mergeCell ref="RT2:RT6"/>
    <mergeCell ref="RU2:RU6"/>
    <mergeCell ref="RV2:RV6"/>
    <mergeCell ref="RL2:RL6"/>
    <mergeCell ref="RM2:RM6"/>
    <mergeCell ref="RN2:RN6"/>
    <mergeCell ref="RO2:RO6"/>
    <mergeCell ref="RP2:RP6"/>
    <mergeCell ref="RG2:RG6"/>
    <mergeCell ref="RH2:RH6"/>
    <mergeCell ref="RI2:RI6"/>
    <mergeCell ref="RJ2:RJ6"/>
    <mergeCell ref="RK2:RK6"/>
    <mergeCell ref="RB2:RB6"/>
    <mergeCell ref="RC2:RC6"/>
    <mergeCell ref="RD2:RD6"/>
    <mergeCell ref="RE2:RE6"/>
    <mergeCell ref="RF2:RF6"/>
    <mergeCell ref="QW2:QW6"/>
    <mergeCell ref="QX2:QX6"/>
    <mergeCell ref="QY2:QY6"/>
    <mergeCell ref="QZ2:QZ6"/>
    <mergeCell ref="RA2:RA6"/>
    <mergeCell ref="QR2:QR6"/>
    <mergeCell ref="QS2:QS6"/>
    <mergeCell ref="QT2:QT6"/>
    <mergeCell ref="QU2:QU6"/>
    <mergeCell ref="QV2:QV6"/>
    <mergeCell ref="QM2:QM6"/>
    <mergeCell ref="QN2:QN6"/>
    <mergeCell ref="QO2:QO6"/>
    <mergeCell ref="QP2:QP6"/>
    <mergeCell ref="QQ2:QQ6"/>
    <mergeCell ref="QH2:QH6"/>
    <mergeCell ref="QI2:QI6"/>
    <mergeCell ref="QJ2:QJ6"/>
    <mergeCell ref="QK2:QK6"/>
    <mergeCell ref="QL2:QL6"/>
    <mergeCell ref="QC2:QC6"/>
    <mergeCell ref="QD2:QD6"/>
    <mergeCell ref="QE2:QE6"/>
    <mergeCell ref="QF2:QF6"/>
    <mergeCell ref="QG2:QG6"/>
    <mergeCell ref="PX2:PX6"/>
    <mergeCell ref="PY2:PY6"/>
    <mergeCell ref="PZ2:PZ6"/>
    <mergeCell ref="QA2:QA6"/>
    <mergeCell ref="QB2:QB6"/>
    <mergeCell ref="PS2:PS6"/>
    <mergeCell ref="PT2:PT6"/>
    <mergeCell ref="PU2:PU6"/>
    <mergeCell ref="PV2:PV6"/>
    <mergeCell ref="PW2:PW6"/>
    <mergeCell ref="PN2:PN6"/>
    <mergeCell ref="PO2:PO6"/>
    <mergeCell ref="PP2:PP6"/>
    <mergeCell ref="PQ2:PQ6"/>
    <mergeCell ref="PR2:PR6"/>
    <mergeCell ref="PI2:PI6"/>
    <mergeCell ref="PJ2:PJ6"/>
    <mergeCell ref="PK2:PK6"/>
    <mergeCell ref="PL2:PL6"/>
    <mergeCell ref="PM2:PM6"/>
    <mergeCell ref="PD2:PD6"/>
    <mergeCell ref="PE2:PE6"/>
    <mergeCell ref="PF2:PF6"/>
    <mergeCell ref="PG2:PG6"/>
    <mergeCell ref="PH2:PH6"/>
    <mergeCell ref="OY2:OY6"/>
    <mergeCell ref="OZ2:OZ6"/>
    <mergeCell ref="PA2:PA6"/>
    <mergeCell ref="PB2:PB6"/>
    <mergeCell ref="PC2:PC6"/>
    <mergeCell ref="OT2:OT6"/>
    <mergeCell ref="OU2:OU6"/>
    <mergeCell ref="OV2:OV6"/>
    <mergeCell ref="OW2:OW6"/>
    <mergeCell ref="OX2:OX6"/>
    <mergeCell ref="OO2:OO6"/>
    <mergeCell ref="OP2:OP6"/>
    <mergeCell ref="OQ2:OQ6"/>
    <mergeCell ref="OR2:OR6"/>
    <mergeCell ref="OS2:OS6"/>
    <mergeCell ref="OJ2:OJ6"/>
    <mergeCell ref="OK2:OK6"/>
    <mergeCell ref="OL2:OL6"/>
    <mergeCell ref="OM2:OM6"/>
    <mergeCell ref="ON2:ON6"/>
    <mergeCell ref="OE2:OE6"/>
    <mergeCell ref="OF2:OF6"/>
    <mergeCell ref="OG2:OG6"/>
    <mergeCell ref="OH2:OH6"/>
    <mergeCell ref="OI2:OI6"/>
    <mergeCell ref="NZ2:NZ6"/>
    <mergeCell ref="OA2:OA6"/>
    <mergeCell ref="OB2:OB6"/>
    <mergeCell ref="OC2:OC6"/>
    <mergeCell ref="OD2:OD6"/>
    <mergeCell ref="NU2:NU6"/>
    <mergeCell ref="NV2:NV6"/>
    <mergeCell ref="NW2:NW6"/>
    <mergeCell ref="NX2:NX6"/>
    <mergeCell ref="NY2:NY6"/>
    <mergeCell ref="NO2:NO6"/>
    <mergeCell ref="NP2:NP6"/>
    <mergeCell ref="NQ2:NQ6"/>
    <mergeCell ref="NR2:NR6"/>
    <mergeCell ref="NS2:NS6"/>
    <mergeCell ref="NJ2:NJ6"/>
    <mergeCell ref="NK2:NK6"/>
    <mergeCell ref="NL2:NL6"/>
    <mergeCell ref="NM2:NM6"/>
    <mergeCell ref="NN2:NN6"/>
    <mergeCell ref="NE2:NE6"/>
    <mergeCell ref="NF2:NF6"/>
    <mergeCell ref="NG2:NG6"/>
    <mergeCell ref="NH2:NH6"/>
    <mergeCell ref="NI2:NI6"/>
    <mergeCell ref="MZ2:MZ6"/>
    <mergeCell ref="NA2:NA6"/>
    <mergeCell ref="NB2:NB6"/>
    <mergeCell ref="NC2:NC6"/>
    <mergeCell ref="ND2:ND6"/>
    <mergeCell ref="MU2:MU6"/>
    <mergeCell ref="MV2:MV6"/>
    <mergeCell ref="MW2:MW6"/>
    <mergeCell ref="MX2:MX6"/>
    <mergeCell ref="MY2:MY6"/>
    <mergeCell ref="MP2:MP6"/>
    <mergeCell ref="MQ2:MQ6"/>
    <mergeCell ref="MR2:MR6"/>
    <mergeCell ref="MS2:MS6"/>
    <mergeCell ref="MT2:MT6"/>
    <mergeCell ref="MK2:MK6"/>
    <mergeCell ref="ML2:ML6"/>
    <mergeCell ref="MM2:MM6"/>
    <mergeCell ref="MN2:MN6"/>
    <mergeCell ref="MO2:MO6"/>
    <mergeCell ref="MF2:MF6"/>
    <mergeCell ref="MG2:MG6"/>
    <mergeCell ref="MH2:MH6"/>
    <mergeCell ref="MI2:MI6"/>
    <mergeCell ref="MJ2:MJ6"/>
    <mergeCell ref="MA2:MA6"/>
    <mergeCell ref="MB2:MB6"/>
    <mergeCell ref="MC2:MC6"/>
    <mergeCell ref="MD2:MD6"/>
    <mergeCell ref="ME2:ME6"/>
    <mergeCell ref="LV2:LV6"/>
    <mergeCell ref="LW2:LW6"/>
    <mergeCell ref="LX2:LX6"/>
    <mergeCell ref="LY2:LY6"/>
    <mergeCell ref="LZ2:LZ6"/>
    <mergeCell ref="LQ2:LQ6"/>
    <mergeCell ref="LR2:LR6"/>
    <mergeCell ref="LS2:LS6"/>
    <mergeCell ref="LT2:LT6"/>
    <mergeCell ref="LU2:LU6"/>
    <mergeCell ref="LL2:LL6"/>
    <mergeCell ref="LM2:LM6"/>
    <mergeCell ref="LN2:LN6"/>
    <mergeCell ref="LO2:LO6"/>
    <mergeCell ref="LP2:LP6"/>
    <mergeCell ref="LG2:LG6"/>
    <mergeCell ref="LH2:LH6"/>
    <mergeCell ref="LI2:LI6"/>
    <mergeCell ref="LJ2:LJ6"/>
    <mergeCell ref="LK2:LK6"/>
    <mergeCell ref="LB2:LB6"/>
    <mergeCell ref="LC2:LC6"/>
    <mergeCell ref="LD2:LD6"/>
    <mergeCell ref="LE2:LE6"/>
    <mergeCell ref="LF2:LF6"/>
    <mergeCell ref="KW2:KW6"/>
    <mergeCell ref="KX2:KX6"/>
    <mergeCell ref="KY2:KY6"/>
    <mergeCell ref="KZ2:KZ6"/>
    <mergeCell ref="LA2:LA6"/>
    <mergeCell ref="KR2:KR6"/>
    <mergeCell ref="KS2:KS6"/>
    <mergeCell ref="KT2:KT6"/>
    <mergeCell ref="KU2:KU6"/>
    <mergeCell ref="KV2:KV6"/>
    <mergeCell ref="KM2:KM6"/>
    <mergeCell ref="KN2:KN6"/>
    <mergeCell ref="KO2:KO6"/>
    <mergeCell ref="KP2:KP6"/>
    <mergeCell ref="KQ2:KQ6"/>
    <mergeCell ref="KH2:KH6"/>
    <mergeCell ref="KI2:KI6"/>
    <mergeCell ref="KJ2:KJ6"/>
    <mergeCell ref="KK2:KK6"/>
    <mergeCell ref="KL2:KL6"/>
    <mergeCell ref="KC2:KC6"/>
    <mergeCell ref="KD2:KD6"/>
    <mergeCell ref="KE2:KE6"/>
    <mergeCell ref="KF2:KF6"/>
    <mergeCell ref="KG2:KG6"/>
    <mergeCell ref="JX2:JX6"/>
    <mergeCell ref="JY2:JY6"/>
    <mergeCell ref="JZ2:JZ6"/>
    <mergeCell ref="KA2:KA6"/>
    <mergeCell ref="KB2:KB6"/>
    <mergeCell ref="JS2:JS6"/>
    <mergeCell ref="JT2:JT6"/>
    <mergeCell ref="JU2:JU6"/>
    <mergeCell ref="JV2:JV6"/>
    <mergeCell ref="JW2:JW6"/>
    <mergeCell ref="JN2:JN6"/>
    <mergeCell ref="JO2:JO6"/>
    <mergeCell ref="JP2:JP6"/>
    <mergeCell ref="JQ2:JQ6"/>
    <mergeCell ref="JR2:JR6"/>
    <mergeCell ref="JI2:JI6"/>
    <mergeCell ref="JJ2:JJ6"/>
    <mergeCell ref="JK2:JK6"/>
    <mergeCell ref="JL2:JL6"/>
    <mergeCell ref="JM2:JM6"/>
    <mergeCell ref="JD2:JD6"/>
    <mergeCell ref="JE2:JE6"/>
    <mergeCell ref="JF2:JF6"/>
    <mergeCell ref="JG2:JG6"/>
    <mergeCell ref="JH2:JH6"/>
    <mergeCell ref="IY2:IY6"/>
    <mergeCell ref="IZ2:IZ6"/>
    <mergeCell ref="JA2:JA6"/>
    <mergeCell ref="JB2:JB6"/>
    <mergeCell ref="JC2:JC6"/>
    <mergeCell ref="IT2:IT6"/>
    <mergeCell ref="IU2:IU6"/>
    <mergeCell ref="IV2:IV6"/>
    <mergeCell ref="IW2:IW6"/>
    <mergeCell ref="IX2:IX6"/>
    <mergeCell ref="IO2:IO6"/>
    <mergeCell ref="IP2:IP6"/>
    <mergeCell ref="IQ2:IQ6"/>
    <mergeCell ref="IR2:IR6"/>
    <mergeCell ref="IS2:IS6"/>
    <mergeCell ref="IJ2:IJ6"/>
    <mergeCell ref="IK2:IK6"/>
    <mergeCell ref="IL2:IL6"/>
    <mergeCell ref="IM2:IM6"/>
    <mergeCell ref="IN2:IN6"/>
    <mergeCell ref="IE2:IE6"/>
    <mergeCell ref="IF2:IF6"/>
    <mergeCell ref="IG2:IG6"/>
    <mergeCell ref="IH2:IH6"/>
    <mergeCell ref="II2:II6"/>
    <mergeCell ref="HZ2:HZ6"/>
    <mergeCell ref="IA2:IA6"/>
    <mergeCell ref="IB2:IB6"/>
    <mergeCell ref="IC2:IC6"/>
    <mergeCell ref="ID2:ID6"/>
    <mergeCell ref="HU2:HU6"/>
    <mergeCell ref="HV2:HV6"/>
    <mergeCell ref="HW2:HW6"/>
    <mergeCell ref="HX2:HX6"/>
    <mergeCell ref="HY2:HY6"/>
    <mergeCell ref="HP2:HP6"/>
    <mergeCell ref="HQ2:HQ6"/>
    <mergeCell ref="HR2:HR6"/>
    <mergeCell ref="HS2:HS6"/>
    <mergeCell ref="HT2:HT6"/>
    <mergeCell ref="HK2:HK6"/>
    <mergeCell ref="HL2:HL6"/>
    <mergeCell ref="HM2:HM6"/>
    <mergeCell ref="HN2:HN6"/>
    <mergeCell ref="HO2:HO6"/>
    <mergeCell ref="HF2:HF6"/>
    <mergeCell ref="HG2:HG6"/>
    <mergeCell ref="HH2:HH6"/>
    <mergeCell ref="HI2:HI6"/>
    <mergeCell ref="HJ2:HJ6"/>
    <mergeCell ref="HA2:HA6"/>
    <mergeCell ref="HB2:HB6"/>
    <mergeCell ref="HC2:HC6"/>
    <mergeCell ref="HD2:HD6"/>
    <mergeCell ref="HE2:HE6"/>
    <mergeCell ref="GV2:GV6"/>
    <mergeCell ref="GW2:GW6"/>
    <mergeCell ref="GX2:GX6"/>
    <mergeCell ref="GY2:GY6"/>
    <mergeCell ref="GZ2:GZ6"/>
    <mergeCell ref="GQ2:GQ6"/>
    <mergeCell ref="GR2:GR6"/>
    <mergeCell ref="GS2:GS6"/>
    <mergeCell ref="GT2:GT6"/>
    <mergeCell ref="GU2:GU6"/>
    <mergeCell ref="GL2:GL6"/>
    <mergeCell ref="GM2:GM6"/>
    <mergeCell ref="GN2:GN6"/>
    <mergeCell ref="GO2:GO6"/>
    <mergeCell ref="GP2:GP6"/>
    <mergeCell ref="GG2:GG6"/>
    <mergeCell ref="GH2:GH6"/>
    <mergeCell ref="GI2:GI6"/>
    <mergeCell ref="GJ2:GJ6"/>
    <mergeCell ref="GK2:GK6"/>
    <mergeCell ref="GB2:GB6"/>
    <mergeCell ref="GC2:GC6"/>
    <mergeCell ref="GD2:GD6"/>
    <mergeCell ref="GE2:GE6"/>
    <mergeCell ref="GF2:GF6"/>
    <mergeCell ref="FV2:FV6"/>
    <mergeCell ref="FW2:FW6"/>
    <mergeCell ref="FX2:FX6"/>
    <mergeCell ref="FY2:FY6"/>
    <mergeCell ref="FZ2:FZ6"/>
    <mergeCell ref="FQ2:FQ6"/>
    <mergeCell ref="FR2:FR6"/>
    <mergeCell ref="FS2:FS6"/>
    <mergeCell ref="FT2:FT6"/>
    <mergeCell ref="FU2:FU6"/>
    <mergeCell ref="FL2:FL6"/>
    <mergeCell ref="FM2:FM6"/>
    <mergeCell ref="FN2:FN6"/>
    <mergeCell ref="FO2:FO6"/>
    <mergeCell ref="FP2:FP6"/>
    <mergeCell ref="FG2:FG6"/>
    <mergeCell ref="FH2:FH6"/>
    <mergeCell ref="FI2:FI6"/>
    <mergeCell ref="FJ2:FJ6"/>
    <mergeCell ref="FK2:FK6"/>
    <mergeCell ref="FB2:FB6"/>
    <mergeCell ref="FC2:FC6"/>
    <mergeCell ref="FD2:FD6"/>
    <mergeCell ref="FE2:FE6"/>
    <mergeCell ref="FF2:FF6"/>
    <mergeCell ref="EW2:EW6"/>
    <mergeCell ref="EX2:EX6"/>
    <mergeCell ref="EY2:EY6"/>
    <mergeCell ref="EZ2:EZ6"/>
    <mergeCell ref="FA2:FA6"/>
    <mergeCell ref="ER2:ER6"/>
    <mergeCell ref="ES2:ES6"/>
    <mergeCell ref="ET2:ET6"/>
    <mergeCell ref="EU2:EU6"/>
    <mergeCell ref="EV2:EV6"/>
    <mergeCell ref="EM2:EM6"/>
    <mergeCell ref="EN2:EN6"/>
    <mergeCell ref="EO2:EO6"/>
    <mergeCell ref="EP2:EP6"/>
    <mergeCell ref="EQ2:EQ6"/>
    <mergeCell ref="EH2:EH6"/>
    <mergeCell ref="EI2:EI6"/>
    <mergeCell ref="EJ2:EJ6"/>
    <mergeCell ref="EK2:EK6"/>
    <mergeCell ref="EL2:EL6"/>
    <mergeCell ref="EC2:EC6"/>
    <mergeCell ref="ED2:ED6"/>
    <mergeCell ref="EE2:EE6"/>
    <mergeCell ref="EF2:EF6"/>
    <mergeCell ref="EG2:EG6"/>
    <mergeCell ref="DX2:DX6"/>
    <mergeCell ref="DY2:DY6"/>
    <mergeCell ref="DZ2:DZ6"/>
    <mergeCell ref="EA2:EA6"/>
    <mergeCell ref="EB2:EB6"/>
    <mergeCell ref="DS2:DS6"/>
    <mergeCell ref="DT2:DT6"/>
    <mergeCell ref="DU2:DU6"/>
    <mergeCell ref="DV2:DV6"/>
    <mergeCell ref="DW2:DW6"/>
    <mergeCell ref="DN2:DN6"/>
    <mergeCell ref="DO2:DO6"/>
    <mergeCell ref="DP2:DP6"/>
    <mergeCell ref="DQ2:DQ6"/>
    <mergeCell ref="DR2:DR6"/>
    <mergeCell ref="DI2:DI6"/>
    <mergeCell ref="DJ2:DJ6"/>
    <mergeCell ref="DK2:DK6"/>
    <mergeCell ref="DL2:DL6"/>
    <mergeCell ref="DM2:DM6"/>
    <mergeCell ref="DD2:DD6"/>
    <mergeCell ref="DE2:DE6"/>
    <mergeCell ref="DF2:DF6"/>
    <mergeCell ref="DG2:DG6"/>
    <mergeCell ref="DH2:DH6"/>
    <mergeCell ref="CY2:CY6"/>
    <mergeCell ref="CZ2:CZ6"/>
    <mergeCell ref="DA2:DA6"/>
    <mergeCell ref="DB2:DB6"/>
    <mergeCell ref="DC2:DC6"/>
    <mergeCell ref="CT2:CT6"/>
    <mergeCell ref="CU2:CU6"/>
    <mergeCell ref="CV2:CV6"/>
    <mergeCell ref="CW2:CW6"/>
    <mergeCell ref="CX2:CX6"/>
    <mergeCell ref="CO2:CO6"/>
    <mergeCell ref="CP2:CP6"/>
    <mergeCell ref="CQ2:CQ6"/>
    <mergeCell ref="CR2:CR6"/>
    <mergeCell ref="CS2:CS6"/>
    <mergeCell ref="CJ2:CJ6"/>
    <mergeCell ref="CK2:CK6"/>
    <mergeCell ref="CL2:CL6"/>
    <mergeCell ref="CM2:CM6"/>
    <mergeCell ref="CN2:CN6"/>
    <mergeCell ref="CE2:CE6"/>
    <mergeCell ref="CF2:CF6"/>
    <mergeCell ref="CG2:CG6"/>
    <mergeCell ref="CH2:CH6"/>
    <mergeCell ref="CI2:CI6"/>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s>
  <conditionalFormatting sqref="F6:J6 CE2">
    <cfRule type="expression" dxfId="15" priority="6">
      <formula>IF(F2=0,TRUE,FALSE)</formula>
    </cfRule>
  </conditionalFormatting>
  <conditionalFormatting sqref="K6:CB6">
    <cfRule type="expression" dxfId="14" priority="5">
      <formula>IF(K6=0,TRUE,FALSE)</formula>
    </cfRule>
  </conditionalFormatting>
  <conditionalFormatting sqref="CF2:NS2">
    <cfRule type="expression" dxfId="13" priority="4">
      <formula>IF(CF2=0,TRUE,FALSE)</formula>
    </cfRule>
  </conditionalFormatting>
  <conditionalFormatting sqref="NU2">
    <cfRule type="expression" dxfId="12" priority="3">
      <formula>IF(NU2=0,TRUE,FALSE)</formula>
    </cfRule>
  </conditionalFormatting>
  <conditionalFormatting sqref="NV2:RQ2">
    <cfRule type="expression" dxfId="11" priority="2">
      <formula>IF(NV2=0,TRUE,FALSE)</formula>
    </cfRule>
  </conditionalFormatting>
  <conditionalFormatting sqref="RR2:ZI2">
    <cfRule type="expression" dxfId="10" priority="1">
      <formula>IF(RR2=0,TRUE,FALSE)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C1:ABK103"/>
  <sheetViews>
    <sheetView workbookViewId="0">
      <selection activeCell="A4" sqref="A4"/>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3:739" x14ac:dyDescent="0.25">
      <c r="E1" t="s">
        <v>305</v>
      </c>
    </row>
    <row r="2" spans="3:739" ht="52.5" customHeight="1" x14ac:dyDescent="0.25">
      <c r="F2" t="str">
        <f>'Clinical resources'!F5</f>
        <v>Caseload 1</v>
      </c>
      <c r="G2" t="str">
        <f>F2</f>
        <v>Caseload 1</v>
      </c>
      <c r="H2" t="str">
        <f>G2</f>
        <v>Caseload 1</v>
      </c>
      <c r="I2" t="str">
        <f>H2</f>
        <v>Caseload 1</v>
      </c>
      <c r="J2" t="str">
        <f>I2</f>
        <v>Caseload 1</v>
      </c>
      <c r="K2" t="str">
        <f>'Clinical resources'!K5</f>
        <v>Caseload 2</v>
      </c>
      <c r="L2" t="str">
        <f t="shared" ref="L2:O2" si="0">K2</f>
        <v>Caseload 2</v>
      </c>
      <c r="M2" t="str">
        <f t="shared" si="0"/>
        <v>Caseload 2</v>
      </c>
      <c r="N2" t="str">
        <f t="shared" si="0"/>
        <v>Caseload 2</v>
      </c>
      <c r="O2" t="str">
        <f t="shared" si="0"/>
        <v>Caseload 2</v>
      </c>
      <c r="P2" t="str">
        <f>'Clinical resources'!P5</f>
        <v>Caseload 3</v>
      </c>
      <c r="Q2" t="str">
        <f t="shared" ref="Q2:T2" si="1">P2</f>
        <v>Caseload 3</v>
      </c>
      <c r="R2" t="str">
        <f t="shared" si="1"/>
        <v>Caseload 3</v>
      </c>
      <c r="S2" t="str">
        <f t="shared" si="1"/>
        <v>Caseload 3</v>
      </c>
      <c r="T2" t="str">
        <f t="shared" si="1"/>
        <v>Caseload 3</v>
      </c>
      <c r="U2" t="str">
        <f>'Clinical resources'!U5</f>
        <v>Caseload 4</v>
      </c>
      <c r="V2" t="str">
        <f t="shared" ref="V2:Y2" si="2">U2</f>
        <v>Caseload 4</v>
      </c>
      <c r="W2" t="str">
        <f t="shared" si="2"/>
        <v>Caseload 4</v>
      </c>
      <c r="X2" t="str">
        <f t="shared" si="2"/>
        <v>Caseload 4</v>
      </c>
      <c r="Y2" t="str">
        <f t="shared" si="2"/>
        <v>Caseload 4</v>
      </c>
      <c r="Z2" t="str">
        <f>'Clinical resources'!Z5</f>
        <v>Caseload 5</v>
      </c>
      <c r="AA2" t="str">
        <f t="shared" ref="AA2:AD2" si="3">Z2</f>
        <v>Caseload 5</v>
      </c>
      <c r="AB2" t="str">
        <f t="shared" si="3"/>
        <v>Caseload 5</v>
      </c>
      <c r="AC2" t="str">
        <f t="shared" si="3"/>
        <v>Caseload 5</v>
      </c>
      <c r="AD2" t="str">
        <f t="shared" si="3"/>
        <v>Caseload 5</v>
      </c>
      <c r="AE2" t="str">
        <f>'Clinical resources'!AE5</f>
        <v>Caseload 6</v>
      </c>
      <c r="AF2" t="str">
        <f t="shared" ref="AF2:AI2" si="4">AE2</f>
        <v>Caseload 6</v>
      </c>
      <c r="AG2" t="str">
        <f t="shared" si="4"/>
        <v>Caseload 6</v>
      </c>
      <c r="AH2" t="str">
        <f t="shared" si="4"/>
        <v>Caseload 6</v>
      </c>
      <c r="AI2" t="str">
        <f t="shared" si="4"/>
        <v>Caseload 6</v>
      </c>
      <c r="AJ2" t="str">
        <f>'Clinical resources'!AJ5</f>
        <v>Caseload 7</v>
      </c>
      <c r="AK2" t="str">
        <f t="shared" ref="AK2:AN2" si="5">AJ2</f>
        <v>Caseload 7</v>
      </c>
      <c r="AL2" t="str">
        <f t="shared" si="5"/>
        <v>Caseload 7</v>
      </c>
      <c r="AM2" t="str">
        <f t="shared" si="5"/>
        <v>Caseload 7</v>
      </c>
      <c r="AN2" t="str">
        <f t="shared" si="5"/>
        <v>Caseload 7</v>
      </c>
      <c r="AO2" t="str">
        <f>'Clinical resources'!AO5</f>
        <v>Caseload 8</v>
      </c>
      <c r="AP2" t="str">
        <f t="shared" ref="AP2:AS2" si="6">AO2</f>
        <v>Caseload 8</v>
      </c>
      <c r="AQ2" t="str">
        <f t="shared" si="6"/>
        <v>Caseload 8</v>
      </c>
      <c r="AR2" t="str">
        <f t="shared" si="6"/>
        <v>Caseload 8</v>
      </c>
      <c r="AS2" t="str">
        <f t="shared" si="6"/>
        <v>Caseload 8</v>
      </c>
      <c r="AT2" t="str">
        <f>'Clinical resources'!AT5</f>
        <v>Caseload 9</v>
      </c>
      <c r="AU2" t="str">
        <f t="shared" ref="AU2:AX2" si="7">AT2</f>
        <v>Caseload 9</v>
      </c>
      <c r="AV2" t="str">
        <f t="shared" si="7"/>
        <v>Caseload 9</v>
      </c>
      <c r="AW2" t="str">
        <f t="shared" si="7"/>
        <v>Caseload 9</v>
      </c>
      <c r="AX2" t="str">
        <f t="shared" si="7"/>
        <v>Caseload 9</v>
      </c>
      <c r="AY2" t="str">
        <f>'Clinical resources'!AY5</f>
        <v>Caseload 10</v>
      </c>
      <c r="AZ2" t="str">
        <f t="shared" ref="AZ2:BC2" si="8">AY2</f>
        <v>Caseload 10</v>
      </c>
      <c r="BA2" t="str">
        <f t="shared" si="8"/>
        <v>Caseload 10</v>
      </c>
      <c r="BB2" t="str">
        <f t="shared" si="8"/>
        <v>Caseload 10</v>
      </c>
      <c r="BC2" t="str">
        <f t="shared" si="8"/>
        <v>Caseload 10</v>
      </c>
      <c r="BD2" t="str">
        <f>'Clinical resources'!BD5</f>
        <v>Caseload 11</v>
      </c>
      <c r="BE2" t="str">
        <f t="shared" ref="BE2:BH2" si="9">BD2</f>
        <v>Caseload 11</v>
      </c>
      <c r="BF2" t="str">
        <f t="shared" si="9"/>
        <v>Caseload 11</v>
      </c>
      <c r="BG2" t="str">
        <f t="shared" si="9"/>
        <v>Caseload 11</v>
      </c>
      <c r="BH2" t="str">
        <f t="shared" si="9"/>
        <v>Caseload 11</v>
      </c>
      <c r="BI2" t="str">
        <f>'Clinical resources'!BI5</f>
        <v>Caseload 12</v>
      </c>
      <c r="BJ2" t="str">
        <f t="shared" ref="BJ2:BM2" si="10">BI2</f>
        <v>Caseload 12</v>
      </c>
      <c r="BK2" t="str">
        <f t="shared" si="10"/>
        <v>Caseload 12</v>
      </c>
      <c r="BL2" t="str">
        <f t="shared" si="10"/>
        <v>Caseload 12</v>
      </c>
      <c r="BM2" t="str">
        <f t="shared" si="10"/>
        <v>Caseload 12</v>
      </c>
      <c r="BN2" t="str">
        <f>'Clinical resources'!BN5</f>
        <v>Caseload 13</v>
      </c>
      <c r="BO2" t="str">
        <f t="shared" ref="BO2:BR2" si="11">BN2</f>
        <v>Caseload 13</v>
      </c>
      <c r="BP2" t="str">
        <f t="shared" si="11"/>
        <v>Caseload 13</v>
      </c>
      <c r="BQ2" t="str">
        <f t="shared" si="11"/>
        <v>Caseload 13</v>
      </c>
      <c r="BR2" t="str">
        <f t="shared" si="11"/>
        <v>Caseload 13</v>
      </c>
      <c r="BS2" t="str">
        <f>'Clinical resources'!BS5</f>
        <v>Caseload 14</v>
      </c>
      <c r="BT2" t="str">
        <f t="shared" ref="BT2:BW2" si="12">BS2</f>
        <v>Caseload 14</v>
      </c>
      <c r="BU2" t="str">
        <f t="shared" si="12"/>
        <v>Caseload 14</v>
      </c>
      <c r="BV2" t="str">
        <f t="shared" si="12"/>
        <v>Caseload 14</v>
      </c>
      <c r="BW2" t="str">
        <f t="shared" si="12"/>
        <v>Caseload 14</v>
      </c>
      <c r="BX2" t="str">
        <f>'Clinical resources'!BX5</f>
        <v>Caseload 15</v>
      </c>
      <c r="BY2" t="str">
        <f t="shared" ref="BY2:CB2" si="13">BX2</f>
        <v>Caseload 15</v>
      </c>
      <c r="BZ2" t="str">
        <f t="shared" si="13"/>
        <v>Caseload 15</v>
      </c>
      <c r="CA2" t="str">
        <f t="shared" si="13"/>
        <v>Caseload 15</v>
      </c>
      <c r="CB2" t="str">
        <f t="shared" si="13"/>
        <v>Caseload 15</v>
      </c>
    </row>
    <row r="3" spans="3: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resources'!AE6</f>
        <v>0</v>
      </c>
      <c r="AF3" s="188">
        <f>'Clinical resources'!AF6</f>
        <v>0</v>
      </c>
      <c r="AG3" s="188">
        <f>'Clinical resources'!AG6</f>
        <v>0</v>
      </c>
      <c r="AH3" s="188">
        <f>'Clinical resources'!AH6</f>
        <v>0</v>
      </c>
      <c r="AI3" s="188">
        <f>'Clinical resources'!AI6</f>
        <v>0</v>
      </c>
      <c r="AJ3" s="188">
        <f>'Clinical resources'!AJ6</f>
        <v>0</v>
      </c>
      <c r="AK3" s="188">
        <f>'Clinical resources'!AK6</f>
        <v>0</v>
      </c>
      <c r="AL3" s="188">
        <f>'Clinical resources'!AL6</f>
        <v>0</v>
      </c>
      <c r="AM3" s="188">
        <f>'Clinical resources'!AM6</f>
        <v>0</v>
      </c>
      <c r="AN3" s="188">
        <f>'Clinical resources'!AN6</f>
        <v>0</v>
      </c>
      <c r="AO3" s="188">
        <f>'Clinical resources'!AO6</f>
        <v>0</v>
      </c>
      <c r="AP3" s="188">
        <f>'Clinical resources'!AP6</f>
        <v>0</v>
      </c>
      <c r="AQ3" s="188">
        <f>'Clinical resources'!AQ6</f>
        <v>0</v>
      </c>
      <c r="AR3" s="188">
        <f>'Clinical resources'!AR6</f>
        <v>0</v>
      </c>
      <c r="AS3" s="188">
        <f>'Clinical resources'!AS6</f>
        <v>0</v>
      </c>
      <c r="AT3" s="188">
        <f>'Clinical resources'!AT6</f>
        <v>0</v>
      </c>
      <c r="AU3" s="188">
        <f>'Clinical resources'!AU6</f>
        <v>0</v>
      </c>
      <c r="AV3" s="188">
        <f>'Clinical resources'!AV6</f>
        <v>0</v>
      </c>
      <c r="AW3" s="188">
        <f>'Clinical resources'!AW6</f>
        <v>0</v>
      </c>
      <c r="AX3" s="188">
        <f>'Clinical resources'!AX6</f>
        <v>0</v>
      </c>
      <c r="AY3" s="188">
        <f>'Clinical resources'!AY6</f>
        <v>0</v>
      </c>
      <c r="AZ3" s="188">
        <f>'Clinical resources'!AZ6</f>
        <v>0</v>
      </c>
      <c r="BA3" s="188">
        <f>'Clinical resources'!BA6</f>
        <v>0</v>
      </c>
      <c r="BB3" s="188">
        <f>'Clinical resources'!BB6</f>
        <v>0</v>
      </c>
      <c r="BC3" s="188">
        <f>'Clinical resources'!BC6</f>
        <v>0</v>
      </c>
      <c r="BD3" s="188">
        <f>'Clinical resources'!BD6</f>
        <v>0</v>
      </c>
      <c r="BE3" s="188">
        <f>'Clinical resources'!BE6</f>
        <v>0</v>
      </c>
      <c r="BF3" s="188">
        <f>'Clinical resources'!BF6</f>
        <v>0</v>
      </c>
      <c r="BG3" s="188">
        <f>'Clinical resources'!BG6</f>
        <v>0</v>
      </c>
      <c r="BH3" s="188">
        <f>'Clinical resources'!BH6</f>
        <v>0</v>
      </c>
      <c r="BI3" s="188">
        <f>'Clinical resources'!BI6</f>
        <v>0</v>
      </c>
      <c r="BJ3" s="188">
        <f>'Clinical resources'!BJ6</f>
        <v>0</v>
      </c>
      <c r="BK3" s="188">
        <f>'Clinical resources'!BK6</f>
        <v>0</v>
      </c>
      <c r="BL3" s="188">
        <f>'Clinical resources'!BL6</f>
        <v>0</v>
      </c>
      <c r="BM3" s="188">
        <f>'Clinical resources'!BM6</f>
        <v>0</v>
      </c>
      <c r="BN3" s="188">
        <f>'Clinical resources'!BN6</f>
        <v>0</v>
      </c>
      <c r="BO3" s="188">
        <f>'Clinical resources'!BO6</f>
        <v>0</v>
      </c>
      <c r="BP3" s="188">
        <f>'Clinical resources'!BP6</f>
        <v>0</v>
      </c>
      <c r="BQ3" s="188">
        <f>'Clinical resources'!BQ6</f>
        <v>0</v>
      </c>
      <c r="BR3" s="188">
        <f>'Clinical resources'!BR6</f>
        <v>0</v>
      </c>
      <c r="BS3" s="188">
        <f>'Clinical resources'!BS6</f>
        <v>0</v>
      </c>
      <c r="BT3" s="188">
        <f>'Clinical resources'!BT6</f>
        <v>0</v>
      </c>
      <c r="BU3" s="188">
        <f>'Clinical resources'!BU6</f>
        <v>0</v>
      </c>
      <c r="BV3" s="188">
        <f>'Clinical resources'!BV6</f>
        <v>0</v>
      </c>
      <c r="BW3" s="188">
        <f>'Clinical resources'!BW6</f>
        <v>0</v>
      </c>
      <c r="BX3" s="188">
        <f>'Clinical resources'!BX6</f>
        <v>0</v>
      </c>
      <c r="BY3" s="188">
        <f>'Clinical resources'!BY6</f>
        <v>0</v>
      </c>
      <c r="BZ3" s="188">
        <f>'Clinical resources'!BZ6</f>
        <v>0</v>
      </c>
      <c r="CA3" s="188">
        <f>'Clinical resources'!CA6</f>
        <v>0</v>
      </c>
      <c r="CB3" s="188">
        <f>'Clinical resources'!CB6</f>
        <v>0</v>
      </c>
      <c r="CE3" s="185" t="s">
        <v>300</v>
      </c>
      <c r="CF3" s="188">
        <f>'Clinical resources'!CE6</f>
        <v>0</v>
      </c>
      <c r="CG3" s="188">
        <f>'Clinical resources'!CF6</f>
        <v>0</v>
      </c>
      <c r="CH3" s="188">
        <f>'Clinical resources'!CG6</f>
        <v>0</v>
      </c>
      <c r="CI3" s="188">
        <f>'Clinical resources'!CH6</f>
        <v>0</v>
      </c>
      <c r="CJ3" s="188">
        <f>'Clinical resources'!CI6</f>
        <v>0</v>
      </c>
      <c r="CK3" s="188">
        <f>'Clinical resources'!CJ6</f>
        <v>0</v>
      </c>
      <c r="CL3" s="188">
        <f>'Clinical resources'!CK6</f>
        <v>0</v>
      </c>
      <c r="CM3" s="188">
        <f>'Clinical resources'!CL6</f>
        <v>0</v>
      </c>
      <c r="CN3" s="188">
        <f>'Clinical resources'!CM6</f>
        <v>0</v>
      </c>
      <c r="CO3" s="188">
        <f>'Clinical resources'!CN6</f>
        <v>0</v>
      </c>
      <c r="CP3" s="188">
        <f>'Clinical resources'!CO6</f>
        <v>0</v>
      </c>
      <c r="CQ3" s="188">
        <f>'Clinical resources'!CP6</f>
        <v>0</v>
      </c>
      <c r="CR3" s="188">
        <f>'Clinical resources'!CQ6</f>
        <v>0</v>
      </c>
      <c r="CS3" s="188">
        <f>'Clinical resources'!CR6</f>
        <v>0</v>
      </c>
      <c r="CT3" s="188">
        <f>'Clinical resources'!CS6</f>
        <v>0</v>
      </c>
      <c r="CU3" s="188">
        <f>'Clinical resources'!CT6</f>
        <v>0</v>
      </c>
      <c r="CV3" s="188">
        <f>'Clinical resources'!CU6</f>
        <v>0</v>
      </c>
      <c r="CW3" s="188">
        <f>'Clinical resources'!CV6</f>
        <v>0</v>
      </c>
      <c r="CX3" s="188">
        <f>'Clinical resources'!CW6</f>
        <v>0</v>
      </c>
      <c r="CY3" s="188">
        <f>'Clinical resources'!CX6</f>
        <v>0</v>
      </c>
      <c r="CZ3" s="188">
        <f>'Clinical resources'!CY6</f>
        <v>0</v>
      </c>
      <c r="DA3" s="188">
        <f>'Clinical resources'!CZ6</f>
        <v>0</v>
      </c>
      <c r="DB3" s="188">
        <f>'Clinical resources'!DA6</f>
        <v>0</v>
      </c>
      <c r="DC3" s="188">
        <f>'Clinical resources'!DB6</f>
        <v>0</v>
      </c>
      <c r="DD3" s="188">
        <f>'Clinical resources'!DC6</f>
        <v>0</v>
      </c>
      <c r="DE3" s="188">
        <f>'Clinical resources'!DD6</f>
        <v>0</v>
      </c>
      <c r="DF3" s="188">
        <f>'Clinical resources'!DE6</f>
        <v>0</v>
      </c>
      <c r="DG3" s="188">
        <f>'Clinical resources'!DF6</f>
        <v>0</v>
      </c>
      <c r="DH3" s="188">
        <f>'Clinical resources'!DG6</f>
        <v>0</v>
      </c>
      <c r="DI3" s="188">
        <f>'Clinical resources'!DH6</f>
        <v>0</v>
      </c>
      <c r="DJ3" s="188">
        <f>'Clinical resources'!DI6</f>
        <v>0</v>
      </c>
      <c r="DK3" s="188">
        <f>'Clinical resources'!DJ6</f>
        <v>0</v>
      </c>
      <c r="DL3" s="188">
        <f>'Clinical resources'!DK6</f>
        <v>0</v>
      </c>
      <c r="DM3" s="188">
        <f>'Clinical resources'!DL6</f>
        <v>0</v>
      </c>
      <c r="DN3" s="188">
        <f>'Clinical resources'!DM6</f>
        <v>0</v>
      </c>
      <c r="DO3" s="188">
        <f>'Clinical resources'!DN6</f>
        <v>0</v>
      </c>
      <c r="DP3" s="188">
        <f>'Clinical resources'!DO6</f>
        <v>0</v>
      </c>
      <c r="DQ3" s="188">
        <f>'Clinical resources'!DP6</f>
        <v>0</v>
      </c>
      <c r="DR3" s="188">
        <f>'Clinical resources'!DQ6</f>
        <v>0</v>
      </c>
      <c r="DS3" s="188">
        <f>'Clinical resources'!DR6</f>
        <v>0</v>
      </c>
      <c r="DT3" s="188">
        <f>'Clinical resources'!DS6</f>
        <v>0</v>
      </c>
      <c r="DU3" s="188">
        <f>'Clinical resources'!DT6</f>
        <v>0</v>
      </c>
      <c r="DV3" s="188">
        <f>'Clinical resources'!DU6</f>
        <v>0</v>
      </c>
      <c r="DW3" s="188">
        <f>'Clinical resources'!DV6</f>
        <v>0</v>
      </c>
      <c r="DX3" s="188">
        <f>'Clinical resources'!DW6</f>
        <v>0</v>
      </c>
      <c r="DY3" s="188">
        <f>'Clinical resources'!DX6</f>
        <v>0</v>
      </c>
      <c r="DZ3" s="188">
        <f>'Clinical resources'!DY6</f>
        <v>0</v>
      </c>
      <c r="EA3" s="188">
        <f>'Clinical resources'!DZ6</f>
        <v>0</v>
      </c>
      <c r="EB3" s="188">
        <f>'Clinical resources'!EA6</f>
        <v>0</v>
      </c>
      <c r="EC3" s="188">
        <f>'Clinical resources'!EB6</f>
        <v>0</v>
      </c>
      <c r="ED3" s="188">
        <f>'Clinical resources'!EC6</f>
        <v>0</v>
      </c>
      <c r="EE3" s="188">
        <f>'Clinical resources'!ED6</f>
        <v>0</v>
      </c>
      <c r="EF3" s="188">
        <f>'Clinical resources'!EE6</f>
        <v>0</v>
      </c>
      <c r="EG3" s="188">
        <f>'Clinical resources'!EF6</f>
        <v>0</v>
      </c>
      <c r="EH3" s="188">
        <f>'Clinical resources'!EG6</f>
        <v>0</v>
      </c>
      <c r="EI3" s="188">
        <f>'Clinical resources'!EH6</f>
        <v>0</v>
      </c>
      <c r="EJ3" s="188">
        <f>'Clinical resources'!EI6</f>
        <v>0</v>
      </c>
      <c r="EK3" s="188">
        <f>'Clinical resources'!EJ6</f>
        <v>0</v>
      </c>
      <c r="EL3" s="188">
        <f>'Clinical resources'!EK6</f>
        <v>0</v>
      </c>
      <c r="EM3" s="188">
        <f>'Clinical resources'!EL6</f>
        <v>0</v>
      </c>
      <c r="EN3" s="188">
        <f>'Clinical resources'!EM6</f>
        <v>0</v>
      </c>
      <c r="EO3" s="188">
        <f>'Clinical resources'!EN6</f>
        <v>0</v>
      </c>
      <c r="EP3" s="188">
        <f>'Clinical resources'!EO6</f>
        <v>0</v>
      </c>
      <c r="EQ3" s="188">
        <f>'Clinical resources'!EP6</f>
        <v>0</v>
      </c>
      <c r="ER3" s="188">
        <f>'Clinical resources'!EQ6</f>
        <v>0</v>
      </c>
      <c r="ES3" s="188">
        <f>'Clinical resources'!ER6</f>
        <v>0</v>
      </c>
      <c r="ET3" s="188">
        <f>'Clinical resources'!ES6</f>
        <v>0</v>
      </c>
      <c r="EU3" s="188">
        <f>'Clinical resources'!ET6</f>
        <v>0</v>
      </c>
      <c r="EV3" s="188">
        <f>'Clinical resources'!EU6</f>
        <v>0</v>
      </c>
      <c r="EW3" s="188">
        <f>'Clinical resources'!EV6</f>
        <v>0</v>
      </c>
      <c r="EX3" s="188">
        <f>'Clinical resources'!EW6</f>
        <v>0</v>
      </c>
      <c r="EY3" s="188">
        <f>'Clinical resources'!EX6</f>
        <v>0</v>
      </c>
      <c r="EZ3" s="188">
        <f>'Clinical resources'!EY6</f>
        <v>0</v>
      </c>
      <c r="FA3" s="188">
        <f>'Clinical resources'!EZ6</f>
        <v>0</v>
      </c>
      <c r="FB3" s="188">
        <f>'Clinical resources'!FA6</f>
        <v>0</v>
      </c>
      <c r="FC3" s="188">
        <f>'Clinical resources'!FB6</f>
        <v>0</v>
      </c>
      <c r="FD3" s="188">
        <f>'Clinical resources'!FC6</f>
        <v>0</v>
      </c>
      <c r="FE3" s="188">
        <f>'Clinical resources'!FD6</f>
        <v>0</v>
      </c>
      <c r="FF3" s="188">
        <f>'Clinical resources'!FE6</f>
        <v>0</v>
      </c>
      <c r="FG3" s="188">
        <f>'Clinical resources'!FF6</f>
        <v>0</v>
      </c>
      <c r="FH3" s="188">
        <f>'Clinical resources'!FG6</f>
        <v>0</v>
      </c>
      <c r="FI3" s="188">
        <f>'Clinical resources'!FH6</f>
        <v>0</v>
      </c>
      <c r="FJ3" s="188">
        <f>'Clinical resources'!FI6</f>
        <v>0</v>
      </c>
      <c r="FK3" s="188">
        <f>'Clinical resources'!FJ6</f>
        <v>0</v>
      </c>
      <c r="FL3" s="188">
        <f>'Clinical resources'!FK6</f>
        <v>0</v>
      </c>
      <c r="FM3" s="188">
        <f>'Clinical resources'!FL6</f>
        <v>0</v>
      </c>
      <c r="FN3" s="188">
        <f>'Clinical resources'!FM6</f>
        <v>0</v>
      </c>
      <c r="FO3" s="188">
        <f>'Clinical resources'!FN6</f>
        <v>0</v>
      </c>
      <c r="FP3" s="188">
        <f>'Clinical resources'!FO6</f>
        <v>0</v>
      </c>
      <c r="FQ3" s="188">
        <f>'Clinical resources'!FP6</f>
        <v>0</v>
      </c>
      <c r="FR3" s="188">
        <f>'Clinical resources'!FQ6</f>
        <v>0</v>
      </c>
      <c r="FS3" s="188">
        <f>'Clinical resources'!FR6</f>
        <v>0</v>
      </c>
      <c r="FT3" s="188">
        <f>'Clinical resources'!FS6</f>
        <v>0</v>
      </c>
      <c r="FU3" s="188">
        <f>'Clinical resources'!FT6</f>
        <v>0</v>
      </c>
      <c r="FV3" s="188">
        <f>'Clinical resources'!FU6</f>
        <v>0</v>
      </c>
      <c r="FW3" s="188">
        <f>'Clinical resources'!FV6</f>
        <v>0</v>
      </c>
      <c r="FX3" s="188">
        <f>'Clinical resources'!FW6</f>
        <v>0</v>
      </c>
      <c r="FY3" s="188">
        <f>'Clinical resources'!FX6</f>
        <v>0</v>
      </c>
      <c r="FZ3" s="188">
        <f>'Clinical resources'!FY6</f>
        <v>0</v>
      </c>
      <c r="GA3" s="188">
        <f>'Clinical resources'!FZ6</f>
        <v>0</v>
      </c>
      <c r="NU3" s="185" t="s">
        <v>301</v>
      </c>
      <c r="NV3" s="188">
        <f>'Clinical resources'!NU6</f>
        <v>0</v>
      </c>
      <c r="NW3" s="188">
        <f>'Clinical resources'!NV6</f>
        <v>0</v>
      </c>
      <c r="NX3" s="188">
        <f>'Clinical resources'!NW6</f>
        <v>0</v>
      </c>
      <c r="NY3" s="188">
        <f>'Clinical resources'!NX6</f>
        <v>0</v>
      </c>
      <c r="NZ3" s="188">
        <f>'Clinical resources'!NY6</f>
        <v>0</v>
      </c>
      <c r="OA3" s="188">
        <f>'Clinical resources'!NZ6</f>
        <v>0</v>
      </c>
      <c r="OB3" s="188">
        <f>'Clinical resources'!OA6</f>
        <v>0</v>
      </c>
      <c r="OC3" s="188">
        <f>'Clinical resources'!OB6</f>
        <v>0</v>
      </c>
      <c r="OD3" s="188">
        <f>'Clinical resources'!OC6</f>
        <v>0</v>
      </c>
      <c r="OE3" s="188">
        <f>'Clinical resources'!OD6</f>
        <v>0</v>
      </c>
      <c r="OF3" s="188">
        <f>'Clinical resources'!OE6</f>
        <v>0</v>
      </c>
      <c r="OG3" s="188">
        <f>'Clinical resources'!OF6</f>
        <v>0</v>
      </c>
      <c r="OH3" s="188">
        <f>'Clinical resources'!OG6</f>
        <v>0</v>
      </c>
      <c r="OI3" s="188">
        <f>'Clinical resources'!OH6</f>
        <v>0</v>
      </c>
      <c r="OJ3" s="188">
        <f>'Clinical resources'!OI6</f>
        <v>0</v>
      </c>
      <c r="OK3" s="188">
        <f>'Clinical resources'!OJ6</f>
        <v>0</v>
      </c>
      <c r="OL3" s="188">
        <f>'Clinical resources'!OK6</f>
        <v>0</v>
      </c>
      <c r="OM3" s="188">
        <f>'Clinical resources'!OL6</f>
        <v>0</v>
      </c>
      <c r="ON3" s="188">
        <f>'Clinical resources'!OM6</f>
        <v>0</v>
      </c>
      <c r="OO3" s="188">
        <f>'Clinical resources'!ON6</f>
        <v>0</v>
      </c>
      <c r="OP3" s="188">
        <f>'Clinical resources'!OO6</f>
        <v>0</v>
      </c>
      <c r="OQ3" s="188">
        <f>'Clinical resources'!OP6</f>
        <v>0</v>
      </c>
      <c r="OR3" s="188">
        <f>'Clinical resources'!OQ6</f>
        <v>0</v>
      </c>
      <c r="OS3" s="188">
        <f>'Clinical resources'!OR6</f>
        <v>0</v>
      </c>
      <c r="OT3" s="188">
        <f>'Clinical resources'!OS6</f>
        <v>0</v>
      </c>
      <c r="OU3" s="188">
        <f>'Clinical resources'!OT6</f>
        <v>0</v>
      </c>
      <c r="OV3" s="188">
        <f>'Clinical resources'!OU6</f>
        <v>0</v>
      </c>
      <c r="OW3" s="188">
        <f>'Clinical resources'!OV6</f>
        <v>0</v>
      </c>
      <c r="OX3" s="188">
        <f>'Clinical resources'!OW6</f>
        <v>0</v>
      </c>
      <c r="OY3" s="188">
        <f>'Clinical resources'!OX6</f>
        <v>0</v>
      </c>
      <c r="OZ3" s="188">
        <f>'Clinical resources'!OY6</f>
        <v>0</v>
      </c>
      <c r="PA3" s="188">
        <f>'Clinical resources'!OZ6</f>
        <v>0</v>
      </c>
      <c r="PB3" s="188">
        <f>'Clinical resources'!PA6</f>
        <v>0</v>
      </c>
      <c r="PC3" s="188">
        <f>'Clinical resources'!PB6</f>
        <v>0</v>
      </c>
      <c r="PD3" s="188">
        <f>'Clinical resources'!PC6</f>
        <v>0</v>
      </c>
      <c r="PE3" s="188">
        <f>'Clinical resources'!PD6</f>
        <v>0</v>
      </c>
      <c r="PF3" s="188">
        <f>'Clinical resources'!PE6</f>
        <v>0</v>
      </c>
      <c r="PG3" s="188">
        <f>'Clinical resources'!PF6</f>
        <v>0</v>
      </c>
      <c r="PH3" s="188">
        <f>'Clinical resources'!PG6</f>
        <v>0</v>
      </c>
      <c r="PI3" s="188">
        <f>'Clinical resources'!PH6</f>
        <v>0</v>
      </c>
      <c r="PJ3" s="188">
        <f>'Clinical resources'!PI6</f>
        <v>0</v>
      </c>
      <c r="PK3" s="188">
        <f>'Clinical resources'!PJ6</f>
        <v>0</v>
      </c>
      <c r="PL3" s="188">
        <f>'Clinical resources'!PK6</f>
        <v>0</v>
      </c>
      <c r="PM3" s="188">
        <f>'Clinical resources'!PL6</f>
        <v>0</v>
      </c>
      <c r="PN3" s="188">
        <f>'Clinical resources'!PM6</f>
        <v>0</v>
      </c>
      <c r="PO3" s="188">
        <f>'Clinical resources'!PN6</f>
        <v>0</v>
      </c>
      <c r="PP3" s="188">
        <f>'Clinical resources'!PO6</f>
        <v>0</v>
      </c>
      <c r="PQ3" s="188">
        <f>'Clinical resources'!PP6</f>
        <v>0</v>
      </c>
      <c r="PR3" s="188">
        <f>'Clinical resources'!PQ6</f>
        <v>0</v>
      </c>
      <c r="PS3" s="188">
        <f>'Clinical resources'!PR6</f>
        <v>0</v>
      </c>
      <c r="PT3" s="188">
        <f>'Clinical resources'!PS6</f>
        <v>0</v>
      </c>
      <c r="PU3" s="188">
        <f>'Clinical resources'!PT6</f>
        <v>0</v>
      </c>
      <c r="PV3" s="188">
        <f>'Clinical resources'!PU6</f>
        <v>0</v>
      </c>
      <c r="PW3" s="188">
        <f>'Clinical resources'!PV6</f>
        <v>0</v>
      </c>
      <c r="PX3" s="188">
        <f>'Clinical resources'!PW6</f>
        <v>0</v>
      </c>
      <c r="PY3" s="188">
        <f>'Clinical resources'!PX6</f>
        <v>0</v>
      </c>
      <c r="PZ3" s="188">
        <f>'Clinical resources'!PY6</f>
        <v>0</v>
      </c>
      <c r="QA3" s="188">
        <f>'Clinical resources'!PZ6</f>
        <v>0</v>
      </c>
      <c r="QB3" s="188">
        <f>'Clinical resources'!QA6</f>
        <v>0</v>
      </c>
      <c r="QC3" s="188">
        <f>'Clinical resources'!QB6</f>
        <v>0</v>
      </c>
      <c r="QD3" s="188">
        <f>'Clinical resources'!QC6</f>
        <v>0</v>
      </c>
      <c r="QE3" s="188">
        <f>'Clinical resources'!QD6</f>
        <v>0</v>
      </c>
      <c r="QF3" s="188">
        <f>'Clinical resources'!QE6</f>
        <v>0</v>
      </c>
      <c r="QG3" s="188">
        <f>'Clinical resources'!QF6</f>
        <v>0</v>
      </c>
      <c r="QH3" s="188">
        <f>'Clinical resources'!QG6</f>
        <v>0</v>
      </c>
      <c r="QI3" s="188">
        <f>'Clinical resources'!QH6</f>
        <v>0</v>
      </c>
      <c r="QJ3" s="188">
        <f>'Clinical resources'!QI6</f>
        <v>0</v>
      </c>
      <c r="QK3" s="188">
        <f>'Clinical resources'!QJ6</f>
        <v>0</v>
      </c>
      <c r="QL3" s="188">
        <f>'Clinical resources'!QK6</f>
        <v>0</v>
      </c>
      <c r="QM3" s="188">
        <f>'Clinical resources'!QL6</f>
        <v>0</v>
      </c>
      <c r="QN3" s="188">
        <f>'Clinical resources'!QM6</f>
        <v>0</v>
      </c>
      <c r="QO3" s="188">
        <f>'Clinical resources'!QN6</f>
        <v>0</v>
      </c>
      <c r="QP3" s="188">
        <f>'Clinical resources'!QO6</f>
        <v>0</v>
      </c>
      <c r="QQ3" s="188">
        <f>'Clinical resources'!QP6</f>
        <v>0</v>
      </c>
      <c r="QR3" s="188">
        <f>'Clinical resources'!QQ6</f>
        <v>0</v>
      </c>
      <c r="QS3" s="188">
        <f>'Clinical resources'!QR6</f>
        <v>0</v>
      </c>
      <c r="QT3" s="188">
        <f>'Clinical resources'!QS6</f>
        <v>0</v>
      </c>
      <c r="QU3" s="188">
        <f>'Clinical resources'!QT6</f>
        <v>0</v>
      </c>
      <c r="QV3" s="188">
        <f>'Clinical resources'!QU6</f>
        <v>0</v>
      </c>
      <c r="QW3" s="188">
        <f>'Clinical resources'!QV6</f>
        <v>0</v>
      </c>
      <c r="QX3" s="188">
        <f>'Clinical resources'!QW6</f>
        <v>0</v>
      </c>
      <c r="QY3" s="188">
        <f>'Clinical resources'!QX6</f>
        <v>0</v>
      </c>
      <c r="QZ3" s="188">
        <f>'Clinical resources'!QY6</f>
        <v>0</v>
      </c>
      <c r="RA3" s="188">
        <f>'Clinical resources'!QZ6</f>
        <v>0</v>
      </c>
      <c r="RB3" s="188">
        <f>'Clinical resources'!RA6</f>
        <v>0</v>
      </c>
      <c r="RC3" s="188">
        <f>'Clinical resources'!RB6</f>
        <v>0</v>
      </c>
      <c r="RD3" s="188">
        <f>'Clinical resources'!RC6</f>
        <v>0</v>
      </c>
      <c r="RE3" s="188">
        <f>'Clinical resources'!RD6</f>
        <v>0</v>
      </c>
      <c r="RF3" s="188">
        <f>'Clinical resources'!RE6</f>
        <v>0</v>
      </c>
      <c r="RG3" s="188">
        <f>'Clinical resources'!RF6</f>
        <v>0</v>
      </c>
      <c r="RH3" s="188">
        <f>'Clinical resources'!RG6</f>
        <v>0</v>
      </c>
      <c r="RI3" s="188">
        <f>'Clinical resources'!RH6</f>
        <v>0</v>
      </c>
      <c r="RJ3" s="188">
        <f>'Clinical resources'!RI6</f>
        <v>0</v>
      </c>
      <c r="RK3" s="188">
        <f>'Clinical resources'!RJ6</f>
        <v>0</v>
      </c>
      <c r="RL3" s="188">
        <f>'Clinical resources'!RK6</f>
        <v>0</v>
      </c>
      <c r="RM3" s="188">
        <f>'Clinical resources'!RL6</f>
        <v>0</v>
      </c>
      <c r="RN3" s="188">
        <f>'Clinical resources'!RM6</f>
        <v>0</v>
      </c>
      <c r="RO3" s="188">
        <f>'Clinical resources'!RN6</f>
        <v>0</v>
      </c>
      <c r="RP3" s="188">
        <f>'Clinical resources'!RO6</f>
        <v>0</v>
      </c>
      <c r="RQ3" s="188">
        <f>'Clinical resources'!RP6</f>
        <v>0</v>
      </c>
      <c r="ZL3" s="184">
        <f ca="1">'Clinical resources'!ZK6</f>
        <v>44228</v>
      </c>
      <c r="ZM3" s="184">
        <f ca="1">'Clinical resources'!ZL6</f>
        <v>44235</v>
      </c>
      <c r="ZN3" s="184">
        <f ca="1">'Clinical resources'!ZM6</f>
        <v>44242</v>
      </c>
      <c r="ZO3" s="184">
        <f ca="1">'Clinical resources'!ZN6</f>
        <v>44249</v>
      </c>
      <c r="ZP3" s="184">
        <f ca="1">'Clinical resources'!ZO6</f>
        <v>44256</v>
      </c>
      <c r="ZQ3" s="184">
        <f ca="1">'Clinical resources'!ZP6</f>
        <v>44263</v>
      </c>
      <c r="ZR3" s="184">
        <f ca="1">'Clinical resources'!ZQ6</f>
        <v>44270</v>
      </c>
      <c r="ZS3" s="184">
        <f ca="1">'Clinical resources'!ZR6</f>
        <v>44277</v>
      </c>
      <c r="ZT3" s="184">
        <f ca="1">'Clinical resources'!ZS6</f>
        <v>44284</v>
      </c>
      <c r="ZU3" s="184">
        <f ca="1">'Clinical resources'!ZT6</f>
        <v>44291</v>
      </c>
      <c r="ZV3" s="184">
        <f ca="1">'Clinical resources'!ZU6</f>
        <v>44298</v>
      </c>
      <c r="ZW3" s="184">
        <f ca="1">'Clinical resources'!ZV6</f>
        <v>44305</v>
      </c>
      <c r="ZX3" s="184">
        <f ca="1">'Clinical resources'!ZW6</f>
        <v>44312</v>
      </c>
      <c r="ZY3" s="184">
        <f ca="1">'Clinical resources'!ZX6</f>
        <v>44319</v>
      </c>
      <c r="ZZ3" s="184">
        <f ca="1">'Clinical resources'!ZY6</f>
        <v>44326</v>
      </c>
      <c r="AAA3" s="184">
        <f ca="1">'Clinical resources'!ZZ6</f>
        <v>44333</v>
      </c>
      <c r="AAB3" s="184">
        <f ca="1">'Clinical resources'!AAA6</f>
        <v>44340</v>
      </c>
      <c r="AAC3" s="184">
        <f ca="1">'Clinical resources'!AAB6</f>
        <v>44347</v>
      </c>
      <c r="AAD3" s="184">
        <f ca="1">'Clinical resources'!AAC6</f>
        <v>44354</v>
      </c>
      <c r="AAE3" s="184">
        <f ca="1">'Clinical resources'!AAD6</f>
        <v>44361</v>
      </c>
      <c r="AAF3" s="184">
        <f ca="1">'Clinical resources'!AAE6</f>
        <v>44368</v>
      </c>
      <c r="AAG3" s="184">
        <f ca="1">'Clinical resources'!AAF6</f>
        <v>44375</v>
      </c>
      <c r="AAH3" s="184">
        <f ca="1">'Clinical resources'!AAG6</f>
        <v>44382</v>
      </c>
      <c r="AAI3" s="184">
        <f ca="1">'Clinical resources'!AAH6</f>
        <v>44389</v>
      </c>
      <c r="AAJ3" s="184">
        <f ca="1">'Clinical resources'!AAI6</f>
        <v>44396</v>
      </c>
      <c r="AAK3" s="184">
        <f ca="1">'Clinical resources'!AAJ6</f>
        <v>44403</v>
      </c>
      <c r="AAL3" s="184">
        <f ca="1">'Clinical resources'!AAK6</f>
        <v>44410</v>
      </c>
      <c r="AAM3" s="184">
        <f ca="1">'Clinical resources'!AAL6</f>
        <v>44417</v>
      </c>
      <c r="AAN3" s="184">
        <f ca="1">'Clinical resources'!AAM6</f>
        <v>44424</v>
      </c>
      <c r="AAO3" s="184">
        <f ca="1">'Clinical resources'!AAN6</f>
        <v>44431</v>
      </c>
      <c r="AAP3" s="184">
        <f ca="1">'Clinical resources'!AAO6</f>
        <v>44438</v>
      </c>
      <c r="AAQ3" s="184">
        <f ca="1">'Clinical resources'!AAP6</f>
        <v>44445</v>
      </c>
      <c r="AAR3" s="184">
        <f ca="1">'Clinical resources'!AAQ6</f>
        <v>44452</v>
      </c>
      <c r="AAS3" s="184">
        <f ca="1">'Clinical resources'!AAR6</f>
        <v>44459</v>
      </c>
      <c r="AAT3" s="184">
        <f ca="1">'Clinical resources'!AAS6</f>
        <v>44466</v>
      </c>
      <c r="AAU3" s="184">
        <f ca="1">'Clinical resources'!AAT6</f>
        <v>44473</v>
      </c>
      <c r="AAV3" s="184">
        <f ca="1">'Clinical resources'!AAU6</f>
        <v>44480</v>
      </c>
      <c r="AAW3" s="184">
        <f ca="1">'Clinical resources'!AAV6</f>
        <v>44487</v>
      </c>
      <c r="AAX3" s="184">
        <f ca="1">'Clinical resources'!AAW6</f>
        <v>44494</v>
      </c>
      <c r="AAY3" s="184">
        <f ca="1">'Clinical resources'!AAX6</f>
        <v>44501</v>
      </c>
      <c r="AAZ3" s="184">
        <f ca="1">'Clinical resources'!AAY6</f>
        <v>44508</v>
      </c>
      <c r="ABA3" s="184">
        <f ca="1">'Clinical resources'!AAZ6</f>
        <v>44515</v>
      </c>
      <c r="ABB3" s="184">
        <f ca="1">'Clinical resources'!ABA6</f>
        <v>44522</v>
      </c>
      <c r="ABC3" s="184">
        <f ca="1">'Clinical resources'!ABB6</f>
        <v>44529</v>
      </c>
      <c r="ABD3" s="184">
        <f ca="1">'Clinical resources'!ABC6</f>
        <v>44536</v>
      </c>
      <c r="ABE3" s="184">
        <f ca="1">'Clinical resources'!ABD6</f>
        <v>44543</v>
      </c>
      <c r="ABF3" s="184">
        <f ca="1">'Clinical resources'!ABE6</f>
        <v>44550</v>
      </c>
      <c r="ABG3" s="184">
        <f ca="1">'Clinical resources'!ABF6</f>
        <v>44557</v>
      </c>
      <c r="ABH3" s="184">
        <f ca="1">'Clinical resources'!ABG6</f>
        <v>44564</v>
      </c>
      <c r="ABI3" s="184">
        <f ca="1">'Clinical resources'!ABH6</f>
        <v>44571</v>
      </c>
      <c r="ABJ3" s="184">
        <f ca="1">'Clinical resources'!ABI6</f>
        <v>44578</v>
      </c>
      <c r="ABK3" s="184">
        <f ca="1">'Clinical resources'!ABJ6</f>
        <v>44585</v>
      </c>
    </row>
    <row r="4" spans="3:739" x14ac:dyDescent="0.25">
      <c r="E4" t="str">
        <f>ROW(E1)&amp;". "&amp;'Clinical resources'!B7</f>
        <v xml:space="preserve">1. </v>
      </c>
      <c r="ZL4">
        <f>SUMIFS(INDEX('Capacity Backing (Hide)2'!$B$13:$CW$64,COLUMN(E1),0),'CR Backing (Hide)'!$CF4:$GA4,"X")</f>
        <v>0</v>
      </c>
    </row>
    <row r="5" spans="3:739" x14ac:dyDescent="0.25">
      <c r="E5" t="str">
        <f>ROW(E2)&amp;". "&amp;'Clinical resources'!B8</f>
        <v xml:space="preserve">2. </v>
      </c>
    </row>
    <row r="6" spans="3:739" x14ac:dyDescent="0.25">
      <c r="E6" t="str">
        <f>ROW(E3)&amp;". "&amp;'Clinical resources'!B9</f>
        <v xml:space="preserve">3. </v>
      </c>
    </row>
    <row r="7" spans="3:739" x14ac:dyDescent="0.25">
      <c r="E7" t="str">
        <f>ROW(E4)&amp;". "&amp;'Clinical resources'!B10</f>
        <v xml:space="preserve">4. </v>
      </c>
    </row>
    <row r="8" spans="3:739" x14ac:dyDescent="0.25">
      <c r="E8" t="str">
        <f>ROW(E5)&amp;". "&amp;'Clinical resources'!B11</f>
        <v xml:space="preserve">5. </v>
      </c>
    </row>
    <row r="9" spans="3:739" x14ac:dyDescent="0.25">
      <c r="E9" t="str">
        <f>ROW(E6)&amp;". "&amp;'Clinical resources'!B12</f>
        <v xml:space="preserve">6. </v>
      </c>
    </row>
    <row r="10" spans="3:739" x14ac:dyDescent="0.25">
      <c r="E10" t="str">
        <f>ROW(E7)&amp;". "&amp;'Clinical resources'!B13</f>
        <v xml:space="preserve">7. </v>
      </c>
    </row>
    <row r="11" spans="3:739" x14ac:dyDescent="0.25">
      <c r="E11" t="str">
        <f>ROW(E8)&amp;". "&amp;'Clinical resources'!B14</f>
        <v xml:space="preserve">8. </v>
      </c>
    </row>
    <row r="12" spans="3:739" x14ac:dyDescent="0.25">
      <c r="E12" t="str">
        <f>ROW(E9)&amp;". "&amp;'Clinical resources'!B15</f>
        <v xml:space="preserve">9. </v>
      </c>
    </row>
    <row r="13" spans="3:739" x14ac:dyDescent="0.25">
      <c r="E13" t="str">
        <f>ROW(E10)&amp;". "&amp;'Clinical resources'!B16</f>
        <v xml:space="preserve">10. </v>
      </c>
    </row>
    <row r="14" spans="3:739" x14ac:dyDescent="0.25">
      <c r="E14" t="str">
        <f>ROW(E11)&amp;". "&amp;'Clinical resources'!B17</f>
        <v xml:space="preserve">11. </v>
      </c>
    </row>
    <row r="15" spans="3:739" x14ac:dyDescent="0.25">
      <c r="E15" t="str">
        <f>ROW(E12)&amp;". "&amp;'Clinical resources'!B18</f>
        <v xml:space="preserve">12. </v>
      </c>
    </row>
    <row r="16" spans="3: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sheetProtection algorithmName="SHA-512" hashValue="59TKZDjT+JzXfNLAEgYMUkjr4vwdSDW3UOCz40ixEEGyxkLoFmj62PhWjjU/7AiVgUhHcHrc/aWA2JqwwiWzDw==" saltValue="GN51xKKH00oYX2mJx/5xAA=="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1" t="s">
        <v>189</v>
      </c>
      <c r="D34" s="222"/>
      <c r="E34" s="221" t="s">
        <v>190</v>
      </c>
      <c r="F34" s="222"/>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1" t="s">
        <v>202</v>
      </c>
      <c r="D137" s="222"/>
      <c r="E137" s="221" t="s">
        <v>190</v>
      </c>
      <c r="F137" s="222"/>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bdbzS2GipgsvPLNqn+q3HMMcqiYJL81qVA8t1hcggu/eZFisnsvxMepCnkGF+5n8nuR4nVkUw5huidkPv/GD8g==" saltValue="ICFDLrH1LuuLksEGqQ8oJA==" spinCount="100000" sheet="1" objects="1" scenarios="1"/>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workbookViewId="0">
      <selection activeCell="B1" sqref="B1"/>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254</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254</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sheetProtection algorithmName="SHA-512" hashValue="69N0sdMygcaYiVZu/Bf+KzEX+rVK6M0xKFd+rUHV8pDNa0eHiBnhiXGmb64srqS9iBFa62n4jroHetAh4S5Dwg==" saltValue="NbfXMgH7y28qC9+LUPyGJg==" spinCount="100000" sheet="1" objects="1" scenarios="1"/>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4" width="12.7109375" customWidth="1"/>
    <col min="5"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HIxRCINoWBLcEOWoTmb2BdXrrRmW353QrdXpGo1QdakgMqdQCKRpgVYFid+6hsnDmg+w1RYDc5RJvd8tMgv93g==" saltValue="V9Z3rNG10Qd7k8Ijzxa1pw=="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AV108"/>
  <sheetViews>
    <sheetView workbookViewId="0">
      <selection activeCell="Z19" sqref="Z19"/>
    </sheetView>
  </sheetViews>
  <sheetFormatPr defaultRowHeight="15" outlineLevelCol="1" x14ac:dyDescent="0.25"/>
  <cols>
    <col min="1" max="1" width="16.140625" bestFit="1" customWidth="1"/>
    <col min="3" max="3" width="15.85546875" customWidth="1"/>
    <col min="4" max="4" width="17.28515625" customWidth="1"/>
    <col min="6" max="6" width="17.85546875" customWidth="1"/>
    <col min="7" max="21" width="4.28515625" customWidth="1" outlineLevel="1"/>
    <col min="24" max="24" width="10.42578125" customWidth="1"/>
    <col min="25" max="25" width="19.42578125" customWidth="1"/>
    <col min="26" max="26" width="19" customWidth="1"/>
    <col min="27" max="27" width="16" customWidth="1"/>
    <col min="28" max="28" width="6.28515625" customWidth="1"/>
    <col min="29" max="29" width="10.42578125" customWidth="1"/>
    <col min="30" max="30" width="19.42578125" customWidth="1"/>
    <col min="31" max="31" width="19" customWidth="1"/>
    <col min="32" max="33" width="16" customWidth="1"/>
  </cols>
  <sheetData>
    <row r="1" spans="1:48" x14ac:dyDescent="0.25">
      <c r="A1" t="s">
        <v>313</v>
      </c>
      <c r="X1" t="s">
        <v>314</v>
      </c>
      <c r="AC1" t="s">
        <v>323</v>
      </c>
      <c r="AD1" t="s">
        <v>323</v>
      </c>
      <c r="AE1" t="s">
        <v>323</v>
      </c>
      <c r="AF1" t="s">
        <v>323</v>
      </c>
      <c r="AP1" t="s">
        <v>320</v>
      </c>
    </row>
    <row r="2" spans="1:48" x14ac:dyDescent="0.25">
      <c r="G2" s="223" t="s">
        <v>312</v>
      </c>
      <c r="H2" s="223"/>
      <c r="I2" s="223"/>
      <c r="J2" s="223"/>
      <c r="K2" s="223"/>
      <c r="L2" s="223"/>
      <c r="M2" s="223"/>
      <c r="N2" s="223"/>
      <c r="O2" s="223"/>
      <c r="P2" s="223"/>
      <c r="Q2" s="223"/>
      <c r="R2" s="223"/>
      <c r="S2" s="223"/>
      <c r="T2" s="223"/>
      <c r="U2" s="223"/>
    </row>
    <row r="3" spans="1:48" x14ac:dyDescent="0.25">
      <c r="G3" s="223"/>
      <c r="H3" s="223"/>
      <c r="I3" s="223"/>
      <c r="J3" s="223"/>
      <c r="K3" s="223"/>
      <c r="L3" s="223"/>
      <c r="M3" s="223"/>
      <c r="N3" s="223"/>
      <c r="O3" s="223"/>
      <c r="P3" s="223"/>
      <c r="Q3" s="223"/>
      <c r="R3" s="223"/>
      <c r="S3" s="223"/>
      <c r="T3" s="223"/>
      <c r="U3" s="223"/>
      <c r="X3" t="s">
        <v>315</v>
      </c>
      <c r="Z3" s="169"/>
      <c r="AE3" s="169"/>
      <c r="AH3" t="s">
        <v>316</v>
      </c>
      <c r="AP3" t="s">
        <v>321</v>
      </c>
      <c r="AV3" t="s">
        <v>316</v>
      </c>
    </row>
    <row r="4" spans="1:48" x14ac:dyDescent="0.25">
      <c r="G4" s="223"/>
      <c r="H4" s="223"/>
      <c r="I4" s="223"/>
      <c r="J4" s="223"/>
      <c r="K4" s="223"/>
      <c r="L4" s="223"/>
      <c r="M4" s="223"/>
      <c r="N4" s="223"/>
      <c r="O4" s="223"/>
      <c r="P4" s="223"/>
      <c r="Q4" s="223"/>
      <c r="R4" s="223"/>
      <c r="S4" s="223"/>
      <c r="T4" s="223"/>
      <c r="U4" s="223"/>
      <c r="AH4" s="16" t="s">
        <v>324</v>
      </c>
    </row>
    <row r="5" spans="1:48" x14ac:dyDescent="0.25">
      <c r="G5" s="223"/>
      <c r="H5" s="223"/>
      <c r="I5" s="223"/>
      <c r="J5" s="223"/>
      <c r="K5" s="223"/>
      <c r="L5" s="223"/>
      <c r="M5" s="223"/>
      <c r="N5" s="223"/>
      <c r="O5" s="223"/>
      <c r="P5" s="223"/>
      <c r="Q5" s="223"/>
      <c r="R5" s="223"/>
      <c r="S5" s="223"/>
      <c r="T5" s="223"/>
      <c r="U5" s="223"/>
      <c r="X5" t="s">
        <v>42</v>
      </c>
      <c r="Z5" t="s">
        <v>318</v>
      </c>
    </row>
    <row r="6" spans="1:48" x14ac:dyDescent="0.25">
      <c r="G6" s="223"/>
      <c r="H6" s="223"/>
      <c r="I6" s="223"/>
      <c r="J6" s="223"/>
      <c r="K6" s="223"/>
      <c r="L6" s="223"/>
      <c r="M6" s="223"/>
      <c r="N6" s="223"/>
      <c r="O6" s="223"/>
      <c r="P6" s="223"/>
      <c r="Q6" s="223"/>
      <c r="R6" s="223"/>
      <c r="S6" s="223"/>
      <c r="T6" s="223"/>
      <c r="U6" s="223"/>
    </row>
    <row r="7" spans="1:48" x14ac:dyDescent="0.25">
      <c r="C7" t="s">
        <v>309</v>
      </c>
      <c r="G7" s="223"/>
      <c r="H7" s="223"/>
      <c r="I7" s="223"/>
      <c r="J7" s="223"/>
      <c r="K7" s="223"/>
      <c r="L7" s="223"/>
      <c r="M7" s="223"/>
      <c r="N7" s="223"/>
      <c r="O7" s="223"/>
      <c r="P7" s="223"/>
      <c r="Q7" s="223"/>
      <c r="R7" s="223"/>
      <c r="S7" s="223"/>
      <c r="T7" s="223"/>
      <c r="U7" s="223"/>
    </row>
    <row r="8" spans="1:48" x14ac:dyDescent="0.25">
      <c r="A8" t="s">
        <v>307</v>
      </c>
      <c r="C8" t="s">
        <v>308</v>
      </c>
      <c r="D8" t="s">
        <v>310</v>
      </c>
      <c r="F8" t="s">
        <v>311</v>
      </c>
      <c r="G8" s="223"/>
      <c r="H8" s="223"/>
      <c r="I8" s="223"/>
      <c r="J8" s="223"/>
      <c r="K8" s="223"/>
      <c r="L8" s="223"/>
      <c r="M8" s="223"/>
      <c r="N8" s="223"/>
      <c r="O8" s="223"/>
      <c r="P8" s="223"/>
      <c r="Q8" s="223"/>
      <c r="R8" s="223"/>
      <c r="S8" s="223"/>
      <c r="T8" s="223"/>
      <c r="U8" s="223"/>
    </row>
    <row r="9" spans="1:48" x14ac:dyDescent="0.25">
      <c r="A9" t="str">
        <f>IF('Clinical resources'!B7&lt;&gt;"",'CR Backing (Hide)'!E4,"")</f>
        <v/>
      </c>
    </row>
    <row r="10" spans="1:48" x14ac:dyDescent="0.25">
      <c r="A10" t="str">
        <f>IF('Clinical resources'!B8&lt;&gt;"",'CR Backing (Hide)'!E5,"")</f>
        <v/>
      </c>
    </row>
    <row r="11" spans="1:48" x14ac:dyDescent="0.25">
      <c r="A11" t="str">
        <f>IF('Clinical resources'!B9&lt;&gt;"",'CR Backing (Hide)'!E6,"")</f>
        <v/>
      </c>
    </row>
    <row r="12" spans="1:48" x14ac:dyDescent="0.25">
      <c r="A12" t="str">
        <f>IF('Clinical resources'!B10&lt;&gt;"",'CR Backing (Hide)'!E7,"")</f>
        <v/>
      </c>
    </row>
    <row r="13" spans="1:48" x14ac:dyDescent="0.25">
      <c r="A13" t="str">
        <f>IF('Clinical resources'!B11&lt;&gt;"",'CR Backing (Hide)'!E8,"")</f>
        <v/>
      </c>
    </row>
    <row r="14" spans="1:48" x14ac:dyDescent="0.25">
      <c r="A14" t="str">
        <f>IF('Clinical resources'!B12&lt;&gt;"",'CR Backing (Hide)'!E9,"")</f>
        <v/>
      </c>
    </row>
    <row r="15" spans="1:48" x14ac:dyDescent="0.25">
      <c r="A15" t="str">
        <f>IF('Clinical resources'!B13&lt;&gt;"",'CR Backing (Hide)'!E10,"")</f>
        <v/>
      </c>
    </row>
    <row r="16" spans="1:48" x14ac:dyDescent="0.25">
      <c r="A16" t="str">
        <f>IF('Clinical resources'!B14&lt;&gt;"",'CR Backing (Hide)'!E11,"")</f>
        <v/>
      </c>
    </row>
    <row r="17" spans="1:32" x14ac:dyDescent="0.25">
      <c r="A17" t="str">
        <f>IF('Clinical resources'!B15&lt;&gt;"",'CR Backing (Hide)'!E12,"")</f>
        <v/>
      </c>
    </row>
    <row r="18" spans="1:32" x14ac:dyDescent="0.25">
      <c r="A18" t="str">
        <f>IF('Clinical resources'!B16&lt;&gt;"",'CR Backing (Hide)'!E13,"")</f>
        <v/>
      </c>
    </row>
    <row r="19" spans="1:32" x14ac:dyDescent="0.25">
      <c r="A19" t="str">
        <f>IF('Clinical resources'!B17&lt;&gt;"",'CR Backing (Hide)'!E14,"")</f>
        <v/>
      </c>
    </row>
    <row r="20" spans="1:32" x14ac:dyDescent="0.25">
      <c r="A20" t="str">
        <f>IF('Clinical resources'!B18&lt;&gt;"",'CR Backing (Hide)'!E15,"")</f>
        <v/>
      </c>
    </row>
    <row r="21" spans="1:32" x14ac:dyDescent="0.25">
      <c r="A21" t="str">
        <f>IF('Clinical resources'!B19&lt;&gt;"",'CR Backing (Hide)'!E16,"")</f>
        <v/>
      </c>
    </row>
    <row r="22" spans="1:32" x14ac:dyDescent="0.25">
      <c r="A22" t="str">
        <f>IF('Clinical resources'!B20&lt;&gt;"",'CR Backing (Hide)'!E17,"")</f>
        <v/>
      </c>
      <c r="X22" t="s">
        <v>317</v>
      </c>
      <c r="AC22" t="s">
        <v>317</v>
      </c>
    </row>
    <row r="23" spans="1:32" x14ac:dyDescent="0.25">
      <c r="A23" t="str">
        <f>IF('Clinical resources'!B21&lt;&gt;"",'CR Backing (Hide)'!E18,"")</f>
        <v/>
      </c>
    </row>
    <row r="24" spans="1:32" x14ac:dyDescent="0.25">
      <c r="A24" t="str">
        <f>IF('Clinical resources'!B22&lt;&gt;"",'CR Backing (Hide)'!E19,"")</f>
        <v/>
      </c>
      <c r="X24" t="s">
        <v>120</v>
      </c>
      <c r="Z24" t="s">
        <v>318</v>
      </c>
      <c r="AA24" t="s">
        <v>319</v>
      </c>
      <c r="AC24" t="s">
        <v>322</v>
      </c>
      <c r="AE24" t="s">
        <v>318</v>
      </c>
      <c r="AF24" t="s">
        <v>319</v>
      </c>
    </row>
    <row r="25" spans="1:32" x14ac:dyDescent="0.25">
      <c r="A25" t="str">
        <f>IF('Clinical resources'!B23&lt;&gt;"",'CR Backing (Hide)'!E20,"")</f>
        <v/>
      </c>
    </row>
    <row r="26" spans="1:32" x14ac:dyDescent="0.25">
      <c r="A26" t="str">
        <f>IF('Clinical resources'!B24&lt;&gt;"",'CR Backing (Hide)'!E21,"")</f>
        <v/>
      </c>
    </row>
    <row r="27" spans="1:32" x14ac:dyDescent="0.25">
      <c r="A27" t="str">
        <f>IF('Clinical resources'!B25&lt;&gt;"",'CR Backing (Hide)'!E22,"")</f>
        <v/>
      </c>
    </row>
    <row r="28" spans="1:32" x14ac:dyDescent="0.25">
      <c r="A28" t="str">
        <f>IF('Clinical resources'!B26&lt;&gt;"",'CR Backing (Hide)'!E23,"")</f>
        <v/>
      </c>
    </row>
    <row r="29" spans="1:32" x14ac:dyDescent="0.25">
      <c r="A29" t="str">
        <f>IF('Clinical resources'!B27&lt;&gt;"",'CR Backing (Hide)'!E24,"")</f>
        <v/>
      </c>
    </row>
    <row r="30" spans="1:32" x14ac:dyDescent="0.25">
      <c r="A30" t="str">
        <f>IF('Clinical resources'!B28&lt;&gt;"",'CR Backing (Hide)'!E25,"")</f>
        <v/>
      </c>
    </row>
    <row r="31" spans="1:32" x14ac:dyDescent="0.25">
      <c r="A31" t="str">
        <f>IF('Clinical resources'!B29&lt;&gt;"",'CR Backing (Hide)'!E26,"")</f>
        <v/>
      </c>
    </row>
    <row r="32" spans="1:32" x14ac:dyDescent="0.25">
      <c r="A32" t="str">
        <f>IF('Clinical resources'!B30&lt;&gt;"",'CR Backing (Hide)'!E27,"")</f>
        <v/>
      </c>
    </row>
    <row r="33" spans="1:1" x14ac:dyDescent="0.25">
      <c r="A33" t="str">
        <f>IF('Clinical resources'!B31&lt;&gt;"",'CR Backing (Hide)'!E28,"")</f>
        <v/>
      </c>
    </row>
    <row r="34" spans="1:1" x14ac:dyDescent="0.25">
      <c r="A34" t="str">
        <f>IF('Clinical resources'!B32&lt;&gt;"",'CR Backing (Hide)'!E29,"")</f>
        <v/>
      </c>
    </row>
    <row r="35" spans="1:1" x14ac:dyDescent="0.25">
      <c r="A35" t="str">
        <f>IF('Clinical resources'!B33&lt;&gt;"",'CR Backing (Hide)'!E30,"")</f>
        <v/>
      </c>
    </row>
    <row r="36" spans="1:1" x14ac:dyDescent="0.25">
      <c r="A36" t="str">
        <f>IF('Clinical resources'!B34&lt;&gt;"",'CR Backing (Hide)'!E31,"")</f>
        <v/>
      </c>
    </row>
    <row r="37" spans="1:1" x14ac:dyDescent="0.25">
      <c r="A37" t="str">
        <f>IF('Clinical resources'!B35&lt;&gt;"",'CR Backing (Hide)'!E32,"")</f>
        <v/>
      </c>
    </row>
    <row r="38" spans="1:1" x14ac:dyDescent="0.25">
      <c r="A38" t="str">
        <f>IF('Clinical resources'!B36&lt;&gt;"",'CR Backing (Hide)'!E33,"")</f>
        <v/>
      </c>
    </row>
    <row r="39" spans="1:1" x14ac:dyDescent="0.25">
      <c r="A39" t="str">
        <f>IF('Clinical resources'!B37&lt;&gt;"",'CR Backing (Hide)'!E34,"")</f>
        <v/>
      </c>
    </row>
    <row r="40" spans="1:1" x14ac:dyDescent="0.25">
      <c r="A40" t="str">
        <f>IF('Clinical resources'!B38&lt;&gt;"",'CR Backing (Hide)'!E35,"")</f>
        <v/>
      </c>
    </row>
    <row r="41" spans="1:1" x14ac:dyDescent="0.25">
      <c r="A41" t="str">
        <f>IF('Clinical resources'!B39&lt;&gt;"",'CR Backing (Hide)'!E36,"")</f>
        <v/>
      </c>
    </row>
    <row r="42" spans="1:1" x14ac:dyDescent="0.25">
      <c r="A42" t="str">
        <f>IF('Clinical resources'!B40&lt;&gt;"",'CR Backing (Hide)'!E37,"")</f>
        <v/>
      </c>
    </row>
    <row r="43" spans="1:1" x14ac:dyDescent="0.25">
      <c r="A43" t="str">
        <f>IF('Clinical resources'!B41&lt;&gt;"",'CR Backing (Hide)'!E38,"")</f>
        <v/>
      </c>
    </row>
    <row r="44" spans="1:1" x14ac:dyDescent="0.25">
      <c r="A44" t="str">
        <f>IF('Clinical resources'!B42&lt;&gt;"",'CR Backing (Hide)'!E39,"")</f>
        <v/>
      </c>
    </row>
    <row r="45" spans="1:1" x14ac:dyDescent="0.25">
      <c r="A45" t="str">
        <f>IF('Clinical resources'!B43&lt;&gt;"",'CR Backing (Hide)'!E40,"")</f>
        <v/>
      </c>
    </row>
    <row r="46" spans="1:1" x14ac:dyDescent="0.25">
      <c r="A46" t="str">
        <f>IF('Clinical resources'!B44&lt;&gt;"",'CR Backing (Hide)'!E41,"")</f>
        <v/>
      </c>
    </row>
    <row r="47" spans="1:1" x14ac:dyDescent="0.25">
      <c r="A47" t="str">
        <f>IF('Clinical resources'!B45&lt;&gt;"",'CR Backing (Hide)'!E42,"")</f>
        <v/>
      </c>
    </row>
    <row r="48" spans="1:1" x14ac:dyDescent="0.25">
      <c r="A48" t="str">
        <f>IF('Clinical resources'!B46&lt;&gt;"",'CR Backing (Hide)'!E43,"")</f>
        <v/>
      </c>
    </row>
    <row r="49" spans="1:1" x14ac:dyDescent="0.25">
      <c r="A49" t="str">
        <f>IF('Clinical resources'!B47&lt;&gt;"",'CR Backing (Hide)'!E44,"")</f>
        <v/>
      </c>
    </row>
    <row r="50" spans="1:1" x14ac:dyDescent="0.25">
      <c r="A50" t="str">
        <f>IF('Clinical resources'!B48&lt;&gt;"",'CR Backing (Hide)'!E45,"")</f>
        <v/>
      </c>
    </row>
    <row r="51" spans="1:1" x14ac:dyDescent="0.25">
      <c r="A51" t="str">
        <f>IF('Clinical resources'!B49&lt;&gt;"",'CR Backing (Hide)'!E46,"")</f>
        <v/>
      </c>
    </row>
    <row r="52" spans="1:1" x14ac:dyDescent="0.25">
      <c r="A52" t="str">
        <f>IF('Clinical resources'!B50&lt;&gt;"",'CR Backing (Hide)'!E47,"")</f>
        <v/>
      </c>
    </row>
    <row r="53" spans="1:1" x14ac:dyDescent="0.25">
      <c r="A53" t="str">
        <f>IF('Clinical resources'!B51&lt;&gt;"",'CR Backing (Hide)'!E48,"")</f>
        <v/>
      </c>
    </row>
    <row r="54" spans="1:1" x14ac:dyDescent="0.25">
      <c r="A54" t="str">
        <f>IF('Clinical resources'!B52&lt;&gt;"",'CR Backing (Hide)'!E49,"")</f>
        <v/>
      </c>
    </row>
    <row r="55" spans="1:1" x14ac:dyDescent="0.25">
      <c r="A55" t="str">
        <f>IF('Clinical resources'!B53&lt;&gt;"",'CR Backing (Hide)'!E50,"")</f>
        <v/>
      </c>
    </row>
    <row r="56" spans="1:1" x14ac:dyDescent="0.25">
      <c r="A56" t="str">
        <f>IF('Clinical resources'!B54&lt;&gt;"",'CR Backing (Hide)'!E51,"")</f>
        <v/>
      </c>
    </row>
    <row r="57" spans="1:1" x14ac:dyDescent="0.25">
      <c r="A57" t="str">
        <f>IF('Clinical resources'!B55&lt;&gt;"",'CR Backing (Hide)'!E52,"")</f>
        <v/>
      </c>
    </row>
    <row r="58" spans="1:1" x14ac:dyDescent="0.25">
      <c r="A58" t="str">
        <f>IF('Clinical resources'!B56&lt;&gt;"",'CR Backing (Hide)'!E53,"")</f>
        <v/>
      </c>
    </row>
    <row r="59" spans="1:1" x14ac:dyDescent="0.25">
      <c r="A59" t="str">
        <f>IF('Clinical resources'!B57&lt;&gt;"",'CR Backing (Hide)'!E54,"")</f>
        <v/>
      </c>
    </row>
    <row r="60" spans="1:1" x14ac:dyDescent="0.25">
      <c r="A60" t="str">
        <f>IF('Clinical resources'!B58&lt;&gt;"",'CR Backing (Hide)'!E55,"")</f>
        <v/>
      </c>
    </row>
    <row r="61" spans="1:1" x14ac:dyDescent="0.25">
      <c r="A61" t="str">
        <f>IF('Clinical resources'!B59&lt;&gt;"",'CR Backing (Hide)'!E56,"")</f>
        <v/>
      </c>
    </row>
    <row r="62" spans="1:1" x14ac:dyDescent="0.25">
      <c r="A62" t="str">
        <f>IF('Clinical resources'!B60&lt;&gt;"",'CR Backing (Hide)'!E57,"")</f>
        <v/>
      </c>
    </row>
    <row r="63" spans="1:1" x14ac:dyDescent="0.25">
      <c r="A63" t="str">
        <f>IF('Clinical resources'!B61&lt;&gt;"",'CR Backing (Hide)'!E58,"")</f>
        <v/>
      </c>
    </row>
    <row r="64" spans="1:1" x14ac:dyDescent="0.25">
      <c r="A64" t="str">
        <f>IF('Clinical resources'!B62&lt;&gt;"",'CR Backing (Hide)'!E59,"")</f>
        <v/>
      </c>
    </row>
    <row r="65" spans="1:1" x14ac:dyDescent="0.25">
      <c r="A65" t="str">
        <f>IF('Clinical resources'!B63&lt;&gt;"",'CR Backing (Hide)'!E60,"")</f>
        <v/>
      </c>
    </row>
    <row r="66" spans="1:1" x14ac:dyDescent="0.25">
      <c r="A66" t="str">
        <f>IF('Clinical resources'!B64&lt;&gt;"",'CR Backing (Hide)'!E61,"")</f>
        <v/>
      </c>
    </row>
    <row r="67" spans="1:1" x14ac:dyDescent="0.25">
      <c r="A67" t="str">
        <f>IF('Clinical resources'!B65&lt;&gt;"",'CR Backing (Hide)'!E62,"")</f>
        <v/>
      </c>
    </row>
    <row r="68" spans="1:1" x14ac:dyDescent="0.25">
      <c r="A68" t="str">
        <f>IF('Clinical resources'!B66&lt;&gt;"",'CR Backing (Hide)'!E63,"")</f>
        <v/>
      </c>
    </row>
    <row r="69" spans="1:1" x14ac:dyDescent="0.25">
      <c r="A69" t="str">
        <f>IF('Clinical resources'!B67&lt;&gt;"",'CR Backing (Hide)'!E64,"")</f>
        <v/>
      </c>
    </row>
    <row r="70" spans="1:1" x14ac:dyDescent="0.25">
      <c r="A70" t="str">
        <f>IF('Clinical resources'!B68&lt;&gt;"",'CR Backing (Hide)'!E65,"")</f>
        <v/>
      </c>
    </row>
    <row r="71" spans="1:1" x14ac:dyDescent="0.25">
      <c r="A71" t="str">
        <f>IF('Clinical resources'!B69&lt;&gt;"",'CR Backing (Hide)'!E66,"")</f>
        <v/>
      </c>
    </row>
    <row r="72" spans="1:1" x14ac:dyDescent="0.25">
      <c r="A72" t="str">
        <f>IF('Clinical resources'!B70&lt;&gt;"",'CR Backing (Hide)'!E67,"")</f>
        <v/>
      </c>
    </row>
    <row r="73" spans="1:1" x14ac:dyDescent="0.25">
      <c r="A73" t="str">
        <f>IF('Clinical resources'!B71&lt;&gt;"",'CR Backing (Hide)'!E68,"")</f>
        <v/>
      </c>
    </row>
    <row r="74" spans="1:1" x14ac:dyDescent="0.25">
      <c r="A74" t="str">
        <f>IF('Clinical resources'!B72&lt;&gt;"",'CR Backing (Hide)'!E69,"")</f>
        <v/>
      </c>
    </row>
    <row r="75" spans="1:1" x14ac:dyDescent="0.25">
      <c r="A75" t="str">
        <f>IF('Clinical resources'!B73&lt;&gt;"",'CR Backing (Hide)'!E70,"")</f>
        <v/>
      </c>
    </row>
    <row r="76" spans="1:1" x14ac:dyDescent="0.25">
      <c r="A76" t="str">
        <f>IF('Clinical resources'!B74&lt;&gt;"",'CR Backing (Hide)'!E71,"")</f>
        <v/>
      </c>
    </row>
    <row r="77" spans="1:1" x14ac:dyDescent="0.25">
      <c r="A77" t="str">
        <f>IF('Clinical resources'!B75&lt;&gt;"",'CR Backing (Hide)'!E72,"")</f>
        <v/>
      </c>
    </row>
    <row r="78" spans="1:1" x14ac:dyDescent="0.25">
      <c r="A78" t="str">
        <f>IF('Clinical resources'!B76&lt;&gt;"",'CR Backing (Hide)'!E73,"")</f>
        <v/>
      </c>
    </row>
    <row r="79" spans="1:1" x14ac:dyDescent="0.25">
      <c r="A79" t="str">
        <f>IF('Clinical resources'!B77&lt;&gt;"",'CR Backing (Hide)'!E74,"")</f>
        <v/>
      </c>
    </row>
    <row r="80" spans="1:1" x14ac:dyDescent="0.25">
      <c r="A80" t="str">
        <f>IF('Clinical resources'!B78&lt;&gt;"",'CR Backing (Hide)'!E75,"")</f>
        <v/>
      </c>
    </row>
    <row r="81" spans="1:1" x14ac:dyDescent="0.25">
      <c r="A81" t="str">
        <f>IF('Clinical resources'!B79&lt;&gt;"",'CR Backing (Hide)'!E76,"")</f>
        <v/>
      </c>
    </row>
    <row r="82" spans="1:1" x14ac:dyDescent="0.25">
      <c r="A82" t="str">
        <f>IF('Clinical resources'!B80&lt;&gt;"",'CR Backing (Hide)'!E77,"")</f>
        <v/>
      </c>
    </row>
    <row r="83" spans="1:1" x14ac:dyDescent="0.25">
      <c r="A83" t="str">
        <f>IF('Clinical resources'!B81&lt;&gt;"",'CR Backing (Hide)'!E78,"")</f>
        <v/>
      </c>
    </row>
    <row r="84" spans="1:1" x14ac:dyDescent="0.25">
      <c r="A84" t="str">
        <f>IF('Clinical resources'!B82&lt;&gt;"",'CR Backing (Hide)'!E79,"")</f>
        <v/>
      </c>
    </row>
    <row r="85" spans="1:1" x14ac:dyDescent="0.25">
      <c r="A85" t="str">
        <f>IF('Clinical resources'!B83&lt;&gt;"",'CR Backing (Hide)'!E80,"")</f>
        <v/>
      </c>
    </row>
    <row r="86" spans="1:1" x14ac:dyDescent="0.25">
      <c r="A86" t="str">
        <f>IF('Clinical resources'!B84&lt;&gt;"",'CR Backing (Hide)'!E81,"")</f>
        <v/>
      </c>
    </row>
    <row r="87" spans="1:1" x14ac:dyDescent="0.25">
      <c r="A87" t="str">
        <f>IF('Clinical resources'!B85&lt;&gt;"",'CR Backing (Hide)'!E82,"")</f>
        <v/>
      </c>
    </row>
    <row r="88" spans="1:1" x14ac:dyDescent="0.25">
      <c r="A88" t="str">
        <f>IF('Clinical resources'!B86&lt;&gt;"",'CR Backing (Hide)'!E83,"")</f>
        <v/>
      </c>
    </row>
    <row r="89" spans="1:1" x14ac:dyDescent="0.25">
      <c r="A89" t="str">
        <f>IF('Clinical resources'!B87&lt;&gt;"",'CR Backing (Hide)'!E84,"")</f>
        <v/>
      </c>
    </row>
    <row r="90" spans="1:1" x14ac:dyDescent="0.25">
      <c r="A90" t="str">
        <f>IF('Clinical resources'!B88&lt;&gt;"",'CR Backing (Hide)'!E85,"")</f>
        <v/>
      </c>
    </row>
    <row r="91" spans="1:1" x14ac:dyDescent="0.25">
      <c r="A91" t="str">
        <f>IF('Clinical resources'!B89&lt;&gt;"",'CR Backing (Hide)'!E86,"")</f>
        <v/>
      </c>
    </row>
    <row r="92" spans="1:1" x14ac:dyDescent="0.25">
      <c r="A92" t="str">
        <f>IF('Clinical resources'!B90&lt;&gt;"",'CR Backing (Hide)'!E87,"")</f>
        <v/>
      </c>
    </row>
    <row r="93" spans="1:1" x14ac:dyDescent="0.25">
      <c r="A93" t="str">
        <f>IF('Clinical resources'!B91&lt;&gt;"",'CR Backing (Hide)'!E88,"")</f>
        <v/>
      </c>
    </row>
    <row r="94" spans="1:1" x14ac:dyDescent="0.25">
      <c r="A94" t="str">
        <f>IF('Clinical resources'!B92&lt;&gt;"",'CR Backing (Hide)'!E89,"")</f>
        <v/>
      </c>
    </row>
    <row r="95" spans="1:1" x14ac:dyDescent="0.25">
      <c r="A95" t="str">
        <f>IF('Clinical resources'!B93&lt;&gt;"",'CR Backing (Hide)'!E90,"")</f>
        <v/>
      </c>
    </row>
    <row r="96" spans="1:1" x14ac:dyDescent="0.25">
      <c r="A96" t="str">
        <f>IF('Clinical resources'!B94&lt;&gt;"",'CR Backing (Hide)'!E91,"")</f>
        <v/>
      </c>
    </row>
    <row r="97" spans="1:1" x14ac:dyDescent="0.25">
      <c r="A97" t="str">
        <f>IF('Clinical resources'!B95&lt;&gt;"",'CR Backing (Hide)'!E92,"")</f>
        <v/>
      </c>
    </row>
    <row r="98" spans="1:1" x14ac:dyDescent="0.25">
      <c r="A98" t="str">
        <f>IF('Clinical resources'!B96&lt;&gt;"",'CR Backing (Hide)'!E93,"")</f>
        <v/>
      </c>
    </row>
    <row r="99" spans="1:1" x14ac:dyDescent="0.25">
      <c r="A99" t="str">
        <f>IF('Clinical resources'!B97&lt;&gt;"",'CR Backing (Hide)'!E94,"")</f>
        <v/>
      </c>
    </row>
    <row r="100" spans="1:1" x14ac:dyDescent="0.25">
      <c r="A100" t="str">
        <f>IF('Clinical resources'!B98&lt;&gt;"",'CR Backing (Hide)'!E95,"")</f>
        <v/>
      </c>
    </row>
    <row r="101" spans="1:1" x14ac:dyDescent="0.25">
      <c r="A101" t="str">
        <f>IF('Clinical resources'!B99&lt;&gt;"",'CR Backing (Hide)'!E96,"")</f>
        <v/>
      </c>
    </row>
    <row r="102" spans="1:1" x14ac:dyDescent="0.25">
      <c r="A102" t="str">
        <f>IF('Clinical resources'!B100&lt;&gt;"",'CR Backing (Hide)'!E97,"")</f>
        <v/>
      </c>
    </row>
    <row r="103" spans="1:1" x14ac:dyDescent="0.25">
      <c r="A103" t="str">
        <f>IF('Clinical resources'!B101&lt;&gt;"",'CR Backing (Hide)'!E98,"")</f>
        <v/>
      </c>
    </row>
    <row r="104" spans="1:1" x14ac:dyDescent="0.25">
      <c r="A104" t="str">
        <f>IF('Clinical resources'!B102&lt;&gt;"",'CR Backing (Hide)'!E99,"")</f>
        <v/>
      </c>
    </row>
    <row r="105" spans="1:1" x14ac:dyDescent="0.25">
      <c r="A105" t="str">
        <f>IF('Clinical resources'!B103&lt;&gt;"",'CR Backing (Hide)'!E100,"")</f>
        <v/>
      </c>
    </row>
    <row r="106" spans="1:1" x14ac:dyDescent="0.25">
      <c r="A106" t="str">
        <f>IF('Clinical resources'!B104&lt;&gt;"",'CR Backing (Hide)'!E101,"")</f>
        <v/>
      </c>
    </row>
    <row r="107" spans="1:1" x14ac:dyDescent="0.25">
      <c r="A107" t="str">
        <f>IF('Clinical resources'!B105&lt;&gt;"",'CR Backing (Hide)'!E102,"")</f>
        <v/>
      </c>
    </row>
    <row r="108" spans="1:1" x14ac:dyDescent="0.25">
      <c r="A108" t="str">
        <f>IF('Clinical resources'!B106&lt;&gt;"",'CR Backing (Hide)'!E103,"")</f>
        <v/>
      </c>
    </row>
  </sheetData>
  <sheetProtection algorithmName="SHA-512" hashValue="jIDsrzUZa5DVpCtlP4qdugcm/+9bgTD1JDvEcS43dHE52ir9lfD5yaL+ZHzizSLL8WollI3hGXkd6f17zED+AQ==" saltValue="0iNPKGE6n9a44qM7frGX1A==" spinCount="100000" sheet="1" objects="1" scenarios="1"/>
  <mergeCells count="15">
    <mergeCell ref="L2:L8"/>
    <mergeCell ref="G2:G8"/>
    <mergeCell ref="H2:H8"/>
    <mergeCell ref="I2:I8"/>
    <mergeCell ref="J2:J8"/>
    <mergeCell ref="K2:K8"/>
    <mergeCell ref="S2:S8"/>
    <mergeCell ref="T2:T8"/>
    <mergeCell ref="U2:U8"/>
    <mergeCell ref="M2:M8"/>
    <mergeCell ref="N2:N8"/>
    <mergeCell ref="O2:O8"/>
    <mergeCell ref="P2:P8"/>
    <mergeCell ref="Q2:Q8"/>
    <mergeCell ref="R2:R8"/>
  </mergeCells>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ht="15.75" thickBot="1" x14ac:dyDescent="0.3">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hidden="1"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hidden="1"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hidden="1"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hidden="1"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hidden="1"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hidden="1"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idden="1"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t="15.75" hidden="1" thickBot="1" x14ac:dyDescent="0.3">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ht="15.75" thickBot="1" x14ac:dyDescent="0.3">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hidden="1"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hidden="1"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hidden="1"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hidden="1"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hidden="1"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hidden="1"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idden="1"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t="15.75" hidden="1" thickBot="1" x14ac:dyDescent="0.3">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ht="15.75" thickBot="1" x14ac:dyDescent="0.3">
      <c r="A65" s="47" t="str">
        <f>Setup!A22</f>
        <v>Caseload 3</v>
      </c>
      <c r="B65" s="100">
        <f ca="1">'Planning Backing (Hide)'!B84</f>
        <v>0</v>
      </c>
      <c r="C65" s="100">
        <f ca="1">'Planning Backing (Hide)'!C84</f>
        <v>0</v>
      </c>
      <c r="D65" s="121"/>
      <c r="E65" s="121"/>
    </row>
    <row r="66" spans="1:5" hidden="1" x14ac:dyDescent="0.25">
      <c r="A66" s="47" t="str">
        <f>Setup!A23</f>
        <v>Caseload 4</v>
      </c>
      <c r="B66" s="100">
        <f ca="1">'Planning Backing (Hide)'!B85</f>
        <v>0</v>
      </c>
      <c r="C66" s="100">
        <f ca="1">'Planning Backing (Hide)'!C85</f>
        <v>0</v>
      </c>
      <c r="D66" s="121"/>
      <c r="E66" s="121"/>
    </row>
    <row r="67" spans="1:5" hidden="1" x14ac:dyDescent="0.25">
      <c r="A67" s="47" t="str">
        <f>Setup!A24</f>
        <v>Caseload 5</v>
      </c>
      <c r="B67" s="100">
        <f ca="1">'Planning Backing (Hide)'!B86</f>
        <v>0</v>
      </c>
      <c r="C67" s="100">
        <f ca="1">'Planning Backing (Hide)'!C86</f>
        <v>0</v>
      </c>
      <c r="D67" s="121"/>
      <c r="E67" s="121"/>
    </row>
    <row r="68" spans="1:5" hidden="1" x14ac:dyDescent="0.25">
      <c r="A68" s="47" t="str">
        <f>Setup!A25</f>
        <v>Caseload 6</v>
      </c>
      <c r="B68" s="74">
        <f ca="1">'Planning Backing (Hide)'!B87</f>
        <v>0</v>
      </c>
      <c r="C68" s="74">
        <f ca="1">'Planning Backing (Hide)'!C87</f>
        <v>0</v>
      </c>
      <c r="D68" s="121"/>
      <c r="E68" s="121"/>
    </row>
    <row r="69" spans="1:5" hidden="1" x14ac:dyDescent="0.25">
      <c r="A69" s="47" t="str">
        <f>Setup!A26</f>
        <v>Caseload 7</v>
      </c>
      <c r="B69" s="74">
        <f ca="1">'Planning Backing (Hide)'!B88</f>
        <v>0</v>
      </c>
      <c r="C69" s="74">
        <f ca="1">'Planning Backing (Hide)'!C88</f>
        <v>0</v>
      </c>
      <c r="D69" s="121"/>
      <c r="E69" s="121"/>
    </row>
    <row r="70" spans="1:5" hidden="1" x14ac:dyDescent="0.25">
      <c r="A70" s="47" t="str">
        <f>Setup!A27</f>
        <v>Caseload 8</v>
      </c>
      <c r="B70" s="74">
        <f ca="1">'Planning Backing (Hide)'!B89</f>
        <v>0</v>
      </c>
      <c r="C70" s="74">
        <f ca="1">'Planning Backing (Hide)'!C89</f>
        <v>0</v>
      </c>
      <c r="D70" s="121"/>
      <c r="E70" s="121"/>
    </row>
    <row r="71" spans="1:5" hidden="1" x14ac:dyDescent="0.25">
      <c r="A71" s="47" t="str">
        <f>Setup!A28</f>
        <v>Caseload 9</v>
      </c>
      <c r="B71" s="74">
        <f ca="1">'Planning Backing (Hide)'!B90</f>
        <v>0</v>
      </c>
      <c r="C71" s="74">
        <f ca="1">'Planning Backing (Hide)'!C90</f>
        <v>0</v>
      </c>
      <c r="D71" s="121"/>
      <c r="E71" s="121"/>
    </row>
    <row r="72" spans="1:5" hidden="1" x14ac:dyDescent="0.25">
      <c r="A72" s="47" t="str">
        <f>Setup!A29</f>
        <v>Caseload 10</v>
      </c>
      <c r="B72" s="74">
        <f ca="1">'Planning Backing (Hide)'!B91</f>
        <v>0</v>
      </c>
      <c r="C72" s="74">
        <f ca="1">'Planning Backing (Hide)'!C91</f>
        <v>0</v>
      </c>
      <c r="D72" s="121"/>
      <c r="E72" s="121"/>
    </row>
    <row r="73" spans="1:5" ht="15.75" hidden="1" thickBot="1" x14ac:dyDescent="0.3">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KQJXhjCIX2sqvrzC5PsjaEtB+9Jk/JYtMyjlAXBEbe9YtovTurnnaxLldDyKjYzJc83DF09gx+vsBDr3ttrNww==" saltValue="O5keILssKm67hF1KagBrs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hidden="1" x14ac:dyDescent="0.25">
      <c r="I66" s="14" t="str">
        <f>'Data Validation (Hide)'!B5</f>
        <v>Caseload 4</v>
      </c>
      <c r="J66" s="5" cm="1">
        <f t="array" ref="J66">INDEX($J$59:$DA$60,1,MATCH(1,($I66=$J$1:$CU$1)*($J$62=$J$4:$CU$4)*(Planning!$M$2=$J$2:$CU$2),0))</f>
        <v>0</v>
      </c>
      <c r="K66" s="5" cm="1">
        <f t="array" ref="K66">INDEX($J$59:$DA$60,1,MATCH(1,($I66=$J$1:$CU$1)*($K$62=$J$58:$CU$58)*(Planning!$M$2=$J$2:$CU$2),0))</f>
        <v>0</v>
      </c>
    </row>
    <row r="67" spans="1:11" hidden="1" x14ac:dyDescent="0.25">
      <c r="I67" s="14" t="str">
        <f>'Data Validation (Hide)'!B6</f>
        <v>Caseload 5</v>
      </c>
      <c r="J67" s="5" cm="1">
        <f t="array" ref="J67">INDEX($J$59:$DA$60,1,MATCH(1,($I67=$J$1:$CU$1)*($J$62=$J$4:$CU$4)*(Planning!$M$2=$J$2:$CU$2),0))</f>
        <v>0</v>
      </c>
      <c r="K67" s="5" cm="1">
        <f t="array" ref="K67">INDEX($J$59:$DA$60,1,MATCH(1,($I67=$J$1:$CU$1)*($K$62=$J$58:$CU$58)*(Planning!$M$2=$J$2:$CU$2),0))</f>
        <v>0</v>
      </c>
    </row>
    <row r="68" spans="1:11" hidden="1" x14ac:dyDescent="0.25">
      <c r="I68" s="14" t="str">
        <f>'Data Validation (Hide)'!B7</f>
        <v>Caseload 6</v>
      </c>
      <c r="J68" cm="1">
        <f t="array" ref="J68">INDEX($J$59:$DA$60,1,MATCH(1,($I68=$J$1:$CU$1)*($J$62=$J$4:$CU$4)*(Planning!$M$2=$J$2:$CU$2),0))</f>
        <v>0</v>
      </c>
      <c r="K68" s="5" cm="1">
        <f t="array" ref="K68">INDEX($J$59:$DA$60,1,MATCH(1,($I68=$J$1:$CU$1)*($K$62=$J$58:$CU$58)*(Planning!$M$2=$J$2:$CU$2),0))</f>
        <v>0</v>
      </c>
    </row>
    <row r="69" spans="1:11" hidden="1" x14ac:dyDescent="0.25">
      <c r="I69" s="14" t="str">
        <f>'Data Validation (Hide)'!B8</f>
        <v>Caseload 7</v>
      </c>
      <c r="J69" cm="1">
        <f t="array" ref="J69">INDEX($J$59:$DA$60,1,MATCH(1,($I69=$J$1:$CU$1)*($J$62=$J$4:$CU$4)*(Planning!$M$2=$J$2:$CU$2),0))</f>
        <v>0</v>
      </c>
      <c r="K69" s="5" cm="1">
        <f t="array" ref="K69">INDEX($J$59:$DA$60,1,MATCH(1,($I69=$J$1:$CU$1)*($K$62=$J$58:$CU$58)*(Planning!$M$2=$J$2:$CU$2),0))</f>
        <v>0</v>
      </c>
    </row>
    <row r="70" spans="1:11" hidden="1" x14ac:dyDescent="0.25">
      <c r="I70" s="14" t="str">
        <f>'Data Validation (Hide)'!B9</f>
        <v>Caseload 8</v>
      </c>
      <c r="J70" cm="1">
        <f t="array" ref="J70">INDEX($J$59:$DA$60,1,MATCH(1,($I70=$J$1:$CU$1)*($J$62=$J$4:$CU$4)*(Planning!$M$2=$J$2:$CU$2),0))</f>
        <v>0</v>
      </c>
      <c r="K70" s="5" cm="1">
        <f t="array" ref="K70">INDEX($J$59:$DA$60,1,MATCH(1,($I70=$J$1:$CU$1)*($K$62=$J$58:$CU$58)*(Planning!$M$2=$J$2:$CU$2),0))</f>
        <v>0</v>
      </c>
    </row>
    <row r="71" spans="1:11" hidden="1" x14ac:dyDescent="0.25">
      <c r="I71" s="14" t="str">
        <f>'Data Validation (Hide)'!B10</f>
        <v>Caseload 9</v>
      </c>
      <c r="J71" cm="1">
        <f t="array" ref="J71">INDEX($J$59:$DA$60,1,MATCH(1,($I71=$J$1:$CU$1)*($J$62=$J$4:$CU$4)*(Planning!$M$2=$J$2:$CU$2),0))</f>
        <v>0</v>
      </c>
      <c r="K71" s="5" cm="1">
        <f t="array" ref="K71">INDEX($J$59:$DA$60,1,MATCH(1,($I71=$J$1:$CU$1)*($K$62=$J$58:$CU$58)*(Planning!$M$2=$J$2:$CU$2),0))</f>
        <v>0</v>
      </c>
    </row>
    <row r="72" spans="1:11" hidden="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hidden="1"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hidden="1"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2021-08-05T13:53:10Z</dcterms:modified>
</cp:coreProperties>
</file>