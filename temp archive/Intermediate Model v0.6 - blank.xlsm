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83F486CE-F5BF-4849-8D69-F31CCB8EEDEA}" xr6:coauthVersionLast="45" xr6:coauthVersionMax="45" xr10:uidLastSave="{00000000-0000-0000-0000-000000000000}"/>
  <bookViews>
    <workbookView xWindow="20" yWindow="0" windowWidth="25580" windowHeight="1380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B69" i="8" a="1"/>
  <c r="B69" i="8" s="1"/>
  <c r="B36" i="8" l="1" a="1"/>
  <c r="B36" i="8" s="1"/>
  <c r="B31" i="8" a="1"/>
  <c r="B31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O70" i="8"/>
  <c r="M70" i="8"/>
  <c r="I70" i="8"/>
  <c r="K70" i="8"/>
  <c r="N70" i="8"/>
  <c r="J70" i="8"/>
  <c r="L70" i="8"/>
  <c r="G70" i="8"/>
  <c r="C70" i="8"/>
  <c r="D70" i="8"/>
  <c r="F70" i="8"/>
  <c r="E70" i="8"/>
  <c r="B70" i="8"/>
  <c r="M20" i="14"/>
  <c r="O20" i="14" s="1"/>
  <c r="Q72" i="8" s="1"/>
  <c r="L20" i="14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J4" i="6" l="1"/>
  <c r="I4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I66" i="13" l="1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19" i="6" a="1"/>
  <c r="B19" i="6" s="1"/>
  <c r="A115" i="13" s="1"/>
  <c r="D115" i="13" s="1" a="1"/>
  <c r="D115" i="13" s="1"/>
  <c r="B21" i="6" a="1"/>
  <c r="B21" i="6" s="1"/>
  <c r="A117" i="13" s="1"/>
  <c r="D117" i="13" s="1" a="1"/>
  <c r="D117" i="13" s="1"/>
  <c r="B22" i="6" a="1"/>
  <c r="B22" i="6" s="1"/>
  <c r="A118" i="13" s="1"/>
  <c r="D118" i="13" s="1" a="1"/>
  <c r="D118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73" i="6" a="1"/>
  <c r="B73" i="6" s="1"/>
  <c r="A169" i="13" s="1"/>
  <c r="D169" i="13" s="1" a="1"/>
  <c r="D169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I72" i="13"/>
  <c r="B52" i="6" a="1"/>
  <c r="B52" i="6" s="1"/>
  <c r="A148" i="13" s="1"/>
  <c r="D148" i="13" s="1" a="1"/>
  <c r="D148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3" i="6" a="1"/>
  <c r="B33" i="6" s="1"/>
  <c r="A129" i="13" s="1"/>
  <c r="D129" i="13" s="1" a="1"/>
  <c r="D129" i="13" s="1"/>
  <c r="B32" i="6" a="1"/>
  <c r="B32" i="6" s="1"/>
  <c r="A128" i="13" s="1"/>
  <c r="D128" i="13" s="1" a="1"/>
  <c r="D128" i="13" s="1"/>
  <c r="B31" i="6" a="1"/>
  <c r="B31" i="6" s="1"/>
  <c r="A127" i="13" s="1"/>
  <c r="D127" i="13" s="1" a="1"/>
  <c r="D127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4" i="6" a="1"/>
  <c r="B64" i="6" s="1"/>
  <c r="A160" i="13" s="1"/>
  <c r="D160" i="13" s="1" a="1"/>
  <c r="D160" i="13" s="1"/>
  <c r="B65" i="6" a="1"/>
  <c r="B65" i="6" s="1"/>
  <c r="A161" i="13" s="1"/>
  <c r="D161" i="13" s="1" a="1"/>
  <c r="D161" i="13" s="1"/>
  <c r="B67" i="6" a="1"/>
  <c r="B67" i="6" s="1"/>
  <c r="A163" i="13" s="1"/>
  <c r="D163" i="13" s="1" a="1"/>
  <c r="D163" i="13" s="1"/>
  <c r="B66" i="6" a="1"/>
  <c r="B66" i="6" s="1"/>
  <c r="A162" i="13" s="1"/>
  <c r="D162" i="13" s="1" a="1"/>
  <c r="D162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5" i="6" a="1"/>
  <c r="B25" i="6" s="1"/>
  <c r="A121" i="13" s="1"/>
  <c r="D121" i="13" s="1" a="1"/>
  <c r="D121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2" i="6" a="1"/>
  <c r="B62" i="6" s="1"/>
  <c r="A158" i="13" s="1"/>
  <c r="D158" i="13" s="1" a="1"/>
  <c r="D158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0" i="6" a="1"/>
  <c r="B40" i="6" s="1"/>
  <c r="A136" i="13" s="1"/>
  <c r="D136" i="13" s="1" a="1"/>
  <c r="D136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5" i="6" a="1"/>
  <c r="B75" i="6" s="1"/>
  <c r="A171" i="13" s="1"/>
  <c r="D171" i="13" s="1" a="1"/>
  <c r="D171" i="13" s="1"/>
  <c r="B78" i="6" a="1"/>
  <c r="B78" i="6" s="1"/>
  <c r="A174" i="13" s="1"/>
  <c r="D174" i="13" s="1" a="1"/>
  <c r="D174" i="13" s="1"/>
  <c r="B76" i="6" a="1"/>
  <c r="B76" i="6" s="1"/>
  <c r="A172" i="13" s="1"/>
  <c r="D172" i="13" s="1" a="1"/>
  <c r="D172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6" i="6" a="1"/>
  <c r="B56" i="6" s="1"/>
  <c r="A152" i="13" s="1"/>
  <c r="D152" i="13" s="1" a="1"/>
  <c r="D152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I69" i="13"/>
  <c r="B36" i="6" a="1"/>
  <c r="B36" i="6" s="1"/>
  <c r="A132" i="13" s="1"/>
  <c r="D132" i="13" s="1" a="1"/>
  <c r="D132" i="13" s="1"/>
  <c r="B38" i="6" a="1"/>
  <c r="B38" i="6" s="1"/>
  <c r="A134" i="13" s="1"/>
  <c r="D134" i="13" s="1" a="1"/>
  <c r="D134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I65" i="13"/>
  <c r="B16" i="6" a="1"/>
  <c r="B16" i="6" s="1"/>
  <c r="A112" i="13" s="1"/>
  <c r="D112" i="13" s="1" a="1"/>
  <c r="D112" i="13" s="1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P20" i="14" l="1"/>
  <c r="R20" i="14"/>
  <c r="S20" i="14"/>
  <c r="Q20" i="14"/>
  <c r="G130" i="13"/>
  <c r="H130" i="13"/>
  <c r="I130" i="13"/>
  <c r="G137" i="13"/>
  <c r="I137" i="13"/>
  <c r="H137" i="13"/>
  <c r="I124" i="13"/>
  <c r="H124" i="13"/>
  <c r="G124" i="13"/>
  <c r="G162" i="13"/>
  <c r="H162" i="13"/>
  <c r="I162" i="13"/>
  <c r="G127" i="13"/>
  <c r="I127" i="13"/>
  <c r="H127" i="13"/>
  <c r="I166" i="13"/>
  <c r="H166" i="13"/>
  <c r="G166" i="13"/>
  <c r="G111" i="13"/>
  <c r="I111" i="13"/>
  <c r="H111" i="13"/>
  <c r="H134" i="13"/>
  <c r="G134" i="13"/>
  <c r="I134" i="13"/>
  <c r="G150" i="13"/>
  <c r="H150" i="13"/>
  <c r="I150" i="13"/>
  <c r="G173" i="13"/>
  <c r="I173" i="13"/>
  <c r="H173" i="13"/>
  <c r="I139" i="13"/>
  <c r="G139" i="13"/>
  <c r="H139" i="13"/>
  <c r="G155" i="13"/>
  <c r="H155" i="13"/>
  <c r="I155" i="13"/>
  <c r="G123" i="13"/>
  <c r="H123" i="13"/>
  <c r="I123" i="13"/>
  <c r="H142" i="13"/>
  <c r="I142" i="13"/>
  <c r="G142" i="13"/>
  <c r="G163" i="13"/>
  <c r="I163" i="13"/>
  <c r="H163" i="13"/>
  <c r="I109" i="13"/>
  <c r="G109" i="13"/>
  <c r="H109" i="13"/>
  <c r="G128" i="13"/>
  <c r="I128" i="13"/>
  <c r="H128" i="13"/>
  <c r="G147" i="13"/>
  <c r="I147" i="13"/>
  <c r="H147" i="13"/>
  <c r="G165" i="13"/>
  <c r="I165" i="13"/>
  <c r="H165" i="13"/>
  <c r="H119" i="13"/>
  <c r="I119" i="13"/>
  <c r="G119" i="13"/>
  <c r="I114" i="13"/>
  <c r="H114" i="13"/>
  <c r="G114" i="13"/>
  <c r="I153" i="13"/>
  <c r="G153" i="13"/>
  <c r="H153" i="13"/>
  <c r="G171" i="13"/>
  <c r="I171" i="13"/>
  <c r="H171" i="13"/>
  <c r="G135" i="13"/>
  <c r="I135" i="13"/>
  <c r="H135" i="13"/>
  <c r="G122" i="13"/>
  <c r="H122" i="13"/>
  <c r="I122" i="13"/>
  <c r="G107" i="13"/>
  <c r="I107" i="13"/>
  <c r="H107" i="13"/>
  <c r="G125" i="13"/>
  <c r="I125" i="13"/>
  <c r="H125" i="13"/>
  <c r="G167" i="13"/>
  <c r="H167" i="13"/>
  <c r="I167" i="13"/>
  <c r="I113" i="13"/>
  <c r="G113" i="13"/>
  <c r="H113" i="13"/>
  <c r="H131" i="13"/>
  <c r="G131" i="13"/>
  <c r="I131" i="13"/>
  <c r="G132" i="13"/>
  <c r="I132" i="13"/>
  <c r="H132" i="13"/>
  <c r="G152" i="13"/>
  <c r="I152" i="13"/>
  <c r="H152" i="13"/>
  <c r="I172" i="13"/>
  <c r="H172" i="13"/>
  <c r="G172" i="13"/>
  <c r="G170" i="13"/>
  <c r="I170" i="13"/>
  <c r="H170" i="13"/>
  <c r="G136" i="13"/>
  <c r="H136" i="13"/>
  <c r="I136" i="13"/>
  <c r="H159" i="13"/>
  <c r="G159" i="13"/>
  <c r="I159" i="13"/>
  <c r="G157" i="13"/>
  <c r="I157" i="13"/>
  <c r="H157" i="13"/>
  <c r="G120" i="13"/>
  <c r="H120" i="13" s="1"/>
  <c r="I120" i="13"/>
  <c r="I144" i="13"/>
  <c r="H144" i="13"/>
  <c r="G144" i="13"/>
  <c r="G141" i="13"/>
  <c r="H141" i="13"/>
  <c r="I141" i="13"/>
  <c r="G161" i="13"/>
  <c r="H161" i="13"/>
  <c r="I161" i="13"/>
  <c r="G105" i="13"/>
  <c r="I105" i="13" s="1"/>
  <c r="I106" i="13"/>
  <c r="G106" i="13"/>
  <c r="H106" i="13" s="1"/>
  <c r="I129" i="13"/>
  <c r="H129" i="13"/>
  <c r="G129" i="13"/>
  <c r="I149" i="13"/>
  <c r="H149" i="13"/>
  <c r="G149" i="13"/>
  <c r="G148" i="13"/>
  <c r="H148" i="13"/>
  <c r="I148" i="13"/>
  <c r="I169" i="13"/>
  <c r="H169" i="13"/>
  <c r="G169" i="13"/>
  <c r="G118" i="13"/>
  <c r="I118" i="13"/>
  <c r="H118" i="13"/>
  <c r="G116" i="13"/>
  <c r="H116" i="13"/>
  <c r="I116" i="13"/>
  <c r="G112" i="13"/>
  <c r="I112" i="13"/>
  <c r="H112" i="13"/>
  <c r="G151" i="13"/>
  <c r="I151" i="13"/>
  <c r="H151" i="13"/>
  <c r="I158" i="13"/>
  <c r="H158" i="13"/>
  <c r="G158" i="13"/>
  <c r="I140" i="13"/>
  <c r="G140" i="13"/>
  <c r="H140" i="13"/>
  <c r="G164" i="13"/>
  <c r="I164" i="13"/>
  <c r="H164" i="13"/>
  <c r="G145" i="13"/>
  <c r="H145" i="13"/>
  <c r="I145" i="13"/>
  <c r="I115" i="13"/>
  <c r="G115" i="13"/>
  <c r="H115" i="13" s="1"/>
  <c r="G110" i="13"/>
  <c r="I110" i="13" s="1"/>
  <c r="H110" i="13"/>
  <c r="G133" i="13"/>
  <c r="H133" i="13"/>
  <c r="I133" i="13"/>
  <c r="H154" i="13"/>
  <c r="I154" i="13"/>
  <c r="G154" i="13"/>
  <c r="H174" i="13"/>
  <c r="G174" i="13"/>
  <c r="I174" i="13"/>
  <c r="G138" i="13"/>
  <c r="H138" i="13"/>
  <c r="I138" i="13"/>
  <c r="G156" i="13"/>
  <c r="I156" i="13"/>
  <c r="H156" i="13"/>
  <c r="G121" i="13"/>
  <c r="I121" i="13"/>
  <c r="H121" i="13"/>
  <c r="G143" i="13"/>
  <c r="I143" i="13"/>
  <c r="H143" i="13"/>
  <c r="G160" i="13"/>
  <c r="I160" i="13"/>
  <c r="H160" i="13"/>
  <c r="G108" i="13"/>
  <c r="H108" i="13"/>
  <c r="I108" i="13"/>
  <c r="G126" i="13"/>
  <c r="H126" i="13"/>
  <c r="I126" i="13"/>
  <c r="I146" i="13"/>
  <c r="H146" i="13"/>
  <c r="G146" i="13"/>
  <c r="I168" i="13"/>
  <c r="G168" i="13"/>
  <c r="H168" i="13"/>
  <c r="G117" i="13"/>
  <c r="I117" i="13"/>
  <c r="H117" i="13"/>
  <c r="G103" i="13"/>
  <c r="I103" i="13" s="1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H104" i="13"/>
  <c r="G104" i="13"/>
  <c r="I104" i="13" s="1"/>
  <c r="G102" i="13"/>
  <c r="I102" i="13" s="1"/>
  <c r="H102" i="13"/>
  <c r="G101" i="13"/>
  <c r="H101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U20" i="14" l="1"/>
  <c r="V20" i="14"/>
  <c r="X20" i="14"/>
  <c r="T20" i="14"/>
  <c r="W20" i="14"/>
  <c r="I101" i="13"/>
  <c r="H105" i="13"/>
  <c r="B22" i="13" s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F4" i="5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V4" i="5" l="1" a="1"/>
  <c r="V4" i="5" s="1"/>
  <c r="AE252" i="10"/>
  <c r="J248" i="10"/>
  <c r="B31" i="12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I263" i="10" l="1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96" i="13" l="1"/>
  <c r="F83" i="13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S5" i="14" l="1"/>
  <c r="Q5" i="14"/>
  <c r="W5" i="14" s="1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U12" i="14" s="1"/>
  <c r="I74" i="8" s="1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W12" i="14" l="1"/>
  <c r="W18" i="14"/>
  <c r="U5" i="14"/>
  <c r="B74" i="8" s="1"/>
  <c r="V5" i="14"/>
  <c r="X5" i="14"/>
  <c r="T5" i="14"/>
  <c r="B73" i="8" s="1"/>
  <c r="V15" i="14"/>
  <c r="W8" i="14"/>
  <c r="W10" i="14"/>
  <c r="W9" i="14"/>
  <c r="V11" i="14"/>
  <c r="V6" i="14"/>
  <c r="V14" i="14"/>
  <c r="V18" i="14"/>
  <c r="V13" i="14"/>
  <c r="V17" i="14"/>
  <c r="V10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L72" i="8" s="1"/>
  <c r="S6" i="14"/>
  <c r="U6" i="14" s="1"/>
  <c r="C74" i="8" s="1"/>
  <c r="Q6" i="14"/>
  <c r="S7" i="14"/>
  <c r="Q7" i="14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W13" i="14" l="1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5" i="7" l="1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6" i="7" l="1"/>
  <c r="I6" i="13" s="1"/>
  <c r="I5" i="13"/>
  <c r="A5" i="10"/>
  <c r="B241" i="10" s="1" a="1"/>
  <c r="B241" i="10" s="1"/>
  <c r="A135" i="10"/>
  <c r="E7" i="7"/>
  <c r="BH19" i="7"/>
  <c r="T35" i="7"/>
  <c r="BJ6" i="7"/>
  <c r="BH55" i="7"/>
  <c r="R24" i="7"/>
  <c r="BJ37" i="7"/>
  <c r="BH6" i="7"/>
  <c r="BL6" i="7" s="1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AB49" i="7" s="1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R12" i="7"/>
  <c r="AP54" i="7"/>
  <c r="AR44" i="7"/>
  <c r="AP7" i="7"/>
  <c r="AR9" i="7"/>
  <c r="AR24" i="7"/>
  <c r="AL47" i="7"/>
  <c r="AF26" i="7"/>
  <c r="AF55" i="7"/>
  <c r="AF52" i="7"/>
  <c r="AD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U8" i="7"/>
  <c r="BW47" i="7"/>
  <c r="BU12" i="7"/>
  <c r="BU52" i="7"/>
  <c r="BU29" i="7"/>
  <c r="BW33" i="7"/>
  <c r="BW51" i="7"/>
  <c r="BU19" i="7"/>
  <c r="BU27" i="7"/>
  <c r="BW6" i="7"/>
  <c r="BU26" i="7"/>
  <c r="BU10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111" i="10" l="1" a="1"/>
  <c r="B111" i="10" s="1"/>
  <c r="AG5" i="7"/>
  <c r="B75" i="10" a="1"/>
  <c r="B75" i="10" s="1"/>
  <c r="B223" i="10" a="1"/>
  <c r="B223" i="10" s="1"/>
  <c r="B93" i="10" a="1"/>
  <c r="B93" i="10" s="1"/>
  <c r="B205" i="10" a="1"/>
  <c r="B205" i="10" s="1"/>
  <c r="BL19" i="7"/>
  <c r="A136" i="10"/>
  <c r="A6" i="10"/>
  <c r="A7" i="10"/>
  <c r="E8" i="7"/>
  <c r="A137" i="10"/>
  <c r="I7" i="13"/>
  <c r="AB12" i="7"/>
  <c r="AE25" i="7"/>
  <c r="AQ9" i="7"/>
  <c r="AS7" i="7"/>
  <c r="AU7" i="7" s="1"/>
  <c r="BW56" i="7"/>
  <c r="BW38" i="7"/>
  <c r="BU28" i="7"/>
  <c r="BU46" i="7"/>
  <c r="BW12" i="7"/>
  <c r="BY12" i="7" s="1"/>
  <c r="BW46" i="7"/>
  <c r="AQ26" i="7"/>
  <c r="AS23" i="7"/>
  <c r="BU32" i="7"/>
  <c r="BW13" i="7"/>
  <c r="BW32" i="7"/>
  <c r="BW34" i="7"/>
  <c r="BY34" i="7" s="1"/>
  <c r="BU35" i="7"/>
  <c r="BW28" i="7"/>
  <c r="BW8" i="7"/>
  <c r="BY8" i="7" s="1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Y36" i="7" s="1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Y27" i="7"/>
  <c r="AT24" i="7"/>
  <c r="AQ25" i="7"/>
  <c r="AS51" i="7"/>
  <c r="AQ18" i="7"/>
  <c r="AS27" i="7"/>
  <c r="AQ50" i="7"/>
  <c r="AQ46" i="7"/>
  <c r="AS9" i="7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W21" i="7"/>
  <c r="BW49" i="7"/>
  <c r="BU24" i="7"/>
  <c r="BU31" i="7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Y11" i="7" s="1"/>
  <c r="BU25" i="7"/>
  <c r="BW42" i="7"/>
  <c r="BW44" i="7"/>
  <c r="BW43" i="7"/>
  <c r="BU55" i="7"/>
  <c r="BW30" i="7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S47" i="7"/>
  <c r="AQ56" i="7"/>
  <c r="AQ51" i="7"/>
  <c r="AQ28" i="7"/>
  <c r="AU28" i="7" s="1"/>
  <c r="AS34" i="7"/>
  <c r="AS54" i="7"/>
  <c r="AS26" i="7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X48" i="7"/>
  <c r="P50" i="7"/>
  <c r="AN35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42" i="7" l="1"/>
  <c r="AU9" i="7"/>
  <c r="C241" i="10" a="1"/>
  <c r="C241" i="10" s="1"/>
  <c r="C75" i="10" a="1"/>
  <c r="C75" i="10" s="1"/>
  <c r="C223" i="10" a="1"/>
  <c r="C223" i="10" s="1"/>
  <c r="C205" i="10" a="1"/>
  <c r="C205" i="10" s="1"/>
  <c r="C93" i="10" a="1"/>
  <c r="C93" i="10" s="1"/>
  <c r="C111" i="10" a="1"/>
  <c r="C111" i="10" s="1"/>
  <c r="A8" i="10"/>
  <c r="E9" i="7"/>
  <c r="A138" i="10"/>
  <c r="I8" i="13"/>
  <c r="D111" i="10" a="1"/>
  <c r="D111" i="10" s="1"/>
  <c r="D75" i="10" a="1"/>
  <c r="D75" i="10" s="1"/>
  <c r="D241" i="10" a="1"/>
  <c r="D241" i="10" s="1"/>
  <c r="D93" i="10" a="1"/>
  <c r="D93" i="10" s="1"/>
  <c r="D223" i="10" a="1"/>
  <c r="D223" i="10" s="1"/>
  <c r="D205" i="10" a="1"/>
  <c r="D205" i="10" s="1"/>
  <c r="BM53" i="7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121" i="5"/>
  <c r="AI67" i="5"/>
  <c r="AI64" i="5" l="1"/>
  <c r="A139" i="10"/>
  <c r="E10" i="7"/>
  <c r="I9" i="13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F241" i="10" l="1" a="1"/>
  <c r="F241" i="10" s="1"/>
  <c r="F223" i="10" a="1"/>
  <c r="F223" i="10" s="1"/>
  <c r="F205" i="10" a="1"/>
  <c r="F205" i="10" s="1"/>
  <c r="F75" i="10" a="1"/>
  <c r="F75" i="10" s="1"/>
  <c r="F111" i="10" a="1"/>
  <c r="F111" i="10" s="1"/>
  <c r="F93" i="10" a="1"/>
  <c r="F93" i="10" s="1"/>
  <c r="E11" i="7"/>
  <c r="A140" i="10"/>
  <c r="A10" i="10"/>
  <c r="I10" i="13"/>
  <c r="M32" i="8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I11" i="13" l="1"/>
  <c r="A11" i="10"/>
  <c r="A141" i="10"/>
  <c r="E12" i="7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G205" i="10" a="1"/>
  <c r="G205" i="10" s="1"/>
  <c r="DA7" i="7"/>
  <c r="DA26" i="7"/>
  <c r="DA22" i="7"/>
  <c r="DA6" i="7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A12" i="10" l="1"/>
  <c r="A142" i="10"/>
  <c r="E13" i="7"/>
  <c r="I12" i="13"/>
  <c r="H223" i="10" a="1"/>
  <c r="H223" i="10" s="1"/>
  <c r="H93" i="10" a="1"/>
  <c r="H93" i="10" s="1"/>
  <c r="H75" i="10" a="1"/>
  <c r="H75" i="10" s="1"/>
  <c r="H111" i="10" a="1"/>
  <c r="H111" i="10" s="1"/>
  <c r="H241" i="10" a="1"/>
  <c r="H241" i="10" s="1"/>
  <c r="H205" i="10" a="1"/>
  <c r="H205" i="10" s="1"/>
  <c r="A143" i="10" l="1"/>
  <c r="I13" i="13"/>
  <c r="E14" i="7"/>
  <c r="A13" i="10"/>
  <c r="I223" i="10" a="1"/>
  <c r="I223" i="10" s="1"/>
  <c r="I75" i="10" a="1"/>
  <c r="I75" i="10" s="1"/>
  <c r="I241" i="10" a="1"/>
  <c r="I241" i="10" s="1"/>
  <c r="I111" i="10" a="1"/>
  <c r="I111" i="10" s="1"/>
  <c r="I93" i="10" a="1"/>
  <c r="I93" i="10" s="1"/>
  <c r="I205" i="10" a="1"/>
  <c r="I205" i="10" s="1"/>
  <c r="J111" i="10" l="1" a="1"/>
  <c r="J111" i="10" s="1"/>
  <c r="J205" i="10" a="1"/>
  <c r="J205" i="10" s="1"/>
  <c r="J93" i="10" a="1"/>
  <c r="J93" i="10" s="1"/>
  <c r="J75" i="10" a="1"/>
  <c r="J75" i="10" s="1"/>
  <c r="J223" i="10" a="1"/>
  <c r="J223" i="10" s="1"/>
  <c r="J241" i="10" a="1"/>
  <c r="J241" i="10" s="1"/>
  <c r="A144" i="10"/>
  <c r="A14" i="10"/>
  <c r="I14" i="13"/>
  <c r="E15" i="7"/>
  <c r="K205" i="10" l="1" a="1"/>
  <c r="K205" i="10" s="1"/>
  <c r="K223" i="10" a="1"/>
  <c r="K223" i="10" s="1"/>
  <c r="K241" i="10" a="1"/>
  <c r="K241" i="10" s="1"/>
  <c r="K93" i="10" a="1"/>
  <c r="K93" i="10" s="1"/>
  <c r="K111" i="10" a="1"/>
  <c r="K111" i="10" s="1"/>
  <c r="K75" i="10" a="1"/>
  <c r="K75" i="10" s="1"/>
  <c r="A145" i="10"/>
  <c r="E16" i="7"/>
  <c r="I15" i="13"/>
  <c r="A15" i="10"/>
  <c r="L223" i="10" l="1" a="1"/>
  <c r="L223" i="10" s="1"/>
  <c r="L75" i="10" a="1"/>
  <c r="L75" i="10" s="1"/>
  <c r="L205" i="10" a="1"/>
  <c r="L205" i="10" s="1"/>
  <c r="L111" i="10" a="1"/>
  <c r="L111" i="10" s="1"/>
  <c r="L241" i="10" a="1"/>
  <c r="L241" i="10" s="1"/>
  <c r="L93" i="10" a="1"/>
  <c r="L93" i="10" s="1"/>
  <c r="A146" i="10"/>
  <c r="A16" i="10"/>
  <c r="I16" i="13"/>
  <c r="E17" i="7"/>
  <c r="M111" i="10" l="1" a="1"/>
  <c r="M111" i="10" s="1"/>
  <c r="M223" i="10" a="1"/>
  <c r="M223" i="10" s="1"/>
  <c r="M205" i="10" a="1"/>
  <c r="M205" i="10" s="1"/>
  <c r="M75" i="10" a="1"/>
  <c r="M75" i="10" s="1"/>
  <c r="M241" i="10" a="1"/>
  <c r="M241" i="10" s="1"/>
  <c r="M93" i="10" a="1"/>
  <c r="M93" i="10" s="1"/>
  <c r="A147" i="10"/>
  <c r="E18" i="7"/>
  <c r="I17" i="13"/>
  <c r="A17" i="10"/>
  <c r="A148" i="10" l="1"/>
  <c r="A18" i="10"/>
  <c r="I18" i="13"/>
  <c r="E19" i="7"/>
  <c r="N205" i="10" a="1"/>
  <c r="N205" i="10" s="1"/>
  <c r="N93" i="10" a="1"/>
  <c r="N93" i="10" s="1"/>
  <c r="N75" i="10" a="1"/>
  <c r="N75" i="10" s="1"/>
  <c r="N241" i="10" a="1"/>
  <c r="N241" i="10" s="1"/>
  <c r="N223" i="10" a="1"/>
  <c r="N223" i="10" s="1"/>
  <c r="N111" i="10" a="1"/>
  <c r="N111" i="10" s="1"/>
  <c r="A149" i="10" l="1"/>
  <c r="E20" i="7"/>
  <c r="A19" i="10"/>
  <c r="I19" i="13"/>
  <c r="O111" i="10" a="1"/>
  <c r="O111" i="10" s="1"/>
  <c r="O241" i="10" a="1"/>
  <c r="O241" i="10" s="1"/>
  <c r="O205" i="10" a="1"/>
  <c r="O205" i="10" s="1"/>
  <c r="O223" i="10" a="1"/>
  <c r="O223" i="10" s="1"/>
  <c r="O93" i="10" a="1"/>
  <c r="O93" i="10" s="1"/>
  <c r="O75" i="10" a="1"/>
  <c r="O75" i="10" s="1"/>
  <c r="P205" i="10" l="1" a="1"/>
  <c r="P205" i="10" s="1"/>
  <c r="P111" i="10" a="1"/>
  <c r="P111" i="10" s="1"/>
  <c r="P223" i="10" a="1"/>
  <c r="P223" i="10" s="1"/>
  <c r="P93" i="10" a="1"/>
  <c r="P93" i="10" s="1"/>
  <c r="P241" i="10" a="1"/>
  <c r="P241" i="10" s="1"/>
  <c r="P75" i="10" a="1"/>
  <c r="P75" i="10" s="1"/>
  <c r="A150" i="10"/>
  <c r="A20" i="10"/>
  <c r="I20" i="13"/>
  <c r="E21" i="7"/>
  <c r="Q241" i="10" l="1" a="1"/>
  <c r="Q241" i="10" s="1"/>
  <c r="Q205" i="10" a="1"/>
  <c r="Q205" i="10" s="1"/>
  <c r="Q223" i="10" a="1"/>
  <c r="Q223" i="10" s="1"/>
  <c r="Q93" i="10" a="1"/>
  <c r="Q93" i="10" s="1"/>
  <c r="Q111" i="10" a="1"/>
  <c r="Q111" i="10" s="1"/>
  <c r="Q75" i="10" a="1"/>
  <c r="Q75" i="10" s="1"/>
  <c r="A151" i="10"/>
  <c r="E22" i="7"/>
  <c r="I21" i="13"/>
  <c r="A21" i="10"/>
  <c r="A152" i="10" l="1"/>
  <c r="A22" i="10"/>
  <c r="I22" i="13"/>
  <c r="E23" i="7"/>
  <c r="R205" i="10" a="1"/>
  <c r="R205" i="10" s="1"/>
  <c r="R93" i="10" a="1"/>
  <c r="R93" i="10" s="1"/>
  <c r="R223" i="10" a="1"/>
  <c r="R223" i="10" s="1"/>
  <c r="R241" i="10" a="1"/>
  <c r="R241" i="10" s="1"/>
  <c r="R111" i="10" a="1"/>
  <c r="R111" i="10" s="1"/>
  <c r="R75" i="10" a="1"/>
  <c r="R75" i="10" s="1"/>
  <c r="A153" i="10" l="1"/>
  <c r="E24" i="7"/>
  <c r="I23" i="13"/>
  <c r="A23" i="10"/>
  <c r="S205" i="10" a="1"/>
  <c r="S205" i="10" s="1"/>
  <c r="S223" i="10" a="1"/>
  <c r="S223" i="10" s="1"/>
  <c r="S241" i="10" a="1"/>
  <c r="S241" i="10" s="1"/>
  <c r="S111" i="10" a="1"/>
  <c r="S111" i="10" s="1"/>
  <c r="S75" i="10" a="1"/>
  <c r="S75" i="10" s="1"/>
  <c r="S93" i="10" a="1"/>
  <c r="S93" i="10" s="1"/>
  <c r="T205" i="10" l="1" a="1"/>
  <c r="T205" i="10" s="1"/>
  <c r="T223" i="10" a="1"/>
  <c r="T223" i="10" s="1"/>
  <c r="T93" i="10" a="1"/>
  <c r="T93" i="10" s="1"/>
  <c r="T75" i="10" a="1"/>
  <c r="T75" i="10" s="1"/>
  <c r="T241" i="10" a="1"/>
  <c r="T241" i="10" s="1"/>
  <c r="T111" i="10" a="1"/>
  <c r="T111" i="10" s="1"/>
  <c r="A24" i="10"/>
  <c r="A154" i="10"/>
  <c r="I24" i="13"/>
  <c r="E25" i="7"/>
  <c r="U241" i="10" l="1" a="1"/>
  <c r="U241" i="10" s="1"/>
  <c r="U205" i="10" a="1"/>
  <c r="U205" i="10" s="1"/>
  <c r="U75" i="10" a="1"/>
  <c r="U75" i="10" s="1"/>
  <c r="U223" i="10" a="1"/>
  <c r="U223" i="10" s="1"/>
  <c r="U93" i="10" a="1"/>
  <c r="U93" i="10" s="1"/>
  <c r="U111" i="10" a="1"/>
  <c r="U111" i="10" s="1"/>
  <c r="A155" i="10"/>
  <c r="E26" i="7"/>
  <c r="I25" i="13"/>
  <c r="A25" i="10"/>
  <c r="A156" i="10" l="1"/>
  <c r="A26" i="10"/>
  <c r="I26" i="13"/>
  <c r="E27" i="7"/>
  <c r="V205" i="10" a="1"/>
  <c r="V205" i="10" s="1"/>
  <c r="V93" i="10" a="1"/>
  <c r="V93" i="10" s="1"/>
  <c r="V241" i="10" a="1"/>
  <c r="V241" i="10" s="1"/>
  <c r="V223" i="10" a="1"/>
  <c r="V223" i="10" s="1"/>
  <c r="V111" i="10" a="1"/>
  <c r="V111" i="10" s="1"/>
  <c r="V75" i="10" a="1"/>
  <c r="V75" i="10" s="1"/>
  <c r="A157" i="10" l="1"/>
  <c r="E28" i="7"/>
  <c r="I27" i="13"/>
  <c r="A27" i="10"/>
  <c r="W93" i="10" a="1"/>
  <c r="W93" i="10" s="1"/>
  <c r="W205" i="10" a="1"/>
  <c r="W205" i="10" s="1"/>
  <c r="W111" i="10" a="1"/>
  <c r="W111" i="10" s="1"/>
  <c r="W223" i="10" a="1"/>
  <c r="W223" i="10" s="1"/>
  <c r="W241" i="10" a="1"/>
  <c r="W241" i="10" s="1"/>
  <c r="W75" i="10" a="1"/>
  <c r="W75" i="10" s="1"/>
  <c r="X223" i="10" l="1" a="1"/>
  <c r="X223" i="10" s="1"/>
  <c r="X93" i="10" a="1"/>
  <c r="X93" i="10" s="1"/>
  <c r="X241" i="10" a="1"/>
  <c r="X241" i="10" s="1"/>
  <c r="X205" i="10" a="1"/>
  <c r="X205" i="10" s="1"/>
  <c r="X75" i="10" a="1"/>
  <c r="X75" i="10" s="1"/>
  <c r="X111" i="10" a="1"/>
  <c r="X111" i="10" s="1"/>
  <c r="A158" i="10"/>
  <c r="A28" i="10"/>
  <c r="I28" i="13"/>
  <c r="E29" i="7"/>
  <c r="Y111" i="10" l="1" a="1"/>
  <c r="Y111" i="10" s="1"/>
  <c r="Y241" i="10" a="1"/>
  <c r="Y241" i="10" s="1"/>
  <c r="Y205" i="10" a="1"/>
  <c r="Y205" i="10" s="1"/>
  <c r="Y93" i="10" a="1"/>
  <c r="Y93" i="10" s="1"/>
  <c r="Y223" i="10" a="1"/>
  <c r="Y223" i="10" s="1"/>
  <c r="Y75" i="10" a="1"/>
  <c r="Y75" i="10" s="1"/>
  <c r="A159" i="10"/>
  <c r="E30" i="7"/>
  <c r="I29" i="13"/>
  <c r="A29" i="10"/>
  <c r="A160" i="10" l="1"/>
  <c r="A30" i="10"/>
  <c r="I30" i="13"/>
  <c r="E31" i="7"/>
  <c r="Z223" i="10" a="1"/>
  <c r="Z223" i="10" s="1"/>
  <c r="Z75" i="10" a="1"/>
  <c r="Z75" i="10" s="1"/>
  <c r="Z205" i="10" a="1"/>
  <c r="Z205" i="10" s="1"/>
  <c r="Z93" i="10" a="1"/>
  <c r="Z93" i="10" s="1"/>
  <c r="Z241" i="10" a="1"/>
  <c r="Z241" i="10" s="1"/>
  <c r="Z111" i="10" a="1"/>
  <c r="Z111" i="10" s="1"/>
  <c r="A161" i="10" l="1"/>
  <c r="E32" i="7"/>
  <c r="A31" i="10"/>
  <c r="I31" i="13"/>
  <c r="AA111" i="10" a="1"/>
  <c r="AA111" i="10" s="1"/>
  <c r="AA205" i="10" a="1"/>
  <c r="AA205" i="10" s="1"/>
  <c r="AA223" i="10" a="1"/>
  <c r="AA223" i="10" s="1"/>
  <c r="AA241" i="10" a="1"/>
  <c r="AA241" i="10" s="1"/>
  <c r="AA75" i="10" a="1"/>
  <c r="AA75" i="10" s="1"/>
  <c r="AA93" i="10" a="1"/>
  <c r="AA93" i="10" s="1"/>
  <c r="AB223" i="10" l="1" a="1"/>
  <c r="AB223" i="10" s="1"/>
  <c r="AB75" i="10" a="1"/>
  <c r="AB75" i="10" s="1"/>
  <c r="AB241" i="10" a="1"/>
  <c r="AB241" i="10" s="1"/>
  <c r="AB111" i="10" a="1"/>
  <c r="AB111" i="10" s="1"/>
  <c r="AB93" i="10" a="1"/>
  <c r="AB93" i="10" s="1"/>
  <c r="AB205" i="10" a="1"/>
  <c r="AB205" i="10" s="1"/>
  <c r="A162" i="10"/>
  <c r="I32" i="13"/>
  <c r="E33" i="7"/>
  <c r="A32" i="10"/>
  <c r="A163" i="10" l="1"/>
  <c r="E34" i="7"/>
  <c r="A33" i="10"/>
  <c r="I33" i="13"/>
  <c r="AC205" i="10" a="1"/>
  <c r="AC205" i="10" s="1"/>
  <c r="AC241" i="10" a="1"/>
  <c r="AC241" i="10" s="1"/>
  <c r="AC223" i="10" a="1"/>
  <c r="AC223" i="10" s="1"/>
  <c r="AC75" i="10" a="1"/>
  <c r="AC75" i="10" s="1"/>
  <c r="AC93" i="10" a="1"/>
  <c r="AC93" i="10" s="1"/>
  <c r="AC111" i="10" a="1"/>
  <c r="AC111" i="10" s="1"/>
  <c r="AD241" i="10" l="1" a="1"/>
  <c r="AD241" i="10" s="1"/>
  <c r="AD223" i="10" a="1"/>
  <c r="AD223" i="10" s="1"/>
  <c r="AD75" i="10" a="1"/>
  <c r="AD75" i="10" s="1"/>
  <c r="AD205" i="10" a="1"/>
  <c r="AD205" i="10" s="1"/>
  <c r="AD93" i="10" a="1"/>
  <c r="AD93" i="10" s="1"/>
  <c r="AD111" i="10" a="1"/>
  <c r="AD111" i="10" s="1"/>
  <c r="A34" i="10"/>
  <c r="A164" i="10"/>
  <c r="I34" i="13"/>
  <c r="E35" i="7"/>
  <c r="AE205" i="10" l="1" a="1"/>
  <c r="AE205" i="10" s="1"/>
  <c r="AE93" i="10" a="1"/>
  <c r="AE93" i="10" s="1"/>
  <c r="AE241" i="10" a="1"/>
  <c r="AE241" i="10" s="1"/>
  <c r="AE111" i="10" a="1"/>
  <c r="AE111" i="10" s="1"/>
  <c r="AE223" i="10" a="1"/>
  <c r="AE223" i="10" s="1"/>
  <c r="AE75" i="10" a="1"/>
  <c r="AE75" i="10" s="1"/>
  <c r="A165" i="10"/>
  <c r="E36" i="7"/>
  <c r="I35" i="13"/>
  <c r="A35" i="10"/>
  <c r="A36" i="10" l="1"/>
  <c r="A166" i="10"/>
  <c r="I36" i="13"/>
  <c r="E37" i="7"/>
  <c r="AF241" i="10" a="1"/>
  <c r="AF241" i="10" s="1"/>
  <c r="AF205" i="10" a="1"/>
  <c r="AF205" i="10" s="1"/>
  <c r="AF223" i="10" a="1"/>
  <c r="AF223" i="10" s="1"/>
  <c r="AF93" i="10" a="1"/>
  <c r="AF93" i="10" s="1"/>
  <c r="AF111" i="10" a="1"/>
  <c r="AF111" i="10" s="1"/>
  <c r="AF75" i="10" a="1"/>
  <c r="AF75" i="10" s="1"/>
  <c r="A167" i="10" l="1"/>
  <c r="E38" i="7"/>
  <c r="I37" i="13"/>
  <c r="A37" i="10"/>
  <c r="AG205" i="10" a="1"/>
  <c r="AG205" i="10" s="1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H205" i="10" l="1" a="1"/>
  <c r="AH205" i="10" s="1"/>
  <c r="AH111" i="10" a="1"/>
  <c r="AH111" i="10" s="1"/>
  <c r="AH93" i="10" a="1"/>
  <c r="AH93" i="10" s="1"/>
  <c r="AH75" i="10" a="1"/>
  <c r="AH75" i="10" s="1"/>
  <c r="AH223" i="10" a="1"/>
  <c r="AH223" i="10" s="1"/>
  <c r="AH241" i="10" a="1"/>
  <c r="AH241" i="10" s="1"/>
  <c r="A168" i="10"/>
  <c r="A38" i="10"/>
  <c r="I38" i="13"/>
  <c r="E39" i="7"/>
  <c r="AI241" i="10" l="1" a="1"/>
  <c r="AI241" i="10" s="1"/>
  <c r="AI75" i="10" a="1"/>
  <c r="AI75" i="10" s="1"/>
  <c r="AI223" i="10" a="1"/>
  <c r="AI223" i="10" s="1"/>
  <c r="AI111" i="10" a="1"/>
  <c r="AI111" i="10" s="1"/>
  <c r="AI93" i="10" a="1"/>
  <c r="AI93" i="10" s="1"/>
  <c r="AI205" i="10" a="1"/>
  <c r="AI205" i="10" s="1"/>
  <c r="A169" i="10"/>
  <c r="E40" i="7"/>
  <c r="I39" i="13"/>
  <c r="A39" i="10"/>
  <c r="A170" i="10" l="1"/>
  <c r="A40" i="10"/>
  <c r="I40" i="13"/>
  <c r="E41" i="7"/>
  <c r="AJ111" i="10" a="1"/>
  <c r="AJ111" i="10" s="1"/>
  <c r="AJ205" i="10" a="1"/>
  <c r="AJ205" i="10" s="1"/>
  <c r="AJ223" i="10" a="1"/>
  <c r="AJ223" i="10" s="1"/>
  <c r="AJ93" i="10" a="1"/>
  <c r="AJ93" i="10" s="1"/>
  <c r="AJ241" i="10" a="1"/>
  <c r="AJ241" i="10" s="1"/>
  <c r="AJ75" i="10" a="1"/>
  <c r="AJ75" i="10" s="1"/>
  <c r="A171" i="10" l="1"/>
  <c r="E42" i="7"/>
  <c r="A41" i="10"/>
  <c r="I41" i="13"/>
  <c r="AK111" i="10" a="1"/>
  <c r="AK111" i="10" s="1"/>
  <c r="AK205" i="10" a="1"/>
  <c r="AK205" i="10" s="1"/>
  <c r="AK241" i="10" a="1"/>
  <c r="AK241" i="10" s="1"/>
  <c r="AK223" i="10" a="1"/>
  <c r="AK223" i="10" s="1"/>
  <c r="AK93" i="10" a="1"/>
  <c r="AK93" i="10" s="1"/>
  <c r="AK75" i="10" a="1"/>
  <c r="AK75" i="10" s="1"/>
  <c r="AL93" i="10" l="1" a="1"/>
  <c r="AL93" i="10" s="1"/>
  <c r="AL75" i="10" a="1"/>
  <c r="AL75" i="10" s="1"/>
  <c r="AL241" i="10" a="1"/>
  <c r="AL241" i="10" s="1"/>
  <c r="AL223" i="10" a="1"/>
  <c r="AL223" i="10" s="1"/>
  <c r="AL111" i="10" a="1"/>
  <c r="AL111" i="10" s="1"/>
  <c r="AL205" i="10" a="1"/>
  <c r="AL205" i="10" s="1"/>
  <c r="I42" i="13"/>
  <c r="E43" i="7"/>
  <c r="A42" i="10"/>
  <c r="A172" i="10"/>
  <c r="I43" i="13" l="1"/>
  <c r="A43" i="10"/>
  <c r="A173" i="10"/>
  <c r="E44" i="7"/>
  <c r="AM93" i="10" a="1"/>
  <c r="AM93" i="10" s="1"/>
  <c r="AM223" i="10" a="1"/>
  <c r="AM223" i="10" s="1"/>
  <c r="AM75" i="10" a="1"/>
  <c r="AM75" i="10" s="1"/>
  <c r="AM241" i="10" a="1"/>
  <c r="AM241" i="10" s="1"/>
  <c r="AM111" i="10" a="1"/>
  <c r="AM111" i="10" s="1"/>
  <c r="AM205" i="10" a="1"/>
  <c r="AM205" i="10" s="1"/>
  <c r="A174" i="10" l="1"/>
  <c r="E45" i="7"/>
  <c r="I44" i="13"/>
  <c r="A44" i="10"/>
  <c r="AN75" i="10" a="1"/>
  <c r="AN75" i="10" s="1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O223" i="10" l="1" a="1"/>
  <c r="AO223" i="10" s="1"/>
  <c r="AO241" i="10" a="1"/>
  <c r="AO241" i="10" s="1"/>
  <c r="AO75" i="10" a="1"/>
  <c r="AO75" i="10" s="1"/>
  <c r="AO93" i="10" a="1"/>
  <c r="AO93" i="10" s="1"/>
  <c r="AO111" i="10" a="1"/>
  <c r="AO111" i="10" s="1"/>
  <c r="AO205" i="10" a="1"/>
  <c r="AO205" i="10" s="1"/>
  <c r="A45" i="10"/>
  <c r="A175" i="10"/>
  <c r="I45" i="13"/>
  <c r="E46" i="7"/>
  <c r="A176" i="10" l="1"/>
  <c r="E47" i="7"/>
  <c r="I46" i="13"/>
  <c r="A46" i="10"/>
  <c r="AP205" i="10" a="1"/>
  <c r="AP205" i="10" s="1"/>
  <c r="AP93" i="10" a="1"/>
  <c r="AP93" i="10" s="1"/>
  <c r="AP111" i="10" a="1"/>
  <c r="AP111" i="10" s="1"/>
  <c r="AP75" i="10" a="1"/>
  <c r="AP75" i="10" s="1"/>
  <c r="AP223" i="10" a="1"/>
  <c r="AP223" i="10" s="1"/>
  <c r="AP241" i="10" a="1"/>
  <c r="AP241" i="10" s="1"/>
  <c r="AQ223" i="10" l="1" a="1"/>
  <c r="AQ223" i="10" s="1"/>
  <c r="AQ93" i="10" a="1"/>
  <c r="AQ93" i="10" s="1"/>
  <c r="AQ111" i="10" a="1"/>
  <c r="AQ111" i="10" s="1"/>
  <c r="AQ241" i="10" a="1"/>
  <c r="AQ241" i="10" s="1"/>
  <c r="AQ205" i="10" a="1"/>
  <c r="AQ205" i="10" s="1"/>
  <c r="AQ75" i="10" a="1"/>
  <c r="AQ75" i="10" s="1"/>
  <c r="A177" i="10"/>
  <c r="A47" i="10"/>
  <c r="I47" i="13"/>
  <c r="E48" i="7"/>
  <c r="AR93" i="10" l="1" a="1"/>
  <c r="AR93" i="10" s="1"/>
  <c r="AR223" i="10" a="1"/>
  <c r="AR223" i="10" s="1"/>
  <c r="AR241" i="10" a="1"/>
  <c r="AR241" i="10" s="1"/>
  <c r="AR205" i="10" a="1"/>
  <c r="AR205" i="10" s="1"/>
  <c r="AR111" i="10" a="1"/>
  <c r="AR111" i="10" s="1"/>
  <c r="AR75" i="10" a="1"/>
  <c r="AR75" i="10" s="1"/>
  <c r="A178" i="10"/>
  <c r="E49" i="7"/>
  <c r="I48" i="13"/>
  <c r="A48" i="10"/>
  <c r="A179" i="10" l="1"/>
  <c r="A49" i="10"/>
  <c r="I49" i="13"/>
  <c r="E50" i="7"/>
  <c r="AS93" i="10" a="1"/>
  <c r="AS93" i="10" s="1"/>
  <c r="AS205" i="10" a="1"/>
  <c r="AS205" i="10" s="1"/>
  <c r="AS75" i="10" a="1"/>
  <c r="AS75" i="10" s="1"/>
  <c r="AS223" i="10" a="1"/>
  <c r="AS223" i="10" s="1"/>
  <c r="AS111" i="10" a="1"/>
  <c r="AS111" i="10" s="1"/>
  <c r="AS241" i="10" a="1"/>
  <c r="AS241" i="10" s="1"/>
  <c r="A180" i="10" l="1"/>
  <c r="E51" i="7"/>
  <c r="I50" i="13"/>
  <c r="A50" i="10"/>
  <c r="AT205" i="10" a="1"/>
  <c r="AT205" i="10" s="1"/>
  <c r="AT241" i="10" a="1"/>
  <c r="AT241" i="10" s="1"/>
  <c r="AT111" i="10" a="1"/>
  <c r="AT111" i="10" s="1"/>
  <c r="AT93" i="10" a="1"/>
  <c r="AT93" i="10" s="1"/>
  <c r="AT223" i="10" a="1"/>
  <c r="AT223" i="10" s="1"/>
  <c r="AT75" i="10" a="1"/>
  <c r="AT75" i="10" s="1"/>
  <c r="AU93" i="10" l="1" a="1"/>
  <c r="AU93" i="10" s="1"/>
  <c r="AU241" i="10" a="1"/>
  <c r="AU241" i="10" s="1"/>
  <c r="AU205" i="10" a="1"/>
  <c r="AU205" i="10" s="1"/>
  <c r="AU75" i="10" a="1"/>
  <c r="AU75" i="10" s="1"/>
  <c r="AU223" i="10" a="1"/>
  <c r="AU223" i="10" s="1"/>
  <c r="AU111" i="10" a="1"/>
  <c r="AU111" i="10" s="1"/>
  <c r="A181" i="10"/>
  <c r="A51" i="10"/>
  <c r="I51" i="13"/>
  <c r="E52" i="7"/>
  <c r="AV111" i="10" l="1" a="1"/>
  <c r="AV111" i="10" s="1"/>
  <c r="AV205" i="10" a="1"/>
  <c r="AV205" i="10" s="1"/>
  <c r="AV223" i="10" a="1"/>
  <c r="AV223" i="10" s="1"/>
  <c r="AV241" i="10" a="1"/>
  <c r="AV241" i="10" s="1"/>
  <c r="AV93" i="10" a="1"/>
  <c r="AV93" i="10" s="1"/>
  <c r="AV75" i="10" a="1"/>
  <c r="AV75" i="10" s="1"/>
  <c r="A182" i="10"/>
  <c r="E53" i="7"/>
  <c r="I52" i="13"/>
  <c r="A52" i="10"/>
  <c r="AW75" i="10" l="1" a="1"/>
  <c r="AW75" i="10" s="1"/>
  <c r="AW241" i="10" a="1"/>
  <c r="AW241" i="10" s="1"/>
  <c r="AW205" i="10" a="1"/>
  <c r="AW205" i="10" s="1"/>
  <c r="AW93" i="10" a="1"/>
  <c r="AW93" i="10" s="1"/>
  <c r="AW223" i="10" a="1"/>
  <c r="AW223" i="10" s="1"/>
  <c r="AW111" i="10" a="1"/>
  <c r="AW111" i="10" s="1"/>
  <c r="A183" i="10"/>
  <c r="A53" i="10"/>
  <c r="I53" i="13"/>
  <c r="E54" i="7"/>
  <c r="AX75" i="10" l="1" a="1"/>
  <c r="AX75" i="10" s="1"/>
  <c r="AX241" i="10" a="1"/>
  <c r="AX241" i="10" s="1"/>
  <c r="AX205" i="10" a="1"/>
  <c r="AX205" i="10" s="1"/>
  <c r="AX111" i="10" a="1"/>
  <c r="AX111" i="10" s="1"/>
  <c r="AX223" i="10" a="1"/>
  <c r="AX223" i="10" s="1"/>
  <c r="AX93" i="10" a="1"/>
  <c r="AX93" i="10" s="1"/>
  <c r="A184" i="10"/>
  <c r="E55" i="7"/>
  <c r="I54" i="13"/>
  <c r="A54" i="10"/>
  <c r="A185" i="10" l="1"/>
  <c r="A55" i="10"/>
  <c r="I55" i="13"/>
  <c r="E56" i="7"/>
  <c r="AY111" i="10" a="1"/>
  <c r="AY111" i="10" s="1"/>
  <c r="AY223" i="10" a="1"/>
  <c r="AY223" i="10" s="1"/>
  <c r="AY93" i="10" a="1"/>
  <c r="AY93" i="10" s="1"/>
  <c r="AY241" i="10" a="1"/>
  <c r="AY241" i="10" s="1"/>
  <c r="AY205" i="10" a="1"/>
  <c r="AY205" i="10" s="1"/>
  <c r="AY75" i="10" a="1"/>
  <c r="AY75" i="10" s="1"/>
  <c r="I56" i="13" l="1"/>
  <c r="A56" i="10"/>
  <c r="A186" i="10"/>
  <c r="AZ223" i="10" a="1"/>
  <c r="AZ223" i="10" s="1"/>
  <c r="AZ241" i="10" a="1"/>
  <c r="AZ241" i="10" s="1"/>
  <c r="AZ111" i="10" a="1"/>
  <c r="AZ111" i="10" s="1"/>
  <c r="AZ93" i="10" a="1"/>
  <c r="AZ93" i="10" s="1"/>
  <c r="AZ205" i="10" a="1"/>
  <c r="AZ205" i="10" s="1"/>
  <c r="AZ75" i="10" a="1"/>
  <c r="AZ75" i="10" s="1"/>
  <c r="BA111" i="10" l="1" a="1"/>
  <c r="BA111" i="10" s="1"/>
  <c r="BA93" i="10" a="1"/>
  <c r="BA93" i="10" s="1"/>
  <c r="BA75" i="10" a="1"/>
  <c r="BA75" i="10" s="1"/>
  <c r="BA241" i="10" a="1"/>
  <c r="BA241" i="10" s="1"/>
  <c r="BA205" i="10" a="1"/>
  <c r="BA205" i="10" s="1"/>
  <c r="BA223" i="10" a="1"/>
  <c r="BA223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<sst xmlns="http://schemas.openxmlformats.org/spreadsheetml/2006/main" count="816" uniqueCount="207">
  <si>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</si>
  <si>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</si>
  <si>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</si>
  <si>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</si>
  <si>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</si>
  <si>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</si>
  <si>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</si>
  <si>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</si>
  <si>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</si>
  <si>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</si>
  <si>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</si>
  <si>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</si>
  <si>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</si>
  <si>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</si>
  <si>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</si>
  <si>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</si>
  <si>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</si>
  <si>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</si>
  <si>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</si>
  <si>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</si>
  <si>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</si>
  <si>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</si>
  <si>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</si>
  <si>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</si>
  <si>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</si>
  <si>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</si>
  <si>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</si>
  <si>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</si>
  <si>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</si>
  <si>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</si>
  <si>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</si>
  <si>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</si>
  <si>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</si>
  <si>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</si>
  <si>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</si>
  <si>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</si>
  <si>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</si>
  <si>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</si>
  <si>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</si>
  <si>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</si>
  <si>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</si>
  <si>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</si>
  <si>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</si>
  <si>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</si>
  <si>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</si>
  <si>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</si>
  <si>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</si>
  <si>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</si>
  <si>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</si>
  <si>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</si>
  <si>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</si>
  <si>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</si>
  <si>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</si>
  <si>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</si>
  <si>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</si>
  <si>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</si>
  <si>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</si>
  <si>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</si>
  <si>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</si>
  <si>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</si>
  <si>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</si>
  <si>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</si>
  <si>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</si>
  <si>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</si>
  <si>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</si>
  <si>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</si>
  <si>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</si>
  <si>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</si>
  <si>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</si>
  <si>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</si>
  <si>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</si>
  <si>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</si>
  <si>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</si>
  <si>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</si>
  <si>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</si>
  <si>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</si>
  <si>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</si>
  <si>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</si>
  <si>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</si>
  <si>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</si>
  <si>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</si>
  <si>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</si>
  <si>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</si>
  <si>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</si>
  <si>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</si>
  <si>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</si>
  <si>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</si>
  <si>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</si>
  <si>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</si>
  <si>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</si>
  <si>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</si>
  <si>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</si>
  <si>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</si>
  <si>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</si>
  <si>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</si>
  <si>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</si>
  <si>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</si>
  <si>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</si>
  <si>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</si>
  <si>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</si>
  <si>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</si>
  <si>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</si>
  <si>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</si>
  <si>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</si>
  <si>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</si>
  <si>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</si>
  <si>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</si>
  <si>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</si>
  <si>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</si>
  <si>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</si>
  <si>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</si>
  <si>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</si>
  <si>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</si>
  <si>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</si>
  <si>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</si>
  <si>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</si>
  <si>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</si>
  <si>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</si>
  <si>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</si>
  <si>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</si>
  <si>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</si>
  <si>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</si>
  <si>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</si>
  <si>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</si>
  <si>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</si>
  <si>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</si>
  <si>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</si>
  <si>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</si>
  <si>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</si>
  <si>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</si>
  <si>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</si>
  <si>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</si>
  <si>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</si>
  <si>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</si>
  <si>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</si>
  <si>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</si>
  <si>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</si>
  <si>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</si>
  <si>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</si>
  <si>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</si>
  <si>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</si>
  <si>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</si>
  <si>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</si>
  <si>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</si>
  <si>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</si>
  <si>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</si>
  <si>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</si>
  <si>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</si>
  <si>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</si>
  <si>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</si>
  <si>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</si>
  <si>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</si>
  <si>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</si>
  <si>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</si>
  <si>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</si>
  <si>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</si>
  <si>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</si>
  <si>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</si>
  <si>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</si>
  <si>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</si>
  <si>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</si>
  <si>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</si>
  <si>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</si>
  <si>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</si>
  <si>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</si>
  <si>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</si>
  <si>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</si>
  <si>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</si>
  <si>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</si>
  <si>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</si>
  <si>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</si>
  <si>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</si>
  <si>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</si>
  <si>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</si>
  <si>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</si>
  <si>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</si>
  <si>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</si>
  <si>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</si>
  <si>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</si>
  <si>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</si>
  <si>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</si>
  <si>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</si>
  <si>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</si>
  <si>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</si>
  <si>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</si>
  <si>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</si>
  <si>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</si>
  <si>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</si>
  <si>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</si>
  <si>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</si>
  <si>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</si>
  <si>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</si>
  <si>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</si>
  <si>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</si>
  <si>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</si>
  <si>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</si>
  <si>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Estimated capacity to clear backlog - non-group sessions (hours):</t>
  </si>
  <si>
    <t>Estimated capacity to clear backlog - group sessions (hours):</t>
  </si>
  <si>
    <t>Waiting List Graph View</t>
  </si>
  <si>
    <t>Waiting List Size</t>
  </si>
  <si>
    <t>v0.6</t>
  </si>
  <si>
    <t>Caseload 1</t>
  </si>
  <si>
    <t>Caseload 2</t>
  </si>
  <si>
    <t>Caseload 3</t>
  </si>
  <si>
    <t>Caseload 4</t>
  </si>
  <si>
    <t>Caseload 5</t>
  </si>
  <si>
    <t>Caseload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</si>
</sst>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Caseload 1,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2</xdr:row>
      <xdr:rowOff>1586</xdr:rowOff>
    </xdr:from>
    <xdr:to>
      <xdr:col>28</xdr:col>
      <xdr:colOff>590550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12700</xdr:colOff>
      <xdr:row>1</xdr:row>
      <xdr:rowOff>184150</xdr:rowOff>
    </xdr:from>
    <xdr:to>
      <xdr:col>28</xdr:col>
      <xdr:colOff>590550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104775</xdr:colOff>
      <xdr:row>42</xdr:row>
      <xdr:rowOff>117474</xdr:rowOff>
    </xdr:from>
    <xdr:to>
      <xdr:col>29</xdr:col>
      <xdr:colOff>63501</xdr:colOff>
      <xdr:row>66</xdr:row>
      <xdr:rowOff>114299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259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Z262"/>
  <sheetViews>
    <sheetView topLeftCell="C1" workbookViewId="0">
      <selection activeCell="Z4" sqref="Z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6" x14ac:dyDescent="0.35">
      <c r="A1" t="s">
        <v>11</v>
      </c>
      <c r="B1" t="s">
        <v>12</v>
      </c>
      <c r="D1" t="s">
        <v>74</v>
      </c>
      <c r="F1" t="s">
        <v>75</v>
      </c>
      <c r="H1" t="s">
        <v>78</v>
      </c>
      <c r="K1" t="s">
        <v>83</v>
      </c>
      <c r="N1" t="s">
        <v>91</v>
      </c>
      <c r="P1" t="s">
        <v>111</v>
      </c>
      <c r="R1" t="s">
        <v>118</v>
      </c>
      <c r="T1" t="s">
        <v>123</v>
      </c>
      <c r="V1" t="s">
        <v>167</v>
      </c>
      <c r="X1" t="s">
        <v>173</v>
      </c>
      <c r="Z1" t="s">
        <v>198</v>
      </c>
    </row>
    <row r="2" spans="1:26" x14ac:dyDescent="0.35">
      <c r="B2" t="str">
        <f>Setup!A20</f>
        <v>Caseload 1</v>
      </c>
      <c r="D2">
        <v>1</v>
      </c>
      <c r="F2" t="s">
        <v>58</v>
      </c>
      <c r="H2" t="s">
        <v>79</v>
      </c>
      <c r="I2">
        <v>0.65</v>
      </c>
      <c r="K2" t="s">
        <v>120</v>
      </c>
      <c r="L2">
        <v>7</v>
      </c>
      <c r="N2" t="s">
        <v>92</v>
      </c>
      <c r="P2" t="s">
        <v>112</v>
      </c>
      <c r="R2" t="e" cm="1">
        <f t="array" ref="R2">IF(Setup!B11="Weekly",INDEX('SPC Backing (Hide)'!$B$4:$B$263,IF(Demand!$A$8&lt;51, 1, Demand!$A$8-51),1),INDEX('SPC Backing (Hide)'!E4:E263,Demand!A8-11,1))</f>
        <v>#VALUE!</v>
      </c>
      <c r="T2" t="s">
        <v>142</v>
      </c>
      <c r="V2" t="s">
        <v>168</v>
      </c>
      <c r="X2" s="102" t="s">
        <v>44</v>
      </c>
      <c r="Z2" t="s">
        <v>199</v>
      </c>
    </row>
    <row r="3" spans="1:26" x14ac:dyDescent="0.35">
      <c r="B3" t="str">
        <f>Setup!A21</f>
        <v>Caseload 2</v>
      </c>
      <c r="D3">
        <v>2</v>
      </c>
      <c r="F3" t="s">
        <v>50</v>
      </c>
      <c r="H3" t="s">
        <v>80</v>
      </c>
      <c r="I3">
        <v>0.7</v>
      </c>
      <c r="K3" t="s">
        <v>119</v>
      </c>
      <c r="L3">
        <v>5</v>
      </c>
      <c r="N3" t="s">
        <v>93</v>
      </c>
      <c r="P3" t="s">
        <v>113</v>
      </c>
      <c r="R3" t="e" cm="1">
        <f t="array" ref="R3:R262">IF(Setup!B11="Weekly",INDEX('SPC Backing (Hide)'!$B$4:$B$263,Demand!A8,1),INDEX('SPC Backing (Hide)'!E4:E263,Demand!A8,1))</f>
        <v>#VALUE!</v>
      </c>
      <c r="T3" t="str">
        <f>Setup!A20</f>
        <v>Caseload 1</v>
      </c>
      <c r="V3" t="s">
        <v>169</v>
      </c>
      <c r="X3" s="102" t="s">
        <v>190</v>
      </c>
      <c r="Z3" t="s">
        <v>106</v>
      </c>
    </row>
    <row r="4" spans="1:26" x14ac:dyDescent="0.35">
      <c r="B4" t="str">
        <f>Setup!A22</f>
        <v>Caseload 3</v>
      </c>
      <c r="D4">
        <v>3</v>
      </c>
      <c r="F4" t="s">
        <v>63</v>
      </c>
      <c r="H4" t="s">
        <v>81</v>
      </c>
      <c r="I4">
        <v>0.75</v>
      </c>
      <c r="K4" t="s">
        <v>84</v>
      </c>
      <c r="L4">
        <v>2</v>
      </c>
      <c r="R4" t="e">
        <v>#VALUE!</v>
      </c>
      <c r="T4" t="str">
        <f>Setup!A21</f>
        <v>Caseload 2</v>
      </c>
      <c r="X4" s="102" t="s">
        <v>174</v>
      </c>
    </row>
    <row r="5" spans="1:26" x14ac:dyDescent="0.35">
      <c r="B5" t="str">
        <f>Setup!A23</f>
        <v>Caseload 4</v>
      </c>
      <c r="D5">
        <v>4</v>
      </c>
      <c r="H5" t="s">
        <v>82</v>
      </c>
      <c r="I5">
        <v>0.8</v>
      </c>
      <c r="K5" t="s">
        <v>85</v>
      </c>
      <c r="L5">
        <v>1</v>
      </c>
      <c r="R5" t="e">
        <v>#VALUE!</v>
      </c>
      <c r="T5" t="str">
        <f>Setup!A22</f>
        <v>Caseload 3</v>
      </c>
      <c r="X5" s="102" t="s">
        <v>175</v>
      </c>
    </row>
    <row r="6" spans="1:26" x14ac:dyDescent="0.35">
      <c r="B6" t="str">
        <f>Setup!A24</f>
        <v>Caseload 5</v>
      </c>
      <c r="D6">
        <v>5</v>
      </c>
      <c r="K6" t="s">
        <v>86</v>
      </c>
      <c r="L6">
        <v>0.5</v>
      </c>
      <c r="R6" t="e">
        <v>#VALUE!</v>
      </c>
      <c r="T6" t="str">
        <f>Setup!A23</f>
        <v>Caseload 4</v>
      </c>
      <c r="X6" s="102" t="s">
        <v>176</v>
      </c>
    </row>
    <row r="7" spans="1:26" x14ac:dyDescent="0.35">
      <c r="B7" t="str">
        <f>Setup!A25</f>
        <v>Caseload 6</v>
      </c>
      <c r="D7">
        <v>6</v>
      </c>
      <c r="K7" t="s">
        <v>87</v>
      </c>
      <c r="L7">
        <v>0.25</v>
      </c>
      <c r="R7" t="e">
        <v>#VALUE!</v>
      </c>
      <c r="T7" t="str">
        <f>Setup!A24</f>
        <v>Caseload 5</v>
      </c>
      <c r="X7" s="102" t="s">
        <v>177</v>
      </c>
    </row>
    <row r="8" spans="1:26" x14ac:dyDescent="0.35">
      <c r="B8" t="str">
        <f>Setup!A26</f>
        <v>Caseload 7</v>
      </c>
      <c r="D8">
        <v>7</v>
      </c>
      <c r="K8" t="s">
        <v>88</v>
      </c>
      <c r="L8">
        <v>3.7999999999999999E-2</v>
      </c>
      <c r="R8" t="e">
        <v>#VALUE!</v>
      </c>
      <c r="T8" t="str">
        <f>Setup!A25</f>
        <v>Caseload 6</v>
      </c>
      <c r="X8" s="102" t="s">
        <v>178</v>
      </c>
    </row>
    <row r="9" spans="1:26" x14ac:dyDescent="0.35">
      <c r="B9" t="str">
        <f>Setup!A27</f>
        <v>Caseload 8</v>
      </c>
      <c r="D9">
        <v>8</v>
      </c>
      <c r="K9" t="s">
        <v>89</v>
      </c>
      <c r="L9">
        <v>1.9E-2</v>
      </c>
      <c r="R9" t="e">
        <v>#VALUE!</v>
      </c>
      <c r="T9" t="str">
        <f>Setup!A26</f>
        <v>Caseload 7</v>
      </c>
    </row>
    <row r="10" spans="1:26" x14ac:dyDescent="0.35">
      <c r="B10" t="str">
        <f>Setup!A28</f>
        <v>Caseload 9</v>
      </c>
      <c r="D10">
        <v>9</v>
      </c>
      <c r="R10" t="e">
        <v>#VALUE!</v>
      </c>
      <c r="T10" t="str">
        <f>Setup!A27</f>
        <v>Caseload 8</v>
      </c>
    </row>
    <row r="11" spans="1:26" x14ac:dyDescent="0.35">
      <c r="B11" t="str">
        <f>Setup!A29</f>
        <v>Caseload 10</v>
      </c>
      <c r="D11">
        <v>10</v>
      </c>
      <c r="R11" t="e">
        <v>#VALUE!</v>
      </c>
      <c r="T11" t="str">
        <f>Setup!A28</f>
        <v>Caseload 9</v>
      </c>
    </row>
    <row r="12" spans="1:26" x14ac:dyDescent="0.35">
      <c r="B12" t="str">
        <f>Setup!A30</f>
        <v>Caseload 11</v>
      </c>
      <c r="D12">
        <v>11</v>
      </c>
      <c r="R12" t="e">
        <v>#VALUE!</v>
      </c>
      <c r="T12" t="str">
        <f>Setup!A29</f>
        <v>Caseload 10</v>
      </c>
    </row>
    <row r="13" spans="1:26" x14ac:dyDescent="0.35">
      <c r="B13" t="str">
        <f>Setup!A31</f>
        <v>Caseload 12</v>
      </c>
      <c r="D13">
        <v>12</v>
      </c>
      <c r="R13" t="e">
        <v>#VALUE!</v>
      </c>
      <c r="T13" t="str">
        <f>Setup!A30</f>
        <v>Caseload 11</v>
      </c>
    </row>
    <row r="14" spans="1:26" x14ac:dyDescent="0.35">
      <c r="B14" t="str">
        <f>Setup!A32</f>
        <v>Caseload 13</v>
      </c>
      <c r="D14">
        <v>13</v>
      </c>
      <c r="R14" t="e">
        <v>#VALUE!</v>
      </c>
      <c r="T14" t="str">
        <f>Setup!A31</f>
        <v>Caseload 12</v>
      </c>
    </row>
    <row r="15" spans="1:26" x14ac:dyDescent="0.35">
      <c r="B15" t="str">
        <f>Setup!A33</f>
        <v>Caseload 14</v>
      </c>
      <c r="D15">
        <v>14</v>
      </c>
      <c r="R15" t="e">
        <v>#VALUE!</v>
      </c>
      <c r="T15" t="str">
        <f>Setup!A32</f>
        <v>Caseload 13</v>
      </c>
    </row>
    <row r="16" spans="1:26" x14ac:dyDescent="0.35">
      <c r="B16" t="str">
        <f>Setup!A34</f>
        <v>Caseload 15</v>
      </c>
      <c r="D16">
        <v>15</v>
      </c>
      <c r="R16" t="e">
        <v>#VALUE!</v>
      </c>
      <c r="T16" t="str">
        <f>Setup!A33</f>
        <v>Caseload 14</v>
      </c>
    </row>
    <row r="17" spans="18:20" x14ac:dyDescent="0.35">
      <c r="R17" t="e">
        <v>#VALUE!</v>
      </c>
      <c r="T17" t="str">
        <f>Setup!A34</f>
        <v>Caseload 15</v>
      </c>
    </row>
    <row r="18" spans="18:20" x14ac:dyDescent="0.35">
      <c r="R18" t="e">
        <v>#VALUE!</v>
      </c>
    </row>
    <row r="19" spans="18:20" x14ac:dyDescent="0.35">
      <c r="R19" t="e">
        <v>#VALUE!</v>
      </c>
    </row>
    <row r="20" spans="18:20" x14ac:dyDescent="0.35">
      <c r="R20" t="e">
        <v>#VALUE!</v>
      </c>
    </row>
    <row r="21" spans="18:20" x14ac:dyDescent="0.35">
      <c r="R21" t="e">
        <v>#VALUE!</v>
      </c>
    </row>
    <row r="22" spans="18:20" x14ac:dyDescent="0.35">
      <c r="R22" t="e">
        <v>#VALUE!</v>
      </c>
    </row>
    <row r="23" spans="18:20" x14ac:dyDescent="0.35">
      <c r="R23" t="e">
        <v>#VALUE!</v>
      </c>
    </row>
    <row r="24" spans="18:20" x14ac:dyDescent="0.35">
      <c r="R24" t="e">
        <v>#VALUE!</v>
      </c>
    </row>
    <row r="25" spans="18:20" x14ac:dyDescent="0.35">
      <c r="R25" t="e">
        <v>#VALUE!</v>
      </c>
    </row>
    <row r="26" spans="18:20" x14ac:dyDescent="0.35">
      <c r="R26" t="e">
        <v>#VALUE!</v>
      </c>
    </row>
    <row r="27" spans="18:20" x14ac:dyDescent="0.35">
      <c r="R27" t="e">
        <v>#VALUE!</v>
      </c>
    </row>
    <row r="28" spans="18:20" x14ac:dyDescent="0.35">
      <c r="R28" t="e">
        <v>#VALUE!</v>
      </c>
    </row>
    <row r="29" spans="18:20" x14ac:dyDescent="0.35">
      <c r="R29" t="e">
        <v>#VALUE!</v>
      </c>
    </row>
    <row r="30" spans="18:20" x14ac:dyDescent="0.35">
      <c r="R30" t="e">
        <v>#VALUE!</v>
      </c>
    </row>
    <row r="31" spans="18:20" x14ac:dyDescent="0.35">
      <c r="R31" t="e">
        <v>#VALUE!</v>
      </c>
    </row>
    <row r="32" spans="18:20" x14ac:dyDescent="0.35">
      <c r="R32" t="e">
        <v>#VALUE!</v>
      </c>
    </row>
    <row r="33" spans="18:18" x14ac:dyDescent="0.35">
      <c r="R33" t="e">
        <v>#VALUE!</v>
      </c>
    </row>
    <row r="34" spans="18:18" x14ac:dyDescent="0.35">
      <c r="R34" t="e">
        <v>#VALUE!</v>
      </c>
    </row>
    <row r="35" spans="18:18" x14ac:dyDescent="0.35">
      <c r="R35" t="e">
        <v>#VALUE!</v>
      </c>
    </row>
    <row r="36" spans="18:18" x14ac:dyDescent="0.35">
      <c r="R36" t="e">
        <v>#VALUE!</v>
      </c>
    </row>
    <row r="37" spans="18:18" x14ac:dyDescent="0.35">
      <c r="R37" t="e">
        <v>#VALUE!</v>
      </c>
    </row>
    <row r="38" spans="18:18" x14ac:dyDescent="0.35">
      <c r="R38" t="e">
        <v>#VALUE!</v>
      </c>
    </row>
    <row r="39" spans="18:18" x14ac:dyDescent="0.35">
      <c r="R39" t="e">
        <v>#VALUE!</v>
      </c>
    </row>
    <row r="40" spans="18:18" x14ac:dyDescent="0.35">
      <c r="R40" t="e">
        <v>#VALUE!</v>
      </c>
    </row>
    <row r="41" spans="18:18" x14ac:dyDescent="0.35">
      <c r="R41" t="e">
        <v>#VALUE!</v>
      </c>
    </row>
    <row r="42" spans="18:18" x14ac:dyDescent="0.35">
      <c r="R42" t="e">
        <v>#VALUE!</v>
      </c>
    </row>
    <row r="43" spans="18:18" x14ac:dyDescent="0.35">
      <c r="R43" t="e">
        <v>#VALUE!</v>
      </c>
    </row>
    <row r="44" spans="18:18" x14ac:dyDescent="0.35">
      <c r="R44" t="e">
        <v>#VALUE!</v>
      </c>
    </row>
    <row r="45" spans="18:18" x14ac:dyDescent="0.35">
      <c r="R45" t="e">
        <v>#VALUE!</v>
      </c>
    </row>
    <row r="46" spans="18:18" x14ac:dyDescent="0.35">
      <c r="R46" t="e">
        <v>#VALUE!</v>
      </c>
    </row>
    <row r="47" spans="18:18" x14ac:dyDescent="0.35">
      <c r="R47" t="e">
        <v>#VALUE!</v>
      </c>
    </row>
    <row r="48" spans="18:18" x14ac:dyDescent="0.35">
      <c r="R48" t="e">
        <v>#VALUE!</v>
      </c>
    </row>
    <row r="49" spans="18:18" x14ac:dyDescent="0.35">
      <c r="R49" t="e">
        <v>#VALUE!</v>
      </c>
    </row>
    <row r="50" spans="18:18" x14ac:dyDescent="0.35">
      <c r="R50" t="e">
        <v>#VALUE!</v>
      </c>
    </row>
    <row r="51" spans="18:18" x14ac:dyDescent="0.35">
      <c r="R51" t="e">
        <v>#VALUE!</v>
      </c>
    </row>
    <row r="52" spans="18:18" x14ac:dyDescent="0.35">
      <c r="R52" t="e">
        <v>#VALUE!</v>
      </c>
    </row>
    <row r="53" spans="18:18" x14ac:dyDescent="0.35">
      <c r="R53" t="e">
        <v>#VALUE!</v>
      </c>
    </row>
    <row r="54" spans="18:18" x14ac:dyDescent="0.35">
      <c r="R54" t="e">
        <v>#VALUE!</v>
      </c>
    </row>
    <row r="55" spans="18:18" x14ac:dyDescent="0.35">
      <c r="R55" t="e">
        <v>#VALUE!</v>
      </c>
    </row>
    <row r="56" spans="18:18" x14ac:dyDescent="0.35">
      <c r="R56" t="e">
        <v>#VALUE!</v>
      </c>
    </row>
    <row r="57" spans="18:18" x14ac:dyDescent="0.35">
      <c r="R57" t="e">
        <v>#VALUE!</v>
      </c>
    </row>
    <row r="58" spans="18:18" x14ac:dyDescent="0.35">
      <c r="R58" t="e">
        <v>#VALUE!</v>
      </c>
    </row>
    <row r="59" spans="18:18" x14ac:dyDescent="0.35">
      <c r="R59" t="e">
        <v>#VALUE!</v>
      </c>
    </row>
    <row r="60" spans="18:18" x14ac:dyDescent="0.35">
      <c r="R60" t="e">
        <v>#VALUE!</v>
      </c>
    </row>
    <row r="61" spans="18:18" x14ac:dyDescent="0.35">
      <c r="R61" t="e">
        <v>#VALUE!</v>
      </c>
    </row>
    <row r="62" spans="18:18" x14ac:dyDescent="0.35">
      <c r="R62" t="e">
        <v>#VALUE!</v>
      </c>
    </row>
    <row r="63" spans="18:18" x14ac:dyDescent="0.35">
      <c r="R63" t="e">
        <v>#VALUE!</v>
      </c>
    </row>
    <row r="64" spans="18:18" x14ac:dyDescent="0.35">
      <c r="R64" t="e">
        <v>#VALUE!</v>
      </c>
    </row>
    <row r="65" spans="18:18" x14ac:dyDescent="0.35">
      <c r="R65" t="e">
        <v>#VALUE!</v>
      </c>
    </row>
    <row r="66" spans="18:18" x14ac:dyDescent="0.35">
      <c r="R66" t="e">
        <v>#VALUE!</v>
      </c>
    </row>
    <row r="67" spans="18:18" x14ac:dyDescent="0.35">
      <c r="R67" t="e">
        <v>#VALUE!</v>
      </c>
    </row>
    <row r="68" spans="18:18" x14ac:dyDescent="0.35">
      <c r="R68" t="e">
        <v>#VALUE!</v>
      </c>
    </row>
    <row r="69" spans="18:18" x14ac:dyDescent="0.35">
      <c r="R69" t="e">
        <v>#VALUE!</v>
      </c>
    </row>
    <row r="70" spans="18:18" x14ac:dyDescent="0.35">
      <c r="R70" t="e">
        <v>#VALUE!</v>
      </c>
    </row>
    <row r="71" spans="18:18" x14ac:dyDescent="0.35">
      <c r="R71" t="e">
        <v>#VALUE!</v>
      </c>
    </row>
    <row r="72" spans="18:18" x14ac:dyDescent="0.35">
      <c r="R72" t="e">
        <v>#VALUE!</v>
      </c>
    </row>
    <row r="73" spans="18:18" x14ac:dyDescent="0.35">
      <c r="R73" t="e">
        <v>#VALUE!</v>
      </c>
    </row>
    <row r="74" spans="18:18" x14ac:dyDescent="0.35">
      <c r="R74" t="e">
        <v>#VALUE!</v>
      </c>
    </row>
    <row r="75" spans="18:18" x14ac:dyDescent="0.35">
      <c r="R75" t="e">
        <v>#VALUE!</v>
      </c>
    </row>
    <row r="76" spans="18:18" x14ac:dyDescent="0.35">
      <c r="R76" t="e">
        <v>#VALUE!</v>
      </c>
    </row>
    <row r="77" spans="18:18" x14ac:dyDescent="0.35">
      <c r="R77" t="e">
        <v>#VALUE!</v>
      </c>
    </row>
    <row r="78" spans="18:18" x14ac:dyDescent="0.35">
      <c r="R78" t="e">
        <v>#VALUE!</v>
      </c>
    </row>
    <row r="79" spans="18:18" x14ac:dyDescent="0.35">
      <c r="R79" t="e">
        <v>#VALUE!</v>
      </c>
    </row>
    <row r="80" spans="18:18" x14ac:dyDescent="0.35">
      <c r="R80" t="e">
        <v>#VALUE!</v>
      </c>
    </row>
    <row r="81" spans="18:18" x14ac:dyDescent="0.35">
      <c r="R81" t="e">
        <v>#VALUE!</v>
      </c>
    </row>
    <row r="82" spans="18:18" x14ac:dyDescent="0.35">
      <c r="R82" t="e">
        <v>#VALUE!</v>
      </c>
    </row>
    <row r="83" spans="18:18" x14ac:dyDescent="0.35">
      <c r="R83" t="e">
        <v>#VALUE!</v>
      </c>
    </row>
    <row r="84" spans="18:18" x14ac:dyDescent="0.35">
      <c r="R84" t="e">
        <v>#VALUE!</v>
      </c>
    </row>
    <row r="85" spans="18:18" x14ac:dyDescent="0.35">
      <c r="R85" t="e">
        <v>#VALUE!</v>
      </c>
    </row>
    <row r="86" spans="18:18" x14ac:dyDescent="0.35">
      <c r="R86" t="e">
        <v>#VALUE!</v>
      </c>
    </row>
    <row r="87" spans="18:18" x14ac:dyDescent="0.35">
      <c r="R87" t="e">
        <v>#VALUE!</v>
      </c>
    </row>
    <row r="88" spans="18:18" x14ac:dyDescent="0.35">
      <c r="R88" t="e">
        <v>#VALUE!</v>
      </c>
    </row>
    <row r="89" spans="18:18" x14ac:dyDescent="0.35">
      <c r="R89" t="e">
        <v>#VALUE!</v>
      </c>
    </row>
    <row r="90" spans="18:18" x14ac:dyDescent="0.35">
      <c r="R90" t="e">
        <v>#VALUE!</v>
      </c>
    </row>
    <row r="91" spans="18:18" x14ac:dyDescent="0.35">
      <c r="R91" t="e">
        <v>#VALUE!</v>
      </c>
    </row>
    <row r="92" spans="18:18" x14ac:dyDescent="0.35">
      <c r="R92" t="e">
        <v>#VALUE!</v>
      </c>
    </row>
    <row r="93" spans="18:18" x14ac:dyDescent="0.35">
      <c r="R93" t="e">
        <v>#VALUE!</v>
      </c>
    </row>
    <row r="94" spans="18:18" x14ac:dyDescent="0.35">
      <c r="R94" t="e">
        <v>#VALUE!</v>
      </c>
    </row>
    <row r="95" spans="18:18" x14ac:dyDescent="0.35">
      <c r="R95" t="e">
        <v>#VALUE!</v>
      </c>
    </row>
    <row r="96" spans="18:18" x14ac:dyDescent="0.35">
      <c r="R96" t="e">
        <v>#VALUE!</v>
      </c>
    </row>
    <row r="97" spans="18:18" x14ac:dyDescent="0.35">
      <c r="R97" t="e">
        <v>#VALUE!</v>
      </c>
    </row>
    <row r="98" spans="18:18" x14ac:dyDescent="0.35">
      <c r="R98" t="e">
        <v>#VALUE!</v>
      </c>
    </row>
    <row r="99" spans="18:18" x14ac:dyDescent="0.35">
      <c r="R99" t="e">
        <v>#VALUE!</v>
      </c>
    </row>
    <row r="100" spans="18:18" x14ac:dyDescent="0.35">
      <c r="R100" t="e">
        <v>#VALUE!</v>
      </c>
    </row>
    <row r="101" spans="18:18" x14ac:dyDescent="0.35">
      <c r="R101" t="e">
        <v>#VALUE!</v>
      </c>
    </row>
    <row r="102" spans="18:18" x14ac:dyDescent="0.35">
      <c r="R102" t="e">
        <v>#VALUE!</v>
      </c>
    </row>
    <row r="103" spans="18:18" x14ac:dyDescent="0.35">
      <c r="R103" t="e">
        <v>#VALUE!</v>
      </c>
    </row>
    <row r="104" spans="18:18" x14ac:dyDescent="0.35">
      <c r="R104" t="e">
        <v>#VALUE!</v>
      </c>
    </row>
    <row r="105" spans="18:18" x14ac:dyDescent="0.35">
      <c r="R105" t="e">
        <v>#VALUE!</v>
      </c>
    </row>
    <row r="106" spans="18:18" x14ac:dyDescent="0.35">
      <c r="R106" t="e">
        <v>#VALUE!</v>
      </c>
    </row>
    <row r="107" spans="18:18" x14ac:dyDescent="0.35">
      <c r="R107" t="e">
        <v>#VALUE!</v>
      </c>
    </row>
    <row r="108" spans="18:18" x14ac:dyDescent="0.35">
      <c r="R108" t="e">
        <v>#VALUE!</v>
      </c>
    </row>
    <row r="109" spans="18:18" x14ac:dyDescent="0.35">
      <c r="R109" t="e">
        <v>#VALUE!</v>
      </c>
    </row>
    <row r="110" spans="18:18" x14ac:dyDescent="0.35">
      <c r="R110" t="e">
        <v>#VALUE!</v>
      </c>
    </row>
    <row r="111" spans="18:18" x14ac:dyDescent="0.35">
      <c r="R111" t="e">
        <v>#VALUE!</v>
      </c>
    </row>
    <row r="112" spans="18:18" x14ac:dyDescent="0.35">
      <c r="R112" t="e">
        <v>#VALUE!</v>
      </c>
    </row>
    <row r="113" spans="18:18" x14ac:dyDescent="0.35">
      <c r="R113" t="e">
        <v>#VALUE!</v>
      </c>
    </row>
    <row r="114" spans="18:18" x14ac:dyDescent="0.35">
      <c r="R114" t="e">
        <v>#VALUE!</v>
      </c>
    </row>
    <row r="115" spans="18:18" x14ac:dyDescent="0.35">
      <c r="R115" t="e">
        <v>#VALUE!</v>
      </c>
    </row>
    <row r="116" spans="18:18" x14ac:dyDescent="0.35">
      <c r="R116" t="e">
        <v>#VALUE!</v>
      </c>
    </row>
    <row r="117" spans="18:18" x14ac:dyDescent="0.35">
      <c r="R117" t="e">
        <v>#VALUE!</v>
      </c>
    </row>
    <row r="118" spans="18:18" x14ac:dyDescent="0.35">
      <c r="R118" t="e">
        <v>#VALUE!</v>
      </c>
    </row>
    <row r="119" spans="18:18" x14ac:dyDescent="0.35">
      <c r="R119" t="e">
        <v>#VALUE!</v>
      </c>
    </row>
    <row r="120" spans="18:18" x14ac:dyDescent="0.35">
      <c r="R120" t="e">
        <v>#VALUE!</v>
      </c>
    </row>
    <row r="121" spans="18:18" x14ac:dyDescent="0.35">
      <c r="R121" t="e">
        <v>#VALUE!</v>
      </c>
    </row>
    <row r="122" spans="18:18" x14ac:dyDescent="0.35">
      <c r="R122" t="e">
        <v>#VALUE!</v>
      </c>
    </row>
    <row r="123" spans="18:18" x14ac:dyDescent="0.35">
      <c r="R123" t="e">
        <v>#VALUE!</v>
      </c>
    </row>
    <row r="124" spans="18:18" x14ac:dyDescent="0.35">
      <c r="R124" t="e">
        <v>#VALUE!</v>
      </c>
    </row>
    <row r="125" spans="18:18" x14ac:dyDescent="0.35">
      <c r="R125" t="e">
        <v>#VALUE!</v>
      </c>
    </row>
    <row r="126" spans="18:18" x14ac:dyDescent="0.35">
      <c r="R126" t="e">
        <v>#VALUE!</v>
      </c>
    </row>
    <row r="127" spans="18:18" x14ac:dyDescent="0.35">
      <c r="R127" t="e">
        <v>#VALUE!</v>
      </c>
    </row>
    <row r="128" spans="18:18" x14ac:dyDescent="0.35">
      <c r="R128" t="e">
        <v>#VALUE!</v>
      </c>
    </row>
    <row r="129" spans="18:18" x14ac:dyDescent="0.35">
      <c r="R129" t="e">
        <v>#VALUE!</v>
      </c>
    </row>
    <row r="130" spans="18:18" x14ac:dyDescent="0.35">
      <c r="R130" t="e">
        <v>#VALUE!</v>
      </c>
    </row>
    <row r="131" spans="18:18" x14ac:dyDescent="0.35">
      <c r="R131" t="e">
        <v>#VALUE!</v>
      </c>
    </row>
    <row r="132" spans="18:18" x14ac:dyDescent="0.35">
      <c r="R132" t="e">
        <v>#VALUE!</v>
      </c>
    </row>
    <row r="133" spans="18:18" x14ac:dyDescent="0.35">
      <c r="R133" t="e">
        <v>#VALUE!</v>
      </c>
    </row>
    <row r="134" spans="18:18" x14ac:dyDescent="0.35">
      <c r="R134" t="e">
        <v>#VALUE!</v>
      </c>
    </row>
    <row r="135" spans="18:18" x14ac:dyDescent="0.35">
      <c r="R135" t="e">
        <v>#VALUE!</v>
      </c>
    </row>
    <row r="136" spans="18:18" x14ac:dyDescent="0.35">
      <c r="R136" t="e">
        <v>#VALUE!</v>
      </c>
    </row>
    <row r="137" spans="18:18" x14ac:dyDescent="0.35">
      <c r="R137" t="e">
        <v>#VALUE!</v>
      </c>
    </row>
    <row r="138" spans="18:18" x14ac:dyDescent="0.35">
      <c r="R138" t="e">
        <v>#VALUE!</v>
      </c>
    </row>
    <row r="139" spans="18:18" x14ac:dyDescent="0.35">
      <c r="R139" t="e">
        <v>#VALUE!</v>
      </c>
    </row>
    <row r="140" spans="18:18" x14ac:dyDescent="0.35">
      <c r="R140" t="e">
        <v>#VALUE!</v>
      </c>
    </row>
    <row r="141" spans="18:18" x14ac:dyDescent="0.35">
      <c r="R141" t="e">
        <v>#VALUE!</v>
      </c>
    </row>
    <row r="142" spans="18:18" x14ac:dyDescent="0.35">
      <c r="R142" t="e">
        <v>#VALUE!</v>
      </c>
    </row>
    <row r="143" spans="18:18" x14ac:dyDescent="0.35">
      <c r="R143" t="e">
        <v>#VALUE!</v>
      </c>
    </row>
    <row r="144" spans="18:18" x14ac:dyDescent="0.35">
      <c r="R144" t="e">
        <v>#VALUE!</v>
      </c>
    </row>
    <row r="145" spans="18:18" x14ac:dyDescent="0.35">
      <c r="R145" t="e">
        <v>#VALUE!</v>
      </c>
    </row>
    <row r="146" spans="18:18" x14ac:dyDescent="0.35">
      <c r="R146" t="e">
        <v>#VALUE!</v>
      </c>
    </row>
    <row r="147" spans="18:18" x14ac:dyDescent="0.35">
      <c r="R147" t="e">
        <v>#VALUE!</v>
      </c>
    </row>
    <row r="148" spans="18:18" x14ac:dyDescent="0.35">
      <c r="R148" t="e">
        <v>#VALUE!</v>
      </c>
    </row>
    <row r="149" spans="18:18" x14ac:dyDescent="0.35">
      <c r="R149" t="e">
        <v>#VALUE!</v>
      </c>
    </row>
    <row r="150" spans="18:18" x14ac:dyDescent="0.35">
      <c r="R150" t="e">
        <v>#VALUE!</v>
      </c>
    </row>
    <row r="151" spans="18:18" x14ac:dyDescent="0.35">
      <c r="R151" t="e">
        <v>#VALUE!</v>
      </c>
    </row>
    <row r="152" spans="18:18" x14ac:dyDescent="0.35">
      <c r="R152" t="e">
        <v>#VALUE!</v>
      </c>
    </row>
    <row r="153" spans="18:18" x14ac:dyDescent="0.35">
      <c r="R153" t="e">
        <v>#VALUE!</v>
      </c>
    </row>
    <row r="154" spans="18:18" x14ac:dyDescent="0.35">
      <c r="R154" t="e">
        <v>#VALUE!</v>
      </c>
    </row>
    <row r="155" spans="18:18" x14ac:dyDescent="0.35">
      <c r="R155" t="e">
        <v>#VALUE!</v>
      </c>
    </row>
    <row r="156" spans="18:18" x14ac:dyDescent="0.35">
      <c r="R156" t="e">
        <v>#VALUE!</v>
      </c>
    </row>
    <row r="157" spans="18:18" x14ac:dyDescent="0.35">
      <c r="R157" t="e">
        <v>#VALUE!</v>
      </c>
    </row>
    <row r="158" spans="18:18" x14ac:dyDescent="0.35">
      <c r="R158" t="e">
        <v>#VALUE!</v>
      </c>
    </row>
    <row r="159" spans="18:18" x14ac:dyDescent="0.35">
      <c r="R159" t="e">
        <v>#VALUE!</v>
      </c>
    </row>
    <row r="160" spans="18:18" x14ac:dyDescent="0.35">
      <c r="R160" t="e">
        <v>#VALUE!</v>
      </c>
    </row>
    <row r="161" spans="18:18" x14ac:dyDescent="0.35">
      <c r="R161" t="e">
        <v>#VALUE!</v>
      </c>
    </row>
    <row r="162" spans="18:18" x14ac:dyDescent="0.35">
      <c r="R162" t="e">
        <v>#VALUE!</v>
      </c>
    </row>
    <row r="163" spans="18:18" x14ac:dyDescent="0.35">
      <c r="R163" t="e">
        <v>#VALUE!</v>
      </c>
    </row>
    <row r="164" spans="18:18" x14ac:dyDescent="0.35">
      <c r="R164" t="e">
        <v>#VALUE!</v>
      </c>
    </row>
    <row r="165" spans="18:18" x14ac:dyDescent="0.35">
      <c r="R165" t="e">
        <v>#VALUE!</v>
      </c>
    </row>
    <row r="166" spans="18:18" x14ac:dyDescent="0.35">
      <c r="R166" t="e">
        <v>#VALUE!</v>
      </c>
    </row>
    <row r="167" spans="18:18" x14ac:dyDescent="0.35">
      <c r="R167" t="e">
        <v>#VALUE!</v>
      </c>
    </row>
    <row r="168" spans="18:18" x14ac:dyDescent="0.35">
      <c r="R168" t="e">
        <v>#VALUE!</v>
      </c>
    </row>
    <row r="169" spans="18:18" x14ac:dyDescent="0.35">
      <c r="R169" t="e">
        <v>#VALUE!</v>
      </c>
    </row>
    <row r="170" spans="18:18" x14ac:dyDescent="0.35">
      <c r="R170" t="e">
        <v>#VALUE!</v>
      </c>
    </row>
    <row r="171" spans="18:18" x14ac:dyDescent="0.35">
      <c r="R171" t="e">
        <v>#VALUE!</v>
      </c>
    </row>
    <row r="172" spans="18:18" x14ac:dyDescent="0.35">
      <c r="R172" t="e">
        <v>#VALUE!</v>
      </c>
    </row>
    <row r="173" spans="18:18" x14ac:dyDescent="0.35">
      <c r="R173" t="e">
        <v>#VALUE!</v>
      </c>
    </row>
    <row r="174" spans="18:18" x14ac:dyDescent="0.35">
      <c r="R174" t="e">
        <v>#VALUE!</v>
      </c>
    </row>
    <row r="175" spans="18:18" x14ac:dyDescent="0.35">
      <c r="R175" t="e">
        <v>#VALUE!</v>
      </c>
    </row>
    <row r="176" spans="18:18" x14ac:dyDescent="0.35">
      <c r="R176" t="e">
        <v>#VALUE!</v>
      </c>
    </row>
    <row r="177" spans="18:18" x14ac:dyDescent="0.35">
      <c r="R177" t="e">
        <v>#VALUE!</v>
      </c>
    </row>
    <row r="178" spans="18:18" x14ac:dyDescent="0.35">
      <c r="R178" t="e">
        <v>#VALUE!</v>
      </c>
    </row>
    <row r="179" spans="18:18" x14ac:dyDescent="0.35">
      <c r="R179" t="e">
        <v>#VALUE!</v>
      </c>
    </row>
    <row r="180" spans="18:18" x14ac:dyDescent="0.35">
      <c r="R180" t="e">
        <v>#VALUE!</v>
      </c>
    </row>
    <row r="181" spans="18:18" x14ac:dyDescent="0.35">
      <c r="R181" t="e">
        <v>#VALUE!</v>
      </c>
    </row>
    <row r="182" spans="18:18" x14ac:dyDescent="0.35">
      <c r="R182" t="e">
        <v>#VALUE!</v>
      </c>
    </row>
    <row r="183" spans="18:18" x14ac:dyDescent="0.35">
      <c r="R183" t="e">
        <v>#VALUE!</v>
      </c>
    </row>
    <row r="184" spans="18:18" x14ac:dyDescent="0.35">
      <c r="R184" t="e">
        <v>#VALUE!</v>
      </c>
    </row>
    <row r="185" spans="18:18" x14ac:dyDescent="0.35">
      <c r="R185" t="e">
        <v>#VALUE!</v>
      </c>
    </row>
    <row r="186" spans="18:18" x14ac:dyDescent="0.35">
      <c r="R186" t="e">
        <v>#VALUE!</v>
      </c>
    </row>
    <row r="187" spans="18:18" x14ac:dyDescent="0.35">
      <c r="R187" t="e">
        <v>#VALUE!</v>
      </c>
    </row>
    <row r="188" spans="18:18" x14ac:dyDescent="0.35">
      <c r="R188" t="e">
        <v>#VALUE!</v>
      </c>
    </row>
    <row r="189" spans="18:18" x14ac:dyDescent="0.35">
      <c r="R189" t="e">
        <v>#VALUE!</v>
      </c>
    </row>
    <row r="190" spans="18:18" x14ac:dyDescent="0.35">
      <c r="R190" t="e">
        <v>#VALUE!</v>
      </c>
    </row>
    <row r="191" spans="18:18" x14ac:dyDescent="0.35">
      <c r="R191" t="e">
        <v>#VALUE!</v>
      </c>
    </row>
    <row r="192" spans="18:18" x14ac:dyDescent="0.35">
      <c r="R192" t="e">
        <v>#VALUE!</v>
      </c>
    </row>
    <row r="193" spans="18:18" x14ac:dyDescent="0.35">
      <c r="R193" t="e">
        <v>#VALUE!</v>
      </c>
    </row>
    <row r="194" spans="18:18" x14ac:dyDescent="0.35">
      <c r="R194" t="e">
        <v>#VALUE!</v>
      </c>
    </row>
    <row r="195" spans="18:18" x14ac:dyDescent="0.35">
      <c r="R195" t="e">
        <v>#VALUE!</v>
      </c>
    </row>
    <row r="196" spans="18:18" x14ac:dyDescent="0.35">
      <c r="R196" t="e">
        <v>#VALUE!</v>
      </c>
    </row>
    <row r="197" spans="18:18" x14ac:dyDescent="0.35">
      <c r="R197" t="e">
        <v>#VALUE!</v>
      </c>
    </row>
    <row r="198" spans="18:18" x14ac:dyDescent="0.35">
      <c r="R198" t="e">
        <v>#VALUE!</v>
      </c>
    </row>
    <row r="199" spans="18:18" x14ac:dyDescent="0.35">
      <c r="R199" t="e">
        <v>#VALUE!</v>
      </c>
    </row>
    <row r="200" spans="18:18" x14ac:dyDescent="0.35">
      <c r="R200" t="e">
        <v>#VALUE!</v>
      </c>
    </row>
    <row r="201" spans="18:18" x14ac:dyDescent="0.35">
      <c r="R201" t="e">
        <v>#VALUE!</v>
      </c>
    </row>
    <row r="202" spans="18:18" x14ac:dyDescent="0.35">
      <c r="R202" t="e">
        <v>#VALUE!</v>
      </c>
    </row>
    <row r="203" spans="18:18" x14ac:dyDescent="0.35">
      <c r="R203" t="e">
        <v>#VALUE!</v>
      </c>
    </row>
    <row r="204" spans="18:18" x14ac:dyDescent="0.35">
      <c r="R204" t="e">
        <v>#VALUE!</v>
      </c>
    </row>
    <row r="205" spans="18:18" x14ac:dyDescent="0.35">
      <c r="R205" t="e">
        <v>#VALUE!</v>
      </c>
    </row>
    <row r="206" spans="18:18" x14ac:dyDescent="0.35">
      <c r="R206" t="e">
        <v>#VALUE!</v>
      </c>
    </row>
    <row r="207" spans="18:18" x14ac:dyDescent="0.35">
      <c r="R207" t="e">
        <v>#VALUE!</v>
      </c>
    </row>
    <row r="208" spans="18:18" x14ac:dyDescent="0.35">
      <c r="R208" t="e">
        <v>#VALUE!</v>
      </c>
    </row>
    <row r="209" spans="18:18" x14ac:dyDescent="0.35">
      <c r="R209" t="e">
        <v>#VALUE!</v>
      </c>
    </row>
    <row r="210" spans="18:18" x14ac:dyDescent="0.35">
      <c r="R210" t="e">
        <v>#VALUE!</v>
      </c>
    </row>
    <row r="211" spans="18:18" x14ac:dyDescent="0.35">
      <c r="R211" t="e">
        <v>#VALUE!</v>
      </c>
    </row>
    <row r="212" spans="18:18" x14ac:dyDescent="0.35">
      <c r="R212" t="e">
        <v>#VALUE!</v>
      </c>
    </row>
    <row r="213" spans="18:18" x14ac:dyDescent="0.35">
      <c r="R213" t="e">
        <v>#VALUE!</v>
      </c>
    </row>
    <row r="214" spans="18:18" x14ac:dyDescent="0.35">
      <c r="R214" t="e">
        <v>#VALUE!</v>
      </c>
    </row>
    <row r="215" spans="18:18" x14ac:dyDescent="0.35">
      <c r="R215" t="e">
        <v>#VALUE!</v>
      </c>
    </row>
    <row r="216" spans="18:18" x14ac:dyDescent="0.35">
      <c r="R216" t="e">
        <v>#VALUE!</v>
      </c>
    </row>
    <row r="217" spans="18:18" x14ac:dyDescent="0.35">
      <c r="R217" t="e">
        <v>#VALUE!</v>
      </c>
    </row>
    <row r="218" spans="18:18" x14ac:dyDescent="0.35">
      <c r="R218" t="e">
        <v>#VALUE!</v>
      </c>
    </row>
    <row r="219" spans="18:18" x14ac:dyDescent="0.35">
      <c r="R219" t="e">
        <v>#VALUE!</v>
      </c>
    </row>
    <row r="220" spans="18:18" x14ac:dyDescent="0.35">
      <c r="R220" t="e">
        <v>#VALUE!</v>
      </c>
    </row>
    <row r="221" spans="18:18" x14ac:dyDescent="0.35">
      <c r="R221" t="e">
        <v>#VALUE!</v>
      </c>
    </row>
    <row r="222" spans="18:18" x14ac:dyDescent="0.35">
      <c r="R222" t="e">
        <v>#VALUE!</v>
      </c>
    </row>
    <row r="223" spans="18:18" x14ac:dyDescent="0.35">
      <c r="R223" t="e">
        <v>#VALUE!</v>
      </c>
    </row>
    <row r="224" spans="18:18" x14ac:dyDescent="0.35">
      <c r="R224" t="e">
        <v>#VALUE!</v>
      </c>
    </row>
    <row r="225" spans="18:18" x14ac:dyDescent="0.35">
      <c r="R225" t="e">
        <v>#VALUE!</v>
      </c>
    </row>
    <row r="226" spans="18:18" x14ac:dyDescent="0.35">
      <c r="R226" t="e">
        <v>#VALUE!</v>
      </c>
    </row>
    <row r="227" spans="18:18" x14ac:dyDescent="0.35">
      <c r="R227" t="e">
        <v>#VALUE!</v>
      </c>
    </row>
    <row r="228" spans="18:18" x14ac:dyDescent="0.35">
      <c r="R228" t="e">
        <v>#VALUE!</v>
      </c>
    </row>
    <row r="229" spans="18:18" x14ac:dyDescent="0.35">
      <c r="R229" t="e">
        <v>#VALUE!</v>
      </c>
    </row>
    <row r="230" spans="18:18" x14ac:dyDescent="0.35">
      <c r="R230" t="e">
        <v>#VALUE!</v>
      </c>
    </row>
    <row r="231" spans="18:18" x14ac:dyDescent="0.35">
      <c r="R231" t="e">
        <v>#VALUE!</v>
      </c>
    </row>
    <row r="232" spans="18:18" x14ac:dyDescent="0.35">
      <c r="R232" t="e">
        <v>#VALUE!</v>
      </c>
    </row>
    <row r="233" spans="18:18" x14ac:dyDescent="0.35">
      <c r="R233" t="e">
        <v>#VALUE!</v>
      </c>
    </row>
    <row r="234" spans="18:18" x14ac:dyDescent="0.35">
      <c r="R234" t="e">
        <v>#VALUE!</v>
      </c>
    </row>
    <row r="235" spans="18:18" x14ac:dyDescent="0.35">
      <c r="R235" t="e">
        <v>#VALUE!</v>
      </c>
    </row>
    <row r="236" spans="18:18" x14ac:dyDescent="0.35">
      <c r="R236" t="e">
        <v>#VALUE!</v>
      </c>
    </row>
    <row r="237" spans="18:18" x14ac:dyDescent="0.35">
      <c r="R237" t="e">
        <v>#VALUE!</v>
      </c>
    </row>
    <row r="238" spans="18:18" x14ac:dyDescent="0.35">
      <c r="R238" t="e">
        <v>#VALUE!</v>
      </c>
    </row>
    <row r="239" spans="18:18" x14ac:dyDescent="0.35">
      <c r="R239" t="e">
        <v>#VALUE!</v>
      </c>
    </row>
    <row r="240" spans="18:18" x14ac:dyDescent="0.35">
      <c r="R240" t="e">
        <v>#VALUE!</v>
      </c>
    </row>
    <row r="241" spans="18:18" x14ac:dyDescent="0.35">
      <c r="R241" t="e">
        <v>#VALUE!</v>
      </c>
    </row>
    <row r="242" spans="18:18" x14ac:dyDescent="0.35">
      <c r="R242" t="e">
        <v>#VALUE!</v>
      </c>
    </row>
    <row r="243" spans="18:18" x14ac:dyDescent="0.35">
      <c r="R243" t="e">
        <v>#VALUE!</v>
      </c>
    </row>
    <row r="244" spans="18:18" x14ac:dyDescent="0.35">
      <c r="R244" t="e">
        <v>#VALUE!</v>
      </c>
    </row>
    <row r="245" spans="18:18" x14ac:dyDescent="0.35">
      <c r="R245" t="e">
        <v>#VALUE!</v>
      </c>
    </row>
    <row r="246" spans="18:18" x14ac:dyDescent="0.35">
      <c r="R246" t="e">
        <v>#VALUE!</v>
      </c>
    </row>
    <row r="247" spans="18:18" x14ac:dyDescent="0.35">
      <c r="R247" t="e">
        <v>#VALUE!</v>
      </c>
    </row>
    <row r="248" spans="18:18" x14ac:dyDescent="0.35">
      <c r="R248" t="e">
        <v>#VALUE!</v>
      </c>
    </row>
    <row r="249" spans="18:18" x14ac:dyDescent="0.35">
      <c r="R249" t="e">
        <v>#VALUE!</v>
      </c>
    </row>
    <row r="250" spans="18:18" x14ac:dyDescent="0.35">
      <c r="R250" t="e">
        <v>#VALUE!</v>
      </c>
    </row>
    <row r="251" spans="18:18" x14ac:dyDescent="0.35">
      <c r="R251" t="e">
        <v>#VALUE!</v>
      </c>
    </row>
    <row r="252" spans="18:18" x14ac:dyDescent="0.35">
      <c r="R252" t="e">
        <v>#VALUE!</v>
      </c>
    </row>
    <row r="253" spans="18:18" x14ac:dyDescent="0.35">
      <c r="R253" t="e">
        <v>#VALUE!</v>
      </c>
    </row>
    <row r="254" spans="18:18" x14ac:dyDescent="0.35">
      <c r="R254" t="e">
        <v>#VALUE!</v>
      </c>
    </row>
    <row r="255" spans="18:18" x14ac:dyDescent="0.35">
      <c r="R255" t="e">
        <v>#VALUE!</v>
      </c>
    </row>
    <row r="256" spans="18:18" x14ac:dyDescent="0.35">
      <c r="R256" t="e">
        <v>#VALUE!</v>
      </c>
    </row>
    <row r="257" spans="18:18" x14ac:dyDescent="0.35">
      <c r="R257" t="e">
        <v>#VALUE!</v>
      </c>
    </row>
    <row r="258" spans="18:18" x14ac:dyDescent="0.35">
      <c r="R258" t="e">
        <v>#VALUE!</v>
      </c>
    </row>
    <row r="259" spans="18:18" x14ac:dyDescent="0.35">
      <c r="R259" t="e">
        <v>#VALUE!</v>
      </c>
    </row>
    <row r="260" spans="18:18" x14ac:dyDescent="0.35">
      <c r="R260" t="e">
        <v>#VALUE!</v>
      </c>
    </row>
    <row r="261" spans="18:18" x14ac:dyDescent="0.35">
      <c r="R261" t="e">
        <v>#VALUE!</v>
      </c>
    </row>
    <row r="262" spans="18:18" x14ac:dyDescent="0.35">
      <c r="R262" t="e">
        <v>#VALUE!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C13" sqref="C1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76</v>
      </c>
    </row>
    <row r="2" spans="1:19" x14ac:dyDescent="0.35">
      <c r="A2" t="s">
        <v>200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110</v>
      </c>
      <c r="B11" s="38" t="s">
        <v>113</v>
      </c>
    </row>
    <row r="12" spans="1:19" ht="15" thickBot="1" x14ac:dyDescent="0.4"/>
    <row r="13" spans="1:19" ht="15" thickBot="1" x14ac:dyDescent="0.4">
      <c r="A13" s="63" t="s">
        <v>77</v>
      </c>
      <c r="B13" s="38" t="s">
        <v>79</v>
      </c>
    </row>
    <row r="14" spans="1:19" ht="15" thickBot="1" x14ac:dyDescent="0.4"/>
    <row r="15" spans="1:19" ht="15" thickBot="1" x14ac:dyDescent="0.4">
      <c r="A15" s="63" t="s">
        <v>172</v>
      </c>
      <c r="B15" s="38" t="s">
        <v>44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15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39" t="s">
        <v>201</v>
      </c>
      <c r="B20" s="11"/>
    </row>
    <row r="21" spans="1:2" x14ac:dyDescent="0.35">
      <c r="A21" s="39" t="s">
        <v>202</v>
      </c>
      <c r="B21" s="39"/>
    </row>
    <row r="22" spans="1:2" x14ac:dyDescent="0.35">
      <c r="A22" s="39" t="s">
        <v>203</v>
      </c>
      <c r="B22" s="39"/>
    </row>
    <row r="23" spans="1:2" x14ac:dyDescent="0.35">
      <c r="A23" s="39" t="s">
        <v>204</v>
      </c>
      <c r="B23" s="39"/>
    </row>
    <row r="24" spans="1:2" x14ac:dyDescent="0.35">
      <c r="A24" s="39" t="s">
        <v>205</v>
      </c>
      <c r="B24" s="39"/>
    </row>
    <row r="25" spans="1:2" x14ac:dyDescent="0.35">
      <c r="A25" s="39" t="s">
        <v>206</v>
      </c>
      <c r="B25" s="39"/>
    </row>
    <row r="26" spans="1:2" x14ac:dyDescent="0.35">
      <c r="A26" s="39" t="s">
        <v>2</v>
      </c>
      <c r="B26" s="39"/>
    </row>
    <row r="27" spans="1:2" x14ac:dyDescent="0.35">
      <c r="A27" s="39" t="s">
        <v>3</v>
      </c>
      <c r="B27" s="39"/>
    </row>
    <row r="28" spans="1:2" x14ac:dyDescent="0.35">
      <c r="A28" s="39" t="s">
        <v>4</v>
      </c>
      <c r="B28" s="39"/>
    </row>
    <row r="29" spans="1:2" x14ac:dyDescent="0.35">
      <c r="A29" s="39" t="s">
        <v>5</v>
      </c>
      <c r="B29" s="39"/>
    </row>
    <row r="30" spans="1:2" x14ac:dyDescent="0.35">
      <c r="A30" s="39" t="s">
        <v>6</v>
      </c>
      <c r="B30" s="39"/>
    </row>
    <row r="31" spans="1:2" x14ac:dyDescent="0.35">
      <c r="A31" s="39" t="s">
        <v>7</v>
      </c>
      <c r="B31" s="39"/>
    </row>
    <row r="32" spans="1:2" x14ac:dyDescent="0.35">
      <c r="A32" s="39" t="s">
        <v>8</v>
      </c>
      <c r="B32" s="39"/>
    </row>
    <row r="33" spans="1:19" x14ac:dyDescent="0.35">
      <c r="A33" s="39" t="s">
        <v>9</v>
      </c>
      <c r="B33" s="39"/>
    </row>
    <row r="34" spans="1:19" ht="15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B6" sqref="B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20" width="8.7265625" customWidth="1"/>
  </cols>
  <sheetData>
    <row r="1" spans="1:21" ht="23.5" x14ac:dyDescent="0.55000000000000004">
      <c r="A1" s="28" t="s">
        <v>135</v>
      </c>
    </row>
    <row r="2" spans="1:21" ht="15" thickBot="1" x14ac:dyDescent="0.4"/>
    <row r="3" spans="1:21" ht="15" hidden="1" thickBot="1" x14ac:dyDescent="0.4">
      <c r="A3" s="63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108</v>
      </c>
      <c r="B5" s="62"/>
    </row>
    <row r="6" spans="1:21" ht="15" thickBot="1" x14ac:dyDescent="0.4">
      <c r="A6" s="63" t="s">
        <v>109</v>
      </c>
      <c r="B6" s="61"/>
    </row>
    <row r="7" spans="1:21" ht="15" thickBot="1" x14ac:dyDescent="0.4"/>
    <row r="8" spans="1:21" ht="28.5" customHeight="1" thickBot="1" x14ac:dyDescent="0.4">
      <c r="A8" s="27">
        <f>MAX(A9:A268)</f>
        <v>0</v>
      </c>
      <c r="C8" s="69" t="s">
        <v>15</v>
      </c>
      <c r="D8" s="55" t="s">
        <v>114</v>
      </c>
      <c r="E8" s="55" t="s">
        <v>115</v>
      </c>
      <c r="F8" s="44" t="str" cm="1">
        <f t="array" ref="F8">INDEX('Data Validation (Hide)'!$B$2:$B$16,COLUMN(A1),1)</f>
        <v>Caseload 1</v>
      </c>
      <c r="G8" s="44" t="str" cm="1">
        <f t="array" ref="G8">INDEX('Data Validation (Hide)'!$B$2:$B$16,COLUMN(B1),1)</f>
        <v>Caseload 2</v>
      </c>
      <c r="H8" s="44" t="str" cm="1">
        <f t="array" ref="H8">INDEX('Data Validation (Hide)'!$B$2:$B$16,COLUMN(C1),1)</f>
        <v>Caseload 3</v>
      </c>
      <c r="I8" s="44" t="str" cm="1">
        <f t="array" ref="I8">INDEX('Data Validation (Hide)'!$B$2:$B$16,COLUMN(D1),1)</f>
        <v>Caseload 4</v>
      </c>
      <c r="J8" s="45" t="str" cm="1">
        <f t="array" ref="J8">INDEX('Data Validation (Hide)'!$B$2:$B$16,COLUMN(E1),1)</f>
        <v>Caseload 5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 t="str">
        <f>IF(COUNTBLANK(F9:T9)=15,"",1)</f>
        <v/>
      </c>
      <c r="C9" s="42" t="str">
        <f>IF(A9="","",B3)</f>
        <v/>
      </c>
      <c r="D9" s="66" t="str">
        <f>IF(A9="","",B6)</f>
        <v/>
      </c>
      <c r="E9" s="66" t="str">
        <f>IF(A9="","",MONTH(DATEVALUE(B5&amp;" 1")))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 t="str">
        <f t="shared" ref="A10:A73" si="0">IF(COUNTBLANK(F10:T10)=15,"",A9+1)</f>
        <v/>
      </c>
      <c r="C10" s="42" t="str">
        <f t="shared" ref="C10:C73" si="1">IF(A10="","",C9+7)</f>
        <v/>
      </c>
      <c r="D10" s="67" t="str">
        <f>IF(E10=1,MAX($D$9:D9)+1,"")</f>
        <v/>
      </c>
      <c r="E10" s="67" t="str">
        <f>IF(A10="","",IF(E9=12,1,E9+1))</f>
        <v/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 t="str">
        <f t="shared" si="0"/>
        <v/>
      </c>
      <c r="C11" s="42" t="str">
        <f t="shared" si="1"/>
        <v/>
      </c>
      <c r="D11" s="67" t="str">
        <f>IF(E11=1,MAX($D$9:D10)+1,"")</f>
        <v/>
      </c>
      <c r="E11" s="67" t="str">
        <f t="shared" ref="E11:E74" si="2">IF(A11="","",IF(E10=12,1,E10+1))</f>
        <v/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 t="str">
        <f t="shared" si="0"/>
        <v/>
      </c>
      <c r="C12" s="42" t="str">
        <f t="shared" si="1"/>
        <v/>
      </c>
      <c r="D12" s="67" t="str">
        <f>IF(E12=1,MAX($D$9:D11)+1,"")</f>
        <v/>
      </c>
      <c r="E12" s="67" t="str">
        <f t="shared" si="2"/>
        <v/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 t="str">
        <f t="shared" si="0"/>
        <v/>
      </c>
      <c r="C13" s="42" t="str">
        <f t="shared" si="1"/>
        <v/>
      </c>
      <c r="D13" s="67" t="str">
        <f>IF(E13=1,MAX($D$9:D12)+1,"")</f>
        <v/>
      </c>
      <c r="E13" s="67" t="str">
        <f t="shared" si="2"/>
        <v/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 t="str">
        <f t="shared" si="0"/>
        <v/>
      </c>
      <c r="C14" s="42" t="str">
        <f t="shared" si="1"/>
        <v/>
      </c>
      <c r="D14" s="67" t="str">
        <f>IF(E14=1,MAX($D$9:D13)+1,"")</f>
        <v/>
      </c>
      <c r="E14" s="67" t="str">
        <f t="shared" si="2"/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 t="str">
        <f t="shared" si="0"/>
        <v/>
      </c>
      <c r="C15" s="42" t="str">
        <f t="shared" si="1"/>
        <v/>
      </c>
      <c r="D15" s="67" t="str">
        <f>IF(E15=1,MAX($D$9:D14)+1,"")</f>
        <v/>
      </c>
      <c r="E15" s="67" t="str">
        <f t="shared" si="2"/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 t="str">
        <f t="shared" si="0"/>
        <v/>
      </c>
      <c r="C16" s="42" t="str">
        <f t="shared" si="1"/>
        <v/>
      </c>
      <c r="D16" s="67" t="str">
        <f>IF(E16=1,MAX($D$9:D15)+1,"")</f>
        <v/>
      </c>
      <c r="E16" s="67" t="str">
        <f t="shared" si="2"/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 t="str">
        <f t="shared" si="0"/>
        <v/>
      </c>
      <c r="C17" s="42" t="str">
        <f t="shared" si="1"/>
        <v/>
      </c>
      <c r="D17" s="67" t="str">
        <f>IF(E17=1,MAX($D$9:D16)+1,"")</f>
        <v/>
      </c>
      <c r="E17" s="67" t="str">
        <f t="shared" si="2"/>
        <v/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 t="str">
        <f t="shared" si="0"/>
        <v/>
      </c>
      <c r="C18" s="42" t="str">
        <f t="shared" si="1"/>
        <v/>
      </c>
      <c r="D18" s="67" t="str">
        <f>IF(E18=1,MAX($D$9:D17)+1,"")</f>
        <v/>
      </c>
      <c r="E18" s="67" t="str">
        <f t="shared" si="2"/>
        <v/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 t="str">
        <f t="shared" si="0"/>
        <v/>
      </c>
      <c r="C19" s="42" t="str">
        <f t="shared" si="1"/>
        <v/>
      </c>
      <c r="D19" s="67" t="str">
        <f>IF(E19=1,MAX($D$9:D18)+1,"")</f>
        <v/>
      </c>
      <c r="E19" s="67" t="str">
        <f t="shared" si="2"/>
        <v/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 t="str">
        <f t="shared" si="0"/>
        <v/>
      </c>
      <c r="C20" s="42" t="str">
        <f t="shared" si="1"/>
        <v/>
      </c>
      <c r="D20" s="67" t="str">
        <f>IF(E20=1,MAX($D$9:D19)+1,"")</f>
        <v/>
      </c>
      <c r="E20" s="67" t="str">
        <f t="shared" si="2"/>
        <v/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 t="str">
        <f t="shared" si="0"/>
        <v/>
      </c>
      <c r="C21" s="42" t="str">
        <f t="shared" si="1"/>
        <v/>
      </c>
      <c r="D21" s="67" t="str">
        <f>IF(E21=1,MAX($D$9:D20)+1,"")</f>
        <v/>
      </c>
      <c r="E21" s="67" t="str">
        <f t="shared" si="2"/>
        <v/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A33" sqref="A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136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201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94</v>
      </c>
    </row>
    <row r="6" spans="1:4" ht="15" thickBot="1" x14ac:dyDescent="0.4">
      <c r="A6" s="41" t="s">
        <v>42</v>
      </c>
      <c r="B6" s="17" t="s">
        <v>97</v>
      </c>
    </row>
    <row r="7" spans="1:4" ht="15" thickBot="1" x14ac:dyDescent="0.4">
      <c r="A7" s="52" t="s">
        <v>95</v>
      </c>
      <c r="B7" s="17" t="s">
        <v>97</v>
      </c>
    </row>
    <row r="8" spans="1:4" ht="15" thickBot="1" x14ac:dyDescent="0.4">
      <c r="A8" s="52" t="s">
        <v>96</v>
      </c>
      <c r="B8" s="17" t="s">
        <v>97</v>
      </c>
    </row>
    <row r="9" spans="1:4" ht="15" thickBot="1" x14ac:dyDescent="0.4">
      <c r="A9" s="53" t="s">
        <v>29</v>
      </c>
      <c r="B9" s="40" t="s">
        <v>97</v>
      </c>
    </row>
    <row r="10" spans="1:4" ht="15" thickBot="1" x14ac:dyDescent="0.4"/>
    <row r="11" spans="1:4" ht="15" thickBot="1" x14ac:dyDescent="0.4">
      <c r="A11" s="37" t="s">
        <v>98</v>
      </c>
    </row>
    <row r="12" spans="1:4" ht="15" thickBot="1" x14ac:dyDescent="0.4">
      <c r="A12" s="37" t="s">
        <v>101</v>
      </c>
      <c r="B12" s="17" t="s">
        <v>141</v>
      </c>
    </row>
    <row r="13" spans="1:4" ht="15" thickBot="1" x14ac:dyDescent="0.4">
      <c r="A13" s="37" t="s">
        <v>99</v>
      </c>
      <c r="B13" s="47" t="s">
        <v>163</v>
      </c>
    </row>
    <row r="14" spans="1:4" ht="15" thickBot="1" x14ac:dyDescent="0.4">
      <c r="A14" s="53" t="s">
        <v>100</v>
      </c>
      <c r="B14" s="47" t="s">
        <v>162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Caseload 1</v>
      </c>
      <c r="AG2" t="s">
        <v>29</v>
      </c>
    </row>
    <row r="3" spans="1:42" x14ac:dyDescent="0.35">
      <c r="B3" s="11" t="s">
        <v>15</v>
      </c>
      <c r="C3" s="3" t="s">
        <v>114</v>
      </c>
      <c r="D3" s="3" t="s">
        <v>115</v>
      </c>
      <c r="E3" s="3" t="s">
        <v>116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Caseload 2</v>
      </c>
      <c r="H3" s="4" t="str" cm="1">
        <f t="array" ref="H3">INDEX('Data Validation (Hide)'!$B$2:$B$16,COLUMN(C1),1)</f>
        <v>Caseload 3</v>
      </c>
      <c r="I3" s="4" t="str" cm="1">
        <f t="array" ref="I3">INDEX('Data Validation (Hide)'!$B$2:$B$16,COLUMN(D1),1)</f>
        <v>Caseload 4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102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 t="str">
        <f>Demand!C9</f>
        <v/>
      </c>
      <c r="C4" s="64" t="str">
        <f>Demand!D9</f>
        <v/>
      </c>
      <c r="D4" s="64" t="str">
        <f>Demand!E9</f>
        <v/>
      </c>
      <c r="E4" s="64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 t="e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#VALUE!</v>
      </c>
      <c r="V4" cm="1">
        <f t="array" ref="V4">INDEX($F$4:$T$263,ROW(A1),MATCH($W$2,$F$3:$T$3,0))</f>
        <v>0</v>
      </c>
      <c r="W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" t="e">
        <f>Y4/1.128</f>
        <v>#N/A</v>
      </c>
      <c r="AA4" t="e">
        <f>MAX(0,W4-(3*Z4))</f>
        <v>#N/A</v>
      </c>
      <c r="AB4" t="e">
        <f>MAX(0,W4-(2*Z4))</f>
        <v>#N/A</v>
      </c>
      <c r="AC4" t="e">
        <f>MAX(0,W4-Z4)</f>
        <v>#N/A</v>
      </c>
      <c r="AD4" t="e">
        <f>W4+Z4</f>
        <v>#N/A</v>
      </c>
      <c r="AE4" t="e">
        <f>W4+(2*Z4)</f>
        <v>#N/A</v>
      </c>
      <c r="AF4" t="e">
        <f>W4+(3*Z4)</f>
        <v>#N/A</v>
      </c>
      <c r="AG4" t="e">
        <f>IF(OR(V4&gt;AF4,V4&lt;AA4),V4,NA())</f>
        <v>#N/A</v>
      </c>
      <c r="AH4" t="e">
        <f>IF(V4&gt;AE4,2,IF(V4&lt;AB4,-2,IF(V4&gt;W4,1,IF(V4&lt;W4,-1,0))))</f>
        <v>#N/A</v>
      </c>
      <c r="AI4" t="e">
        <f>IF(ABS(SUM(AH4:AH6))&gt;=5,V4,NA())</f>
        <v>#N/A</v>
      </c>
      <c r="AJ4">
        <f>IF(V5&gt;V4,1,IF(V5&lt;V4,-1,0))</f>
        <v>0</v>
      </c>
      <c r="AK4" t="e">
        <f>IF(ABS(SUM(AJ4:AJ9))=6,V4,NA())</f>
        <v>#N/A</v>
      </c>
      <c r="AL4" t="e">
        <f>IF(V4&lt;W4,-1,IF(V4&gt;W4,1,0))</f>
        <v>#N/A</v>
      </c>
      <c r="AM4" t="e">
        <f>IF(ABS(SUM(AL4:AL12))=9,V4,NA())</f>
        <v>#N/A</v>
      </c>
      <c r="AN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" t="e">
        <f>AO4-AN4</f>
        <v>#N/A</v>
      </c>
    </row>
    <row r="5" spans="1:42" x14ac:dyDescent="0.35">
      <c r="B5" s="12" t="str">
        <f>Demand!C10</f>
        <v/>
      </c>
      <c r="C5" s="64" t="str">
        <f>Demand!D10</f>
        <v/>
      </c>
      <c r="D5" s="64" t="str">
        <f>Demand!E10</f>
        <v/>
      </c>
      <c r="E5" s="64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 t="e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#VALUE!</v>
      </c>
      <c r="V5" cm="1">
        <f t="array" ref="V5">INDEX($F$4:$T$263,ROW(A2),MATCH($W$2,$F$3:$T$3,0))</f>
        <v>0</v>
      </c>
      <c r="W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" t="e">
        <f t="shared" ref="Z5:Z68" si="0">Y5/1.128</f>
        <v>#N/A</v>
      </c>
      <c r="AA5" t="e">
        <f t="shared" ref="AA5:AA68" si="1">MAX(0,W5-(3*Z5))</f>
        <v>#N/A</v>
      </c>
      <c r="AB5" t="e">
        <f t="shared" ref="AB5:AB68" si="2">MAX(0,W5-(2*Z5))</f>
        <v>#N/A</v>
      </c>
      <c r="AC5" t="e">
        <f t="shared" ref="AC5:AC68" si="3">MAX(0,W5-Z5)</f>
        <v>#N/A</v>
      </c>
      <c r="AD5" t="e">
        <f t="shared" ref="AD5:AD68" si="4">W5+Z5</f>
        <v>#N/A</v>
      </c>
      <c r="AE5" t="e">
        <f t="shared" ref="AE5:AE68" si="5">W5+(2*Z5)</f>
        <v>#N/A</v>
      </c>
      <c r="AF5" t="e">
        <f t="shared" ref="AF5:AF68" si="6">W5+(3*Z5)</f>
        <v>#N/A</v>
      </c>
      <c r="AG5" t="e">
        <f t="shared" ref="AG5:AG68" si="7">IF(OR(V5&gt;AF5,V5&lt;AA5),V5,NA())</f>
        <v>#N/A</v>
      </c>
      <c r="AH5" t="e">
        <f>IF(V5&gt;AE5,2,IF(V5&lt;AB5,-2,IF(V5&gt;W5,1,IF(V5&lt;W5,-1,0))))</f>
        <v>#N/A</v>
      </c>
      <c r="AI5" t="e">
        <f t="shared" ref="AI5:AI68" si="8">IF(ABS(SUM(AH5:AH7))&gt;=5,V5,NA())</f>
        <v>#N/A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 t="e">
        <f t="shared" ref="AL5:AL68" si="11">IF(V5&lt;W5,-1,IF(V5&gt;W5,1,0))</f>
        <v>#N/A</v>
      </c>
      <c r="AM5" t="e">
        <f t="shared" ref="AM5:AM68" si="12">IF(ABS(SUM(AL5:AL13))=9,V5,NA())</f>
        <v>#N/A</v>
      </c>
      <c r="AN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" t="e">
        <f t="shared" ref="AP5:AP68" si="13">AO5-AN5</f>
        <v>#N/A</v>
      </c>
    </row>
    <row r="6" spans="1:42" x14ac:dyDescent="0.35">
      <c r="B6" s="12" t="str">
        <f>Demand!C11</f>
        <v/>
      </c>
      <c r="C6" s="64" t="str">
        <f>Demand!D11</f>
        <v/>
      </c>
      <c r="D6" s="64" t="str">
        <f>Demand!E11</f>
        <v/>
      </c>
      <c r="E6" s="64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 t="e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#VALUE!</v>
      </c>
      <c r="V6" cm="1">
        <f t="array" ref="V6">INDEX($F$4:$T$263,ROW(A3),MATCH($W$2,$F$3:$T$3,0))</f>
        <v>0</v>
      </c>
      <c r="W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" t="e">
        <f t="shared" si="0"/>
        <v>#N/A</v>
      </c>
      <c r="AA6" t="e">
        <f t="shared" si="1"/>
        <v>#N/A</v>
      </c>
      <c r="AB6" t="e">
        <f t="shared" si="2"/>
        <v>#N/A</v>
      </c>
      <c r="AC6" t="e">
        <f t="shared" si="3"/>
        <v>#N/A</v>
      </c>
      <c r="AD6" t="e">
        <f t="shared" si="4"/>
        <v>#N/A</v>
      </c>
      <c r="AE6" t="e">
        <f t="shared" si="5"/>
        <v>#N/A</v>
      </c>
      <c r="AF6" t="e">
        <f t="shared" si="6"/>
        <v>#N/A</v>
      </c>
      <c r="AG6" t="e">
        <f t="shared" si="7"/>
        <v>#N/A</v>
      </c>
      <c r="AH6" t="e">
        <f t="shared" ref="AH6:AH69" si="14">IF(V6&gt;AE6,2,IF(V6&lt;AB6,-2,IF(V6&gt;W6,1,IF(V6&lt;W6,-1,0))))</f>
        <v>#N/A</v>
      </c>
      <c r="AI6" t="e">
        <f t="shared" si="8"/>
        <v>#N/A</v>
      </c>
      <c r="AJ6">
        <f t="shared" si="9"/>
        <v>0</v>
      </c>
      <c r="AK6" t="e">
        <f t="shared" si="10"/>
        <v>#N/A</v>
      </c>
      <c r="AL6" t="e">
        <f t="shared" si="11"/>
        <v>#N/A</v>
      </c>
      <c r="AM6" t="e">
        <f t="shared" si="12"/>
        <v>#N/A</v>
      </c>
      <c r="AN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" t="e">
        <f t="shared" si="13"/>
        <v>#N/A</v>
      </c>
    </row>
    <row r="7" spans="1:42" x14ac:dyDescent="0.35">
      <c r="B7" s="12" t="str">
        <f>Demand!C12</f>
        <v/>
      </c>
      <c r="C7" s="64" t="str">
        <f>Demand!D12</f>
        <v/>
      </c>
      <c r="D7" s="64" t="str">
        <f>Demand!E12</f>
        <v/>
      </c>
      <c r="E7" s="64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 t="e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#VALUE!</v>
      </c>
      <c r="V7" cm="1">
        <f t="array" ref="V7">INDEX($F$4:$T$263,ROW(A4),MATCH($W$2,$F$3:$T$3,0))</f>
        <v>0</v>
      </c>
      <c r="W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" t="e">
        <f t="shared" si="0"/>
        <v>#N/A</v>
      </c>
      <c r="AA7" t="e">
        <f t="shared" si="1"/>
        <v>#N/A</v>
      </c>
      <c r="AB7" t="e">
        <f t="shared" si="2"/>
        <v>#N/A</v>
      </c>
      <c r="AC7" t="e">
        <f t="shared" si="3"/>
        <v>#N/A</v>
      </c>
      <c r="AD7" t="e">
        <f t="shared" si="4"/>
        <v>#N/A</v>
      </c>
      <c r="AE7" t="e">
        <f t="shared" si="5"/>
        <v>#N/A</v>
      </c>
      <c r="AF7" t="e">
        <f t="shared" si="6"/>
        <v>#N/A</v>
      </c>
      <c r="AG7" t="e">
        <f t="shared" si="7"/>
        <v>#N/A</v>
      </c>
      <c r="AH7" t="e">
        <f t="shared" si="14"/>
        <v>#N/A</v>
      </c>
      <c r="AI7" t="e">
        <f t="shared" si="8"/>
        <v>#N/A</v>
      </c>
      <c r="AJ7">
        <f t="shared" si="9"/>
        <v>0</v>
      </c>
      <c r="AK7" t="e">
        <f t="shared" si="10"/>
        <v>#N/A</v>
      </c>
      <c r="AL7" t="e">
        <f t="shared" si="11"/>
        <v>#N/A</v>
      </c>
      <c r="AM7" t="e">
        <f t="shared" si="12"/>
        <v>#N/A</v>
      </c>
      <c r="AN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" t="e">
        <f t="shared" si="13"/>
        <v>#N/A</v>
      </c>
    </row>
    <row r="8" spans="1:42" x14ac:dyDescent="0.35">
      <c r="B8" s="12" t="str">
        <f>Demand!C13</f>
        <v/>
      </c>
      <c r="C8" s="64" t="str">
        <f>Demand!D13</f>
        <v/>
      </c>
      <c r="D8" s="64" t="str">
        <f>Demand!E13</f>
        <v/>
      </c>
      <c r="E8" s="64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 t="e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#VALUE!</v>
      </c>
      <c r="V8" cm="1">
        <f t="array" ref="V8">INDEX($F$4:$T$263,ROW(A5),MATCH($W$2,$F$3:$T$3,0))</f>
        <v>0</v>
      </c>
      <c r="W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" t="e">
        <f t="shared" si="0"/>
        <v>#N/A</v>
      </c>
      <c r="AA8" t="e">
        <f t="shared" si="1"/>
        <v>#N/A</v>
      </c>
      <c r="AB8" t="e">
        <f t="shared" si="2"/>
        <v>#N/A</v>
      </c>
      <c r="AC8" t="e">
        <f t="shared" si="3"/>
        <v>#N/A</v>
      </c>
      <c r="AD8" t="e">
        <f t="shared" si="4"/>
        <v>#N/A</v>
      </c>
      <c r="AE8" t="e">
        <f t="shared" si="5"/>
        <v>#N/A</v>
      </c>
      <c r="AF8" t="e">
        <f t="shared" si="6"/>
        <v>#N/A</v>
      </c>
      <c r="AG8" t="e">
        <f t="shared" si="7"/>
        <v>#N/A</v>
      </c>
      <c r="AH8" t="e">
        <f t="shared" si="14"/>
        <v>#N/A</v>
      </c>
      <c r="AI8" t="e">
        <f t="shared" si="8"/>
        <v>#N/A</v>
      </c>
      <c r="AJ8">
        <f t="shared" si="9"/>
        <v>0</v>
      </c>
      <c r="AK8" t="e">
        <f t="shared" si="10"/>
        <v>#N/A</v>
      </c>
      <c r="AL8" t="e">
        <f t="shared" si="11"/>
        <v>#N/A</v>
      </c>
      <c r="AM8" t="e">
        <f t="shared" si="12"/>
        <v>#N/A</v>
      </c>
      <c r="AN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" t="e">
        <f t="shared" si="13"/>
        <v>#N/A</v>
      </c>
    </row>
    <row r="9" spans="1:42" x14ac:dyDescent="0.35">
      <c r="B9" s="12" t="str">
        <f>Demand!C14</f>
        <v/>
      </c>
      <c r="C9" s="64" t="str">
        <f>Demand!D14</f>
        <v/>
      </c>
      <c r="D9" s="64" t="str">
        <f>Demand!E14</f>
        <v/>
      </c>
      <c r="E9" s="64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 t="e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#VALUE!</v>
      </c>
      <c r="V9" cm="1">
        <f t="array" ref="V9">INDEX($F$4:$T$263,ROW(A6),MATCH($W$2,$F$3:$T$3,0))</f>
        <v>0</v>
      </c>
      <c r="W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" t="e">
        <f t="shared" si="0"/>
        <v>#N/A</v>
      </c>
      <c r="AA9" t="e">
        <f t="shared" si="1"/>
        <v>#N/A</v>
      </c>
      <c r="AB9" t="e">
        <f t="shared" si="2"/>
        <v>#N/A</v>
      </c>
      <c r="AC9" t="e">
        <f t="shared" si="3"/>
        <v>#N/A</v>
      </c>
      <c r="AD9" t="e">
        <f t="shared" si="4"/>
        <v>#N/A</v>
      </c>
      <c r="AE9" t="e">
        <f t="shared" si="5"/>
        <v>#N/A</v>
      </c>
      <c r="AF9" t="e">
        <f t="shared" si="6"/>
        <v>#N/A</v>
      </c>
      <c r="AG9" t="e">
        <f t="shared" si="7"/>
        <v>#N/A</v>
      </c>
      <c r="AH9" t="e">
        <f t="shared" si="14"/>
        <v>#N/A</v>
      </c>
      <c r="AI9" t="e">
        <f t="shared" si="8"/>
        <v>#N/A</v>
      </c>
      <c r="AJ9">
        <f t="shared" si="9"/>
        <v>0</v>
      </c>
      <c r="AK9" t="e">
        <f t="shared" si="10"/>
        <v>#N/A</v>
      </c>
      <c r="AL9" t="e">
        <f t="shared" si="11"/>
        <v>#N/A</v>
      </c>
      <c r="AM9" t="e">
        <f t="shared" si="12"/>
        <v>#N/A</v>
      </c>
      <c r="AN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" t="e">
        <f t="shared" si="13"/>
        <v>#N/A</v>
      </c>
    </row>
    <row r="10" spans="1:42" x14ac:dyDescent="0.35">
      <c r="B10" s="12" t="str">
        <f>Demand!C15</f>
        <v/>
      </c>
      <c r="C10" s="64" t="str">
        <f>Demand!D15</f>
        <v/>
      </c>
      <c r="D10" s="64" t="str">
        <f>Demand!E15</f>
        <v/>
      </c>
      <c r="E10" s="64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 t="e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#VALUE!</v>
      </c>
      <c r="V10" cm="1">
        <f t="array" ref="V10">INDEX($F$4:$T$263,ROW(A7),MATCH($W$2,$F$3:$T$3,0))</f>
        <v>0</v>
      </c>
      <c r="W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" t="e">
        <f t="shared" si="0"/>
        <v>#N/A</v>
      </c>
      <c r="AA10" t="e">
        <f t="shared" si="1"/>
        <v>#N/A</v>
      </c>
      <c r="AB10" t="e">
        <f t="shared" si="2"/>
        <v>#N/A</v>
      </c>
      <c r="AC10" t="e">
        <f t="shared" si="3"/>
        <v>#N/A</v>
      </c>
      <c r="AD10" t="e">
        <f t="shared" si="4"/>
        <v>#N/A</v>
      </c>
      <c r="AE10" t="e">
        <f t="shared" si="5"/>
        <v>#N/A</v>
      </c>
      <c r="AF10" t="e">
        <f t="shared" si="6"/>
        <v>#N/A</v>
      </c>
      <c r="AG10" t="e">
        <f t="shared" si="7"/>
        <v>#N/A</v>
      </c>
      <c r="AH10" t="e">
        <f t="shared" si="14"/>
        <v>#N/A</v>
      </c>
      <c r="AI10" t="e">
        <f t="shared" si="8"/>
        <v>#N/A</v>
      </c>
      <c r="AJ10">
        <f t="shared" si="9"/>
        <v>0</v>
      </c>
      <c r="AK10" t="e">
        <f t="shared" si="10"/>
        <v>#N/A</v>
      </c>
      <c r="AL10" t="e">
        <f t="shared" si="11"/>
        <v>#N/A</v>
      </c>
      <c r="AM10" t="e">
        <f t="shared" si="12"/>
        <v>#N/A</v>
      </c>
      <c r="AN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" t="e">
        <f t="shared" si="13"/>
        <v>#N/A</v>
      </c>
    </row>
    <row r="11" spans="1:42" x14ac:dyDescent="0.35">
      <c r="B11" s="12" t="str">
        <f>Demand!C16</f>
        <v/>
      </c>
      <c r="C11" s="64" t="str">
        <f>Demand!D16</f>
        <v/>
      </c>
      <c r="D11" s="64" t="str">
        <f>Demand!E16</f>
        <v/>
      </c>
      <c r="E11" s="64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 t="e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#VALUE!</v>
      </c>
      <c r="V11" cm="1">
        <f t="array" ref="V11">INDEX($F$4:$T$263,ROW(A8),MATCH($W$2,$F$3:$T$3,0))</f>
        <v>0</v>
      </c>
      <c r="W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" t="e">
        <f t="shared" si="0"/>
        <v>#N/A</v>
      </c>
      <c r="AA11" t="e">
        <f t="shared" si="1"/>
        <v>#N/A</v>
      </c>
      <c r="AB11" t="e">
        <f t="shared" si="2"/>
        <v>#N/A</v>
      </c>
      <c r="AC11" t="e">
        <f t="shared" si="3"/>
        <v>#N/A</v>
      </c>
      <c r="AD11" t="e">
        <f t="shared" si="4"/>
        <v>#N/A</v>
      </c>
      <c r="AE11" t="e">
        <f t="shared" si="5"/>
        <v>#N/A</v>
      </c>
      <c r="AF11" t="e">
        <f t="shared" si="6"/>
        <v>#N/A</v>
      </c>
      <c r="AG11" t="e">
        <f t="shared" si="7"/>
        <v>#N/A</v>
      </c>
      <c r="AH11" t="e">
        <f t="shared" si="14"/>
        <v>#N/A</v>
      </c>
      <c r="AI11" t="e">
        <f t="shared" si="8"/>
        <v>#N/A</v>
      </c>
      <c r="AJ11">
        <f t="shared" si="9"/>
        <v>0</v>
      </c>
      <c r="AK11" t="e">
        <f t="shared" si="10"/>
        <v>#N/A</v>
      </c>
      <c r="AL11" t="e">
        <f t="shared" si="11"/>
        <v>#N/A</v>
      </c>
      <c r="AM11" t="e">
        <f t="shared" si="12"/>
        <v>#N/A</v>
      </c>
      <c r="AN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" t="e">
        <f t="shared" si="13"/>
        <v>#N/A</v>
      </c>
    </row>
    <row r="12" spans="1:42" x14ac:dyDescent="0.35">
      <c r="B12" s="12" t="str">
        <f>Demand!C17</f>
        <v/>
      </c>
      <c r="C12" s="64" t="str">
        <f>Demand!D17</f>
        <v/>
      </c>
      <c r="D12" s="64" t="str">
        <f>Demand!E17</f>
        <v/>
      </c>
      <c r="E12" s="64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 t="e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#VALUE!</v>
      </c>
      <c r="V12" cm="1">
        <f t="array" ref="V12">INDEX($F$4:$T$263,ROW(A9),MATCH($W$2,$F$3:$T$3,0))</f>
        <v>0</v>
      </c>
      <c r="W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" t="e">
        <f t="shared" si="0"/>
        <v>#N/A</v>
      </c>
      <c r="AA12" t="e">
        <f t="shared" si="1"/>
        <v>#N/A</v>
      </c>
      <c r="AB12" t="e">
        <f t="shared" si="2"/>
        <v>#N/A</v>
      </c>
      <c r="AC12" t="e">
        <f t="shared" si="3"/>
        <v>#N/A</v>
      </c>
      <c r="AD12" t="e">
        <f t="shared" si="4"/>
        <v>#N/A</v>
      </c>
      <c r="AE12" t="e">
        <f t="shared" si="5"/>
        <v>#N/A</v>
      </c>
      <c r="AF12" t="e">
        <f t="shared" si="6"/>
        <v>#N/A</v>
      </c>
      <c r="AG12" t="e">
        <f t="shared" si="7"/>
        <v>#N/A</v>
      </c>
      <c r="AH12" t="e">
        <f t="shared" si="14"/>
        <v>#N/A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 t="e">
        <f t="shared" si="11"/>
        <v>#N/A</v>
      </c>
      <c r="AM12" t="e">
        <f t="shared" si="12"/>
        <v>#N/A</v>
      </c>
      <c r="AN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" t="e">
        <f t="shared" si="13"/>
        <v>#N/A</v>
      </c>
    </row>
    <row r="13" spans="1:42" x14ac:dyDescent="0.35">
      <c r="B13" s="12" t="str">
        <f>Demand!C18</f>
        <v/>
      </c>
      <c r="C13" s="64" t="str">
        <f>Demand!D18</f>
        <v/>
      </c>
      <c r="D13" s="64" t="str">
        <f>Demand!E18</f>
        <v/>
      </c>
      <c r="E13" s="64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 t="e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#VALUE!</v>
      </c>
      <c r="V13" cm="1">
        <f t="array" ref="V13">INDEX($F$4:$T$263,ROW(A10),MATCH($W$2,$F$3:$T$3,0))</f>
        <v>0</v>
      </c>
      <c r="W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" t="e">
        <f t="shared" si="0"/>
        <v>#N/A</v>
      </c>
      <c r="AA13" t="e">
        <f t="shared" si="1"/>
        <v>#N/A</v>
      </c>
      <c r="AB13" t="e">
        <f t="shared" si="2"/>
        <v>#N/A</v>
      </c>
      <c r="AC13" t="e">
        <f t="shared" si="3"/>
        <v>#N/A</v>
      </c>
      <c r="AD13" t="e">
        <f t="shared" si="4"/>
        <v>#N/A</v>
      </c>
      <c r="AE13" t="e">
        <f t="shared" si="5"/>
        <v>#N/A</v>
      </c>
      <c r="AF13" t="e">
        <f t="shared" si="6"/>
        <v>#N/A</v>
      </c>
      <c r="AG13" t="e">
        <f t="shared" si="7"/>
        <v>#N/A</v>
      </c>
      <c r="AH13" t="e">
        <f t="shared" si="14"/>
        <v>#N/A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 t="e">
        <f t="shared" si="11"/>
        <v>#N/A</v>
      </c>
      <c r="AM13" t="e">
        <f t="shared" si="12"/>
        <v>#N/A</v>
      </c>
      <c r="AN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" t="e">
        <f t="shared" si="13"/>
        <v>#N/A</v>
      </c>
    </row>
    <row r="14" spans="1:42" x14ac:dyDescent="0.35">
      <c r="B14" s="12" t="str">
        <f>Demand!C19</f>
        <v/>
      </c>
      <c r="C14" s="64" t="str">
        <f>Demand!D19</f>
        <v/>
      </c>
      <c r="D14" s="64" t="str">
        <f>Demand!E19</f>
        <v/>
      </c>
      <c r="E14" s="64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 t="e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#VALUE!</v>
      </c>
      <c r="V14" cm="1">
        <f t="array" ref="V14">INDEX($F$4:$T$263,ROW(A11),MATCH($W$2,$F$3:$T$3,0))</f>
        <v>0</v>
      </c>
      <c r="W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" t="e">
        <f t="shared" si="0"/>
        <v>#N/A</v>
      </c>
      <c r="AA14" t="e">
        <f t="shared" si="1"/>
        <v>#N/A</v>
      </c>
      <c r="AB14" t="e">
        <f t="shared" si="2"/>
        <v>#N/A</v>
      </c>
      <c r="AC14" t="e">
        <f t="shared" si="3"/>
        <v>#N/A</v>
      </c>
      <c r="AD14" t="e">
        <f t="shared" si="4"/>
        <v>#N/A</v>
      </c>
      <c r="AE14" t="e">
        <f t="shared" si="5"/>
        <v>#N/A</v>
      </c>
      <c r="AF14" t="e">
        <f t="shared" si="6"/>
        <v>#N/A</v>
      </c>
      <c r="AG14" t="e">
        <f t="shared" si="7"/>
        <v>#N/A</v>
      </c>
      <c r="AH14" t="e">
        <f t="shared" si="14"/>
        <v>#N/A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 t="e">
        <f t="shared" si="11"/>
        <v>#N/A</v>
      </c>
      <c r="AM14" t="e">
        <f t="shared" si="12"/>
        <v>#N/A</v>
      </c>
      <c r="AN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" t="e">
        <f t="shared" si="13"/>
        <v>#N/A</v>
      </c>
    </row>
    <row r="15" spans="1:42" x14ac:dyDescent="0.35">
      <c r="B15" s="12" t="str">
        <f>Demand!C20</f>
        <v/>
      </c>
      <c r="C15" s="64" t="str">
        <f>Demand!D20</f>
        <v/>
      </c>
      <c r="D15" s="64" t="str">
        <f>Demand!E20</f>
        <v/>
      </c>
      <c r="E15" s="64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 t="e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#VALUE!</v>
      </c>
      <c r="V15" cm="1">
        <f t="array" ref="V15">INDEX($F$4:$T$263,ROW(A12),MATCH($W$2,$F$3:$T$3,0))</f>
        <v>0</v>
      </c>
      <c r="W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" t="e">
        <f t="shared" si="0"/>
        <v>#N/A</v>
      </c>
      <c r="AA15" t="e">
        <f t="shared" si="1"/>
        <v>#N/A</v>
      </c>
      <c r="AB15" t="e">
        <f t="shared" si="2"/>
        <v>#N/A</v>
      </c>
      <c r="AC15" t="e">
        <f t="shared" si="3"/>
        <v>#N/A</v>
      </c>
      <c r="AD15" t="e">
        <f t="shared" si="4"/>
        <v>#N/A</v>
      </c>
      <c r="AE15" t="e">
        <f t="shared" si="5"/>
        <v>#N/A</v>
      </c>
      <c r="AF15" t="e">
        <f t="shared" si="6"/>
        <v>#N/A</v>
      </c>
      <c r="AG15" t="e">
        <f t="shared" si="7"/>
        <v>#N/A</v>
      </c>
      <c r="AH15" t="e">
        <f t="shared" si="14"/>
        <v>#N/A</v>
      </c>
      <c r="AI15" t="e">
        <f t="shared" si="8"/>
        <v>#N/A</v>
      </c>
      <c r="AJ15">
        <f t="shared" si="9"/>
        <v>0</v>
      </c>
      <c r="AK15" t="e">
        <f t="shared" si="10"/>
        <v>#N/A</v>
      </c>
      <c r="AL15" t="e">
        <f t="shared" si="11"/>
        <v>#N/A</v>
      </c>
      <c r="AM15" t="e">
        <f t="shared" si="12"/>
        <v>#N/A</v>
      </c>
      <c r="AN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" t="e">
        <f t="shared" si="13"/>
        <v>#N/A</v>
      </c>
    </row>
    <row r="16" spans="1:42" x14ac:dyDescent="0.35">
      <c r="B16" s="12" t="str">
        <f>Demand!C21</f>
        <v/>
      </c>
      <c r="C16" s="64" t="str">
        <f>Demand!D21</f>
        <v/>
      </c>
      <c r="D16" s="64" t="str">
        <f>Demand!E21</f>
        <v/>
      </c>
      <c r="E16" s="64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 t="e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#VALUE!</v>
      </c>
      <c r="V16" cm="1">
        <f t="array" ref="V16">INDEX($F$4:$T$263,ROW(A13),MATCH($W$2,$F$3:$T$3,0))</f>
        <v>0</v>
      </c>
      <c r="W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" t="e">
        <f t="shared" si="0"/>
        <v>#N/A</v>
      </c>
      <c r="AA16" t="e">
        <f t="shared" si="1"/>
        <v>#N/A</v>
      </c>
      <c r="AB16" t="e">
        <f t="shared" si="2"/>
        <v>#N/A</v>
      </c>
      <c r="AC16" t="e">
        <f t="shared" si="3"/>
        <v>#N/A</v>
      </c>
      <c r="AD16" t="e">
        <f t="shared" si="4"/>
        <v>#N/A</v>
      </c>
      <c r="AE16" t="e">
        <f t="shared" si="5"/>
        <v>#N/A</v>
      </c>
      <c r="AF16" t="e">
        <f t="shared" si="6"/>
        <v>#N/A</v>
      </c>
      <c r="AG16" t="e">
        <f t="shared" si="7"/>
        <v>#N/A</v>
      </c>
      <c r="AH16" t="e">
        <f t="shared" si="14"/>
        <v>#N/A</v>
      </c>
      <c r="AI16" t="e">
        <f t="shared" si="8"/>
        <v>#N/A</v>
      </c>
      <c r="AJ16">
        <f t="shared" si="9"/>
        <v>0</v>
      </c>
      <c r="AK16" t="e">
        <f t="shared" si="10"/>
        <v>#N/A</v>
      </c>
      <c r="AL16" t="e">
        <f t="shared" si="11"/>
        <v>#N/A</v>
      </c>
      <c r="AM16" t="e">
        <f t="shared" si="12"/>
        <v>#N/A</v>
      </c>
      <c r="AN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" t="e">
        <f t="shared" si="13"/>
        <v>#N/A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" t="e">
        <f t="shared" si="0"/>
        <v>#N/A</v>
      </c>
      <c r="AA17" t="e">
        <f t="shared" si="1"/>
        <v>#N/A</v>
      </c>
      <c r="AB17" t="e">
        <f t="shared" si="2"/>
        <v>#N/A</v>
      </c>
      <c r="AC17" t="e">
        <f t="shared" si="3"/>
        <v>#N/A</v>
      </c>
      <c r="AD17" t="e">
        <f t="shared" si="4"/>
        <v>#N/A</v>
      </c>
      <c r="AE17" t="e">
        <f t="shared" si="5"/>
        <v>#N/A</v>
      </c>
      <c r="AF17" t="e">
        <f t="shared" si="6"/>
        <v>#N/A</v>
      </c>
      <c r="AG17" t="e">
        <f t="shared" si="7"/>
        <v>#N/A</v>
      </c>
      <c r="AH17" t="e">
        <f t="shared" si="14"/>
        <v>#N/A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 t="e">
        <f t="shared" si="11"/>
        <v>#N/A</v>
      </c>
      <c r="AM17" t="e">
        <f t="shared" si="12"/>
        <v>#N/A</v>
      </c>
      <c r="AN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" t="e">
        <f t="shared" si="13"/>
        <v>#N/A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" t="e">
        <f t="shared" si="0"/>
        <v>#N/A</v>
      </c>
      <c r="AA18" t="e">
        <f t="shared" si="1"/>
        <v>#N/A</v>
      </c>
      <c r="AB18" t="e">
        <f t="shared" si="2"/>
        <v>#N/A</v>
      </c>
      <c r="AC18" t="e">
        <f t="shared" si="3"/>
        <v>#N/A</v>
      </c>
      <c r="AD18" t="e">
        <f t="shared" si="4"/>
        <v>#N/A</v>
      </c>
      <c r="AE18" t="e">
        <f t="shared" si="5"/>
        <v>#N/A</v>
      </c>
      <c r="AF18" t="e">
        <f t="shared" si="6"/>
        <v>#N/A</v>
      </c>
      <c r="AG18" t="e">
        <f t="shared" si="7"/>
        <v>#N/A</v>
      </c>
      <c r="AH18" t="e">
        <f t="shared" si="14"/>
        <v>#N/A</v>
      </c>
      <c r="AI18" t="e">
        <f t="shared" si="8"/>
        <v>#N/A</v>
      </c>
      <c r="AJ18">
        <f t="shared" si="9"/>
        <v>0</v>
      </c>
      <c r="AK18" t="e">
        <f t="shared" si="10"/>
        <v>#N/A</v>
      </c>
      <c r="AL18" t="e">
        <f t="shared" si="11"/>
        <v>#N/A</v>
      </c>
      <c r="AM18" t="e">
        <f t="shared" si="12"/>
        <v>#N/A</v>
      </c>
      <c r="AN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" t="e">
        <f t="shared" si="13"/>
        <v>#N/A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" t="e">
        <f t="shared" si="0"/>
        <v>#N/A</v>
      </c>
      <c r="AA19" t="e">
        <f t="shared" si="1"/>
        <v>#N/A</v>
      </c>
      <c r="AB19" t="e">
        <f t="shared" si="2"/>
        <v>#N/A</v>
      </c>
      <c r="AC19" t="e">
        <f t="shared" si="3"/>
        <v>#N/A</v>
      </c>
      <c r="AD19" t="e">
        <f t="shared" si="4"/>
        <v>#N/A</v>
      </c>
      <c r="AE19" t="e">
        <f t="shared" si="5"/>
        <v>#N/A</v>
      </c>
      <c r="AF19" t="e">
        <f t="shared" si="6"/>
        <v>#N/A</v>
      </c>
      <c r="AG19" t="e">
        <f t="shared" si="7"/>
        <v>#N/A</v>
      </c>
      <c r="AH19" t="e">
        <f t="shared" si="14"/>
        <v>#N/A</v>
      </c>
      <c r="AI19" t="e">
        <f t="shared" si="8"/>
        <v>#N/A</v>
      </c>
      <c r="AJ19">
        <f t="shared" si="9"/>
        <v>0</v>
      </c>
      <c r="AK19" t="e">
        <f t="shared" si="10"/>
        <v>#N/A</v>
      </c>
      <c r="AL19" t="e">
        <f t="shared" si="11"/>
        <v>#N/A</v>
      </c>
      <c r="AM19" t="e">
        <f t="shared" si="12"/>
        <v>#N/A</v>
      </c>
      <c r="AN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" t="e">
        <f t="shared" si="13"/>
        <v>#N/A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" t="e">
        <f t="shared" si="0"/>
        <v>#N/A</v>
      </c>
      <c r="AA20" t="e">
        <f t="shared" si="1"/>
        <v>#N/A</v>
      </c>
      <c r="AB20" t="e">
        <f t="shared" si="2"/>
        <v>#N/A</v>
      </c>
      <c r="AC20" t="e">
        <f t="shared" si="3"/>
        <v>#N/A</v>
      </c>
      <c r="AD20" t="e">
        <f t="shared" si="4"/>
        <v>#N/A</v>
      </c>
      <c r="AE20" t="e">
        <f t="shared" si="5"/>
        <v>#N/A</v>
      </c>
      <c r="AF20" t="e">
        <f t="shared" si="6"/>
        <v>#N/A</v>
      </c>
      <c r="AG20" t="e">
        <f t="shared" si="7"/>
        <v>#N/A</v>
      </c>
      <c r="AH20" t="e">
        <f t="shared" si="14"/>
        <v>#N/A</v>
      </c>
      <c r="AI20" t="e">
        <f t="shared" si="8"/>
        <v>#N/A</v>
      </c>
      <c r="AJ20">
        <f t="shared" si="9"/>
        <v>0</v>
      </c>
      <c r="AK20" t="e">
        <f t="shared" si="10"/>
        <v>#N/A</v>
      </c>
      <c r="AL20" t="e">
        <f t="shared" si="11"/>
        <v>#N/A</v>
      </c>
      <c r="AM20" t="e">
        <f t="shared" si="12"/>
        <v>#N/A</v>
      </c>
      <c r="AN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" t="e">
        <f t="shared" si="13"/>
        <v>#N/A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" t="e">
        <f t="shared" si="0"/>
        <v>#N/A</v>
      </c>
      <c r="AA21" t="e">
        <f t="shared" si="1"/>
        <v>#N/A</v>
      </c>
      <c r="AB21" t="e">
        <f t="shared" si="2"/>
        <v>#N/A</v>
      </c>
      <c r="AC21" t="e">
        <f t="shared" si="3"/>
        <v>#N/A</v>
      </c>
      <c r="AD21" t="e">
        <f t="shared" si="4"/>
        <v>#N/A</v>
      </c>
      <c r="AE21" t="e">
        <f t="shared" si="5"/>
        <v>#N/A</v>
      </c>
      <c r="AF21" t="e">
        <f t="shared" si="6"/>
        <v>#N/A</v>
      </c>
      <c r="AG21" t="e">
        <f t="shared" si="7"/>
        <v>#N/A</v>
      </c>
      <c r="AH21" t="e">
        <f t="shared" si="14"/>
        <v>#N/A</v>
      </c>
      <c r="AI21" t="e">
        <f t="shared" si="8"/>
        <v>#N/A</v>
      </c>
      <c r="AJ21">
        <f t="shared" si="9"/>
        <v>0</v>
      </c>
      <c r="AK21" t="e">
        <f t="shared" si="10"/>
        <v>#N/A</v>
      </c>
      <c r="AL21" t="e">
        <f t="shared" si="11"/>
        <v>#N/A</v>
      </c>
      <c r="AM21" t="e">
        <f t="shared" si="12"/>
        <v>#N/A</v>
      </c>
      <c r="AN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" t="e">
        <f t="shared" si="13"/>
        <v>#N/A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" t="e">
        <f t="shared" si="0"/>
        <v>#N/A</v>
      </c>
      <c r="AA22" t="e">
        <f t="shared" si="1"/>
        <v>#N/A</v>
      </c>
      <c r="AB22" t="e">
        <f t="shared" si="2"/>
        <v>#N/A</v>
      </c>
      <c r="AC22" t="e">
        <f t="shared" si="3"/>
        <v>#N/A</v>
      </c>
      <c r="AD22" t="e">
        <f t="shared" si="4"/>
        <v>#N/A</v>
      </c>
      <c r="AE22" t="e">
        <f t="shared" si="5"/>
        <v>#N/A</v>
      </c>
      <c r="AF22" t="e">
        <f t="shared" si="6"/>
        <v>#N/A</v>
      </c>
      <c r="AG22" t="e">
        <f t="shared" si="7"/>
        <v>#N/A</v>
      </c>
      <c r="AH22" t="e">
        <f t="shared" si="14"/>
        <v>#N/A</v>
      </c>
      <c r="AI22" t="e">
        <f t="shared" si="8"/>
        <v>#N/A</v>
      </c>
      <c r="AJ22">
        <f t="shared" si="9"/>
        <v>0</v>
      </c>
      <c r="AK22" t="e">
        <f t="shared" si="10"/>
        <v>#N/A</v>
      </c>
      <c r="AL22" t="e">
        <f t="shared" si="11"/>
        <v>#N/A</v>
      </c>
      <c r="AM22" t="e">
        <f t="shared" si="12"/>
        <v>#N/A</v>
      </c>
      <c r="AN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" t="e">
        <f t="shared" si="13"/>
        <v>#N/A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" t="e">
        <f t="shared" si="0"/>
        <v>#N/A</v>
      </c>
      <c r="AA23" t="e">
        <f t="shared" si="1"/>
        <v>#N/A</v>
      </c>
      <c r="AB23" t="e">
        <f t="shared" si="2"/>
        <v>#N/A</v>
      </c>
      <c r="AC23" t="e">
        <f t="shared" si="3"/>
        <v>#N/A</v>
      </c>
      <c r="AD23" t="e">
        <f t="shared" si="4"/>
        <v>#N/A</v>
      </c>
      <c r="AE23" t="e">
        <f t="shared" si="5"/>
        <v>#N/A</v>
      </c>
      <c r="AF23" t="e">
        <f t="shared" si="6"/>
        <v>#N/A</v>
      </c>
      <c r="AG23" t="e">
        <f t="shared" si="7"/>
        <v>#N/A</v>
      </c>
      <c r="AH23" t="e">
        <f t="shared" si="14"/>
        <v>#N/A</v>
      </c>
      <c r="AI23" t="e">
        <f t="shared" si="8"/>
        <v>#N/A</v>
      </c>
      <c r="AJ23">
        <f t="shared" si="9"/>
        <v>0</v>
      </c>
      <c r="AK23" t="e">
        <f t="shared" si="10"/>
        <v>#N/A</v>
      </c>
      <c r="AL23" t="e">
        <f t="shared" si="11"/>
        <v>#N/A</v>
      </c>
      <c r="AM23" t="e">
        <f t="shared" si="12"/>
        <v>#N/A</v>
      </c>
      <c r="AN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" t="e">
        <f t="shared" si="13"/>
        <v>#N/A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" t="e">
        <f t="shared" si="0"/>
        <v>#N/A</v>
      </c>
      <c r="AA24" t="e">
        <f t="shared" si="1"/>
        <v>#N/A</v>
      </c>
      <c r="AB24" t="e">
        <f t="shared" si="2"/>
        <v>#N/A</v>
      </c>
      <c r="AC24" t="e">
        <f t="shared" si="3"/>
        <v>#N/A</v>
      </c>
      <c r="AD24" t="e">
        <f t="shared" si="4"/>
        <v>#N/A</v>
      </c>
      <c r="AE24" t="e">
        <f t="shared" si="5"/>
        <v>#N/A</v>
      </c>
      <c r="AF24" t="e">
        <f t="shared" si="6"/>
        <v>#N/A</v>
      </c>
      <c r="AG24" t="e">
        <f t="shared" si="7"/>
        <v>#N/A</v>
      </c>
      <c r="AH24" t="e">
        <f t="shared" si="14"/>
        <v>#N/A</v>
      </c>
      <c r="AI24" t="e">
        <f t="shared" si="8"/>
        <v>#N/A</v>
      </c>
      <c r="AJ24">
        <f t="shared" si="9"/>
        <v>0</v>
      </c>
      <c r="AK24" t="e">
        <f t="shared" si="10"/>
        <v>#N/A</v>
      </c>
      <c r="AL24" t="e">
        <f t="shared" si="11"/>
        <v>#N/A</v>
      </c>
      <c r="AM24" t="e">
        <f t="shared" si="12"/>
        <v>#N/A</v>
      </c>
      <c r="AN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" t="e">
        <f t="shared" si="13"/>
        <v>#N/A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" t="e">
        <f t="shared" si="0"/>
        <v>#N/A</v>
      </c>
      <c r="AA25" t="e">
        <f t="shared" si="1"/>
        <v>#N/A</v>
      </c>
      <c r="AB25" t="e">
        <f t="shared" si="2"/>
        <v>#N/A</v>
      </c>
      <c r="AC25" t="e">
        <f t="shared" si="3"/>
        <v>#N/A</v>
      </c>
      <c r="AD25" t="e">
        <f t="shared" si="4"/>
        <v>#N/A</v>
      </c>
      <c r="AE25" t="e">
        <f t="shared" si="5"/>
        <v>#N/A</v>
      </c>
      <c r="AF25" t="e">
        <f t="shared" si="6"/>
        <v>#N/A</v>
      </c>
      <c r="AG25" t="e">
        <f t="shared" si="7"/>
        <v>#N/A</v>
      </c>
      <c r="AH25" t="e">
        <f t="shared" si="14"/>
        <v>#N/A</v>
      </c>
      <c r="AI25" t="e">
        <f t="shared" si="8"/>
        <v>#N/A</v>
      </c>
      <c r="AJ25">
        <f t="shared" si="9"/>
        <v>0</v>
      </c>
      <c r="AK25" t="e">
        <f t="shared" si="10"/>
        <v>#N/A</v>
      </c>
      <c r="AL25" t="e">
        <f t="shared" si="11"/>
        <v>#N/A</v>
      </c>
      <c r="AM25" t="e">
        <f t="shared" si="12"/>
        <v>#N/A</v>
      </c>
      <c r="AN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" t="e">
        <f t="shared" si="13"/>
        <v>#N/A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" t="e">
        <f t="shared" si="0"/>
        <v>#N/A</v>
      </c>
      <c r="AA26" t="e">
        <f t="shared" si="1"/>
        <v>#N/A</v>
      </c>
      <c r="AB26" t="e">
        <f t="shared" si="2"/>
        <v>#N/A</v>
      </c>
      <c r="AC26" t="e">
        <f t="shared" si="3"/>
        <v>#N/A</v>
      </c>
      <c r="AD26" t="e">
        <f t="shared" si="4"/>
        <v>#N/A</v>
      </c>
      <c r="AE26" t="e">
        <f t="shared" si="5"/>
        <v>#N/A</v>
      </c>
      <c r="AF26" t="e">
        <f t="shared" si="6"/>
        <v>#N/A</v>
      </c>
      <c r="AG26" t="e">
        <f t="shared" si="7"/>
        <v>#N/A</v>
      </c>
      <c r="AH26" t="e">
        <f t="shared" si="14"/>
        <v>#N/A</v>
      </c>
      <c r="AI26" t="e">
        <f t="shared" si="8"/>
        <v>#N/A</v>
      </c>
      <c r="AJ26">
        <f t="shared" si="9"/>
        <v>0</v>
      </c>
      <c r="AK26" t="e">
        <f t="shared" si="10"/>
        <v>#N/A</v>
      </c>
      <c r="AL26" t="e">
        <f t="shared" si="11"/>
        <v>#N/A</v>
      </c>
      <c r="AM26" t="e">
        <f t="shared" si="12"/>
        <v>#N/A</v>
      </c>
      <c r="AN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" t="e">
        <f t="shared" si="13"/>
        <v>#N/A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7" t="e">
        <f t="shared" si="0"/>
        <v>#N/A</v>
      </c>
      <c r="AA27" t="e">
        <f t="shared" si="1"/>
        <v>#N/A</v>
      </c>
      <c r="AB27" t="e">
        <f t="shared" si="2"/>
        <v>#N/A</v>
      </c>
      <c r="AC27" t="e">
        <f t="shared" si="3"/>
        <v>#N/A</v>
      </c>
      <c r="AD27" t="e">
        <f t="shared" si="4"/>
        <v>#N/A</v>
      </c>
      <c r="AE27" t="e">
        <f t="shared" si="5"/>
        <v>#N/A</v>
      </c>
      <c r="AF27" t="e">
        <f t="shared" si="6"/>
        <v>#N/A</v>
      </c>
      <c r="AG27" t="e">
        <f t="shared" si="7"/>
        <v>#N/A</v>
      </c>
      <c r="AH27" t="e">
        <f t="shared" si="14"/>
        <v>#N/A</v>
      </c>
      <c r="AI27" t="e">
        <f t="shared" si="8"/>
        <v>#N/A</v>
      </c>
      <c r="AJ27">
        <f t="shared" si="9"/>
        <v>0</v>
      </c>
      <c r="AK27" t="e">
        <f t="shared" si="10"/>
        <v>#N/A</v>
      </c>
      <c r="AL27" t="e">
        <f t="shared" si="11"/>
        <v>#N/A</v>
      </c>
      <c r="AM27" t="e">
        <f t="shared" si="12"/>
        <v>#N/A</v>
      </c>
      <c r="AN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7" t="e">
        <f t="shared" si="13"/>
        <v>#N/A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8" t="e">
        <f t="shared" si="0"/>
        <v>#N/A</v>
      </c>
      <c r="AA28" t="e">
        <f t="shared" si="1"/>
        <v>#N/A</v>
      </c>
      <c r="AB28" t="e">
        <f t="shared" si="2"/>
        <v>#N/A</v>
      </c>
      <c r="AC28" t="e">
        <f t="shared" si="3"/>
        <v>#N/A</v>
      </c>
      <c r="AD28" t="e">
        <f t="shared" si="4"/>
        <v>#N/A</v>
      </c>
      <c r="AE28" t="e">
        <f t="shared" si="5"/>
        <v>#N/A</v>
      </c>
      <c r="AF28" t="e">
        <f t="shared" si="6"/>
        <v>#N/A</v>
      </c>
      <c r="AG28" t="e">
        <f t="shared" si="7"/>
        <v>#N/A</v>
      </c>
      <c r="AH28" t="e">
        <f t="shared" si="14"/>
        <v>#N/A</v>
      </c>
      <c r="AI28" t="e">
        <f t="shared" si="8"/>
        <v>#N/A</v>
      </c>
      <c r="AJ28">
        <f t="shared" si="9"/>
        <v>0</v>
      </c>
      <c r="AK28" t="e">
        <f t="shared" si="10"/>
        <v>#N/A</v>
      </c>
      <c r="AL28" t="e">
        <f t="shared" si="11"/>
        <v>#N/A</v>
      </c>
      <c r="AM28" t="e">
        <f t="shared" si="12"/>
        <v>#N/A</v>
      </c>
      <c r="AN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8" t="e">
        <f t="shared" si="13"/>
        <v>#N/A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9" t="e">
        <f t="shared" si="0"/>
        <v>#N/A</v>
      </c>
      <c r="AA29" t="e">
        <f t="shared" si="1"/>
        <v>#N/A</v>
      </c>
      <c r="AB29" t="e">
        <f t="shared" si="2"/>
        <v>#N/A</v>
      </c>
      <c r="AC29" t="e">
        <f t="shared" si="3"/>
        <v>#N/A</v>
      </c>
      <c r="AD29" t="e">
        <f t="shared" si="4"/>
        <v>#N/A</v>
      </c>
      <c r="AE29" t="e">
        <f t="shared" si="5"/>
        <v>#N/A</v>
      </c>
      <c r="AF29" t="e">
        <f t="shared" si="6"/>
        <v>#N/A</v>
      </c>
      <c r="AG29" t="e">
        <f t="shared" si="7"/>
        <v>#N/A</v>
      </c>
      <c r="AH29" t="e">
        <f t="shared" si="14"/>
        <v>#N/A</v>
      </c>
      <c r="AI29" t="e">
        <f t="shared" si="8"/>
        <v>#N/A</v>
      </c>
      <c r="AJ29">
        <f t="shared" si="9"/>
        <v>0</v>
      </c>
      <c r="AK29" t="e">
        <f t="shared" si="10"/>
        <v>#N/A</v>
      </c>
      <c r="AL29" t="e">
        <f t="shared" si="11"/>
        <v>#N/A</v>
      </c>
      <c r="AM29" t="e">
        <f t="shared" si="12"/>
        <v>#N/A</v>
      </c>
      <c r="AN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9" t="e">
        <f t="shared" si="13"/>
        <v>#N/A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0" t="e">
        <f t="shared" si="0"/>
        <v>#N/A</v>
      </c>
      <c r="AA30" t="e">
        <f t="shared" si="1"/>
        <v>#N/A</v>
      </c>
      <c r="AB30" t="e">
        <f t="shared" si="2"/>
        <v>#N/A</v>
      </c>
      <c r="AC30" t="e">
        <f t="shared" si="3"/>
        <v>#N/A</v>
      </c>
      <c r="AD30" t="e">
        <f t="shared" si="4"/>
        <v>#N/A</v>
      </c>
      <c r="AE30" t="e">
        <f t="shared" si="5"/>
        <v>#N/A</v>
      </c>
      <c r="AF30" t="e">
        <f t="shared" si="6"/>
        <v>#N/A</v>
      </c>
      <c r="AG30" t="e">
        <f t="shared" si="7"/>
        <v>#N/A</v>
      </c>
      <c r="AH30" t="e">
        <f t="shared" si="14"/>
        <v>#N/A</v>
      </c>
      <c r="AI30" t="e">
        <f t="shared" si="8"/>
        <v>#N/A</v>
      </c>
      <c r="AJ30">
        <f t="shared" si="9"/>
        <v>0</v>
      </c>
      <c r="AK30" t="e">
        <f t="shared" si="10"/>
        <v>#N/A</v>
      </c>
      <c r="AL30" t="e">
        <f t="shared" si="11"/>
        <v>#N/A</v>
      </c>
      <c r="AM30" t="e">
        <f t="shared" si="12"/>
        <v>#N/A</v>
      </c>
      <c r="AN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0" t="e">
        <f t="shared" si="13"/>
        <v>#N/A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1" t="e">
        <f t="shared" si="0"/>
        <v>#N/A</v>
      </c>
      <c r="AA31" t="e">
        <f t="shared" si="1"/>
        <v>#N/A</v>
      </c>
      <c r="AB31" t="e">
        <f t="shared" si="2"/>
        <v>#N/A</v>
      </c>
      <c r="AC31" t="e">
        <f t="shared" si="3"/>
        <v>#N/A</v>
      </c>
      <c r="AD31" t="e">
        <f t="shared" si="4"/>
        <v>#N/A</v>
      </c>
      <c r="AE31" t="e">
        <f t="shared" si="5"/>
        <v>#N/A</v>
      </c>
      <c r="AF31" t="e">
        <f t="shared" si="6"/>
        <v>#N/A</v>
      </c>
      <c r="AG31" t="e">
        <f t="shared" si="7"/>
        <v>#N/A</v>
      </c>
      <c r="AH31" t="e">
        <f t="shared" si="14"/>
        <v>#N/A</v>
      </c>
      <c r="AI31" t="e">
        <f t="shared" si="8"/>
        <v>#N/A</v>
      </c>
      <c r="AJ31">
        <f t="shared" si="9"/>
        <v>0</v>
      </c>
      <c r="AK31" t="e">
        <f t="shared" si="10"/>
        <v>#N/A</v>
      </c>
      <c r="AL31" t="e">
        <f t="shared" si="11"/>
        <v>#N/A</v>
      </c>
      <c r="AM31" t="e">
        <f t="shared" si="12"/>
        <v>#N/A</v>
      </c>
      <c r="AN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1" t="e">
        <f t="shared" si="13"/>
        <v>#N/A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2" t="e">
        <f t="shared" si="0"/>
        <v>#N/A</v>
      </c>
      <c r="AA32" t="e">
        <f t="shared" si="1"/>
        <v>#N/A</v>
      </c>
      <c r="AB32" t="e">
        <f t="shared" si="2"/>
        <v>#N/A</v>
      </c>
      <c r="AC32" t="e">
        <f t="shared" si="3"/>
        <v>#N/A</v>
      </c>
      <c r="AD32" t="e">
        <f t="shared" si="4"/>
        <v>#N/A</v>
      </c>
      <c r="AE32" t="e">
        <f t="shared" si="5"/>
        <v>#N/A</v>
      </c>
      <c r="AF32" t="e">
        <f t="shared" si="6"/>
        <v>#N/A</v>
      </c>
      <c r="AG32" t="e">
        <f t="shared" si="7"/>
        <v>#N/A</v>
      </c>
      <c r="AH32" t="e">
        <f t="shared" si="14"/>
        <v>#N/A</v>
      </c>
      <c r="AI32" t="e">
        <f t="shared" si="8"/>
        <v>#N/A</v>
      </c>
      <c r="AJ32">
        <f t="shared" si="9"/>
        <v>0</v>
      </c>
      <c r="AK32" t="e">
        <f t="shared" si="10"/>
        <v>#N/A</v>
      </c>
      <c r="AL32" t="e">
        <f t="shared" si="11"/>
        <v>#N/A</v>
      </c>
      <c r="AM32" t="e">
        <f t="shared" si="12"/>
        <v>#N/A</v>
      </c>
      <c r="AN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2" t="e">
        <f t="shared" si="13"/>
        <v>#N/A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3" t="e">
        <f t="shared" si="0"/>
        <v>#N/A</v>
      </c>
      <c r="AA33" t="e">
        <f t="shared" si="1"/>
        <v>#N/A</v>
      </c>
      <c r="AB33" t="e">
        <f t="shared" si="2"/>
        <v>#N/A</v>
      </c>
      <c r="AC33" t="e">
        <f t="shared" si="3"/>
        <v>#N/A</v>
      </c>
      <c r="AD33" t="e">
        <f t="shared" si="4"/>
        <v>#N/A</v>
      </c>
      <c r="AE33" t="e">
        <f t="shared" si="5"/>
        <v>#N/A</v>
      </c>
      <c r="AF33" t="e">
        <f t="shared" si="6"/>
        <v>#N/A</v>
      </c>
      <c r="AG33" t="e">
        <f t="shared" si="7"/>
        <v>#N/A</v>
      </c>
      <c r="AH33" t="e">
        <f t="shared" si="14"/>
        <v>#N/A</v>
      </c>
      <c r="AI33" t="e">
        <f t="shared" si="8"/>
        <v>#N/A</v>
      </c>
      <c r="AJ33">
        <f t="shared" si="9"/>
        <v>0</v>
      </c>
      <c r="AK33" t="e">
        <f t="shared" si="10"/>
        <v>#N/A</v>
      </c>
      <c r="AL33" t="e">
        <f t="shared" si="11"/>
        <v>#N/A</v>
      </c>
      <c r="AM33" t="e">
        <f t="shared" si="12"/>
        <v>#N/A</v>
      </c>
      <c r="AN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3" t="e">
        <f t="shared" si="13"/>
        <v>#N/A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4" t="e">
        <f t="shared" si="0"/>
        <v>#N/A</v>
      </c>
      <c r="AA34" t="e">
        <f t="shared" si="1"/>
        <v>#N/A</v>
      </c>
      <c r="AB34" t="e">
        <f t="shared" si="2"/>
        <v>#N/A</v>
      </c>
      <c r="AC34" t="e">
        <f t="shared" si="3"/>
        <v>#N/A</v>
      </c>
      <c r="AD34" t="e">
        <f t="shared" si="4"/>
        <v>#N/A</v>
      </c>
      <c r="AE34" t="e">
        <f t="shared" si="5"/>
        <v>#N/A</v>
      </c>
      <c r="AF34" t="e">
        <f t="shared" si="6"/>
        <v>#N/A</v>
      </c>
      <c r="AG34" t="e">
        <f t="shared" si="7"/>
        <v>#N/A</v>
      </c>
      <c r="AH34" t="e">
        <f t="shared" si="14"/>
        <v>#N/A</v>
      </c>
      <c r="AI34" t="e">
        <f t="shared" si="8"/>
        <v>#N/A</v>
      </c>
      <c r="AJ34">
        <f t="shared" si="9"/>
        <v>0</v>
      </c>
      <c r="AK34" t="e">
        <f t="shared" si="10"/>
        <v>#N/A</v>
      </c>
      <c r="AL34" t="e">
        <f t="shared" si="11"/>
        <v>#N/A</v>
      </c>
      <c r="AM34" t="e">
        <f t="shared" si="12"/>
        <v>#N/A</v>
      </c>
      <c r="AN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4" t="e">
        <f t="shared" si="13"/>
        <v>#N/A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5" t="e">
        <f t="shared" si="0"/>
        <v>#N/A</v>
      </c>
      <c r="AA35" t="e">
        <f t="shared" si="1"/>
        <v>#N/A</v>
      </c>
      <c r="AB35" t="e">
        <f t="shared" si="2"/>
        <v>#N/A</v>
      </c>
      <c r="AC35" t="e">
        <f t="shared" si="3"/>
        <v>#N/A</v>
      </c>
      <c r="AD35" t="e">
        <f t="shared" si="4"/>
        <v>#N/A</v>
      </c>
      <c r="AE35" t="e">
        <f t="shared" si="5"/>
        <v>#N/A</v>
      </c>
      <c r="AF35" t="e">
        <f t="shared" si="6"/>
        <v>#N/A</v>
      </c>
      <c r="AG35" t="e">
        <f t="shared" si="7"/>
        <v>#N/A</v>
      </c>
      <c r="AH35" t="e">
        <f t="shared" si="14"/>
        <v>#N/A</v>
      </c>
      <c r="AI35" t="e">
        <f t="shared" si="8"/>
        <v>#N/A</v>
      </c>
      <c r="AJ35">
        <f t="shared" si="9"/>
        <v>0</v>
      </c>
      <c r="AK35" t="e">
        <f t="shared" si="10"/>
        <v>#N/A</v>
      </c>
      <c r="AL35" t="e">
        <f t="shared" si="11"/>
        <v>#N/A</v>
      </c>
      <c r="AM35" t="e">
        <f t="shared" si="12"/>
        <v>#N/A</v>
      </c>
      <c r="AN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5" t="e">
        <f t="shared" si="13"/>
        <v>#N/A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6" t="e">
        <f t="shared" si="0"/>
        <v>#N/A</v>
      </c>
      <c r="AA36" t="e">
        <f t="shared" si="1"/>
        <v>#N/A</v>
      </c>
      <c r="AB36" t="e">
        <f t="shared" si="2"/>
        <v>#N/A</v>
      </c>
      <c r="AC36" t="e">
        <f t="shared" si="3"/>
        <v>#N/A</v>
      </c>
      <c r="AD36" t="e">
        <f t="shared" si="4"/>
        <v>#N/A</v>
      </c>
      <c r="AE36" t="e">
        <f t="shared" si="5"/>
        <v>#N/A</v>
      </c>
      <c r="AF36" t="e">
        <f t="shared" si="6"/>
        <v>#N/A</v>
      </c>
      <c r="AG36" t="e">
        <f t="shared" si="7"/>
        <v>#N/A</v>
      </c>
      <c r="AH36" t="e">
        <f t="shared" si="14"/>
        <v>#N/A</v>
      </c>
      <c r="AI36" t="e">
        <f t="shared" si="8"/>
        <v>#N/A</v>
      </c>
      <c r="AJ36">
        <f t="shared" si="9"/>
        <v>0</v>
      </c>
      <c r="AK36" t="e">
        <f t="shared" si="10"/>
        <v>#N/A</v>
      </c>
      <c r="AL36" t="e">
        <f t="shared" si="11"/>
        <v>#N/A</v>
      </c>
      <c r="AM36" t="e">
        <f t="shared" si="12"/>
        <v>#N/A</v>
      </c>
      <c r="AN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6" t="e">
        <f t="shared" si="13"/>
        <v>#N/A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7" t="e">
        <f t="shared" si="0"/>
        <v>#N/A</v>
      </c>
      <c r="AA37" t="e">
        <f t="shared" si="1"/>
        <v>#N/A</v>
      </c>
      <c r="AB37" t="e">
        <f t="shared" si="2"/>
        <v>#N/A</v>
      </c>
      <c r="AC37" t="e">
        <f t="shared" si="3"/>
        <v>#N/A</v>
      </c>
      <c r="AD37" t="e">
        <f t="shared" si="4"/>
        <v>#N/A</v>
      </c>
      <c r="AE37" t="e">
        <f t="shared" si="5"/>
        <v>#N/A</v>
      </c>
      <c r="AF37" t="e">
        <f t="shared" si="6"/>
        <v>#N/A</v>
      </c>
      <c r="AG37" t="e">
        <f t="shared" si="7"/>
        <v>#N/A</v>
      </c>
      <c r="AH37" t="e">
        <f t="shared" si="14"/>
        <v>#N/A</v>
      </c>
      <c r="AI37" t="e">
        <f t="shared" si="8"/>
        <v>#N/A</v>
      </c>
      <c r="AJ37">
        <f t="shared" si="9"/>
        <v>0</v>
      </c>
      <c r="AK37" t="e">
        <f t="shared" si="10"/>
        <v>#N/A</v>
      </c>
      <c r="AL37" t="e">
        <f t="shared" si="11"/>
        <v>#N/A</v>
      </c>
      <c r="AM37" t="e">
        <f t="shared" si="12"/>
        <v>#N/A</v>
      </c>
      <c r="AN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7" t="e">
        <f t="shared" si="13"/>
        <v>#N/A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8" t="e">
        <f t="shared" si="0"/>
        <v>#N/A</v>
      </c>
      <c r="AA38" t="e">
        <f t="shared" si="1"/>
        <v>#N/A</v>
      </c>
      <c r="AB38" t="e">
        <f t="shared" si="2"/>
        <v>#N/A</v>
      </c>
      <c r="AC38" t="e">
        <f t="shared" si="3"/>
        <v>#N/A</v>
      </c>
      <c r="AD38" t="e">
        <f t="shared" si="4"/>
        <v>#N/A</v>
      </c>
      <c r="AE38" t="e">
        <f t="shared" si="5"/>
        <v>#N/A</v>
      </c>
      <c r="AF38" t="e">
        <f t="shared" si="6"/>
        <v>#N/A</v>
      </c>
      <c r="AG38" t="e">
        <f t="shared" si="7"/>
        <v>#N/A</v>
      </c>
      <c r="AH38" t="e">
        <f t="shared" si="14"/>
        <v>#N/A</v>
      </c>
      <c r="AI38" t="e">
        <f t="shared" si="8"/>
        <v>#N/A</v>
      </c>
      <c r="AJ38">
        <f t="shared" si="9"/>
        <v>0</v>
      </c>
      <c r="AK38" t="e">
        <f t="shared" si="10"/>
        <v>#N/A</v>
      </c>
      <c r="AL38" t="e">
        <f t="shared" si="11"/>
        <v>#N/A</v>
      </c>
      <c r="AM38" t="e">
        <f t="shared" si="12"/>
        <v>#N/A</v>
      </c>
      <c r="AN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8" t="e">
        <f t="shared" si="13"/>
        <v>#N/A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9" t="e">
        <f t="shared" si="0"/>
        <v>#N/A</v>
      </c>
      <c r="AA39" t="e">
        <f t="shared" si="1"/>
        <v>#N/A</v>
      </c>
      <c r="AB39" t="e">
        <f t="shared" si="2"/>
        <v>#N/A</v>
      </c>
      <c r="AC39" t="e">
        <f t="shared" si="3"/>
        <v>#N/A</v>
      </c>
      <c r="AD39" t="e">
        <f t="shared" si="4"/>
        <v>#N/A</v>
      </c>
      <c r="AE39" t="e">
        <f t="shared" si="5"/>
        <v>#N/A</v>
      </c>
      <c r="AF39" t="e">
        <f t="shared" si="6"/>
        <v>#N/A</v>
      </c>
      <c r="AG39" t="e">
        <f t="shared" si="7"/>
        <v>#N/A</v>
      </c>
      <c r="AH39" t="e">
        <f t="shared" si="14"/>
        <v>#N/A</v>
      </c>
      <c r="AI39" t="e">
        <f t="shared" si="8"/>
        <v>#N/A</v>
      </c>
      <c r="AJ39">
        <f t="shared" si="9"/>
        <v>0</v>
      </c>
      <c r="AK39" t="e">
        <f t="shared" si="10"/>
        <v>#N/A</v>
      </c>
      <c r="AL39" t="e">
        <f t="shared" si="11"/>
        <v>#N/A</v>
      </c>
      <c r="AM39" t="e">
        <f t="shared" si="12"/>
        <v>#N/A</v>
      </c>
      <c r="AN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9" t="e">
        <f t="shared" si="13"/>
        <v>#N/A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0" t="e">
        <f t="shared" si="0"/>
        <v>#N/A</v>
      </c>
      <c r="AA40" t="e">
        <f t="shared" si="1"/>
        <v>#N/A</v>
      </c>
      <c r="AB40" t="e">
        <f t="shared" si="2"/>
        <v>#N/A</v>
      </c>
      <c r="AC40" t="e">
        <f t="shared" si="3"/>
        <v>#N/A</v>
      </c>
      <c r="AD40" t="e">
        <f t="shared" si="4"/>
        <v>#N/A</v>
      </c>
      <c r="AE40" t="e">
        <f t="shared" si="5"/>
        <v>#N/A</v>
      </c>
      <c r="AF40" t="e">
        <f t="shared" si="6"/>
        <v>#N/A</v>
      </c>
      <c r="AG40" t="e">
        <f t="shared" si="7"/>
        <v>#N/A</v>
      </c>
      <c r="AH40" t="e">
        <f t="shared" si="14"/>
        <v>#N/A</v>
      </c>
      <c r="AI40" t="e">
        <f t="shared" si="8"/>
        <v>#N/A</v>
      </c>
      <c r="AJ40">
        <f t="shared" si="9"/>
        <v>0</v>
      </c>
      <c r="AK40" t="e">
        <f t="shared" si="10"/>
        <v>#N/A</v>
      </c>
      <c r="AL40" t="e">
        <f t="shared" si="11"/>
        <v>#N/A</v>
      </c>
      <c r="AM40" t="e">
        <f t="shared" si="12"/>
        <v>#N/A</v>
      </c>
      <c r="AN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0" t="e">
        <f t="shared" si="13"/>
        <v>#N/A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1" t="e">
        <f t="shared" si="0"/>
        <v>#N/A</v>
      </c>
      <c r="AA41" t="e">
        <f t="shared" si="1"/>
        <v>#N/A</v>
      </c>
      <c r="AB41" t="e">
        <f t="shared" si="2"/>
        <v>#N/A</v>
      </c>
      <c r="AC41" t="e">
        <f t="shared" si="3"/>
        <v>#N/A</v>
      </c>
      <c r="AD41" t="e">
        <f t="shared" si="4"/>
        <v>#N/A</v>
      </c>
      <c r="AE41" t="e">
        <f t="shared" si="5"/>
        <v>#N/A</v>
      </c>
      <c r="AF41" t="e">
        <f t="shared" si="6"/>
        <v>#N/A</v>
      </c>
      <c r="AG41" t="e">
        <f t="shared" si="7"/>
        <v>#N/A</v>
      </c>
      <c r="AH41" t="e">
        <f t="shared" si="14"/>
        <v>#N/A</v>
      </c>
      <c r="AI41" t="e">
        <f t="shared" si="8"/>
        <v>#N/A</v>
      </c>
      <c r="AJ41">
        <f t="shared" si="9"/>
        <v>0</v>
      </c>
      <c r="AK41" t="e">
        <f t="shared" si="10"/>
        <v>#N/A</v>
      </c>
      <c r="AL41" t="e">
        <f t="shared" si="11"/>
        <v>#N/A</v>
      </c>
      <c r="AM41" t="e">
        <f t="shared" si="12"/>
        <v>#N/A</v>
      </c>
      <c r="AN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1" t="e">
        <f t="shared" si="13"/>
        <v>#N/A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2" t="e">
        <f t="shared" si="0"/>
        <v>#N/A</v>
      </c>
      <c r="AA42" t="e">
        <f t="shared" si="1"/>
        <v>#N/A</v>
      </c>
      <c r="AB42" t="e">
        <f t="shared" si="2"/>
        <v>#N/A</v>
      </c>
      <c r="AC42" t="e">
        <f t="shared" si="3"/>
        <v>#N/A</v>
      </c>
      <c r="AD42" t="e">
        <f t="shared" si="4"/>
        <v>#N/A</v>
      </c>
      <c r="AE42" t="e">
        <f t="shared" si="5"/>
        <v>#N/A</v>
      </c>
      <c r="AF42" t="e">
        <f t="shared" si="6"/>
        <v>#N/A</v>
      </c>
      <c r="AG42" t="e">
        <f t="shared" si="7"/>
        <v>#N/A</v>
      </c>
      <c r="AH42" t="e">
        <f t="shared" si="14"/>
        <v>#N/A</v>
      </c>
      <c r="AI42" t="e">
        <f t="shared" si="8"/>
        <v>#N/A</v>
      </c>
      <c r="AJ42">
        <f t="shared" si="9"/>
        <v>0</v>
      </c>
      <c r="AK42" t="e">
        <f t="shared" si="10"/>
        <v>#N/A</v>
      </c>
      <c r="AL42" t="e">
        <f t="shared" si="11"/>
        <v>#N/A</v>
      </c>
      <c r="AM42" t="e">
        <f t="shared" si="12"/>
        <v>#N/A</v>
      </c>
      <c r="AN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2" t="e">
        <f t="shared" si="13"/>
        <v>#N/A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3" t="e">
        <f t="shared" si="0"/>
        <v>#N/A</v>
      </c>
      <c r="AA43" t="e">
        <f t="shared" si="1"/>
        <v>#N/A</v>
      </c>
      <c r="AB43" t="e">
        <f t="shared" si="2"/>
        <v>#N/A</v>
      </c>
      <c r="AC43" t="e">
        <f t="shared" si="3"/>
        <v>#N/A</v>
      </c>
      <c r="AD43" t="e">
        <f t="shared" si="4"/>
        <v>#N/A</v>
      </c>
      <c r="AE43" t="e">
        <f t="shared" si="5"/>
        <v>#N/A</v>
      </c>
      <c r="AF43" t="e">
        <f t="shared" si="6"/>
        <v>#N/A</v>
      </c>
      <c r="AG43" t="e">
        <f t="shared" si="7"/>
        <v>#N/A</v>
      </c>
      <c r="AH43" t="e">
        <f t="shared" si="14"/>
        <v>#N/A</v>
      </c>
      <c r="AI43" t="e">
        <f t="shared" si="8"/>
        <v>#N/A</v>
      </c>
      <c r="AJ43">
        <f t="shared" si="9"/>
        <v>0</v>
      </c>
      <c r="AK43" t="e">
        <f t="shared" si="10"/>
        <v>#N/A</v>
      </c>
      <c r="AL43" t="e">
        <f t="shared" si="11"/>
        <v>#N/A</v>
      </c>
      <c r="AM43" t="e">
        <f t="shared" si="12"/>
        <v>#N/A</v>
      </c>
      <c r="AN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3" t="e">
        <f t="shared" si="13"/>
        <v>#N/A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4" t="e">
        <f t="shared" si="0"/>
        <v>#N/A</v>
      </c>
      <c r="AA44" t="e">
        <f t="shared" si="1"/>
        <v>#N/A</v>
      </c>
      <c r="AB44" t="e">
        <f t="shared" si="2"/>
        <v>#N/A</v>
      </c>
      <c r="AC44" t="e">
        <f t="shared" si="3"/>
        <v>#N/A</v>
      </c>
      <c r="AD44" t="e">
        <f t="shared" si="4"/>
        <v>#N/A</v>
      </c>
      <c r="AE44" t="e">
        <f t="shared" si="5"/>
        <v>#N/A</v>
      </c>
      <c r="AF44" t="e">
        <f t="shared" si="6"/>
        <v>#N/A</v>
      </c>
      <c r="AG44" t="e">
        <f t="shared" si="7"/>
        <v>#N/A</v>
      </c>
      <c r="AH44" t="e">
        <f t="shared" si="14"/>
        <v>#N/A</v>
      </c>
      <c r="AI44" t="e">
        <f t="shared" si="8"/>
        <v>#N/A</v>
      </c>
      <c r="AJ44">
        <f t="shared" si="9"/>
        <v>0</v>
      </c>
      <c r="AK44" t="e">
        <f t="shared" si="10"/>
        <v>#N/A</v>
      </c>
      <c r="AL44" t="e">
        <f t="shared" si="11"/>
        <v>#N/A</v>
      </c>
      <c r="AM44" t="e">
        <f t="shared" si="12"/>
        <v>#N/A</v>
      </c>
      <c r="AN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4" t="e">
        <f t="shared" si="13"/>
        <v>#N/A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5" t="e">
        <f t="shared" si="0"/>
        <v>#N/A</v>
      </c>
      <c r="AA45" t="e">
        <f t="shared" si="1"/>
        <v>#N/A</v>
      </c>
      <c r="AB45" t="e">
        <f t="shared" si="2"/>
        <v>#N/A</v>
      </c>
      <c r="AC45" t="e">
        <f t="shared" si="3"/>
        <v>#N/A</v>
      </c>
      <c r="AD45" t="e">
        <f t="shared" si="4"/>
        <v>#N/A</v>
      </c>
      <c r="AE45" t="e">
        <f t="shared" si="5"/>
        <v>#N/A</v>
      </c>
      <c r="AF45" t="e">
        <f t="shared" si="6"/>
        <v>#N/A</v>
      </c>
      <c r="AG45" t="e">
        <f t="shared" si="7"/>
        <v>#N/A</v>
      </c>
      <c r="AH45" t="e">
        <f t="shared" si="14"/>
        <v>#N/A</v>
      </c>
      <c r="AI45" t="e">
        <f t="shared" si="8"/>
        <v>#N/A</v>
      </c>
      <c r="AJ45">
        <f t="shared" si="9"/>
        <v>0</v>
      </c>
      <c r="AK45" t="e">
        <f t="shared" si="10"/>
        <v>#N/A</v>
      </c>
      <c r="AL45" t="e">
        <f t="shared" si="11"/>
        <v>#N/A</v>
      </c>
      <c r="AM45" t="e">
        <f t="shared" si="12"/>
        <v>#N/A</v>
      </c>
      <c r="AN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5" t="e">
        <f t="shared" si="13"/>
        <v>#N/A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6" t="e">
        <f t="shared" si="0"/>
        <v>#N/A</v>
      </c>
      <c r="AA46" t="e">
        <f t="shared" si="1"/>
        <v>#N/A</v>
      </c>
      <c r="AB46" t="e">
        <f t="shared" si="2"/>
        <v>#N/A</v>
      </c>
      <c r="AC46" t="e">
        <f t="shared" si="3"/>
        <v>#N/A</v>
      </c>
      <c r="AD46" t="e">
        <f t="shared" si="4"/>
        <v>#N/A</v>
      </c>
      <c r="AE46" t="e">
        <f t="shared" si="5"/>
        <v>#N/A</v>
      </c>
      <c r="AF46" t="e">
        <f t="shared" si="6"/>
        <v>#N/A</v>
      </c>
      <c r="AG46" t="e">
        <f t="shared" si="7"/>
        <v>#N/A</v>
      </c>
      <c r="AH46" t="e">
        <f t="shared" si="14"/>
        <v>#N/A</v>
      </c>
      <c r="AI46" t="e">
        <f t="shared" si="8"/>
        <v>#N/A</v>
      </c>
      <c r="AJ46">
        <f t="shared" si="9"/>
        <v>0</v>
      </c>
      <c r="AK46" t="e">
        <f t="shared" si="10"/>
        <v>#N/A</v>
      </c>
      <c r="AL46" t="e">
        <f t="shared" si="11"/>
        <v>#N/A</v>
      </c>
      <c r="AM46" t="e">
        <f t="shared" si="12"/>
        <v>#N/A</v>
      </c>
      <c r="AN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6" t="e">
        <f t="shared" si="13"/>
        <v>#N/A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7" t="e">
        <f t="shared" si="0"/>
        <v>#N/A</v>
      </c>
      <c r="AA47" t="e">
        <f t="shared" si="1"/>
        <v>#N/A</v>
      </c>
      <c r="AB47" t="e">
        <f t="shared" si="2"/>
        <v>#N/A</v>
      </c>
      <c r="AC47" t="e">
        <f t="shared" si="3"/>
        <v>#N/A</v>
      </c>
      <c r="AD47" t="e">
        <f t="shared" si="4"/>
        <v>#N/A</v>
      </c>
      <c r="AE47" t="e">
        <f t="shared" si="5"/>
        <v>#N/A</v>
      </c>
      <c r="AF47" t="e">
        <f t="shared" si="6"/>
        <v>#N/A</v>
      </c>
      <c r="AG47" t="e">
        <f t="shared" si="7"/>
        <v>#N/A</v>
      </c>
      <c r="AH47" t="e">
        <f t="shared" si="14"/>
        <v>#N/A</v>
      </c>
      <c r="AI47" t="e">
        <f t="shared" si="8"/>
        <v>#N/A</v>
      </c>
      <c r="AJ47">
        <f t="shared" si="9"/>
        <v>0</v>
      </c>
      <c r="AK47" t="e">
        <f t="shared" si="10"/>
        <v>#N/A</v>
      </c>
      <c r="AL47" t="e">
        <f t="shared" si="11"/>
        <v>#N/A</v>
      </c>
      <c r="AM47" t="e">
        <f t="shared" si="12"/>
        <v>#N/A</v>
      </c>
      <c r="AN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7" t="e">
        <f t="shared" si="13"/>
        <v>#N/A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8" t="e">
        <f t="shared" si="0"/>
        <v>#N/A</v>
      </c>
      <c r="AA48" t="e">
        <f t="shared" si="1"/>
        <v>#N/A</v>
      </c>
      <c r="AB48" t="e">
        <f t="shared" si="2"/>
        <v>#N/A</v>
      </c>
      <c r="AC48" t="e">
        <f t="shared" si="3"/>
        <v>#N/A</v>
      </c>
      <c r="AD48" t="e">
        <f t="shared" si="4"/>
        <v>#N/A</v>
      </c>
      <c r="AE48" t="e">
        <f t="shared" si="5"/>
        <v>#N/A</v>
      </c>
      <c r="AF48" t="e">
        <f t="shared" si="6"/>
        <v>#N/A</v>
      </c>
      <c r="AG48" t="e">
        <f t="shared" si="7"/>
        <v>#N/A</v>
      </c>
      <c r="AH48" t="e">
        <f t="shared" si="14"/>
        <v>#N/A</v>
      </c>
      <c r="AI48" t="e">
        <f t="shared" si="8"/>
        <v>#N/A</v>
      </c>
      <c r="AJ48">
        <f t="shared" si="9"/>
        <v>0</v>
      </c>
      <c r="AK48" t="e">
        <f t="shared" si="10"/>
        <v>#N/A</v>
      </c>
      <c r="AL48" t="e">
        <f t="shared" si="11"/>
        <v>#N/A</v>
      </c>
      <c r="AM48" t="e">
        <f t="shared" si="12"/>
        <v>#N/A</v>
      </c>
      <c r="AN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8" t="e">
        <f t="shared" si="13"/>
        <v>#N/A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9" t="e">
        <f t="shared" si="0"/>
        <v>#N/A</v>
      </c>
      <c r="AA49" t="e">
        <f t="shared" si="1"/>
        <v>#N/A</v>
      </c>
      <c r="AB49" t="e">
        <f t="shared" si="2"/>
        <v>#N/A</v>
      </c>
      <c r="AC49" t="e">
        <f t="shared" si="3"/>
        <v>#N/A</v>
      </c>
      <c r="AD49" t="e">
        <f t="shared" si="4"/>
        <v>#N/A</v>
      </c>
      <c r="AE49" t="e">
        <f t="shared" si="5"/>
        <v>#N/A</v>
      </c>
      <c r="AF49" t="e">
        <f t="shared" si="6"/>
        <v>#N/A</v>
      </c>
      <c r="AG49" t="e">
        <f t="shared" si="7"/>
        <v>#N/A</v>
      </c>
      <c r="AH49" t="e">
        <f t="shared" si="14"/>
        <v>#N/A</v>
      </c>
      <c r="AI49" t="e">
        <f t="shared" si="8"/>
        <v>#N/A</v>
      </c>
      <c r="AJ49">
        <f t="shared" si="9"/>
        <v>0</v>
      </c>
      <c r="AK49" t="e">
        <f t="shared" si="10"/>
        <v>#N/A</v>
      </c>
      <c r="AL49" t="e">
        <f t="shared" si="11"/>
        <v>#N/A</v>
      </c>
      <c r="AM49" t="e">
        <f t="shared" si="12"/>
        <v>#N/A</v>
      </c>
      <c r="AN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9" t="e">
        <f t="shared" si="13"/>
        <v>#N/A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0" t="e">
        <f t="shared" si="0"/>
        <v>#N/A</v>
      </c>
      <c r="AA50" t="e">
        <f t="shared" si="1"/>
        <v>#N/A</v>
      </c>
      <c r="AB50" t="e">
        <f t="shared" si="2"/>
        <v>#N/A</v>
      </c>
      <c r="AC50" t="e">
        <f t="shared" si="3"/>
        <v>#N/A</v>
      </c>
      <c r="AD50" t="e">
        <f t="shared" si="4"/>
        <v>#N/A</v>
      </c>
      <c r="AE50" t="e">
        <f t="shared" si="5"/>
        <v>#N/A</v>
      </c>
      <c r="AF50" t="e">
        <f t="shared" si="6"/>
        <v>#N/A</v>
      </c>
      <c r="AG50" t="e">
        <f t="shared" si="7"/>
        <v>#N/A</v>
      </c>
      <c r="AH50" t="e">
        <f t="shared" si="14"/>
        <v>#N/A</v>
      </c>
      <c r="AI50" t="e">
        <f t="shared" si="8"/>
        <v>#N/A</v>
      </c>
      <c r="AJ50">
        <f t="shared" si="9"/>
        <v>0</v>
      </c>
      <c r="AK50" t="e">
        <f t="shared" si="10"/>
        <v>#N/A</v>
      </c>
      <c r="AL50" t="e">
        <f t="shared" si="11"/>
        <v>#N/A</v>
      </c>
      <c r="AM50" t="e">
        <f t="shared" si="12"/>
        <v>#N/A</v>
      </c>
      <c r="AN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0" t="e">
        <f t="shared" si="13"/>
        <v>#N/A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1" t="e">
        <f t="shared" si="0"/>
        <v>#N/A</v>
      </c>
      <c r="AA51" t="e">
        <f t="shared" si="1"/>
        <v>#N/A</v>
      </c>
      <c r="AB51" t="e">
        <f t="shared" si="2"/>
        <v>#N/A</v>
      </c>
      <c r="AC51" t="e">
        <f t="shared" si="3"/>
        <v>#N/A</v>
      </c>
      <c r="AD51" t="e">
        <f t="shared" si="4"/>
        <v>#N/A</v>
      </c>
      <c r="AE51" t="e">
        <f t="shared" si="5"/>
        <v>#N/A</v>
      </c>
      <c r="AF51" t="e">
        <f t="shared" si="6"/>
        <v>#N/A</v>
      </c>
      <c r="AG51" t="e">
        <f t="shared" si="7"/>
        <v>#N/A</v>
      </c>
      <c r="AH51" t="e">
        <f t="shared" si="14"/>
        <v>#N/A</v>
      </c>
      <c r="AI51" t="e">
        <f t="shared" si="8"/>
        <v>#N/A</v>
      </c>
      <c r="AJ51">
        <f t="shared" si="9"/>
        <v>0</v>
      </c>
      <c r="AK51" t="e">
        <f t="shared" si="10"/>
        <v>#N/A</v>
      </c>
      <c r="AL51" t="e">
        <f t="shared" si="11"/>
        <v>#N/A</v>
      </c>
      <c r="AM51" t="e">
        <f t="shared" si="12"/>
        <v>#N/A</v>
      </c>
      <c r="AN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1" t="e">
        <f t="shared" si="13"/>
        <v>#N/A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2" t="e">
        <f t="shared" si="0"/>
        <v>#N/A</v>
      </c>
      <c r="AA52" t="e">
        <f t="shared" si="1"/>
        <v>#N/A</v>
      </c>
      <c r="AB52" t="e">
        <f t="shared" si="2"/>
        <v>#N/A</v>
      </c>
      <c r="AC52" t="e">
        <f t="shared" si="3"/>
        <v>#N/A</v>
      </c>
      <c r="AD52" t="e">
        <f t="shared" si="4"/>
        <v>#N/A</v>
      </c>
      <c r="AE52" t="e">
        <f t="shared" si="5"/>
        <v>#N/A</v>
      </c>
      <c r="AF52" t="e">
        <f t="shared" si="6"/>
        <v>#N/A</v>
      </c>
      <c r="AG52" t="e">
        <f t="shared" si="7"/>
        <v>#N/A</v>
      </c>
      <c r="AH52" t="e">
        <f t="shared" si="14"/>
        <v>#N/A</v>
      </c>
      <c r="AI52" t="e">
        <f t="shared" si="8"/>
        <v>#N/A</v>
      </c>
      <c r="AJ52">
        <f t="shared" si="9"/>
        <v>0</v>
      </c>
      <c r="AK52" t="e">
        <f t="shared" si="10"/>
        <v>#N/A</v>
      </c>
      <c r="AL52" t="e">
        <f t="shared" si="11"/>
        <v>#N/A</v>
      </c>
      <c r="AM52" t="e">
        <f t="shared" si="12"/>
        <v>#N/A</v>
      </c>
      <c r="AN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2" t="e">
        <f t="shared" si="13"/>
        <v>#N/A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3" t="e">
        <f t="shared" si="0"/>
        <v>#N/A</v>
      </c>
      <c r="AA53" t="e">
        <f t="shared" si="1"/>
        <v>#N/A</v>
      </c>
      <c r="AB53" t="e">
        <f t="shared" si="2"/>
        <v>#N/A</v>
      </c>
      <c r="AC53" t="e">
        <f t="shared" si="3"/>
        <v>#N/A</v>
      </c>
      <c r="AD53" t="e">
        <f t="shared" si="4"/>
        <v>#N/A</v>
      </c>
      <c r="AE53" t="e">
        <f t="shared" si="5"/>
        <v>#N/A</v>
      </c>
      <c r="AF53" t="e">
        <f t="shared" si="6"/>
        <v>#N/A</v>
      </c>
      <c r="AG53" t="e">
        <f t="shared" si="7"/>
        <v>#N/A</v>
      </c>
      <c r="AH53" t="e">
        <f t="shared" si="14"/>
        <v>#N/A</v>
      </c>
      <c r="AI53" t="e">
        <f t="shared" si="8"/>
        <v>#N/A</v>
      </c>
      <c r="AJ53">
        <f t="shared" si="9"/>
        <v>0</v>
      </c>
      <c r="AK53" t="e">
        <f t="shared" si="10"/>
        <v>#N/A</v>
      </c>
      <c r="AL53" t="e">
        <f t="shared" si="11"/>
        <v>#N/A</v>
      </c>
      <c r="AM53" t="e">
        <f t="shared" si="12"/>
        <v>#N/A</v>
      </c>
      <c r="AN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3" t="e">
        <f t="shared" si="13"/>
        <v>#N/A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4" t="e">
        <f t="shared" si="0"/>
        <v>#N/A</v>
      </c>
      <c r="AA54" t="e">
        <f t="shared" si="1"/>
        <v>#N/A</v>
      </c>
      <c r="AB54" t="e">
        <f t="shared" si="2"/>
        <v>#N/A</v>
      </c>
      <c r="AC54" t="e">
        <f t="shared" si="3"/>
        <v>#N/A</v>
      </c>
      <c r="AD54" t="e">
        <f t="shared" si="4"/>
        <v>#N/A</v>
      </c>
      <c r="AE54" t="e">
        <f t="shared" si="5"/>
        <v>#N/A</v>
      </c>
      <c r="AF54" t="e">
        <f t="shared" si="6"/>
        <v>#N/A</v>
      </c>
      <c r="AG54" t="e">
        <f t="shared" si="7"/>
        <v>#N/A</v>
      </c>
      <c r="AH54" t="e">
        <f t="shared" si="14"/>
        <v>#N/A</v>
      </c>
      <c r="AI54" t="e">
        <f t="shared" si="8"/>
        <v>#N/A</v>
      </c>
      <c r="AJ54">
        <f t="shared" si="9"/>
        <v>0</v>
      </c>
      <c r="AK54" t="e">
        <f t="shared" si="10"/>
        <v>#N/A</v>
      </c>
      <c r="AL54" t="e">
        <f t="shared" si="11"/>
        <v>#N/A</v>
      </c>
      <c r="AM54" t="e">
        <f t="shared" si="12"/>
        <v>#N/A</v>
      </c>
      <c r="AN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4" t="e">
        <f t="shared" si="13"/>
        <v>#N/A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5" t="e">
        <f t="shared" si="0"/>
        <v>#N/A</v>
      </c>
      <c r="AA55" t="e">
        <f t="shared" si="1"/>
        <v>#N/A</v>
      </c>
      <c r="AB55" t="e">
        <f t="shared" si="2"/>
        <v>#N/A</v>
      </c>
      <c r="AC55" t="e">
        <f t="shared" si="3"/>
        <v>#N/A</v>
      </c>
      <c r="AD55" t="e">
        <f t="shared" si="4"/>
        <v>#N/A</v>
      </c>
      <c r="AE55" t="e">
        <f t="shared" si="5"/>
        <v>#N/A</v>
      </c>
      <c r="AF55" t="e">
        <f t="shared" si="6"/>
        <v>#N/A</v>
      </c>
      <c r="AG55" t="e">
        <f t="shared" si="7"/>
        <v>#N/A</v>
      </c>
      <c r="AH55" t="e">
        <f t="shared" si="14"/>
        <v>#N/A</v>
      </c>
      <c r="AI55" t="e">
        <f t="shared" si="8"/>
        <v>#N/A</v>
      </c>
      <c r="AJ55">
        <f t="shared" si="9"/>
        <v>0</v>
      </c>
      <c r="AK55" t="e">
        <f t="shared" si="10"/>
        <v>#N/A</v>
      </c>
      <c r="AL55" t="e">
        <f t="shared" si="11"/>
        <v>#N/A</v>
      </c>
      <c r="AM55" t="e">
        <f t="shared" si="12"/>
        <v>#N/A</v>
      </c>
      <c r="AN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5" t="e">
        <f t="shared" si="13"/>
        <v>#N/A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6" t="e">
        <f t="shared" si="0"/>
        <v>#N/A</v>
      </c>
      <c r="AA56" t="e">
        <f t="shared" si="1"/>
        <v>#N/A</v>
      </c>
      <c r="AB56" t="e">
        <f t="shared" si="2"/>
        <v>#N/A</v>
      </c>
      <c r="AC56" t="e">
        <f t="shared" si="3"/>
        <v>#N/A</v>
      </c>
      <c r="AD56" t="e">
        <f t="shared" si="4"/>
        <v>#N/A</v>
      </c>
      <c r="AE56" t="e">
        <f t="shared" si="5"/>
        <v>#N/A</v>
      </c>
      <c r="AF56" t="e">
        <f t="shared" si="6"/>
        <v>#N/A</v>
      </c>
      <c r="AG56" t="e">
        <f t="shared" si="7"/>
        <v>#N/A</v>
      </c>
      <c r="AH56" t="e">
        <f t="shared" si="14"/>
        <v>#N/A</v>
      </c>
      <c r="AI56" t="e">
        <f t="shared" si="8"/>
        <v>#N/A</v>
      </c>
      <c r="AJ56">
        <f t="shared" si="9"/>
        <v>0</v>
      </c>
      <c r="AK56" t="e">
        <f t="shared" si="10"/>
        <v>#N/A</v>
      </c>
      <c r="AL56" t="e">
        <f t="shared" si="11"/>
        <v>#N/A</v>
      </c>
      <c r="AM56" t="e">
        <f t="shared" si="12"/>
        <v>#N/A</v>
      </c>
      <c r="AN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6" t="e">
        <f t="shared" si="13"/>
        <v>#N/A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7" t="e">
        <f t="shared" si="0"/>
        <v>#N/A</v>
      </c>
      <c r="AA57" t="e">
        <f t="shared" si="1"/>
        <v>#N/A</v>
      </c>
      <c r="AB57" t="e">
        <f t="shared" si="2"/>
        <v>#N/A</v>
      </c>
      <c r="AC57" t="e">
        <f t="shared" si="3"/>
        <v>#N/A</v>
      </c>
      <c r="AD57" t="e">
        <f t="shared" si="4"/>
        <v>#N/A</v>
      </c>
      <c r="AE57" t="e">
        <f t="shared" si="5"/>
        <v>#N/A</v>
      </c>
      <c r="AF57" t="e">
        <f t="shared" si="6"/>
        <v>#N/A</v>
      </c>
      <c r="AG57" t="e">
        <f t="shared" si="7"/>
        <v>#N/A</v>
      </c>
      <c r="AH57" t="e">
        <f t="shared" si="14"/>
        <v>#N/A</v>
      </c>
      <c r="AI57" t="e">
        <f t="shared" si="8"/>
        <v>#N/A</v>
      </c>
      <c r="AJ57">
        <f t="shared" si="9"/>
        <v>0</v>
      </c>
      <c r="AK57" t="e">
        <f t="shared" si="10"/>
        <v>#N/A</v>
      </c>
      <c r="AL57" t="e">
        <f t="shared" si="11"/>
        <v>#N/A</v>
      </c>
      <c r="AM57" t="e">
        <f t="shared" si="12"/>
        <v>#N/A</v>
      </c>
      <c r="AN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7" t="e">
        <f t="shared" si="13"/>
        <v>#N/A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8" t="e">
        <f t="shared" si="0"/>
        <v>#N/A</v>
      </c>
      <c r="AA58" t="e">
        <f t="shared" si="1"/>
        <v>#N/A</v>
      </c>
      <c r="AB58" t="e">
        <f t="shared" si="2"/>
        <v>#N/A</v>
      </c>
      <c r="AC58" t="e">
        <f t="shared" si="3"/>
        <v>#N/A</v>
      </c>
      <c r="AD58" t="e">
        <f t="shared" si="4"/>
        <v>#N/A</v>
      </c>
      <c r="AE58" t="e">
        <f t="shared" si="5"/>
        <v>#N/A</v>
      </c>
      <c r="AF58" t="e">
        <f t="shared" si="6"/>
        <v>#N/A</v>
      </c>
      <c r="AG58" t="e">
        <f t="shared" si="7"/>
        <v>#N/A</v>
      </c>
      <c r="AH58" t="e">
        <f t="shared" si="14"/>
        <v>#N/A</v>
      </c>
      <c r="AI58" t="e">
        <f t="shared" si="8"/>
        <v>#N/A</v>
      </c>
      <c r="AJ58">
        <f t="shared" si="9"/>
        <v>0</v>
      </c>
      <c r="AK58" t="e">
        <f t="shared" si="10"/>
        <v>#N/A</v>
      </c>
      <c r="AL58" t="e">
        <f t="shared" si="11"/>
        <v>#N/A</v>
      </c>
      <c r="AM58" t="e">
        <f t="shared" si="12"/>
        <v>#N/A</v>
      </c>
      <c r="AN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8" t="e">
        <f t="shared" si="13"/>
        <v>#N/A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9" t="e">
        <f t="shared" si="0"/>
        <v>#N/A</v>
      </c>
      <c r="AA59" t="e">
        <f t="shared" si="1"/>
        <v>#N/A</v>
      </c>
      <c r="AB59" t="e">
        <f t="shared" si="2"/>
        <v>#N/A</v>
      </c>
      <c r="AC59" t="e">
        <f t="shared" si="3"/>
        <v>#N/A</v>
      </c>
      <c r="AD59" t="e">
        <f t="shared" si="4"/>
        <v>#N/A</v>
      </c>
      <c r="AE59" t="e">
        <f t="shared" si="5"/>
        <v>#N/A</v>
      </c>
      <c r="AF59" t="e">
        <f t="shared" si="6"/>
        <v>#N/A</v>
      </c>
      <c r="AG59" t="e">
        <f t="shared" si="7"/>
        <v>#N/A</v>
      </c>
      <c r="AH59" t="e">
        <f t="shared" si="14"/>
        <v>#N/A</v>
      </c>
      <c r="AI59" t="e">
        <f t="shared" si="8"/>
        <v>#N/A</v>
      </c>
      <c r="AJ59">
        <f t="shared" si="9"/>
        <v>0</v>
      </c>
      <c r="AK59" t="e">
        <f t="shared" si="10"/>
        <v>#N/A</v>
      </c>
      <c r="AL59" t="e">
        <f t="shared" si="11"/>
        <v>#N/A</v>
      </c>
      <c r="AM59" t="e">
        <f t="shared" si="12"/>
        <v>#N/A</v>
      </c>
      <c r="AN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9" t="e">
        <f t="shared" si="13"/>
        <v>#N/A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0" t="e">
        <f t="shared" si="0"/>
        <v>#N/A</v>
      </c>
      <c r="AA60" t="e">
        <f t="shared" si="1"/>
        <v>#N/A</v>
      </c>
      <c r="AB60" t="e">
        <f t="shared" si="2"/>
        <v>#N/A</v>
      </c>
      <c r="AC60" t="e">
        <f t="shared" si="3"/>
        <v>#N/A</v>
      </c>
      <c r="AD60" t="e">
        <f t="shared" si="4"/>
        <v>#N/A</v>
      </c>
      <c r="AE60" t="e">
        <f t="shared" si="5"/>
        <v>#N/A</v>
      </c>
      <c r="AF60" t="e">
        <f t="shared" si="6"/>
        <v>#N/A</v>
      </c>
      <c r="AG60" t="e">
        <f t="shared" si="7"/>
        <v>#N/A</v>
      </c>
      <c r="AH60" t="e">
        <f t="shared" si="14"/>
        <v>#N/A</v>
      </c>
      <c r="AI60" t="e">
        <f t="shared" si="8"/>
        <v>#N/A</v>
      </c>
      <c r="AJ60">
        <f t="shared" si="9"/>
        <v>0</v>
      </c>
      <c r="AK60" t="e">
        <f t="shared" si="10"/>
        <v>#N/A</v>
      </c>
      <c r="AL60" t="e">
        <f t="shared" si="11"/>
        <v>#N/A</v>
      </c>
      <c r="AM60" t="e">
        <f t="shared" si="12"/>
        <v>#N/A</v>
      </c>
      <c r="AN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0" t="e">
        <f t="shared" si="13"/>
        <v>#N/A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1" t="e">
        <f t="shared" si="0"/>
        <v>#N/A</v>
      </c>
      <c r="AA61" t="e">
        <f t="shared" si="1"/>
        <v>#N/A</v>
      </c>
      <c r="AB61" t="e">
        <f t="shared" si="2"/>
        <v>#N/A</v>
      </c>
      <c r="AC61" t="e">
        <f t="shared" si="3"/>
        <v>#N/A</v>
      </c>
      <c r="AD61" t="e">
        <f t="shared" si="4"/>
        <v>#N/A</v>
      </c>
      <c r="AE61" t="e">
        <f t="shared" si="5"/>
        <v>#N/A</v>
      </c>
      <c r="AF61" t="e">
        <f t="shared" si="6"/>
        <v>#N/A</v>
      </c>
      <c r="AG61" t="e">
        <f t="shared" si="7"/>
        <v>#N/A</v>
      </c>
      <c r="AH61" t="e">
        <f t="shared" si="14"/>
        <v>#N/A</v>
      </c>
      <c r="AI61" t="e">
        <f t="shared" si="8"/>
        <v>#N/A</v>
      </c>
      <c r="AJ61">
        <f t="shared" si="9"/>
        <v>0</v>
      </c>
      <c r="AK61" t="e">
        <f t="shared" si="10"/>
        <v>#N/A</v>
      </c>
      <c r="AL61" t="e">
        <f t="shared" si="11"/>
        <v>#N/A</v>
      </c>
      <c r="AM61" t="e">
        <f t="shared" si="12"/>
        <v>#N/A</v>
      </c>
      <c r="AN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1" t="e">
        <f t="shared" si="13"/>
        <v>#N/A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2" t="e">
        <f t="shared" si="0"/>
        <v>#N/A</v>
      </c>
      <c r="AA62" t="e">
        <f t="shared" si="1"/>
        <v>#N/A</v>
      </c>
      <c r="AB62" t="e">
        <f t="shared" si="2"/>
        <v>#N/A</v>
      </c>
      <c r="AC62" t="e">
        <f t="shared" si="3"/>
        <v>#N/A</v>
      </c>
      <c r="AD62" t="e">
        <f t="shared" si="4"/>
        <v>#N/A</v>
      </c>
      <c r="AE62" t="e">
        <f t="shared" si="5"/>
        <v>#N/A</v>
      </c>
      <c r="AF62" t="e">
        <f t="shared" si="6"/>
        <v>#N/A</v>
      </c>
      <c r="AG62" t="e">
        <f t="shared" si="7"/>
        <v>#N/A</v>
      </c>
      <c r="AH62" t="e">
        <f t="shared" si="14"/>
        <v>#N/A</v>
      </c>
      <c r="AI62" t="e">
        <f t="shared" si="8"/>
        <v>#N/A</v>
      </c>
      <c r="AJ62">
        <f t="shared" si="9"/>
        <v>0</v>
      </c>
      <c r="AK62" t="e">
        <f t="shared" si="10"/>
        <v>#N/A</v>
      </c>
      <c r="AL62" t="e">
        <f t="shared" si="11"/>
        <v>#N/A</v>
      </c>
      <c r="AM62" t="e">
        <f t="shared" si="12"/>
        <v>#N/A</v>
      </c>
      <c r="AN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2" t="e">
        <f t="shared" si="13"/>
        <v>#N/A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3" t="e">
        <f t="shared" si="0"/>
        <v>#N/A</v>
      </c>
      <c r="AA63" t="e">
        <f t="shared" si="1"/>
        <v>#N/A</v>
      </c>
      <c r="AB63" t="e">
        <f t="shared" si="2"/>
        <v>#N/A</v>
      </c>
      <c r="AC63" t="e">
        <f t="shared" si="3"/>
        <v>#N/A</v>
      </c>
      <c r="AD63" t="e">
        <f t="shared" si="4"/>
        <v>#N/A</v>
      </c>
      <c r="AE63" t="e">
        <f t="shared" si="5"/>
        <v>#N/A</v>
      </c>
      <c r="AF63" t="e">
        <f t="shared" si="6"/>
        <v>#N/A</v>
      </c>
      <c r="AG63" t="e">
        <f t="shared" si="7"/>
        <v>#N/A</v>
      </c>
      <c r="AH63" t="e">
        <f t="shared" si="14"/>
        <v>#N/A</v>
      </c>
      <c r="AI63" t="e">
        <f t="shared" si="8"/>
        <v>#N/A</v>
      </c>
      <c r="AJ63">
        <f t="shared" si="9"/>
        <v>0</v>
      </c>
      <c r="AK63" t="e">
        <f t="shared" si="10"/>
        <v>#N/A</v>
      </c>
      <c r="AL63" t="e">
        <f t="shared" si="11"/>
        <v>#N/A</v>
      </c>
      <c r="AM63" t="e">
        <f t="shared" si="12"/>
        <v>#N/A</v>
      </c>
      <c r="AN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3" t="e">
        <f t="shared" si="13"/>
        <v>#N/A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4" t="e">
        <f t="shared" si="0"/>
        <v>#N/A</v>
      </c>
      <c r="AA64" t="e">
        <f t="shared" si="1"/>
        <v>#N/A</v>
      </c>
      <c r="AB64" t="e">
        <f t="shared" si="2"/>
        <v>#N/A</v>
      </c>
      <c r="AC64" t="e">
        <f t="shared" si="3"/>
        <v>#N/A</v>
      </c>
      <c r="AD64" t="e">
        <f t="shared" si="4"/>
        <v>#N/A</v>
      </c>
      <c r="AE64" t="e">
        <f t="shared" si="5"/>
        <v>#N/A</v>
      </c>
      <c r="AF64" t="e">
        <f t="shared" si="6"/>
        <v>#N/A</v>
      </c>
      <c r="AG64" t="e">
        <f t="shared" si="7"/>
        <v>#N/A</v>
      </c>
      <c r="AH64" t="e">
        <f t="shared" si="14"/>
        <v>#N/A</v>
      </c>
      <c r="AI64" t="e">
        <f t="shared" si="8"/>
        <v>#N/A</v>
      </c>
      <c r="AJ64">
        <f t="shared" si="9"/>
        <v>0</v>
      </c>
      <c r="AK64" t="e">
        <f t="shared" si="10"/>
        <v>#N/A</v>
      </c>
      <c r="AL64" t="e">
        <f t="shared" si="11"/>
        <v>#N/A</v>
      </c>
      <c r="AM64" t="e">
        <f t="shared" si="12"/>
        <v>#N/A</v>
      </c>
      <c r="AN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4" t="e">
        <f t="shared" si="13"/>
        <v>#N/A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5" t="e">
        <f t="shared" si="0"/>
        <v>#N/A</v>
      </c>
      <c r="AA65" t="e">
        <f t="shared" si="1"/>
        <v>#N/A</v>
      </c>
      <c r="AB65" t="e">
        <f t="shared" si="2"/>
        <v>#N/A</v>
      </c>
      <c r="AC65" t="e">
        <f t="shared" si="3"/>
        <v>#N/A</v>
      </c>
      <c r="AD65" t="e">
        <f t="shared" si="4"/>
        <v>#N/A</v>
      </c>
      <c r="AE65" t="e">
        <f t="shared" si="5"/>
        <v>#N/A</v>
      </c>
      <c r="AF65" t="e">
        <f t="shared" si="6"/>
        <v>#N/A</v>
      </c>
      <c r="AG65" t="e">
        <f t="shared" si="7"/>
        <v>#N/A</v>
      </c>
      <c r="AH65" t="e">
        <f t="shared" si="14"/>
        <v>#N/A</v>
      </c>
      <c r="AI65" t="e">
        <f t="shared" si="8"/>
        <v>#N/A</v>
      </c>
      <c r="AJ65">
        <f t="shared" si="9"/>
        <v>0</v>
      </c>
      <c r="AK65" t="e">
        <f t="shared" si="10"/>
        <v>#N/A</v>
      </c>
      <c r="AL65" t="e">
        <f t="shared" si="11"/>
        <v>#N/A</v>
      </c>
      <c r="AM65" t="e">
        <f t="shared" si="12"/>
        <v>#N/A</v>
      </c>
      <c r="AN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5" t="e">
        <f t="shared" si="13"/>
        <v>#N/A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6" t="e">
        <f t="shared" si="0"/>
        <v>#N/A</v>
      </c>
      <c r="AA66" t="e">
        <f t="shared" si="1"/>
        <v>#N/A</v>
      </c>
      <c r="AB66" t="e">
        <f t="shared" si="2"/>
        <v>#N/A</v>
      </c>
      <c r="AC66" t="e">
        <f t="shared" si="3"/>
        <v>#N/A</v>
      </c>
      <c r="AD66" t="e">
        <f t="shared" si="4"/>
        <v>#N/A</v>
      </c>
      <c r="AE66" t="e">
        <f t="shared" si="5"/>
        <v>#N/A</v>
      </c>
      <c r="AF66" t="e">
        <f t="shared" si="6"/>
        <v>#N/A</v>
      </c>
      <c r="AG66" t="e">
        <f t="shared" si="7"/>
        <v>#N/A</v>
      </c>
      <c r="AH66" t="e">
        <f t="shared" si="14"/>
        <v>#N/A</v>
      </c>
      <c r="AI66" t="e">
        <f t="shared" si="8"/>
        <v>#N/A</v>
      </c>
      <c r="AJ66">
        <f t="shared" si="9"/>
        <v>0</v>
      </c>
      <c r="AK66" t="e">
        <f t="shared" si="10"/>
        <v>#N/A</v>
      </c>
      <c r="AL66" t="e">
        <f t="shared" si="11"/>
        <v>#N/A</v>
      </c>
      <c r="AM66" t="e">
        <f t="shared" si="12"/>
        <v>#N/A</v>
      </c>
      <c r="AN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6" t="e">
        <f t="shared" si="13"/>
        <v>#N/A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7" t="e">
        <f t="shared" si="0"/>
        <v>#N/A</v>
      </c>
      <c r="AA67" t="e">
        <f t="shared" si="1"/>
        <v>#N/A</v>
      </c>
      <c r="AB67" t="e">
        <f t="shared" si="2"/>
        <v>#N/A</v>
      </c>
      <c r="AC67" t="e">
        <f t="shared" si="3"/>
        <v>#N/A</v>
      </c>
      <c r="AD67" t="e">
        <f t="shared" si="4"/>
        <v>#N/A</v>
      </c>
      <c r="AE67" t="e">
        <f t="shared" si="5"/>
        <v>#N/A</v>
      </c>
      <c r="AF67" t="e">
        <f t="shared" si="6"/>
        <v>#N/A</v>
      </c>
      <c r="AG67" t="e">
        <f t="shared" si="7"/>
        <v>#N/A</v>
      </c>
      <c r="AH67" t="e">
        <f t="shared" si="14"/>
        <v>#N/A</v>
      </c>
      <c r="AI67" t="e">
        <f t="shared" si="8"/>
        <v>#N/A</v>
      </c>
      <c r="AJ67">
        <f t="shared" si="9"/>
        <v>0</v>
      </c>
      <c r="AK67" t="e">
        <f t="shared" si="10"/>
        <v>#N/A</v>
      </c>
      <c r="AL67" t="e">
        <f t="shared" si="11"/>
        <v>#N/A</v>
      </c>
      <c r="AM67" t="e">
        <f t="shared" si="12"/>
        <v>#N/A</v>
      </c>
      <c r="AN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7" t="e">
        <f t="shared" si="13"/>
        <v>#N/A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8" t="e">
        <f t="shared" si="0"/>
        <v>#N/A</v>
      </c>
      <c r="AA68" t="e">
        <f t="shared" si="1"/>
        <v>#N/A</v>
      </c>
      <c r="AB68" t="e">
        <f t="shared" si="2"/>
        <v>#N/A</v>
      </c>
      <c r="AC68" t="e">
        <f t="shared" si="3"/>
        <v>#N/A</v>
      </c>
      <c r="AD68" t="e">
        <f t="shared" si="4"/>
        <v>#N/A</v>
      </c>
      <c r="AE68" t="e">
        <f t="shared" si="5"/>
        <v>#N/A</v>
      </c>
      <c r="AF68" t="e">
        <f t="shared" si="6"/>
        <v>#N/A</v>
      </c>
      <c r="AG68" t="e">
        <f t="shared" si="7"/>
        <v>#N/A</v>
      </c>
      <c r="AH68" t="e">
        <f t="shared" si="14"/>
        <v>#N/A</v>
      </c>
      <c r="AI68" t="e">
        <f t="shared" si="8"/>
        <v>#N/A</v>
      </c>
      <c r="AJ68">
        <f t="shared" si="9"/>
        <v>0</v>
      </c>
      <c r="AK68" t="e">
        <f t="shared" si="10"/>
        <v>#N/A</v>
      </c>
      <c r="AL68" t="e">
        <f t="shared" si="11"/>
        <v>#N/A</v>
      </c>
      <c r="AM68" t="e">
        <f t="shared" si="12"/>
        <v>#N/A</v>
      </c>
      <c r="AN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8" t="e">
        <f t="shared" si="13"/>
        <v>#N/A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9" t="e">
        <f t="shared" ref="Z69:Z132" si="15">Y69/1.128</f>
        <v>#N/A</v>
      </c>
      <c r="AA69" t="e">
        <f t="shared" ref="AA69:AA132" si="16">MAX(0,W69-(3*Z69))</f>
        <v>#N/A</v>
      </c>
      <c r="AB69" t="e">
        <f t="shared" ref="AB69:AB132" si="17">MAX(0,W69-(2*Z69))</f>
        <v>#N/A</v>
      </c>
      <c r="AC69" t="e">
        <f t="shared" ref="AC69:AC132" si="18">MAX(0,W69-Z69)</f>
        <v>#N/A</v>
      </c>
      <c r="AD69" t="e">
        <f t="shared" ref="AD69:AD132" si="19">W69+Z69</f>
        <v>#N/A</v>
      </c>
      <c r="AE69" t="e">
        <f t="shared" ref="AE69:AE132" si="20">W69+(2*Z69)</f>
        <v>#N/A</v>
      </c>
      <c r="AF69" t="e">
        <f t="shared" ref="AF69:AF132" si="21">W69+(3*Z69)</f>
        <v>#N/A</v>
      </c>
      <c r="AG69" t="e">
        <f t="shared" ref="AG69:AG132" si="22">IF(OR(V69&gt;AF69,V69&lt;AA69),V69,NA())</f>
        <v>#N/A</v>
      </c>
      <c r="AH69" t="e">
        <f t="shared" si="14"/>
        <v>#N/A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 t="e">
        <f t="shared" ref="AL69:AL132" si="26">IF(V69&lt;W69,-1,IF(V69&gt;W69,1,0))</f>
        <v>#N/A</v>
      </c>
      <c r="AM69" t="e">
        <f t="shared" ref="AM69:AM132" si="27">IF(ABS(SUM(AL69:AL77))=9,V69,NA())</f>
        <v>#N/A</v>
      </c>
      <c r="AN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9" t="e">
        <f t="shared" ref="AP69:AP132" si="28">AO69-AN69</f>
        <v>#N/A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0" t="e">
        <f t="shared" si="15"/>
        <v>#N/A</v>
      </c>
      <c r="AA70" t="e">
        <f t="shared" si="16"/>
        <v>#N/A</v>
      </c>
      <c r="AB70" t="e">
        <f t="shared" si="17"/>
        <v>#N/A</v>
      </c>
      <c r="AC70" t="e">
        <f t="shared" si="18"/>
        <v>#N/A</v>
      </c>
      <c r="AD70" t="e">
        <f t="shared" si="19"/>
        <v>#N/A</v>
      </c>
      <c r="AE70" t="e">
        <f t="shared" si="20"/>
        <v>#N/A</v>
      </c>
      <c r="AF70" t="e">
        <f t="shared" si="21"/>
        <v>#N/A</v>
      </c>
      <c r="AG70" t="e">
        <f t="shared" si="22"/>
        <v>#N/A</v>
      </c>
      <c r="AH70" t="e">
        <f t="shared" ref="AH70:AH133" si="29">IF(V70&gt;AE70,2,IF(V70&lt;AB70,-2,IF(V70&gt;W70,1,IF(V70&lt;W70,-1,0))))</f>
        <v>#N/A</v>
      </c>
      <c r="AI70" t="e">
        <f t="shared" si="23"/>
        <v>#N/A</v>
      </c>
      <c r="AJ70">
        <f t="shared" si="24"/>
        <v>0</v>
      </c>
      <c r="AK70" t="e">
        <f t="shared" si="25"/>
        <v>#N/A</v>
      </c>
      <c r="AL70" t="e">
        <f t="shared" si="26"/>
        <v>#N/A</v>
      </c>
      <c r="AM70" t="e">
        <f t="shared" si="27"/>
        <v>#N/A</v>
      </c>
      <c r="AN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0" t="e">
        <f t="shared" si="28"/>
        <v>#N/A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1" t="e">
        <f t="shared" si="15"/>
        <v>#N/A</v>
      </c>
      <c r="AA71" t="e">
        <f t="shared" si="16"/>
        <v>#N/A</v>
      </c>
      <c r="AB71" t="e">
        <f t="shared" si="17"/>
        <v>#N/A</v>
      </c>
      <c r="AC71" t="e">
        <f t="shared" si="18"/>
        <v>#N/A</v>
      </c>
      <c r="AD71" t="e">
        <f t="shared" si="19"/>
        <v>#N/A</v>
      </c>
      <c r="AE71" t="e">
        <f t="shared" si="20"/>
        <v>#N/A</v>
      </c>
      <c r="AF71" t="e">
        <f t="shared" si="21"/>
        <v>#N/A</v>
      </c>
      <c r="AG71" t="e">
        <f t="shared" si="22"/>
        <v>#N/A</v>
      </c>
      <c r="AH71" t="e">
        <f t="shared" si="29"/>
        <v>#N/A</v>
      </c>
      <c r="AI71" t="e">
        <f t="shared" si="23"/>
        <v>#N/A</v>
      </c>
      <c r="AJ71">
        <f t="shared" si="24"/>
        <v>0</v>
      </c>
      <c r="AK71" t="e">
        <f t="shared" si="25"/>
        <v>#N/A</v>
      </c>
      <c r="AL71" t="e">
        <f t="shared" si="26"/>
        <v>#N/A</v>
      </c>
      <c r="AM71" t="e">
        <f t="shared" si="27"/>
        <v>#N/A</v>
      </c>
      <c r="AN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1" t="e">
        <f t="shared" si="28"/>
        <v>#N/A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2" t="e">
        <f t="shared" si="15"/>
        <v>#N/A</v>
      </c>
      <c r="AA72" t="e">
        <f t="shared" si="16"/>
        <v>#N/A</v>
      </c>
      <c r="AB72" t="e">
        <f t="shared" si="17"/>
        <v>#N/A</v>
      </c>
      <c r="AC72" t="e">
        <f t="shared" si="18"/>
        <v>#N/A</v>
      </c>
      <c r="AD72" t="e">
        <f t="shared" si="19"/>
        <v>#N/A</v>
      </c>
      <c r="AE72" t="e">
        <f t="shared" si="20"/>
        <v>#N/A</v>
      </c>
      <c r="AF72" t="e">
        <f t="shared" si="21"/>
        <v>#N/A</v>
      </c>
      <c r="AG72" t="e">
        <f t="shared" si="22"/>
        <v>#N/A</v>
      </c>
      <c r="AH72" t="e">
        <f t="shared" si="29"/>
        <v>#N/A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 t="e">
        <f t="shared" si="26"/>
        <v>#N/A</v>
      </c>
      <c r="AM72" t="e">
        <f t="shared" si="27"/>
        <v>#N/A</v>
      </c>
      <c r="AN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2" t="e">
        <f t="shared" si="28"/>
        <v>#N/A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3" t="e">
        <f t="shared" si="15"/>
        <v>#N/A</v>
      </c>
      <c r="AA73" t="e">
        <f t="shared" si="16"/>
        <v>#N/A</v>
      </c>
      <c r="AB73" t="e">
        <f t="shared" si="17"/>
        <v>#N/A</v>
      </c>
      <c r="AC73" t="e">
        <f t="shared" si="18"/>
        <v>#N/A</v>
      </c>
      <c r="AD73" t="e">
        <f t="shared" si="19"/>
        <v>#N/A</v>
      </c>
      <c r="AE73" t="e">
        <f t="shared" si="20"/>
        <v>#N/A</v>
      </c>
      <c r="AF73" t="e">
        <f t="shared" si="21"/>
        <v>#N/A</v>
      </c>
      <c r="AG73" t="e">
        <f t="shared" si="22"/>
        <v>#N/A</v>
      </c>
      <c r="AH73" t="e">
        <f t="shared" si="29"/>
        <v>#N/A</v>
      </c>
      <c r="AI73" t="e">
        <f t="shared" si="23"/>
        <v>#N/A</v>
      </c>
      <c r="AJ73">
        <f t="shared" si="24"/>
        <v>0</v>
      </c>
      <c r="AK73" t="e">
        <f t="shared" si="25"/>
        <v>#N/A</v>
      </c>
      <c r="AL73" t="e">
        <f t="shared" si="26"/>
        <v>#N/A</v>
      </c>
      <c r="AM73" t="e">
        <f t="shared" si="27"/>
        <v>#N/A</v>
      </c>
      <c r="AN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3" t="e">
        <f t="shared" si="28"/>
        <v>#N/A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4" t="e">
        <f t="shared" si="15"/>
        <v>#N/A</v>
      </c>
      <c r="AA74" t="e">
        <f t="shared" si="16"/>
        <v>#N/A</v>
      </c>
      <c r="AB74" t="e">
        <f t="shared" si="17"/>
        <v>#N/A</v>
      </c>
      <c r="AC74" t="e">
        <f t="shared" si="18"/>
        <v>#N/A</v>
      </c>
      <c r="AD74" t="e">
        <f t="shared" si="19"/>
        <v>#N/A</v>
      </c>
      <c r="AE74" t="e">
        <f t="shared" si="20"/>
        <v>#N/A</v>
      </c>
      <c r="AF74" t="e">
        <f t="shared" si="21"/>
        <v>#N/A</v>
      </c>
      <c r="AG74" t="e">
        <f t="shared" si="22"/>
        <v>#N/A</v>
      </c>
      <c r="AH74" t="e">
        <f t="shared" si="29"/>
        <v>#N/A</v>
      </c>
      <c r="AI74" t="e">
        <f t="shared" si="23"/>
        <v>#N/A</v>
      </c>
      <c r="AJ74">
        <f t="shared" si="24"/>
        <v>0</v>
      </c>
      <c r="AK74" t="e">
        <f t="shared" si="25"/>
        <v>#N/A</v>
      </c>
      <c r="AL74" t="e">
        <f t="shared" si="26"/>
        <v>#N/A</v>
      </c>
      <c r="AM74" t="e">
        <f t="shared" si="27"/>
        <v>#N/A</v>
      </c>
      <c r="AN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4" t="e">
        <f t="shared" si="28"/>
        <v>#N/A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5" t="e">
        <f t="shared" si="15"/>
        <v>#N/A</v>
      </c>
      <c r="AA75" t="e">
        <f t="shared" si="16"/>
        <v>#N/A</v>
      </c>
      <c r="AB75" t="e">
        <f t="shared" si="17"/>
        <v>#N/A</v>
      </c>
      <c r="AC75" t="e">
        <f t="shared" si="18"/>
        <v>#N/A</v>
      </c>
      <c r="AD75" t="e">
        <f t="shared" si="19"/>
        <v>#N/A</v>
      </c>
      <c r="AE75" t="e">
        <f t="shared" si="20"/>
        <v>#N/A</v>
      </c>
      <c r="AF75" t="e">
        <f t="shared" si="21"/>
        <v>#N/A</v>
      </c>
      <c r="AG75" t="e">
        <f t="shared" si="22"/>
        <v>#N/A</v>
      </c>
      <c r="AH75" t="e">
        <f t="shared" si="29"/>
        <v>#N/A</v>
      </c>
      <c r="AI75" t="e">
        <f t="shared" si="23"/>
        <v>#N/A</v>
      </c>
      <c r="AJ75">
        <f t="shared" si="24"/>
        <v>0</v>
      </c>
      <c r="AK75" t="e">
        <f t="shared" si="25"/>
        <v>#N/A</v>
      </c>
      <c r="AL75" t="e">
        <f t="shared" si="26"/>
        <v>#N/A</v>
      </c>
      <c r="AM75" t="e">
        <f t="shared" si="27"/>
        <v>#N/A</v>
      </c>
      <c r="AN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5" t="e">
        <f t="shared" si="28"/>
        <v>#N/A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6" t="e">
        <f t="shared" si="15"/>
        <v>#N/A</v>
      </c>
      <c r="AA76" t="e">
        <f t="shared" si="16"/>
        <v>#N/A</v>
      </c>
      <c r="AB76" t="e">
        <f t="shared" si="17"/>
        <v>#N/A</v>
      </c>
      <c r="AC76" t="e">
        <f t="shared" si="18"/>
        <v>#N/A</v>
      </c>
      <c r="AD76" t="e">
        <f t="shared" si="19"/>
        <v>#N/A</v>
      </c>
      <c r="AE76" t="e">
        <f t="shared" si="20"/>
        <v>#N/A</v>
      </c>
      <c r="AF76" t="e">
        <f t="shared" si="21"/>
        <v>#N/A</v>
      </c>
      <c r="AG76" t="e">
        <f t="shared" si="22"/>
        <v>#N/A</v>
      </c>
      <c r="AH76" t="e">
        <f t="shared" si="29"/>
        <v>#N/A</v>
      </c>
      <c r="AI76" t="e">
        <f t="shared" si="23"/>
        <v>#N/A</v>
      </c>
      <c r="AJ76">
        <f t="shared" si="24"/>
        <v>0</v>
      </c>
      <c r="AK76" t="e">
        <f t="shared" si="25"/>
        <v>#N/A</v>
      </c>
      <c r="AL76" t="e">
        <f t="shared" si="26"/>
        <v>#N/A</v>
      </c>
      <c r="AM76" t="e">
        <f t="shared" si="27"/>
        <v>#N/A</v>
      </c>
      <c r="AN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6" t="e">
        <f t="shared" si="28"/>
        <v>#N/A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7" t="e">
        <f t="shared" si="15"/>
        <v>#N/A</v>
      </c>
      <c r="AA77" t="e">
        <f t="shared" si="16"/>
        <v>#N/A</v>
      </c>
      <c r="AB77" t="e">
        <f t="shared" si="17"/>
        <v>#N/A</v>
      </c>
      <c r="AC77" t="e">
        <f t="shared" si="18"/>
        <v>#N/A</v>
      </c>
      <c r="AD77" t="e">
        <f t="shared" si="19"/>
        <v>#N/A</v>
      </c>
      <c r="AE77" t="e">
        <f t="shared" si="20"/>
        <v>#N/A</v>
      </c>
      <c r="AF77" t="e">
        <f t="shared" si="21"/>
        <v>#N/A</v>
      </c>
      <c r="AG77" t="e">
        <f t="shared" si="22"/>
        <v>#N/A</v>
      </c>
      <c r="AH77" t="e">
        <f t="shared" si="29"/>
        <v>#N/A</v>
      </c>
      <c r="AI77" t="e">
        <f t="shared" si="23"/>
        <v>#N/A</v>
      </c>
      <c r="AJ77">
        <f t="shared" si="24"/>
        <v>0</v>
      </c>
      <c r="AK77" t="e">
        <f t="shared" si="25"/>
        <v>#N/A</v>
      </c>
      <c r="AL77" t="e">
        <f t="shared" si="26"/>
        <v>#N/A</v>
      </c>
      <c r="AM77" t="e">
        <f t="shared" si="27"/>
        <v>#N/A</v>
      </c>
      <c r="AN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7" t="e">
        <f t="shared" si="28"/>
        <v>#N/A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8" t="e">
        <f t="shared" si="15"/>
        <v>#N/A</v>
      </c>
      <c r="AA78" t="e">
        <f t="shared" si="16"/>
        <v>#N/A</v>
      </c>
      <c r="AB78" t="e">
        <f t="shared" si="17"/>
        <v>#N/A</v>
      </c>
      <c r="AC78" t="e">
        <f t="shared" si="18"/>
        <v>#N/A</v>
      </c>
      <c r="AD78" t="e">
        <f t="shared" si="19"/>
        <v>#N/A</v>
      </c>
      <c r="AE78" t="e">
        <f t="shared" si="20"/>
        <v>#N/A</v>
      </c>
      <c r="AF78" t="e">
        <f t="shared" si="21"/>
        <v>#N/A</v>
      </c>
      <c r="AG78" t="e">
        <f t="shared" si="22"/>
        <v>#N/A</v>
      </c>
      <c r="AH78" t="e">
        <f t="shared" si="29"/>
        <v>#N/A</v>
      </c>
      <c r="AI78" t="e">
        <f t="shared" si="23"/>
        <v>#N/A</v>
      </c>
      <c r="AJ78">
        <f t="shared" si="24"/>
        <v>0</v>
      </c>
      <c r="AK78" t="e">
        <f t="shared" si="25"/>
        <v>#N/A</v>
      </c>
      <c r="AL78" t="e">
        <f t="shared" si="26"/>
        <v>#N/A</v>
      </c>
      <c r="AM78" t="e">
        <f t="shared" si="27"/>
        <v>#N/A</v>
      </c>
      <c r="AN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8" t="e">
        <f t="shared" si="28"/>
        <v>#N/A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9" t="e">
        <f t="shared" si="15"/>
        <v>#N/A</v>
      </c>
      <c r="AA79" t="e">
        <f t="shared" si="16"/>
        <v>#N/A</v>
      </c>
      <c r="AB79" t="e">
        <f t="shared" si="17"/>
        <v>#N/A</v>
      </c>
      <c r="AC79" t="e">
        <f t="shared" si="18"/>
        <v>#N/A</v>
      </c>
      <c r="AD79" t="e">
        <f t="shared" si="19"/>
        <v>#N/A</v>
      </c>
      <c r="AE79" t="e">
        <f t="shared" si="20"/>
        <v>#N/A</v>
      </c>
      <c r="AF79" t="e">
        <f t="shared" si="21"/>
        <v>#N/A</v>
      </c>
      <c r="AG79" t="e">
        <f t="shared" si="22"/>
        <v>#N/A</v>
      </c>
      <c r="AH79" t="e">
        <f t="shared" si="29"/>
        <v>#N/A</v>
      </c>
      <c r="AI79" t="e">
        <f t="shared" si="23"/>
        <v>#N/A</v>
      </c>
      <c r="AJ79">
        <f t="shared" si="24"/>
        <v>0</v>
      </c>
      <c r="AK79" t="e">
        <f t="shared" si="25"/>
        <v>#N/A</v>
      </c>
      <c r="AL79" t="e">
        <f t="shared" si="26"/>
        <v>#N/A</v>
      </c>
      <c r="AM79" t="e">
        <f t="shared" si="27"/>
        <v>#N/A</v>
      </c>
      <c r="AN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9" t="e">
        <f t="shared" si="28"/>
        <v>#N/A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0" t="e">
        <f t="shared" si="15"/>
        <v>#N/A</v>
      </c>
      <c r="AA80" t="e">
        <f t="shared" si="16"/>
        <v>#N/A</v>
      </c>
      <c r="AB80" t="e">
        <f t="shared" si="17"/>
        <v>#N/A</v>
      </c>
      <c r="AC80" t="e">
        <f t="shared" si="18"/>
        <v>#N/A</v>
      </c>
      <c r="AD80" t="e">
        <f t="shared" si="19"/>
        <v>#N/A</v>
      </c>
      <c r="AE80" t="e">
        <f t="shared" si="20"/>
        <v>#N/A</v>
      </c>
      <c r="AF80" t="e">
        <f t="shared" si="21"/>
        <v>#N/A</v>
      </c>
      <c r="AG80" t="e">
        <f t="shared" si="22"/>
        <v>#N/A</v>
      </c>
      <c r="AH80" t="e">
        <f t="shared" si="29"/>
        <v>#N/A</v>
      </c>
      <c r="AI80" t="e">
        <f t="shared" si="23"/>
        <v>#N/A</v>
      </c>
      <c r="AJ80">
        <f t="shared" si="24"/>
        <v>0</v>
      </c>
      <c r="AK80" t="e">
        <f t="shared" si="25"/>
        <v>#N/A</v>
      </c>
      <c r="AL80" t="e">
        <f t="shared" si="26"/>
        <v>#N/A</v>
      </c>
      <c r="AM80" t="e">
        <f t="shared" si="27"/>
        <v>#N/A</v>
      </c>
      <c r="AN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0" t="e">
        <f t="shared" si="28"/>
        <v>#N/A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1" t="e">
        <f t="shared" si="15"/>
        <v>#N/A</v>
      </c>
      <c r="AA81" t="e">
        <f t="shared" si="16"/>
        <v>#N/A</v>
      </c>
      <c r="AB81" t="e">
        <f t="shared" si="17"/>
        <v>#N/A</v>
      </c>
      <c r="AC81" t="e">
        <f t="shared" si="18"/>
        <v>#N/A</v>
      </c>
      <c r="AD81" t="e">
        <f t="shared" si="19"/>
        <v>#N/A</v>
      </c>
      <c r="AE81" t="e">
        <f t="shared" si="20"/>
        <v>#N/A</v>
      </c>
      <c r="AF81" t="e">
        <f t="shared" si="21"/>
        <v>#N/A</v>
      </c>
      <c r="AG81" t="e">
        <f t="shared" si="22"/>
        <v>#N/A</v>
      </c>
      <c r="AH81" t="e">
        <f t="shared" si="29"/>
        <v>#N/A</v>
      </c>
      <c r="AI81" t="e">
        <f t="shared" si="23"/>
        <v>#N/A</v>
      </c>
      <c r="AJ81">
        <f t="shared" si="24"/>
        <v>0</v>
      </c>
      <c r="AK81" t="e">
        <f t="shared" si="25"/>
        <v>#N/A</v>
      </c>
      <c r="AL81" t="e">
        <f t="shared" si="26"/>
        <v>#N/A</v>
      </c>
      <c r="AM81" t="e">
        <f t="shared" si="27"/>
        <v>#N/A</v>
      </c>
      <c r="AN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1" t="e">
        <f t="shared" si="28"/>
        <v>#N/A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2" t="e">
        <f t="shared" si="15"/>
        <v>#N/A</v>
      </c>
      <c r="AA82" t="e">
        <f t="shared" si="16"/>
        <v>#N/A</v>
      </c>
      <c r="AB82" t="e">
        <f t="shared" si="17"/>
        <v>#N/A</v>
      </c>
      <c r="AC82" t="e">
        <f t="shared" si="18"/>
        <v>#N/A</v>
      </c>
      <c r="AD82" t="e">
        <f t="shared" si="19"/>
        <v>#N/A</v>
      </c>
      <c r="AE82" t="e">
        <f t="shared" si="20"/>
        <v>#N/A</v>
      </c>
      <c r="AF82" t="e">
        <f t="shared" si="21"/>
        <v>#N/A</v>
      </c>
      <c r="AG82" t="e">
        <f t="shared" si="22"/>
        <v>#N/A</v>
      </c>
      <c r="AH82" t="e">
        <f t="shared" si="29"/>
        <v>#N/A</v>
      </c>
      <c r="AI82" t="e">
        <f t="shared" si="23"/>
        <v>#N/A</v>
      </c>
      <c r="AJ82">
        <f t="shared" si="24"/>
        <v>0</v>
      </c>
      <c r="AK82" t="e">
        <f t="shared" si="25"/>
        <v>#N/A</v>
      </c>
      <c r="AL82" t="e">
        <f t="shared" si="26"/>
        <v>#N/A</v>
      </c>
      <c r="AM82" t="e">
        <f t="shared" si="27"/>
        <v>#N/A</v>
      </c>
      <c r="AN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2" t="e">
        <f t="shared" si="28"/>
        <v>#N/A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3" t="e">
        <f t="shared" si="15"/>
        <v>#N/A</v>
      </c>
      <c r="AA83" t="e">
        <f t="shared" si="16"/>
        <v>#N/A</v>
      </c>
      <c r="AB83" t="e">
        <f t="shared" si="17"/>
        <v>#N/A</v>
      </c>
      <c r="AC83" t="e">
        <f t="shared" si="18"/>
        <v>#N/A</v>
      </c>
      <c r="AD83" t="e">
        <f t="shared" si="19"/>
        <v>#N/A</v>
      </c>
      <c r="AE83" t="e">
        <f t="shared" si="20"/>
        <v>#N/A</v>
      </c>
      <c r="AF83" t="e">
        <f t="shared" si="21"/>
        <v>#N/A</v>
      </c>
      <c r="AG83" t="e">
        <f t="shared" si="22"/>
        <v>#N/A</v>
      </c>
      <c r="AH83" t="e">
        <f t="shared" si="29"/>
        <v>#N/A</v>
      </c>
      <c r="AI83" t="e">
        <f t="shared" si="23"/>
        <v>#N/A</v>
      </c>
      <c r="AJ83">
        <f t="shared" si="24"/>
        <v>0</v>
      </c>
      <c r="AK83" t="e">
        <f t="shared" si="25"/>
        <v>#N/A</v>
      </c>
      <c r="AL83" t="e">
        <f t="shared" si="26"/>
        <v>#N/A</v>
      </c>
      <c r="AM83" t="e">
        <f t="shared" si="27"/>
        <v>#N/A</v>
      </c>
      <c r="AN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3" t="e">
        <f t="shared" si="28"/>
        <v>#N/A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4" t="e">
        <f t="shared" si="15"/>
        <v>#N/A</v>
      </c>
      <c r="AA84" t="e">
        <f t="shared" si="16"/>
        <v>#N/A</v>
      </c>
      <c r="AB84" t="e">
        <f t="shared" si="17"/>
        <v>#N/A</v>
      </c>
      <c r="AC84" t="e">
        <f t="shared" si="18"/>
        <v>#N/A</v>
      </c>
      <c r="AD84" t="e">
        <f t="shared" si="19"/>
        <v>#N/A</v>
      </c>
      <c r="AE84" t="e">
        <f t="shared" si="20"/>
        <v>#N/A</v>
      </c>
      <c r="AF84" t="e">
        <f t="shared" si="21"/>
        <v>#N/A</v>
      </c>
      <c r="AG84" t="e">
        <f t="shared" si="22"/>
        <v>#N/A</v>
      </c>
      <c r="AH84" t="e">
        <f t="shared" si="29"/>
        <v>#N/A</v>
      </c>
      <c r="AI84" t="e">
        <f t="shared" si="23"/>
        <v>#N/A</v>
      </c>
      <c r="AJ84">
        <f t="shared" si="24"/>
        <v>0</v>
      </c>
      <c r="AK84" t="e">
        <f t="shared" si="25"/>
        <v>#N/A</v>
      </c>
      <c r="AL84" t="e">
        <f t="shared" si="26"/>
        <v>#N/A</v>
      </c>
      <c r="AM84" t="e">
        <f t="shared" si="27"/>
        <v>#N/A</v>
      </c>
      <c r="AN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4" t="e">
        <f t="shared" si="28"/>
        <v>#N/A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5" t="e">
        <f t="shared" si="15"/>
        <v>#N/A</v>
      </c>
      <c r="AA85" t="e">
        <f t="shared" si="16"/>
        <v>#N/A</v>
      </c>
      <c r="AB85" t="e">
        <f t="shared" si="17"/>
        <v>#N/A</v>
      </c>
      <c r="AC85" t="e">
        <f t="shared" si="18"/>
        <v>#N/A</v>
      </c>
      <c r="AD85" t="e">
        <f t="shared" si="19"/>
        <v>#N/A</v>
      </c>
      <c r="AE85" t="e">
        <f t="shared" si="20"/>
        <v>#N/A</v>
      </c>
      <c r="AF85" t="e">
        <f t="shared" si="21"/>
        <v>#N/A</v>
      </c>
      <c r="AG85" t="e">
        <f t="shared" si="22"/>
        <v>#N/A</v>
      </c>
      <c r="AH85" t="e">
        <f t="shared" si="29"/>
        <v>#N/A</v>
      </c>
      <c r="AI85" t="e">
        <f t="shared" si="23"/>
        <v>#N/A</v>
      </c>
      <c r="AJ85">
        <f t="shared" si="24"/>
        <v>0</v>
      </c>
      <c r="AK85" t="e">
        <f t="shared" si="25"/>
        <v>#N/A</v>
      </c>
      <c r="AL85" t="e">
        <f t="shared" si="26"/>
        <v>#N/A</v>
      </c>
      <c r="AM85" t="e">
        <f t="shared" si="27"/>
        <v>#N/A</v>
      </c>
      <c r="AN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5" t="e">
        <f t="shared" si="28"/>
        <v>#N/A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6" t="e">
        <f t="shared" si="15"/>
        <v>#N/A</v>
      </c>
      <c r="AA86" t="e">
        <f t="shared" si="16"/>
        <v>#N/A</v>
      </c>
      <c r="AB86" t="e">
        <f t="shared" si="17"/>
        <v>#N/A</v>
      </c>
      <c r="AC86" t="e">
        <f t="shared" si="18"/>
        <v>#N/A</v>
      </c>
      <c r="AD86" t="e">
        <f t="shared" si="19"/>
        <v>#N/A</v>
      </c>
      <c r="AE86" t="e">
        <f t="shared" si="20"/>
        <v>#N/A</v>
      </c>
      <c r="AF86" t="e">
        <f t="shared" si="21"/>
        <v>#N/A</v>
      </c>
      <c r="AG86" t="e">
        <f t="shared" si="22"/>
        <v>#N/A</v>
      </c>
      <c r="AH86" t="e">
        <f t="shared" si="29"/>
        <v>#N/A</v>
      </c>
      <c r="AI86" t="e">
        <f t="shared" si="23"/>
        <v>#N/A</v>
      </c>
      <c r="AJ86">
        <f t="shared" si="24"/>
        <v>0</v>
      </c>
      <c r="AK86" t="e">
        <f t="shared" si="25"/>
        <v>#N/A</v>
      </c>
      <c r="AL86" t="e">
        <f t="shared" si="26"/>
        <v>#N/A</v>
      </c>
      <c r="AM86" t="e">
        <f t="shared" si="27"/>
        <v>#N/A</v>
      </c>
      <c r="AN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6" t="e">
        <f t="shared" si="28"/>
        <v>#N/A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7" t="e">
        <f t="shared" si="15"/>
        <v>#N/A</v>
      </c>
      <c r="AA87" t="e">
        <f t="shared" si="16"/>
        <v>#N/A</v>
      </c>
      <c r="AB87" t="e">
        <f t="shared" si="17"/>
        <v>#N/A</v>
      </c>
      <c r="AC87" t="e">
        <f t="shared" si="18"/>
        <v>#N/A</v>
      </c>
      <c r="AD87" t="e">
        <f t="shared" si="19"/>
        <v>#N/A</v>
      </c>
      <c r="AE87" t="e">
        <f t="shared" si="20"/>
        <v>#N/A</v>
      </c>
      <c r="AF87" t="e">
        <f t="shared" si="21"/>
        <v>#N/A</v>
      </c>
      <c r="AG87" t="e">
        <f t="shared" si="22"/>
        <v>#N/A</v>
      </c>
      <c r="AH87" t="e">
        <f t="shared" si="29"/>
        <v>#N/A</v>
      </c>
      <c r="AI87" t="e">
        <f t="shared" si="23"/>
        <v>#N/A</v>
      </c>
      <c r="AJ87">
        <f t="shared" si="24"/>
        <v>0</v>
      </c>
      <c r="AK87" t="e">
        <f t="shared" si="25"/>
        <v>#N/A</v>
      </c>
      <c r="AL87" t="e">
        <f t="shared" si="26"/>
        <v>#N/A</v>
      </c>
      <c r="AM87" t="e">
        <f t="shared" si="27"/>
        <v>#N/A</v>
      </c>
      <c r="AN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7" t="e">
        <f t="shared" si="28"/>
        <v>#N/A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8" t="e">
        <f t="shared" si="15"/>
        <v>#N/A</v>
      </c>
      <c r="AA88" t="e">
        <f t="shared" si="16"/>
        <v>#N/A</v>
      </c>
      <c r="AB88" t="e">
        <f t="shared" si="17"/>
        <v>#N/A</v>
      </c>
      <c r="AC88" t="e">
        <f t="shared" si="18"/>
        <v>#N/A</v>
      </c>
      <c r="AD88" t="e">
        <f t="shared" si="19"/>
        <v>#N/A</v>
      </c>
      <c r="AE88" t="e">
        <f t="shared" si="20"/>
        <v>#N/A</v>
      </c>
      <c r="AF88" t="e">
        <f t="shared" si="21"/>
        <v>#N/A</v>
      </c>
      <c r="AG88" t="e">
        <f t="shared" si="22"/>
        <v>#N/A</v>
      </c>
      <c r="AH88" t="e">
        <f t="shared" si="29"/>
        <v>#N/A</v>
      </c>
      <c r="AI88" t="e">
        <f t="shared" si="23"/>
        <v>#N/A</v>
      </c>
      <c r="AJ88">
        <f t="shared" si="24"/>
        <v>0</v>
      </c>
      <c r="AK88" t="e">
        <f t="shared" si="25"/>
        <v>#N/A</v>
      </c>
      <c r="AL88" t="e">
        <f t="shared" si="26"/>
        <v>#N/A</v>
      </c>
      <c r="AM88" t="e">
        <f t="shared" si="27"/>
        <v>#N/A</v>
      </c>
      <c r="AN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8" t="e">
        <f t="shared" si="28"/>
        <v>#N/A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9" t="e">
        <f t="shared" si="15"/>
        <v>#N/A</v>
      </c>
      <c r="AA89" t="e">
        <f t="shared" si="16"/>
        <v>#N/A</v>
      </c>
      <c r="AB89" t="e">
        <f t="shared" si="17"/>
        <v>#N/A</v>
      </c>
      <c r="AC89" t="e">
        <f t="shared" si="18"/>
        <v>#N/A</v>
      </c>
      <c r="AD89" t="e">
        <f t="shared" si="19"/>
        <v>#N/A</v>
      </c>
      <c r="AE89" t="e">
        <f t="shared" si="20"/>
        <v>#N/A</v>
      </c>
      <c r="AF89" t="e">
        <f t="shared" si="21"/>
        <v>#N/A</v>
      </c>
      <c r="AG89" t="e">
        <f t="shared" si="22"/>
        <v>#N/A</v>
      </c>
      <c r="AH89" t="e">
        <f t="shared" si="29"/>
        <v>#N/A</v>
      </c>
      <c r="AI89" t="e">
        <f t="shared" si="23"/>
        <v>#N/A</v>
      </c>
      <c r="AJ89">
        <f t="shared" si="24"/>
        <v>0</v>
      </c>
      <c r="AK89" t="e">
        <f t="shared" si="25"/>
        <v>#N/A</v>
      </c>
      <c r="AL89" t="e">
        <f t="shared" si="26"/>
        <v>#N/A</v>
      </c>
      <c r="AM89" t="e">
        <f t="shared" si="27"/>
        <v>#N/A</v>
      </c>
      <c r="AN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9" t="e">
        <f t="shared" si="28"/>
        <v>#N/A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0" t="e">
        <f t="shared" si="15"/>
        <v>#N/A</v>
      </c>
      <c r="AA90" t="e">
        <f t="shared" si="16"/>
        <v>#N/A</v>
      </c>
      <c r="AB90" t="e">
        <f t="shared" si="17"/>
        <v>#N/A</v>
      </c>
      <c r="AC90" t="e">
        <f t="shared" si="18"/>
        <v>#N/A</v>
      </c>
      <c r="AD90" t="e">
        <f t="shared" si="19"/>
        <v>#N/A</v>
      </c>
      <c r="AE90" t="e">
        <f t="shared" si="20"/>
        <v>#N/A</v>
      </c>
      <c r="AF90" t="e">
        <f t="shared" si="21"/>
        <v>#N/A</v>
      </c>
      <c r="AG90" t="e">
        <f t="shared" si="22"/>
        <v>#N/A</v>
      </c>
      <c r="AH90" t="e">
        <f t="shared" si="29"/>
        <v>#N/A</v>
      </c>
      <c r="AI90" t="e">
        <f t="shared" si="23"/>
        <v>#N/A</v>
      </c>
      <c r="AJ90">
        <f t="shared" si="24"/>
        <v>0</v>
      </c>
      <c r="AK90" t="e">
        <f t="shared" si="25"/>
        <v>#N/A</v>
      </c>
      <c r="AL90" t="e">
        <f t="shared" si="26"/>
        <v>#N/A</v>
      </c>
      <c r="AM90" t="e">
        <f t="shared" si="27"/>
        <v>#N/A</v>
      </c>
      <c r="AN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0" t="e">
        <f t="shared" si="28"/>
        <v>#N/A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1" t="e">
        <f t="shared" si="15"/>
        <v>#N/A</v>
      </c>
      <c r="AA91" t="e">
        <f t="shared" si="16"/>
        <v>#N/A</v>
      </c>
      <c r="AB91" t="e">
        <f t="shared" si="17"/>
        <v>#N/A</v>
      </c>
      <c r="AC91" t="e">
        <f t="shared" si="18"/>
        <v>#N/A</v>
      </c>
      <c r="AD91" t="e">
        <f t="shared" si="19"/>
        <v>#N/A</v>
      </c>
      <c r="AE91" t="e">
        <f t="shared" si="20"/>
        <v>#N/A</v>
      </c>
      <c r="AF91" t="e">
        <f t="shared" si="21"/>
        <v>#N/A</v>
      </c>
      <c r="AG91" t="e">
        <f t="shared" si="22"/>
        <v>#N/A</v>
      </c>
      <c r="AH91" t="e">
        <f t="shared" si="29"/>
        <v>#N/A</v>
      </c>
      <c r="AI91" t="e">
        <f t="shared" si="23"/>
        <v>#N/A</v>
      </c>
      <c r="AJ91">
        <f t="shared" si="24"/>
        <v>0</v>
      </c>
      <c r="AK91" t="e">
        <f t="shared" si="25"/>
        <v>#N/A</v>
      </c>
      <c r="AL91" t="e">
        <f t="shared" si="26"/>
        <v>#N/A</v>
      </c>
      <c r="AM91" t="e">
        <f t="shared" si="27"/>
        <v>#N/A</v>
      </c>
      <c r="AN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1" t="e">
        <f t="shared" si="28"/>
        <v>#N/A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2" t="e">
        <f t="shared" si="15"/>
        <v>#N/A</v>
      </c>
      <c r="AA92" t="e">
        <f t="shared" si="16"/>
        <v>#N/A</v>
      </c>
      <c r="AB92" t="e">
        <f t="shared" si="17"/>
        <v>#N/A</v>
      </c>
      <c r="AC92" t="e">
        <f t="shared" si="18"/>
        <v>#N/A</v>
      </c>
      <c r="AD92" t="e">
        <f t="shared" si="19"/>
        <v>#N/A</v>
      </c>
      <c r="AE92" t="e">
        <f t="shared" si="20"/>
        <v>#N/A</v>
      </c>
      <c r="AF92" t="e">
        <f t="shared" si="21"/>
        <v>#N/A</v>
      </c>
      <c r="AG92" t="e">
        <f t="shared" si="22"/>
        <v>#N/A</v>
      </c>
      <c r="AH92" t="e">
        <f t="shared" si="29"/>
        <v>#N/A</v>
      </c>
      <c r="AI92" t="e">
        <f t="shared" si="23"/>
        <v>#N/A</v>
      </c>
      <c r="AJ92">
        <f t="shared" si="24"/>
        <v>0</v>
      </c>
      <c r="AK92" t="e">
        <f t="shared" si="25"/>
        <v>#N/A</v>
      </c>
      <c r="AL92" t="e">
        <f t="shared" si="26"/>
        <v>#N/A</v>
      </c>
      <c r="AM92" t="e">
        <f t="shared" si="27"/>
        <v>#N/A</v>
      </c>
      <c r="AN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2" t="e">
        <f t="shared" si="28"/>
        <v>#N/A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3" t="e">
        <f t="shared" si="15"/>
        <v>#N/A</v>
      </c>
      <c r="AA93" t="e">
        <f t="shared" si="16"/>
        <v>#N/A</v>
      </c>
      <c r="AB93" t="e">
        <f t="shared" si="17"/>
        <v>#N/A</v>
      </c>
      <c r="AC93" t="e">
        <f t="shared" si="18"/>
        <v>#N/A</v>
      </c>
      <c r="AD93" t="e">
        <f t="shared" si="19"/>
        <v>#N/A</v>
      </c>
      <c r="AE93" t="e">
        <f t="shared" si="20"/>
        <v>#N/A</v>
      </c>
      <c r="AF93" t="e">
        <f t="shared" si="21"/>
        <v>#N/A</v>
      </c>
      <c r="AG93" t="e">
        <f t="shared" si="22"/>
        <v>#N/A</v>
      </c>
      <c r="AH93" t="e">
        <f t="shared" si="29"/>
        <v>#N/A</v>
      </c>
      <c r="AI93" t="e">
        <f t="shared" si="23"/>
        <v>#N/A</v>
      </c>
      <c r="AJ93">
        <f t="shared" si="24"/>
        <v>0</v>
      </c>
      <c r="AK93" t="e">
        <f t="shared" si="25"/>
        <v>#N/A</v>
      </c>
      <c r="AL93" t="e">
        <f t="shared" si="26"/>
        <v>#N/A</v>
      </c>
      <c r="AM93" t="e">
        <f t="shared" si="27"/>
        <v>#N/A</v>
      </c>
      <c r="AN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3" t="e">
        <f t="shared" si="28"/>
        <v>#N/A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4" t="e">
        <f t="shared" si="15"/>
        <v>#N/A</v>
      </c>
      <c r="AA94" t="e">
        <f t="shared" si="16"/>
        <v>#N/A</v>
      </c>
      <c r="AB94" t="e">
        <f t="shared" si="17"/>
        <v>#N/A</v>
      </c>
      <c r="AC94" t="e">
        <f t="shared" si="18"/>
        <v>#N/A</v>
      </c>
      <c r="AD94" t="e">
        <f t="shared" si="19"/>
        <v>#N/A</v>
      </c>
      <c r="AE94" t="e">
        <f t="shared" si="20"/>
        <v>#N/A</v>
      </c>
      <c r="AF94" t="e">
        <f t="shared" si="21"/>
        <v>#N/A</v>
      </c>
      <c r="AG94" t="e">
        <f t="shared" si="22"/>
        <v>#N/A</v>
      </c>
      <c r="AH94" t="e">
        <f t="shared" si="29"/>
        <v>#N/A</v>
      </c>
      <c r="AI94" t="e">
        <f t="shared" si="23"/>
        <v>#N/A</v>
      </c>
      <c r="AJ94">
        <f t="shared" si="24"/>
        <v>0</v>
      </c>
      <c r="AK94" t="e">
        <f t="shared" si="25"/>
        <v>#N/A</v>
      </c>
      <c r="AL94" t="e">
        <f t="shared" si="26"/>
        <v>#N/A</v>
      </c>
      <c r="AM94" t="e">
        <f t="shared" si="27"/>
        <v>#N/A</v>
      </c>
      <c r="AN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4" t="e">
        <f t="shared" si="28"/>
        <v>#N/A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5" t="e">
        <f t="shared" si="15"/>
        <v>#N/A</v>
      </c>
      <c r="AA95" t="e">
        <f t="shared" si="16"/>
        <v>#N/A</v>
      </c>
      <c r="AB95" t="e">
        <f t="shared" si="17"/>
        <v>#N/A</v>
      </c>
      <c r="AC95" t="e">
        <f t="shared" si="18"/>
        <v>#N/A</v>
      </c>
      <c r="AD95" t="e">
        <f t="shared" si="19"/>
        <v>#N/A</v>
      </c>
      <c r="AE95" t="e">
        <f t="shared" si="20"/>
        <v>#N/A</v>
      </c>
      <c r="AF95" t="e">
        <f t="shared" si="21"/>
        <v>#N/A</v>
      </c>
      <c r="AG95" t="e">
        <f t="shared" si="22"/>
        <v>#N/A</v>
      </c>
      <c r="AH95" t="e">
        <f t="shared" si="29"/>
        <v>#N/A</v>
      </c>
      <c r="AI95" t="e">
        <f t="shared" si="23"/>
        <v>#N/A</v>
      </c>
      <c r="AJ95">
        <f t="shared" si="24"/>
        <v>0</v>
      </c>
      <c r="AK95" t="e">
        <f t="shared" si="25"/>
        <v>#N/A</v>
      </c>
      <c r="AL95" t="e">
        <f t="shared" si="26"/>
        <v>#N/A</v>
      </c>
      <c r="AM95" t="e">
        <f t="shared" si="27"/>
        <v>#N/A</v>
      </c>
      <c r="AN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5" t="e">
        <f t="shared" si="28"/>
        <v>#N/A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6" t="e">
        <f t="shared" si="15"/>
        <v>#N/A</v>
      </c>
      <c r="AA96" t="e">
        <f t="shared" si="16"/>
        <v>#N/A</v>
      </c>
      <c r="AB96" t="e">
        <f t="shared" si="17"/>
        <v>#N/A</v>
      </c>
      <c r="AC96" t="e">
        <f t="shared" si="18"/>
        <v>#N/A</v>
      </c>
      <c r="AD96" t="e">
        <f t="shared" si="19"/>
        <v>#N/A</v>
      </c>
      <c r="AE96" t="e">
        <f t="shared" si="20"/>
        <v>#N/A</v>
      </c>
      <c r="AF96" t="e">
        <f t="shared" si="21"/>
        <v>#N/A</v>
      </c>
      <c r="AG96" t="e">
        <f t="shared" si="22"/>
        <v>#N/A</v>
      </c>
      <c r="AH96" t="e">
        <f t="shared" si="29"/>
        <v>#N/A</v>
      </c>
      <c r="AI96" t="e">
        <f t="shared" si="23"/>
        <v>#N/A</v>
      </c>
      <c r="AJ96">
        <f t="shared" si="24"/>
        <v>0</v>
      </c>
      <c r="AK96" t="e">
        <f t="shared" si="25"/>
        <v>#N/A</v>
      </c>
      <c r="AL96" t="e">
        <f t="shared" si="26"/>
        <v>#N/A</v>
      </c>
      <c r="AM96" t="e">
        <f t="shared" si="27"/>
        <v>#N/A</v>
      </c>
      <c r="AN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6" t="e">
        <f t="shared" si="28"/>
        <v>#N/A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7" t="e">
        <f t="shared" si="15"/>
        <v>#N/A</v>
      </c>
      <c r="AA97" t="e">
        <f t="shared" si="16"/>
        <v>#N/A</v>
      </c>
      <c r="AB97" t="e">
        <f t="shared" si="17"/>
        <v>#N/A</v>
      </c>
      <c r="AC97" t="e">
        <f t="shared" si="18"/>
        <v>#N/A</v>
      </c>
      <c r="AD97" t="e">
        <f t="shared" si="19"/>
        <v>#N/A</v>
      </c>
      <c r="AE97" t="e">
        <f t="shared" si="20"/>
        <v>#N/A</v>
      </c>
      <c r="AF97" t="e">
        <f t="shared" si="21"/>
        <v>#N/A</v>
      </c>
      <c r="AG97" t="e">
        <f t="shared" si="22"/>
        <v>#N/A</v>
      </c>
      <c r="AH97" t="e">
        <f t="shared" si="29"/>
        <v>#N/A</v>
      </c>
      <c r="AI97" t="e">
        <f t="shared" si="23"/>
        <v>#N/A</v>
      </c>
      <c r="AJ97">
        <f t="shared" si="24"/>
        <v>0</v>
      </c>
      <c r="AK97" t="e">
        <f t="shared" si="25"/>
        <v>#N/A</v>
      </c>
      <c r="AL97" t="e">
        <f t="shared" si="26"/>
        <v>#N/A</v>
      </c>
      <c r="AM97" t="e">
        <f t="shared" si="27"/>
        <v>#N/A</v>
      </c>
      <c r="AN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7" t="e">
        <f t="shared" si="28"/>
        <v>#N/A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8" t="e">
        <f t="shared" si="15"/>
        <v>#N/A</v>
      </c>
      <c r="AA98" t="e">
        <f t="shared" si="16"/>
        <v>#N/A</v>
      </c>
      <c r="AB98" t="e">
        <f t="shared" si="17"/>
        <v>#N/A</v>
      </c>
      <c r="AC98" t="e">
        <f t="shared" si="18"/>
        <v>#N/A</v>
      </c>
      <c r="AD98" t="e">
        <f t="shared" si="19"/>
        <v>#N/A</v>
      </c>
      <c r="AE98" t="e">
        <f t="shared" si="20"/>
        <v>#N/A</v>
      </c>
      <c r="AF98" t="e">
        <f t="shared" si="21"/>
        <v>#N/A</v>
      </c>
      <c r="AG98" t="e">
        <f t="shared" si="22"/>
        <v>#N/A</v>
      </c>
      <c r="AH98" t="e">
        <f t="shared" si="29"/>
        <v>#N/A</v>
      </c>
      <c r="AI98" t="e">
        <f t="shared" si="23"/>
        <v>#N/A</v>
      </c>
      <c r="AJ98">
        <f t="shared" si="24"/>
        <v>0</v>
      </c>
      <c r="AK98" t="e">
        <f t="shared" si="25"/>
        <v>#N/A</v>
      </c>
      <c r="AL98" t="e">
        <f t="shared" si="26"/>
        <v>#N/A</v>
      </c>
      <c r="AM98" t="e">
        <f t="shared" si="27"/>
        <v>#N/A</v>
      </c>
      <c r="AN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8" t="e">
        <f t="shared" si="28"/>
        <v>#N/A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9" t="e">
        <f t="shared" si="15"/>
        <v>#N/A</v>
      </c>
      <c r="AA99" t="e">
        <f t="shared" si="16"/>
        <v>#N/A</v>
      </c>
      <c r="AB99" t="e">
        <f t="shared" si="17"/>
        <v>#N/A</v>
      </c>
      <c r="AC99" t="e">
        <f t="shared" si="18"/>
        <v>#N/A</v>
      </c>
      <c r="AD99" t="e">
        <f t="shared" si="19"/>
        <v>#N/A</v>
      </c>
      <c r="AE99" t="e">
        <f t="shared" si="20"/>
        <v>#N/A</v>
      </c>
      <c r="AF99" t="e">
        <f t="shared" si="21"/>
        <v>#N/A</v>
      </c>
      <c r="AG99" t="e">
        <f t="shared" si="22"/>
        <v>#N/A</v>
      </c>
      <c r="AH99" t="e">
        <f t="shared" si="29"/>
        <v>#N/A</v>
      </c>
      <c r="AI99" t="e">
        <f t="shared" si="23"/>
        <v>#N/A</v>
      </c>
      <c r="AJ99">
        <f t="shared" si="24"/>
        <v>0</v>
      </c>
      <c r="AK99" t="e">
        <f t="shared" si="25"/>
        <v>#N/A</v>
      </c>
      <c r="AL99" t="e">
        <f t="shared" si="26"/>
        <v>#N/A</v>
      </c>
      <c r="AM99" t="e">
        <f t="shared" si="27"/>
        <v>#N/A</v>
      </c>
      <c r="AN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9" t="e">
        <f t="shared" si="28"/>
        <v>#N/A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0" t="e">
        <f t="shared" si="15"/>
        <v>#N/A</v>
      </c>
      <c r="AA100" t="e">
        <f t="shared" si="16"/>
        <v>#N/A</v>
      </c>
      <c r="AB100" t="e">
        <f t="shared" si="17"/>
        <v>#N/A</v>
      </c>
      <c r="AC100" t="e">
        <f t="shared" si="18"/>
        <v>#N/A</v>
      </c>
      <c r="AD100" t="e">
        <f t="shared" si="19"/>
        <v>#N/A</v>
      </c>
      <c r="AE100" t="e">
        <f t="shared" si="20"/>
        <v>#N/A</v>
      </c>
      <c r="AF100" t="e">
        <f t="shared" si="21"/>
        <v>#N/A</v>
      </c>
      <c r="AG100" t="e">
        <f t="shared" si="22"/>
        <v>#N/A</v>
      </c>
      <c r="AH100" t="e">
        <f t="shared" si="29"/>
        <v>#N/A</v>
      </c>
      <c r="AI100" t="e">
        <f t="shared" si="23"/>
        <v>#N/A</v>
      </c>
      <c r="AJ100">
        <f t="shared" si="24"/>
        <v>0</v>
      </c>
      <c r="AK100" t="e">
        <f t="shared" si="25"/>
        <v>#N/A</v>
      </c>
      <c r="AL100" t="e">
        <f t="shared" si="26"/>
        <v>#N/A</v>
      </c>
      <c r="AM100" t="e">
        <f t="shared" si="27"/>
        <v>#N/A</v>
      </c>
      <c r="AN1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0" t="e">
        <f t="shared" si="28"/>
        <v>#N/A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1" t="e">
        <f t="shared" si="15"/>
        <v>#N/A</v>
      </c>
      <c r="AA101" t="e">
        <f t="shared" si="16"/>
        <v>#N/A</v>
      </c>
      <c r="AB101" t="e">
        <f t="shared" si="17"/>
        <v>#N/A</v>
      </c>
      <c r="AC101" t="e">
        <f t="shared" si="18"/>
        <v>#N/A</v>
      </c>
      <c r="AD101" t="e">
        <f t="shared" si="19"/>
        <v>#N/A</v>
      </c>
      <c r="AE101" t="e">
        <f t="shared" si="20"/>
        <v>#N/A</v>
      </c>
      <c r="AF101" t="e">
        <f t="shared" si="21"/>
        <v>#N/A</v>
      </c>
      <c r="AG101" t="e">
        <f t="shared" si="22"/>
        <v>#N/A</v>
      </c>
      <c r="AH101" t="e">
        <f t="shared" si="29"/>
        <v>#N/A</v>
      </c>
      <c r="AI101" t="e">
        <f t="shared" si="23"/>
        <v>#N/A</v>
      </c>
      <c r="AJ101">
        <f t="shared" si="24"/>
        <v>0</v>
      </c>
      <c r="AK101" t="e">
        <f t="shared" si="25"/>
        <v>#N/A</v>
      </c>
      <c r="AL101" t="e">
        <f t="shared" si="26"/>
        <v>#N/A</v>
      </c>
      <c r="AM101" t="e">
        <f t="shared" si="27"/>
        <v>#N/A</v>
      </c>
      <c r="AN1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1" t="e">
        <f t="shared" si="28"/>
        <v>#N/A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2" t="e">
        <f t="shared" si="15"/>
        <v>#N/A</v>
      </c>
      <c r="AA102" t="e">
        <f t="shared" si="16"/>
        <v>#N/A</v>
      </c>
      <c r="AB102" t="e">
        <f t="shared" si="17"/>
        <v>#N/A</v>
      </c>
      <c r="AC102" t="e">
        <f t="shared" si="18"/>
        <v>#N/A</v>
      </c>
      <c r="AD102" t="e">
        <f t="shared" si="19"/>
        <v>#N/A</v>
      </c>
      <c r="AE102" t="e">
        <f t="shared" si="20"/>
        <v>#N/A</v>
      </c>
      <c r="AF102" t="e">
        <f t="shared" si="21"/>
        <v>#N/A</v>
      </c>
      <c r="AG102" t="e">
        <f t="shared" si="22"/>
        <v>#N/A</v>
      </c>
      <c r="AH102" t="e">
        <f t="shared" si="29"/>
        <v>#N/A</v>
      </c>
      <c r="AI102" t="e">
        <f t="shared" si="23"/>
        <v>#N/A</v>
      </c>
      <c r="AJ102">
        <f t="shared" si="24"/>
        <v>0</v>
      </c>
      <c r="AK102" t="e">
        <f t="shared" si="25"/>
        <v>#N/A</v>
      </c>
      <c r="AL102" t="e">
        <f t="shared" si="26"/>
        <v>#N/A</v>
      </c>
      <c r="AM102" t="e">
        <f t="shared" si="27"/>
        <v>#N/A</v>
      </c>
      <c r="AN1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2" t="e">
        <f t="shared" si="28"/>
        <v>#N/A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3" t="e">
        <f t="shared" si="15"/>
        <v>#N/A</v>
      </c>
      <c r="AA103" t="e">
        <f t="shared" si="16"/>
        <v>#N/A</v>
      </c>
      <c r="AB103" t="e">
        <f t="shared" si="17"/>
        <v>#N/A</v>
      </c>
      <c r="AC103" t="e">
        <f t="shared" si="18"/>
        <v>#N/A</v>
      </c>
      <c r="AD103" t="e">
        <f t="shared" si="19"/>
        <v>#N/A</v>
      </c>
      <c r="AE103" t="e">
        <f t="shared" si="20"/>
        <v>#N/A</v>
      </c>
      <c r="AF103" t="e">
        <f t="shared" si="21"/>
        <v>#N/A</v>
      </c>
      <c r="AG103" t="e">
        <f t="shared" si="22"/>
        <v>#N/A</v>
      </c>
      <c r="AH103" t="e">
        <f t="shared" si="29"/>
        <v>#N/A</v>
      </c>
      <c r="AI103" t="e">
        <f t="shared" si="23"/>
        <v>#N/A</v>
      </c>
      <c r="AJ103">
        <f t="shared" si="24"/>
        <v>0</v>
      </c>
      <c r="AK103" t="e">
        <f t="shared" si="25"/>
        <v>#N/A</v>
      </c>
      <c r="AL103" t="e">
        <f t="shared" si="26"/>
        <v>#N/A</v>
      </c>
      <c r="AM103" t="e">
        <f t="shared" si="27"/>
        <v>#N/A</v>
      </c>
      <c r="AN1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3" t="e">
        <f t="shared" si="28"/>
        <v>#N/A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4" t="e">
        <f t="shared" si="15"/>
        <v>#N/A</v>
      </c>
      <c r="AA104" t="e">
        <f t="shared" si="16"/>
        <v>#N/A</v>
      </c>
      <c r="AB104" t="e">
        <f t="shared" si="17"/>
        <v>#N/A</v>
      </c>
      <c r="AC104" t="e">
        <f t="shared" si="18"/>
        <v>#N/A</v>
      </c>
      <c r="AD104" t="e">
        <f t="shared" si="19"/>
        <v>#N/A</v>
      </c>
      <c r="AE104" t="e">
        <f t="shared" si="20"/>
        <v>#N/A</v>
      </c>
      <c r="AF104" t="e">
        <f t="shared" si="21"/>
        <v>#N/A</v>
      </c>
      <c r="AG104" t="e">
        <f t="shared" si="22"/>
        <v>#N/A</v>
      </c>
      <c r="AH104" t="e">
        <f t="shared" si="29"/>
        <v>#N/A</v>
      </c>
      <c r="AI104" t="e">
        <f t="shared" si="23"/>
        <v>#N/A</v>
      </c>
      <c r="AJ104">
        <f t="shared" si="24"/>
        <v>0</v>
      </c>
      <c r="AK104" t="e">
        <f t="shared" si="25"/>
        <v>#N/A</v>
      </c>
      <c r="AL104" t="e">
        <f t="shared" si="26"/>
        <v>#N/A</v>
      </c>
      <c r="AM104" t="e">
        <f t="shared" si="27"/>
        <v>#N/A</v>
      </c>
      <c r="AN1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4" t="e">
        <f t="shared" si="28"/>
        <v>#N/A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5" t="e">
        <f t="shared" si="15"/>
        <v>#N/A</v>
      </c>
      <c r="AA105" t="e">
        <f t="shared" si="16"/>
        <v>#N/A</v>
      </c>
      <c r="AB105" t="e">
        <f t="shared" si="17"/>
        <v>#N/A</v>
      </c>
      <c r="AC105" t="e">
        <f t="shared" si="18"/>
        <v>#N/A</v>
      </c>
      <c r="AD105" t="e">
        <f t="shared" si="19"/>
        <v>#N/A</v>
      </c>
      <c r="AE105" t="e">
        <f t="shared" si="20"/>
        <v>#N/A</v>
      </c>
      <c r="AF105" t="e">
        <f t="shared" si="21"/>
        <v>#N/A</v>
      </c>
      <c r="AG105" t="e">
        <f t="shared" si="22"/>
        <v>#N/A</v>
      </c>
      <c r="AH105" t="e">
        <f t="shared" si="29"/>
        <v>#N/A</v>
      </c>
      <c r="AI105" t="e">
        <f t="shared" si="23"/>
        <v>#N/A</v>
      </c>
      <c r="AJ105">
        <f t="shared" si="24"/>
        <v>0</v>
      </c>
      <c r="AK105" t="e">
        <f t="shared" si="25"/>
        <v>#N/A</v>
      </c>
      <c r="AL105" t="e">
        <f t="shared" si="26"/>
        <v>#N/A</v>
      </c>
      <c r="AM105" t="e">
        <f t="shared" si="27"/>
        <v>#N/A</v>
      </c>
      <c r="AN1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5" t="e">
        <f t="shared" si="28"/>
        <v>#N/A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6" t="e">
        <f t="shared" si="15"/>
        <v>#N/A</v>
      </c>
      <c r="AA106" t="e">
        <f t="shared" si="16"/>
        <v>#N/A</v>
      </c>
      <c r="AB106" t="e">
        <f t="shared" si="17"/>
        <v>#N/A</v>
      </c>
      <c r="AC106" t="e">
        <f t="shared" si="18"/>
        <v>#N/A</v>
      </c>
      <c r="AD106" t="e">
        <f t="shared" si="19"/>
        <v>#N/A</v>
      </c>
      <c r="AE106" t="e">
        <f t="shared" si="20"/>
        <v>#N/A</v>
      </c>
      <c r="AF106" t="e">
        <f t="shared" si="21"/>
        <v>#N/A</v>
      </c>
      <c r="AG106" t="e">
        <f t="shared" si="22"/>
        <v>#N/A</v>
      </c>
      <c r="AH106" t="e">
        <f t="shared" si="29"/>
        <v>#N/A</v>
      </c>
      <c r="AI106" t="e">
        <f t="shared" si="23"/>
        <v>#N/A</v>
      </c>
      <c r="AJ106">
        <f t="shared" si="24"/>
        <v>0</v>
      </c>
      <c r="AK106" t="e">
        <f t="shared" si="25"/>
        <v>#N/A</v>
      </c>
      <c r="AL106" t="e">
        <f t="shared" si="26"/>
        <v>#N/A</v>
      </c>
      <c r="AM106" t="e">
        <f t="shared" si="27"/>
        <v>#N/A</v>
      </c>
      <c r="AN1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6" t="e">
        <f t="shared" si="28"/>
        <v>#N/A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7" t="e">
        <f t="shared" si="15"/>
        <v>#N/A</v>
      </c>
      <c r="AA107" t="e">
        <f t="shared" si="16"/>
        <v>#N/A</v>
      </c>
      <c r="AB107" t="e">
        <f t="shared" si="17"/>
        <v>#N/A</v>
      </c>
      <c r="AC107" t="e">
        <f t="shared" si="18"/>
        <v>#N/A</v>
      </c>
      <c r="AD107" t="e">
        <f t="shared" si="19"/>
        <v>#N/A</v>
      </c>
      <c r="AE107" t="e">
        <f t="shared" si="20"/>
        <v>#N/A</v>
      </c>
      <c r="AF107" t="e">
        <f t="shared" si="21"/>
        <v>#N/A</v>
      </c>
      <c r="AG107" t="e">
        <f t="shared" si="22"/>
        <v>#N/A</v>
      </c>
      <c r="AH107" t="e">
        <f t="shared" si="29"/>
        <v>#N/A</v>
      </c>
      <c r="AI107" t="e">
        <f t="shared" si="23"/>
        <v>#N/A</v>
      </c>
      <c r="AJ107">
        <f t="shared" si="24"/>
        <v>0</v>
      </c>
      <c r="AK107" t="e">
        <f t="shared" si="25"/>
        <v>#N/A</v>
      </c>
      <c r="AL107" t="e">
        <f t="shared" si="26"/>
        <v>#N/A</v>
      </c>
      <c r="AM107" t="e">
        <f t="shared" si="27"/>
        <v>#N/A</v>
      </c>
      <c r="AN1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7" t="e">
        <f t="shared" si="28"/>
        <v>#N/A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8" t="e">
        <f t="shared" si="15"/>
        <v>#N/A</v>
      </c>
      <c r="AA108" t="e">
        <f t="shared" si="16"/>
        <v>#N/A</v>
      </c>
      <c r="AB108" t="e">
        <f t="shared" si="17"/>
        <v>#N/A</v>
      </c>
      <c r="AC108" t="e">
        <f t="shared" si="18"/>
        <v>#N/A</v>
      </c>
      <c r="AD108" t="e">
        <f t="shared" si="19"/>
        <v>#N/A</v>
      </c>
      <c r="AE108" t="e">
        <f t="shared" si="20"/>
        <v>#N/A</v>
      </c>
      <c r="AF108" t="e">
        <f t="shared" si="21"/>
        <v>#N/A</v>
      </c>
      <c r="AG108" t="e">
        <f t="shared" si="22"/>
        <v>#N/A</v>
      </c>
      <c r="AH108" t="e">
        <f t="shared" si="29"/>
        <v>#N/A</v>
      </c>
      <c r="AI108" t="e">
        <f t="shared" si="23"/>
        <v>#N/A</v>
      </c>
      <c r="AJ108">
        <f t="shared" si="24"/>
        <v>0</v>
      </c>
      <c r="AK108" t="e">
        <f t="shared" si="25"/>
        <v>#N/A</v>
      </c>
      <c r="AL108" t="e">
        <f t="shared" si="26"/>
        <v>#N/A</v>
      </c>
      <c r="AM108" t="e">
        <f t="shared" si="27"/>
        <v>#N/A</v>
      </c>
      <c r="AN1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8" t="e">
        <f t="shared" si="28"/>
        <v>#N/A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9" t="e">
        <f t="shared" si="15"/>
        <v>#N/A</v>
      </c>
      <c r="AA109" t="e">
        <f t="shared" si="16"/>
        <v>#N/A</v>
      </c>
      <c r="AB109" t="e">
        <f t="shared" si="17"/>
        <v>#N/A</v>
      </c>
      <c r="AC109" t="e">
        <f t="shared" si="18"/>
        <v>#N/A</v>
      </c>
      <c r="AD109" t="e">
        <f t="shared" si="19"/>
        <v>#N/A</v>
      </c>
      <c r="AE109" t="e">
        <f t="shared" si="20"/>
        <v>#N/A</v>
      </c>
      <c r="AF109" t="e">
        <f t="shared" si="21"/>
        <v>#N/A</v>
      </c>
      <c r="AG109" t="e">
        <f t="shared" si="22"/>
        <v>#N/A</v>
      </c>
      <c r="AH109" t="e">
        <f t="shared" si="29"/>
        <v>#N/A</v>
      </c>
      <c r="AI109" t="e">
        <f t="shared" si="23"/>
        <v>#N/A</v>
      </c>
      <c r="AJ109">
        <f t="shared" si="24"/>
        <v>0</v>
      </c>
      <c r="AK109" t="e">
        <f t="shared" si="25"/>
        <v>#N/A</v>
      </c>
      <c r="AL109" t="e">
        <f t="shared" si="26"/>
        <v>#N/A</v>
      </c>
      <c r="AM109" t="e">
        <f t="shared" si="27"/>
        <v>#N/A</v>
      </c>
      <c r="AN1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9" t="e">
        <f t="shared" si="28"/>
        <v>#N/A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0" t="e">
        <f t="shared" si="15"/>
        <v>#N/A</v>
      </c>
      <c r="AA110" t="e">
        <f t="shared" si="16"/>
        <v>#N/A</v>
      </c>
      <c r="AB110" t="e">
        <f t="shared" si="17"/>
        <v>#N/A</v>
      </c>
      <c r="AC110" t="e">
        <f t="shared" si="18"/>
        <v>#N/A</v>
      </c>
      <c r="AD110" t="e">
        <f t="shared" si="19"/>
        <v>#N/A</v>
      </c>
      <c r="AE110" t="e">
        <f t="shared" si="20"/>
        <v>#N/A</v>
      </c>
      <c r="AF110" t="e">
        <f t="shared" si="21"/>
        <v>#N/A</v>
      </c>
      <c r="AG110" t="e">
        <f t="shared" si="22"/>
        <v>#N/A</v>
      </c>
      <c r="AH110" t="e">
        <f t="shared" si="29"/>
        <v>#N/A</v>
      </c>
      <c r="AI110" t="e">
        <f t="shared" si="23"/>
        <v>#N/A</v>
      </c>
      <c r="AJ110">
        <f t="shared" si="24"/>
        <v>0</v>
      </c>
      <c r="AK110" t="e">
        <f t="shared" si="25"/>
        <v>#N/A</v>
      </c>
      <c r="AL110" t="e">
        <f t="shared" si="26"/>
        <v>#N/A</v>
      </c>
      <c r="AM110" t="e">
        <f t="shared" si="27"/>
        <v>#N/A</v>
      </c>
      <c r="AN1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0" t="e">
        <f t="shared" si="28"/>
        <v>#N/A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1" t="e">
        <f t="shared" si="15"/>
        <v>#N/A</v>
      </c>
      <c r="AA111" t="e">
        <f t="shared" si="16"/>
        <v>#N/A</v>
      </c>
      <c r="AB111" t="e">
        <f t="shared" si="17"/>
        <v>#N/A</v>
      </c>
      <c r="AC111" t="e">
        <f t="shared" si="18"/>
        <v>#N/A</v>
      </c>
      <c r="AD111" t="e">
        <f t="shared" si="19"/>
        <v>#N/A</v>
      </c>
      <c r="AE111" t="e">
        <f t="shared" si="20"/>
        <v>#N/A</v>
      </c>
      <c r="AF111" t="e">
        <f t="shared" si="21"/>
        <v>#N/A</v>
      </c>
      <c r="AG111" t="e">
        <f t="shared" si="22"/>
        <v>#N/A</v>
      </c>
      <c r="AH111" t="e">
        <f t="shared" si="29"/>
        <v>#N/A</v>
      </c>
      <c r="AI111" t="e">
        <f t="shared" si="23"/>
        <v>#N/A</v>
      </c>
      <c r="AJ111">
        <f t="shared" si="24"/>
        <v>0</v>
      </c>
      <c r="AK111" t="e">
        <f t="shared" si="25"/>
        <v>#N/A</v>
      </c>
      <c r="AL111" t="e">
        <f t="shared" si="26"/>
        <v>#N/A</v>
      </c>
      <c r="AM111" t="e">
        <f t="shared" si="27"/>
        <v>#N/A</v>
      </c>
      <c r="AN1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1" t="e">
        <f t="shared" si="28"/>
        <v>#N/A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2" t="e">
        <f t="shared" si="15"/>
        <v>#N/A</v>
      </c>
      <c r="AA112" t="e">
        <f t="shared" si="16"/>
        <v>#N/A</v>
      </c>
      <c r="AB112" t="e">
        <f t="shared" si="17"/>
        <v>#N/A</v>
      </c>
      <c r="AC112" t="e">
        <f t="shared" si="18"/>
        <v>#N/A</v>
      </c>
      <c r="AD112" t="e">
        <f t="shared" si="19"/>
        <v>#N/A</v>
      </c>
      <c r="AE112" t="e">
        <f t="shared" si="20"/>
        <v>#N/A</v>
      </c>
      <c r="AF112" t="e">
        <f t="shared" si="21"/>
        <v>#N/A</v>
      </c>
      <c r="AG112" t="e">
        <f t="shared" si="22"/>
        <v>#N/A</v>
      </c>
      <c r="AH112" t="e">
        <f t="shared" si="29"/>
        <v>#N/A</v>
      </c>
      <c r="AI112" t="e">
        <f t="shared" si="23"/>
        <v>#N/A</v>
      </c>
      <c r="AJ112">
        <f t="shared" si="24"/>
        <v>0</v>
      </c>
      <c r="AK112" t="e">
        <f t="shared" si="25"/>
        <v>#N/A</v>
      </c>
      <c r="AL112" t="e">
        <f t="shared" si="26"/>
        <v>#N/A</v>
      </c>
      <c r="AM112" t="e">
        <f t="shared" si="27"/>
        <v>#N/A</v>
      </c>
      <c r="AN1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2" t="e">
        <f t="shared" si="28"/>
        <v>#N/A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3" t="e">
        <f t="shared" si="15"/>
        <v>#N/A</v>
      </c>
      <c r="AA113" t="e">
        <f t="shared" si="16"/>
        <v>#N/A</v>
      </c>
      <c r="AB113" t="e">
        <f t="shared" si="17"/>
        <v>#N/A</v>
      </c>
      <c r="AC113" t="e">
        <f t="shared" si="18"/>
        <v>#N/A</v>
      </c>
      <c r="AD113" t="e">
        <f t="shared" si="19"/>
        <v>#N/A</v>
      </c>
      <c r="AE113" t="e">
        <f t="shared" si="20"/>
        <v>#N/A</v>
      </c>
      <c r="AF113" t="e">
        <f t="shared" si="21"/>
        <v>#N/A</v>
      </c>
      <c r="AG113" t="e">
        <f t="shared" si="22"/>
        <v>#N/A</v>
      </c>
      <c r="AH113" t="e">
        <f t="shared" si="29"/>
        <v>#N/A</v>
      </c>
      <c r="AI113" t="e">
        <f t="shared" si="23"/>
        <v>#N/A</v>
      </c>
      <c r="AJ113">
        <f t="shared" si="24"/>
        <v>0</v>
      </c>
      <c r="AK113" t="e">
        <f t="shared" si="25"/>
        <v>#N/A</v>
      </c>
      <c r="AL113" t="e">
        <f t="shared" si="26"/>
        <v>#N/A</v>
      </c>
      <c r="AM113" t="e">
        <f t="shared" si="27"/>
        <v>#N/A</v>
      </c>
      <c r="AN1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3" t="e">
        <f t="shared" si="28"/>
        <v>#N/A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4" t="e">
        <f t="shared" si="15"/>
        <v>#N/A</v>
      </c>
      <c r="AA114" t="e">
        <f t="shared" si="16"/>
        <v>#N/A</v>
      </c>
      <c r="AB114" t="e">
        <f t="shared" si="17"/>
        <v>#N/A</v>
      </c>
      <c r="AC114" t="e">
        <f t="shared" si="18"/>
        <v>#N/A</v>
      </c>
      <c r="AD114" t="e">
        <f t="shared" si="19"/>
        <v>#N/A</v>
      </c>
      <c r="AE114" t="e">
        <f t="shared" si="20"/>
        <v>#N/A</v>
      </c>
      <c r="AF114" t="e">
        <f t="shared" si="21"/>
        <v>#N/A</v>
      </c>
      <c r="AG114" t="e">
        <f t="shared" si="22"/>
        <v>#N/A</v>
      </c>
      <c r="AH114" t="e">
        <f t="shared" si="29"/>
        <v>#N/A</v>
      </c>
      <c r="AI114" t="e">
        <f t="shared" si="23"/>
        <v>#N/A</v>
      </c>
      <c r="AJ114">
        <f t="shared" si="24"/>
        <v>0</v>
      </c>
      <c r="AK114" t="e">
        <f t="shared" si="25"/>
        <v>#N/A</v>
      </c>
      <c r="AL114" t="e">
        <f t="shared" si="26"/>
        <v>#N/A</v>
      </c>
      <c r="AM114" t="e">
        <f t="shared" si="27"/>
        <v>#N/A</v>
      </c>
      <c r="AN1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4" t="e">
        <f t="shared" si="28"/>
        <v>#N/A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5" t="e">
        <f t="shared" si="15"/>
        <v>#N/A</v>
      </c>
      <c r="AA115" t="e">
        <f t="shared" si="16"/>
        <v>#N/A</v>
      </c>
      <c r="AB115" t="e">
        <f t="shared" si="17"/>
        <v>#N/A</v>
      </c>
      <c r="AC115" t="e">
        <f t="shared" si="18"/>
        <v>#N/A</v>
      </c>
      <c r="AD115" t="e">
        <f t="shared" si="19"/>
        <v>#N/A</v>
      </c>
      <c r="AE115" t="e">
        <f t="shared" si="20"/>
        <v>#N/A</v>
      </c>
      <c r="AF115" t="e">
        <f t="shared" si="21"/>
        <v>#N/A</v>
      </c>
      <c r="AG115" t="e">
        <f t="shared" si="22"/>
        <v>#N/A</v>
      </c>
      <c r="AH115" t="e">
        <f t="shared" si="29"/>
        <v>#N/A</v>
      </c>
      <c r="AI115" t="e">
        <f t="shared" si="23"/>
        <v>#N/A</v>
      </c>
      <c r="AJ115">
        <f t="shared" si="24"/>
        <v>0</v>
      </c>
      <c r="AK115" t="e">
        <f t="shared" si="25"/>
        <v>#N/A</v>
      </c>
      <c r="AL115" t="e">
        <f t="shared" si="26"/>
        <v>#N/A</v>
      </c>
      <c r="AM115" t="e">
        <f t="shared" si="27"/>
        <v>#N/A</v>
      </c>
      <c r="AN1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5" t="e">
        <f t="shared" si="28"/>
        <v>#N/A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6" t="e">
        <f t="shared" si="15"/>
        <v>#N/A</v>
      </c>
      <c r="AA116" t="e">
        <f t="shared" si="16"/>
        <v>#N/A</v>
      </c>
      <c r="AB116" t="e">
        <f t="shared" si="17"/>
        <v>#N/A</v>
      </c>
      <c r="AC116" t="e">
        <f t="shared" si="18"/>
        <v>#N/A</v>
      </c>
      <c r="AD116" t="e">
        <f t="shared" si="19"/>
        <v>#N/A</v>
      </c>
      <c r="AE116" t="e">
        <f t="shared" si="20"/>
        <v>#N/A</v>
      </c>
      <c r="AF116" t="e">
        <f t="shared" si="21"/>
        <v>#N/A</v>
      </c>
      <c r="AG116" t="e">
        <f t="shared" si="22"/>
        <v>#N/A</v>
      </c>
      <c r="AH116" t="e">
        <f t="shared" si="29"/>
        <v>#N/A</v>
      </c>
      <c r="AI116" t="e">
        <f t="shared" si="23"/>
        <v>#N/A</v>
      </c>
      <c r="AJ116">
        <f t="shared" si="24"/>
        <v>0</v>
      </c>
      <c r="AK116" t="e">
        <f t="shared" si="25"/>
        <v>#N/A</v>
      </c>
      <c r="AL116" t="e">
        <f t="shared" si="26"/>
        <v>#N/A</v>
      </c>
      <c r="AM116" t="e">
        <f t="shared" si="27"/>
        <v>#N/A</v>
      </c>
      <c r="AN1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6" t="e">
        <f t="shared" si="28"/>
        <v>#N/A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7" t="e">
        <f t="shared" si="15"/>
        <v>#N/A</v>
      </c>
      <c r="AA117" t="e">
        <f t="shared" si="16"/>
        <v>#N/A</v>
      </c>
      <c r="AB117" t="e">
        <f t="shared" si="17"/>
        <v>#N/A</v>
      </c>
      <c r="AC117" t="e">
        <f t="shared" si="18"/>
        <v>#N/A</v>
      </c>
      <c r="AD117" t="e">
        <f t="shared" si="19"/>
        <v>#N/A</v>
      </c>
      <c r="AE117" t="e">
        <f t="shared" si="20"/>
        <v>#N/A</v>
      </c>
      <c r="AF117" t="e">
        <f t="shared" si="21"/>
        <v>#N/A</v>
      </c>
      <c r="AG117" t="e">
        <f t="shared" si="22"/>
        <v>#N/A</v>
      </c>
      <c r="AH117" t="e">
        <f t="shared" si="29"/>
        <v>#N/A</v>
      </c>
      <c r="AI117" t="e">
        <f t="shared" si="23"/>
        <v>#N/A</v>
      </c>
      <c r="AJ117">
        <f t="shared" si="24"/>
        <v>0</v>
      </c>
      <c r="AK117" t="e">
        <f t="shared" si="25"/>
        <v>#N/A</v>
      </c>
      <c r="AL117" t="e">
        <f t="shared" si="26"/>
        <v>#N/A</v>
      </c>
      <c r="AM117" t="e">
        <f t="shared" si="27"/>
        <v>#N/A</v>
      </c>
      <c r="AN1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7" t="e">
        <f t="shared" si="28"/>
        <v>#N/A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8" t="e">
        <f t="shared" si="15"/>
        <v>#N/A</v>
      </c>
      <c r="AA118" t="e">
        <f t="shared" si="16"/>
        <v>#N/A</v>
      </c>
      <c r="AB118" t="e">
        <f t="shared" si="17"/>
        <v>#N/A</v>
      </c>
      <c r="AC118" t="e">
        <f t="shared" si="18"/>
        <v>#N/A</v>
      </c>
      <c r="AD118" t="e">
        <f t="shared" si="19"/>
        <v>#N/A</v>
      </c>
      <c r="AE118" t="e">
        <f t="shared" si="20"/>
        <v>#N/A</v>
      </c>
      <c r="AF118" t="e">
        <f t="shared" si="21"/>
        <v>#N/A</v>
      </c>
      <c r="AG118" t="e">
        <f t="shared" si="22"/>
        <v>#N/A</v>
      </c>
      <c r="AH118" t="e">
        <f t="shared" si="29"/>
        <v>#N/A</v>
      </c>
      <c r="AI118" t="e">
        <f t="shared" si="23"/>
        <v>#N/A</v>
      </c>
      <c r="AJ118">
        <f t="shared" si="24"/>
        <v>0</v>
      </c>
      <c r="AK118" t="e">
        <f t="shared" si="25"/>
        <v>#N/A</v>
      </c>
      <c r="AL118" t="e">
        <f t="shared" si="26"/>
        <v>#N/A</v>
      </c>
      <c r="AM118" t="e">
        <f t="shared" si="27"/>
        <v>#N/A</v>
      </c>
      <c r="AN1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8" t="e">
        <f t="shared" si="28"/>
        <v>#N/A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9" t="e">
        <f t="shared" si="15"/>
        <v>#N/A</v>
      </c>
      <c r="AA119" t="e">
        <f t="shared" si="16"/>
        <v>#N/A</v>
      </c>
      <c r="AB119" t="e">
        <f t="shared" si="17"/>
        <v>#N/A</v>
      </c>
      <c r="AC119" t="e">
        <f t="shared" si="18"/>
        <v>#N/A</v>
      </c>
      <c r="AD119" t="e">
        <f t="shared" si="19"/>
        <v>#N/A</v>
      </c>
      <c r="AE119" t="e">
        <f t="shared" si="20"/>
        <v>#N/A</v>
      </c>
      <c r="AF119" t="e">
        <f t="shared" si="21"/>
        <v>#N/A</v>
      </c>
      <c r="AG119" t="e">
        <f t="shared" si="22"/>
        <v>#N/A</v>
      </c>
      <c r="AH119" t="e">
        <f t="shared" si="29"/>
        <v>#N/A</v>
      </c>
      <c r="AI119" t="e">
        <f t="shared" si="23"/>
        <v>#N/A</v>
      </c>
      <c r="AJ119">
        <f t="shared" si="24"/>
        <v>0</v>
      </c>
      <c r="AK119" t="e">
        <f t="shared" si="25"/>
        <v>#N/A</v>
      </c>
      <c r="AL119" t="e">
        <f t="shared" si="26"/>
        <v>#N/A</v>
      </c>
      <c r="AM119" t="e">
        <f t="shared" si="27"/>
        <v>#N/A</v>
      </c>
      <c r="AN1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9" t="e">
        <f t="shared" si="28"/>
        <v>#N/A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0" t="e">
        <f t="shared" si="15"/>
        <v>#N/A</v>
      </c>
      <c r="AA120" t="e">
        <f t="shared" si="16"/>
        <v>#N/A</v>
      </c>
      <c r="AB120" t="e">
        <f t="shared" si="17"/>
        <v>#N/A</v>
      </c>
      <c r="AC120" t="e">
        <f t="shared" si="18"/>
        <v>#N/A</v>
      </c>
      <c r="AD120" t="e">
        <f t="shared" si="19"/>
        <v>#N/A</v>
      </c>
      <c r="AE120" t="e">
        <f t="shared" si="20"/>
        <v>#N/A</v>
      </c>
      <c r="AF120" t="e">
        <f t="shared" si="21"/>
        <v>#N/A</v>
      </c>
      <c r="AG120" t="e">
        <f t="shared" si="22"/>
        <v>#N/A</v>
      </c>
      <c r="AH120" t="e">
        <f t="shared" si="29"/>
        <v>#N/A</v>
      </c>
      <c r="AI120" t="e">
        <f t="shared" si="23"/>
        <v>#N/A</v>
      </c>
      <c r="AJ120">
        <f t="shared" si="24"/>
        <v>0</v>
      </c>
      <c r="AK120" t="e">
        <f t="shared" si="25"/>
        <v>#N/A</v>
      </c>
      <c r="AL120" t="e">
        <f t="shared" si="26"/>
        <v>#N/A</v>
      </c>
      <c r="AM120" t="e">
        <f t="shared" si="27"/>
        <v>#N/A</v>
      </c>
      <c r="AN1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0" t="e">
        <f t="shared" si="28"/>
        <v>#N/A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1" t="e">
        <f t="shared" si="15"/>
        <v>#N/A</v>
      </c>
      <c r="AA121" t="e">
        <f t="shared" si="16"/>
        <v>#N/A</v>
      </c>
      <c r="AB121" t="e">
        <f t="shared" si="17"/>
        <v>#N/A</v>
      </c>
      <c r="AC121" t="e">
        <f t="shared" si="18"/>
        <v>#N/A</v>
      </c>
      <c r="AD121" t="e">
        <f t="shared" si="19"/>
        <v>#N/A</v>
      </c>
      <c r="AE121" t="e">
        <f t="shared" si="20"/>
        <v>#N/A</v>
      </c>
      <c r="AF121" t="e">
        <f t="shared" si="21"/>
        <v>#N/A</v>
      </c>
      <c r="AG121" t="e">
        <f t="shared" si="22"/>
        <v>#N/A</v>
      </c>
      <c r="AH121" t="e">
        <f t="shared" si="29"/>
        <v>#N/A</v>
      </c>
      <c r="AI121" t="e">
        <f t="shared" si="23"/>
        <v>#N/A</v>
      </c>
      <c r="AJ121">
        <f t="shared" si="24"/>
        <v>0</v>
      </c>
      <c r="AK121" t="e">
        <f t="shared" si="25"/>
        <v>#N/A</v>
      </c>
      <c r="AL121" t="e">
        <f t="shared" si="26"/>
        <v>#N/A</v>
      </c>
      <c r="AM121" t="e">
        <f t="shared" si="27"/>
        <v>#N/A</v>
      </c>
      <c r="AN1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1" t="e">
        <f t="shared" si="28"/>
        <v>#N/A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2" t="e">
        <f t="shared" si="15"/>
        <v>#N/A</v>
      </c>
      <c r="AA122" t="e">
        <f t="shared" si="16"/>
        <v>#N/A</v>
      </c>
      <c r="AB122" t="e">
        <f t="shared" si="17"/>
        <v>#N/A</v>
      </c>
      <c r="AC122" t="e">
        <f t="shared" si="18"/>
        <v>#N/A</v>
      </c>
      <c r="AD122" t="e">
        <f t="shared" si="19"/>
        <v>#N/A</v>
      </c>
      <c r="AE122" t="e">
        <f t="shared" si="20"/>
        <v>#N/A</v>
      </c>
      <c r="AF122" t="e">
        <f t="shared" si="21"/>
        <v>#N/A</v>
      </c>
      <c r="AG122" t="e">
        <f t="shared" si="22"/>
        <v>#N/A</v>
      </c>
      <c r="AH122" t="e">
        <f t="shared" si="29"/>
        <v>#N/A</v>
      </c>
      <c r="AI122" t="e">
        <f t="shared" si="23"/>
        <v>#N/A</v>
      </c>
      <c r="AJ122">
        <f t="shared" si="24"/>
        <v>0</v>
      </c>
      <c r="AK122" t="e">
        <f t="shared" si="25"/>
        <v>#N/A</v>
      </c>
      <c r="AL122" t="e">
        <f t="shared" si="26"/>
        <v>#N/A</v>
      </c>
      <c r="AM122" t="e">
        <f t="shared" si="27"/>
        <v>#N/A</v>
      </c>
      <c r="AN1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2" t="e">
        <f t="shared" si="28"/>
        <v>#N/A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3" t="e">
        <f t="shared" si="15"/>
        <v>#N/A</v>
      </c>
      <c r="AA123" t="e">
        <f t="shared" si="16"/>
        <v>#N/A</v>
      </c>
      <c r="AB123" t="e">
        <f t="shared" si="17"/>
        <v>#N/A</v>
      </c>
      <c r="AC123" t="e">
        <f t="shared" si="18"/>
        <v>#N/A</v>
      </c>
      <c r="AD123" t="e">
        <f t="shared" si="19"/>
        <v>#N/A</v>
      </c>
      <c r="AE123" t="e">
        <f t="shared" si="20"/>
        <v>#N/A</v>
      </c>
      <c r="AF123" t="e">
        <f t="shared" si="21"/>
        <v>#N/A</v>
      </c>
      <c r="AG123" t="e">
        <f t="shared" si="22"/>
        <v>#N/A</v>
      </c>
      <c r="AH123" t="e">
        <f t="shared" si="29"/>
        <v>#N/A</v>
      </c>
      <c r="AI123" t="e">
        <f t="shared" si="23"/>
        <v>#N/A</v>
      </c>
      <c r="AJ123">
        <f t="shared" si="24"/>
        <v>0</v>
      </c>
      <c r="AK123" t="e">
        <f t="shared" si="25"/>
        <v>#N/A</v>
      </c>
      <c r="AL123" t="e">
        <f t="shared" si="26"/>
        <v>#N/A</v>
      </c>
      <c r="AM123" t="e">
        <f t="shared" si="27"/>
        <v>#N/A</v>
      </c>
      <c r="AN1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3" t="e">
        <f t="shared" si="28"/>
        <v>#N/A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4" t="e">
        <f t="shared" si="15"/>
        <v>#N/A</v>
      </c>
      <c r="AA124" t="e">
        <f t="shared" si="16"/>
        <v>#N/A</v>
      </c>
      <c r="AB124" t="e">
        <f t="shared" si="17"/>
        <v>#N/A</v>
      </c>
      <c r="AC124" t="e">
        <f t="shared" si="18"/>
        <v>#N/A</v>
      </c>
      <c r="AD124" t="e">
        <f t="shared" si="19"/>
        <v>#N/A</v>
      </c>
      <c r="AE124" t="e">
        <f t="shared" si="20"/>
        <v>#N/A</v>
      </c>
      <c r="AF124" t="e">
        <f t="shared" si="21"/>
        <v>#N/A</v>
      </c>
      <c r="AG124" t="e">
        <f t="shared" si="22"/>
        <v>#N/A</v>
      </c>
      <c r="AH124" t="e">
        <f t="shared" si="29"/>
        <v>#N/A</v>
      </c>
      <c r="AI124" t="e">
        <f t="shared" si="23"/>
        <v>#N/A</v>
      </c>
      <c r="AJ124">
        <f t="shared" si="24"/>
        <v>0</v>
      </c>
      <c r="AK124" t="e">
        <f t="shared" si="25"/>
        <v>#N/A</v>
      </c>
      <c r="AL124" t="e">
        <f t="shared" si="26"/>
        <v>#N/A</v>
      </c>
      <c r="AM124" t="e">
        <f t="shared" si="27"/>
        <v>#N/A</v>
      </c>
      <c r="AN1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4" t="e">
        <f t="shared" si="28"/>
        <v>#N/A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5" t="e">
        <f t="shared" si="15"/>
        <v>#N/A</v>
      </c>
      <c r="AA125" t="e">
        <f t="shared" si="16"/>
        <v>#N/A</v>
      </c>
      <c r="AB125" t="e">
        <f t="shared" si="17"/>
        <v>#N/A</v>
      </c>
      <c r="AC125" t="e">
        <f t="shared" si="18"/>
        <v>#N/A</v>
      </c>
      <c r="AD125" t="e">
        <f t="shared" si="19"/>
        <v>#N/A</v>
      </c>
      <c r="AE125" t="e">
        <f t="shared" si="20"/>
        <v>#N/A</v>
      </c>
      <c r="AF125" t="e">
        <f t="shared" si="21"/>
        <v>#N/A</v>
      </c>
      <c r="AG125" t="e">
        <f t="shared" si="22"/>
        <v>#N/A</v>
      </c>
      <c r="AH125" t="e">
        <f t="shared" si="29"/>
        <v>#N/A</v>
      </c>
      <c r="AI125" t="e">
        <f t="shared" si="23"/>
        <v>#N/A</v>
      </c>
      <c r="AJ125">
        <f t="shared" si="24"/>
        <v>0</v>
      </c>
      <c r="AK125" t="e">
        <f t="shared" si="25"/>
        <v>#N/A</v>
      </c>
      <c r="AL125" t="e">
        <f t="shared" si="26"/>
        <v>#N/A</v>
      </c>
      <c r="AM125" t="e">
        <f t="shared" si="27"/>
        <v>#N/A</v>
      </c>
      <c r="AN1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5" t="e">
        <f t="shared" si="28"/>
        <v>#N/A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6" t="e">
        <f t="shared" si="15"/>
        <v>#N/A</v>
      </c>
      <c r="AA126" t="e">
        <f t="shared" si="16"/>
        <v>#N/A</v>
      </c>
      <c r="AB126" t="e">
        <f t="shared" si="17"/>
        <v>#N/A</v>
      </c>
      <c r="AC126" t="e">
        <f t="shared" si="18"/>
        <v>#N/A</v>
      </c>
      <c r="AD126" t="e">
        <f t="shared" si="19"/>
        <v>#N/A</v>
      </c>
      <c r="AE126" t="e">
        <f t="shared" si="20"/>
        <v>#N/A</v>
      </c>
      <c r="AF126" t="e">
        <f t="shared" si="21"/>
        <v>#N/A</v>
      </c>
      <c r="AG126" t="e">
        <f t="shared" si="22"/>
        <v>#N/A</v>
      </c>
      <c r="AH126" t="e">
        <f t="shared" si="29"/>
        <v>#N/A</v>
      </c>
      <c r="AI126" t="e">
        <f t="shared" si="23"/>
        <v>#N/A</v>
      </c>
      <c r="AJ126">
        <f t="shared" si="24"/>
        <v>0</v>
      </c>
      <c r="AK126" t="e">
        <f t="shared" si="25"/>
        <v>#N/A</v>
      </c>
      <c r="AL126" t="e">
        <f t="shared" si="26"/>
        <v>#N/A</v>
      </c>
      <c r="AM126" t="e">
        <f t="shared" si="27"/>
        <v>#N/A</v>
      </c>
      <c r="AN1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6" t="e">
        <f t="shared" si="28"/>
        <v>#N/A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7" t="e">
        <f t="shared" si="15"/>
        <v>#N/A</v>
      </c>
      <c r="AA127" t="e">
        <f t="shared" si="16"/>
        <v>#N/A</v>
      </c>
      <c r="AB127" t="e">
        <f t="shared" si="17"/>
        <v>#N/A</v>
      </c>
      <c r="AC127" t="e">
        <f t="shared" si="18"/>
        <v>#N/A</v>
      </c>
      <c r="AD127" t="e">
        <f t="shared" si="19"/>
        <v>#N/A</v>
      </c>
      <c r="AE127" t="e">
        <f t="shared" si="20"/>
        <v>#N/A</v>
      </c>
      <c r="AF127" t="e">
        <f t="shared" si="21"/>
        <v>#N/A</v>
      </c>
      <c r="AG127" t="e">
        <f t="shared" si="22"/>
        <v>#N/A</v>
      </c>
      <c r="AH127" t="e">
        <f t="shared" si="29"/>
        <v>#N/A</v>
      </c>
      <c r="AI127" t="e">
        <f t="shared" si="23"/>
        <v>#N/A</v>
      </c>
      <c r="AJ127">
        <f t="shared" si="24"/>
        <v>0</v>
      </c>
      <c r="AK127" t="e">
        <f t="shared" si="25"/>
        <v>#N/A</v>
      </c>
      <c r="AL127" t="e">
        <f t="shared" si="26"/>
        <v>#N/A</v>
      </c>
      <c r="AM127" t="e">
        <f t="shared" si="27"/>
        <v>#N/A</v>
      </c>
      <c r="AN1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7" t="e">
        <f t="shared" si="28"/>
        <v>#N/A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8" t="e">
        <f t="shared" si="15"/>
        <v>#N/A</v>
      </c>
      <c r="AA128" t="e">
        <f t="shared" si="16"/>
        <v>#N/A</v>
      </c>
      <c r="AB128" t="e">
        <f t="shared" si="17"/>
        <v>#N/A</v>
      </c>
      <c r="AC128" t="e">
        <f t="shared" si="18"/>
        <v>#N/A</v>
      </c>
      <c r="AD128" t="e">
        <f t="shared" si="19"/>
        <v>#N/A</v>
      </c>
      <c r="AE128" t="e">
        <f t="shared" si="20"/>
        <v>#N/A</v>
      </c>
      <c r="AF128" t="e">
        <f t="shared" si="21"/>
        <v>#N/A</v>
      </c>
      <c r="AG128" t="e">
        <f t="shared" si="22"/>
        <v>#N/A</v>
      </c>
      <c r="AH128" t="e">
        <f t="shared" si="29"/>
        <v>#N/A</v>
      </c>
      <c r="AI128" t="e">
        <f t="shared" si="23"/>
        <v>#N/A</v>
      </c>
      <c r="AJ128">
        <f t="shared" si="24"/>
        <v>0</v>
      </c>
      <c r="AK128" t="e">
        <f t="shared" si="25"/>
        <v>#N/A</v>
      </c>
      <c r="AL128" t="e">
        <f t="shared" si="26"/>
        <v>#N/A</v>
      </c>
      <c r="AM128" t="e">
        <f t="shared" si="27"/>
        <v>#N/A</v>
      </c>
      <c r="AN1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8" t="e">
        <f t="shared" si="28"/>
        <v>#N/A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9" t="e">
        <f t="shared" si="15"/>
        <v>#N/A</v>
      </c>
      <c r="AA129" t="e">
        <f t="shared" si="16"/>
        <v>#N/A</v>
      </c>
      <c r="AB129" t="e">
        <f t="shared" si="17"/>
        <v>#N/A</v>
      </c>
      <c r="AC129" t="e">
        <f t="shared" si="18"/>
        <v>#N/A</v>
      </c>
      <c r="AD129" t="e">
        <f t="shared" si="19"/>
        <v>#N/A</v>
      </c>
      <c r="AE129" t="e">
        <f t="shared" si="20"/>
        <v>#N/A</v>
      </c>
      <c r="AF129" t="e">
        <f t="shared" si="21"/>
        <v>#N/A</v>
      </c>
      <c r="AG129" t="e">
        <f t="shared" si="22"/>
        <v>#N/A</v>
      </c>
      <c r="AH129" t="e">
        <f t="shared" si="29"/>
        <v>#N/A</v>
      </c>
      <c r="AI129" t="e">
        <f t="shared" si="23"/>
        <v>#N/A</v>
      </c>
      <c r="AJ129">
        <f t="shared" si="24"/>
        <v>0</v>
      </c>
      <c r="AK129" t="e">
        <f t="shared" si="25"/>
        <v>#N/A</v>
      </c>
      <c r="AL129" t="e">
        <f t="shared" si="26"/>
        <v>#N/A</v>
      </c>
      <c r="AM129" t="e">
        <f t="shared" si="27"/>
        <v>#N/A</v>
      </c>
      <c r="AN1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9" t="e">
        <f t="shared" si="28"/>
        <v>#N/A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0" t="e">
        <f t="shared" si="15"/>
        <v>#N/A</v>
      </c>
      <c r="AA130" t="e">
        <f t="shared" si="16"/>
        <v>#N/A</v>
      </c>
      <c r="AB130" t="e">
        <f t="shared" si="17"/>
        <v>#N/A</v>
      </c>
      <c r="AC130" t="e">
        <f t="shared" si="18"/>
        <v>#N/A</v>
      </c>
      <c r="AD130" t="e">
        <f t="shared" si="19"/>
        <v>#N/A</v>
      </c>
      <c r="AE130" t="e">
        <f t="shared" si="20"/>
        <v>#N/A</v>
      </c>
      <c r="AF130" t="e">
        <f t="shared" si="21"/>
        <v>#N/A</v>
      </c>
      <c r="AG130" t="e">
        <f t="shared" si="22"/>
        <v>#N/A</v>
      </c>
      <c r="AH130" t="e">
        <f t="shared" si="29"/>
        <v>#N/A</v>
      </c>
      <c r="AI130" t="e">
        <f t="shared" si="23"/>
        <v>#N/A</v>
      </c>
      <c r="AJ130">
        <f t="shared" si="24"/>
        <v>0</v>
      </c>
      <c r="AK130" t="e">
        <f t="shared" si="25"/>
        <v>#N/A</v>
      </c>
      <c r="AL130" t="e">
        <f t="shared" si="26"/>
        <v>#N/A</v>
      </c>
      <c r="AM130" t="e">
        <f t="shared" si="27"/>
        <v>#N/A</v>
      </c>
      <c r="AN1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0" t="e">
        <f t="shared" si="28"/>
        <v>#N/A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1" t="e">
        <f t="shared" si="15"/>
        <v>#N/A</v>
      </c>
      <c r="AA131" t="e">
        <f t="shared" si="16"/>
        <v>#N/A</v>
      </c>
      <c r="AB131" t="e">
        <f t="shared" si="17"/>
        <v>#N/A</v>
      </c>
      <c r="AC131" t="e">
        <f t="shared" si="18"/>
        <v>#N/A</v>
      </c>
      <c r="AD131" t="e">
        <f t="shared" si="19"/>
        <v>#N/A</v>
      </c>
      <c r="AE131" t="e">
        <f t="shared" si="20"/>
        <v>#N/A</v>
      </c>
      <c r="AF131" t="e">
        <f t="shared" si="21"/>
        <v>#N/A</v>
      </c>
      <c r="AG131" t="e">
        <f t="shared" si="22"/>
        <v>#N/A</v>
      </c>
      <c r="AH131" t="e">
        <f t="shared" si="29"/>
        <v>#N/A</v>
      </c>
      <c r="AI131" t="e">
        <f t="shared" si="23"/>
        <v>#N/A</v>
      </c>
      <c r="AJ131">
        <f t="shared" si="24"/>
        <v>0</v>
      </c>
      <c r="AK131" t="e">
        <f t="shared" si="25"/>
        <v>#N/A</v>
      </c>
      <c r="AL131" t="e">
        <f t="shared" si="26"/>
        <v>#N/A</v>
      </c>
      <c r="AM131" t="e">
        <f t="shared" si="27"/>
        <v>#N/A</v>
      </c>
      <c r="AN1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1" t="e">
        <f t="shared" si="28"/>
        <v>#N/A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2" t="e">
        <f t="shared" si="15"/>
        <v>#N/A</v>
      </c>
      <c r="AA132" t="e">
        <f t="shared" si="16"/>
        <v>#N/A</v>
      </c>
      <c r="AB132" t="e">
        <f t="shared" si="17"/>
        <v>#N/A</v>
      </c>
      <c r="AC132" t="e">
        <f t="shared" si="18"/>
        <v>#N/A</v>
      </c>
      <c r="AD132" t="e">
        <f t="shared" si="19"/>
        <v>#N/A</v>
      </c>
      <c r="AE132" t="e">
        <f t="shared" si="20"/>
        <v>#N/A</v>
      </c>
      <c r="AF132" t="e">
        <f t="shared" si="21"/>
        <v>#N/A</v>
      </c>
      <c r="AG132" t="e">
        <f t="shared" si="22"/>
        <v>#N/A</v>
      </c>
      <c r="AH132" t="e">
        <f t="shared" si="29"/>
        <v>#N/A</v>
      </c>
      <c r="AI132" t="e">
        <f t="shared" si="23"/>
        <v>#N/A</v>
      </c>
      <c r="AJ132">
        <f t="shared" si="24"/>
        <v>0</v>
      </c>
      <c r="AK132" t="e">
        <f t="shared" si="25"/>
        <v>#N/A</v>
      </c>
      <c r="AL132" t="e">
        <f t="shared" si="26"/>
        <v>#N/A</v>
      </c>
      <c r="AM132" t="e">
        <f t="shared" si="27"/>
        <v>#N/A</v>
      </c>
      <c r="AN1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2" t="e">
        <f t="shared" si="28"/>
        <v>#N/A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3" t="e">
        <f t="shared" ref="Z133:Z196" si="30">Y133/1.128</f>
        <v>#N/A</v>
      </c>
      <c r="AA133" t="e">
        <f t="shared" ref="AA133:AA196" si="31">MAX(0,W133-(3*Z133))</f>
        <v>#N/A</v>
      </c>
      <c r="AB133" t="e">
        <f t="shared" ref="AB133:AB196" si="32">MAX(0,W133-(2*Z133))</f>
        <v>#N/A</v>
      </c>
      <c r="AC133" t="e">
        <f t="shared" ref="AC133:AC196" si="33">MAX(0,W133-Z133)</f>
        <v>#N/A</v>
      </c>
      <c r="AD133" t="e">
        <f t="shared" ref="AD133:AD196" si="34">W133+Z133</f>
        <v>#N/A</v>
      </c>
      <c r="AE133" t="e">
        <f t="shared" ref="AE133:AE196" si="35">W133+(2*Z133)</f>
        <v>#N/A</v>
      </c>
      <c r="AF133" t="e">
        <f t="shared" ref="AF133:AF196" si="36">W133+(3*Z133)</f>
        <v>#N/A</v>
      </c>
      <c r="AG133" t="e">
        <f t="shared" ref="AG133:AG196" si="37">IF(OR(V133&gt;AF133,V133&lt;AA133),V133,NA())</f>
        <v>#N/A</v>
      </c>
      <c r="AH133" t="e">
        <f t="shared" si="29"/>
        <v>#N/A</v>
      </c>
      <c r="AI133" t="e">
        <f t="shared" ref="AI133:AI196" si="38">IF(ABS(SUM(AH133:AH135))&gt;=5,V133,NA())</f>
        <v>#N/A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 t="e">
        <f t="shared" ref="AL133:AL196" si="41">IF(V133&lt;W133,-1,IF(V133&gt;W133,1,0))</f>
        <v>#N/A</v>
      </c>
      <c r="AM133" t="e">
        <f t="shared" ref="AM133:AM196" si="42">IF(ABS(SUM(AL133:AL141))=9,V133,NA())</f>
        <v>#N/A</v>
      </c>
      <c r="AN1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3" t="e">
        <f t="shared" ref="AP133:AP196" si="43">AO133-AN133</f>
        <v>#N/A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4" t="e">
        <f t="shared" si="30"/>
        <v>#N/A</v>
      </c>
      <c r="AA134" t="e">
        <f t="shared" si="31"/>
        <v>#N/A</v>
      </c>
      <c r="AB134" t="e">
        <f t="shared" si="32"/>
        <v>#N/A</v>
      </c>
      <c r="AC134" t="e">
        <f t="shared" si="33"/>
        <v>#N/A</v>
      </c>
      <c r="AD134" t="e">
        <f t="shared" si="34"/>
        <v>#N/A</v>
      </c>
      <c r="AE134" t="e">
        <f t="shared" si="35"/>
        <v>#N/A</v>
      </c>
      <c r="AF134" t="e">
        <f t="shared" si="36"/>
        <v>#N/A</v>
      </c>
      <c r="AG134" t="e">
        <f t="shared" si="37"/>
        <v>#N/A</v>
      </c>
      <c r="AH134" t="e">
        <f t="shared" ref="AH134:AH197" si="44">IF(V134&gt;AE134,2,IF(V134&lt;AB134,-2,IF(V134&gt;W134,1,IF(V134&lt;W134,-1,0))))</f>
        <v>#N/A</v>
      </c>
      <c r="AI134" t="e">
        <f t="shared" si="38"/>
        <v>#N/A</v>
      </c>
      <c r="AJ134">
        <f t="shared" si="39"/>
        <v>0</v>
      </c>
      <c r="AK134" t="e">
        <f t="shared" si="40"/>
        <v>#N/A</v>
      </c>
      <c r="AL134" t="e">
        <f t="shared" si="41"/>
        <v>#N/A</v>
      </c>
      <c r="AM134" t="e">
        <f t="shared" si="42"/>
        <v>#N/A</v>
      </c>
      <c r="AN1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4" t="e">
        <f t="shared" si="43"/>
        <v>#N/A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5" t="e">
        <f t="shared" si="30"/>
        <v>#N/A</v>
      </c>
      <c r="AA135" t="e">
        <f t="shared" si="31"/>
        <v>#N/A</v>
      </c>
      <c r="AB135" t="e">
        <f t="shared" si="32"/>
        <v>#N/A</v>
      </c>
      <c r="AC135" t="e">
        <f t="shared" si="33"/>
        <v>#N/A</v>
      </c>
      <c r="AD135" t="e">
        <f t="shared" si="34"/>
        <v>#N/A</v>
      </c>
      <c r="AE135" t="e">
        <f t="shared" si="35"/>
        <v>#N/A</v>
      </c>
      <c r="AF135" t="e">
        <f t="shared" si="36"/>
        <v>#N/A</v>
      </c>
      <c r="AG135" t="e">
        <f t="shared" si="37"/>
        <v>#N/A</v>
      </c>
      <c r="AH135" t="e">
        <f t="shared" si="44"/>
        <v>#N/A</v>
      </c>
      <c r="AI135" t="e">
        <f t="shared" si="38"/>
        <v>#N/A</v>
      </c>
      <c r="AJ135">
        <f t="shared" si="39"/>
        <v>0</v>
      </c>
      <c r="AK135" t="e">
        <f t="shared" si="40"/>
        <v>#N/A</v>
      </c>
      <c r="AL135" t="e">
        <f t="shared" si="41"/>
        <v>#N/A</v>
      </c>
      <c r="AM135" t="e">
        <f t="shared" si="42"/>
        <v>#N/A</v>
      </c>
      <c r="AN1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5" t="e">
        <f t="shared" si="43"/>
        <v>#N/A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6" t="e">
        <f t="shared" si="30"/>
        <v>#N/A</v>
      </c>
      <c r="AA136" t="e">
        <f t="shared" si="31"/>
        <v>#N/A</v>
      </c>
      <c r="AB136" t="e">
        <f t="shared" si="32"/>
        <v>#N/A</v>
      </c>
      <c r="AC136" t="e">
        <f t="shared" si="33"/>
        <v>#N/A</v>
      </c>
      <c r="AD136" t="e">
        <f t="shared" si="34"/>
        <v>#N/A</v>
      </c>
      <c r="AE136" t="e">
        <f t="shared" si="35"/>
        <v>#N/A</v>
      </c>
      <c r="AF136" t="e">
        <f t="shared" si="36"/>
        <v>#N/A</v>
      </c>
      <c r="AG136" t="e">
        <f t="shared" si="37"/>
        <v>#N/A</v>
      </c>
      <c r="AH136" t="e">
        <f t="shared" si="44"/>
        <v>#N/A</v>
      </c>
      <c r="AI136" t="e">
        <f t="shared" si="38"/>
        <v>#N/A</v>
      </c>
      <c r="AJ136">
        <f t="shared" si="39"/>
        <v>0</v>
      </c>
      <c r="AK136" t="e">
        <f t="shared" si="40"/>
        <v>#N/A</v>
      </c>
      <c r="AL136" t="e">
        <f t="shared" si="41"/>
        <v>#N/A</v>
      </c>
      <c r="AM136" t="e">
        <f t="shared" si="42"/>
        <v>#N/A</v>
      </c>
      <c r="AN1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6" t="e">
        <f t="shared" si="43"/>
        <v>#N/A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7" t="e">
        <f t="shared" si="30"/>
        <v>#N/A</v>
      </c>
      <c r="AA137" t="e">
        <f t="shared" si="31"/>
        <v>#N/A</v>
      </c>
      <c r="AB137" t="e">
        <f t="shared" si="32"/>
        <v>#N/A</v>
      </c>
      <c r="AC137" t="e">
        <f t="shared" si="33"/>
        <v>#N/A</v>
      </c>
      <c r="AD137" t="e">
        <f t="shared" si="34"/>
        <v>#N/A</v>
      </c>
      <c r="AE137" t="e">
        <f t="shared" si="35"/>
        <v>#N/A</v>
      </c>
      <c r="AF137" t="e">
        <f t="shared" si="36"/>
        <v>#N/A</v>
      </c>
      <c r="AG137" t="e">
        <f t="shared" si="37"/>
        <v>#N/A</v>
      </c>
      <c r="AH137" t="e">
        <f t="shared" si="44"/>
        <v>#N/A</v>
      </c>
      <c r="AI137" t="e">
        <f t="shared" si="38"/>
        <v>#N/A</v>
      </c>
      <c r="AJ137">
        <f t="shared" si="39"/>
        <v>0</v>
      </c>
      <c r="AK137" t="e">
        <f t="shared" si="40"/>
        <v>#N/A</v>
      </c>
      <c r="AL137" t="e">
        <f t="shared" si="41"/>
        <v>#N/A</v>
      </c>
      <c r="AM137" t="e">
        <f t="shared" si="42"/>
        <v>#N/A</v>
      </c>
      <c r="AN1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7" t="e">
        <f t="shared" si="43"/>
        <v>#N/A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8" t="e">
        <f t="shared" si="30"/>
        <v>#N/A</v>
      </c>
      <c r="AA138" t="e">
        <f t="shared" si="31"/>
        <v>#N/A</v>
      </c>
      <c r="AB138" t="e">
        <f t="shared" si="32"/>
        <v>#N/A</v>
      </c>
      <c r="AC138" t="e">
        <f t="shared" si="33"/>
        <v>#N/A</v>
      </c>
      <c r="AD138" t="e">
        <f t="shared" si="34"/>
        <v>#N/A</v>
      </c>
      <c r="AE138" t="e">
        <f t="shared" si="35"/>
        <v>#N/A</v>
      </c>
      <c r="AF138" t="e">
        <f t="shared" si="36"/>
        <v>#N/A</v>
      </c>
      <c r="AG138" t="e">
        <f t="shared" si="37"/>
        <v>#N/A</v>
      </c>
      <c r="AH138" t="e">
        <f t="shared" si="44"/>
        <v>#N/A</v>
      </c>
      <c r="AI138" t="e">
        <f t="shared" si="38"/>
        <v>#N/A</v>
      </c>
      <c r="AJ138">
        <f t="shared" si="39"/>
        <v>0</v>
      </c>
      <c r="AK138" t="e">
        <f t="shared" si="40"/>
        <v>#N/A</v>
      </c>
      <c r="AL138" t="e">
        <f t="shared" si="41"/>
        <v>#N/A</v>
      </c>
      <c r="AM138" t="e">
        <f t="shared" si="42"/>
        <v>#N/A</v>
      </c>
      <c r="AN1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8" t="e">
        <f t="shared" si="43"/>
        <v>#N/A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9" t="e">
        <f t="shared" si="30"/>
        <v>#N/A</v>
      </c>
      <c r="AA139" t="e">
        <f t="shared" si="31"/>
        <v>#N/A</v>
      </c>
      <c r="AB139" t="e">
        <f t="shared" si="32"/>
        <v>#N/A</v>
      </c>
      <c r="AC139" t="e">
        <f t="shared" si="33"/>
        <v>#N/A</v>
      </c>
      <c r="AD139" t="e">
        <f t="shared" si="34"/>
        <v>#N/A</v>
      </c>
      <c r="AE139" t="e">
        <f t="shared" si="35"/>
        <v>#N/A</v>
      </c>
      <c r="AF139" t="e">
        <f t="shared" si="36"/>
        <v>#N/A</v>
      </c>
      <c r="AG139" t="e">
        <f t="shared" si="37"/>
        <v>#N/A</v>
      </c>
      <c r="AH139" t="e">
        <f t="shared" si="44"/>
        <v>#N/A</v>
      </c>
      <c r="AI139" t="e">
        <f t="shared" si="38"/>
        <v>#N/A</v>
      </c>
      <c r="AJ139">
        <f t="shared" si="39"/>
        <v>0</v>
      </c>
      <c r="AK139" t="e">
        <f t="shared" si="40"/>
        <v>#N/A</v>
      </c>
      <c r="AL139" t="e">
        <f t="shared" si="41"/>
        <v>#N/A</v>
      </c>
      <c r="AM139" t="e">
        <f t="shared" si="42"/>
        <v>#N/A</v>
      </c>
      <c r="AN1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9" t="e">
        <f t="shared" si="43"/>
        <v>#N/A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0" t="e">
        <f t="shared" si="30"/>
        <v>#N/A</v>
      </c>
      <c r="AA140" t="e">
        <f t="shared" si="31"/>
        <v>#N/A</v>
      </c>
      <c r="AB140" t="e">
        <f t="shared" si="32"/>
        <v>#N/A</v>
      </c>
      <c r="AC140" t="e">
        <f t="shared" si="33"/>
        <v>#N/A</v>
      </c>
      <c r="AD140" t="e">
        <f t="shared" si="34"/>
        <v>#N/A</v>
      </c>
      <c r="AE140" t="e">
        <f t="shared" si="35"/>
        <v>#N/A</v>
      </c>
      <c r="AF140" t="e">
        <f t="shared" si="36"/>
        <v>#N/A</v>
      </c>
      <c r="AG140" t="e">
        <f t="shared" si="37"/>
        <v>#N/A</v>
      </c>
      <c r="AH140" t="e">
        <f t="shared" si="44"/>
        <v>#N/A</v>
      </c>
      <c r="AI140" t="e">
        <f t="shared" si="38"/>
        <v>#N/A</v>
      </c>
      <c r="AJ140">
        <f t="shared" si="39"/>
        <v>0</v>
      </c>
      <c r="AK140" t="e">
        <f t="shared" si="40"/>
        <v>#N/A</v>
      </c>
      <c r="AL140" t="e">
        <f t="shared" si="41"/>
        <v>#N/A</v>
      </c>
      <c r="AM140" t="e">
        <f t="shared" si="42"/>
        <v>#N/A</v>
      </c>
      <c r="AN1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0" t="e">
        <f t="shared" si="43"/>
        <v>#N/A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1" t="e">
        <f t="shared" si="30"/>
        <v>#N/A</v>
      </c>
      <c r="AA141" t="e">
        <f t="shared" si="31"/>
        <v>#N/A</v>
      </c>
      <c r="AB141" t="e">
        <f t="shared" si="32"/>
        <v>#N/A</v>
      </c>
      <c r="AC141" t="e">
        <f t="shared" si="33"/>
        <v>#N/A</v>
      </c>
      <c r="AD141" t="e">
        <f t="shared" si="34"/>
        <v>#N/A</v>
      </c>
      <c r="AE141" t="e">
        <f t="shared" si="35"/>
        <v>#N/A</v>
      </c>
      <c r="AF141" t="e">
        <f t="shared" si="36"/>
        <v>#N/A</v>
      </c>
      <c r="AG141" t="e">
        <f t="shared" si="37"/>
        <v>#N/A</v>
      </c>
      <c r="AH141" t="e">
        <f t="shared" si="44"/>
        <v>#N/A</v>
      </c>
      <c r="AI141" t="e">
        <f t="shared" si="38"/>
        <v>#N/A</v>
      </c>
      <c r="AJ141">
        <f t="shared" si="39"/>
        <v>0</v>
      </c>
      <c r="AK141" t="e">
        <f t="shared" si="40"/>
        <v>#N/A</v>
      </c>
      <c r="AL141" t="e">
        <f t="shared" si="41"/>
        <v>#N/A</v>
      </c>
      <c r="AM141" t="e">
        <f t="shared" si="42"/>
        <v>#N/A</v>
      </c>
      <c r="AN1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1" t="e">
        <f t="shared" si="43"/>
        <v>#N/A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2" t="e">
        <f t="shared" si="30"/>
        <v>#N/A</v>
      </c>
      <c r="AA142" t="e">
        <f t="shared" si="31"/>
        <v>#N/A</v>
      </c>
      <c r="AB142" t="e">
        <f t="shared" si="32"/>
        <v>#N/A</v>
      </c>
      <c r="AC142" t="e">
        <f t="shared" si="33"/>
        <v>#N/A</v>
      </c>
      <c r="AD142" t="e">
        <f t="shared" si="34"/>
        <v>#N/A</v>
      </c>
      <c r="AE142" t="e">
        <f t="shared" si="35"/>
        <v>#N/A</v>
      </c>
      <c r="AF142" t="e">
        <f t="shared" si="36"/>
        <v>#N/A</v>
      </c>
      <c r="AG142" t="e">
        <f t="shared" si="37"/>
        <v>#N/A</v>
      </c>
      <c r="AH142" t="e">
        <f t="shared" si="44"/>
        <v>#N/A</v>
      </c>
      <c r="AI142" t="e">
        <f t="shared" si="38"/>
        <v>#N/A</v>
      </c>
      <c r="AJ142">
        <f t="shared" si="39"/>
        <v>0</v>
      </c>
      <c r="AK142" t="e">
        <f t="shared" si="40"/>
        <v>#N/A</v>
      </c>
      <c r="AL142" t="e">
        <f t="shared" si="41"/>
        <v>#N/A</v>
      </c>
      <c r="AM142" t="e">
        <f t="shared" si="42"/>
        <v>#N/A</v>
      </c>
      <c r="AN1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2" t="e">
        <f t="shared" si="43"/>
        <v>#N/A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3" t="e">
        <f t="shared" si="30"/>
        <v>#N/A</v>
      </c>
      <c r="AA143" t="e">
        <f t="shared" si="31"/>
        <v>#N/A</v>
      </c>
      <c r="AB143" t="e">
        <f t="shared" si="32"/>
        <v>#N/A</v>
      </c>
      <c r="AC143" t="e">
        <f t="shared" si="33"/>
        <v>#N/A</v>
      </c>
      <c r="AD143" t="e">
        <f t="shared" si="34"/>
        <v>#N/A</v>
      </c>
      <c r="AE143" t="e">
        <f t="shared" si="35"/>
        <v>#N/A</v>
      </c>
      <c r="AF143" t="e">
        <f t="shared" si="36"/>
        <v>#N/A</v>
      </c>
      <c r="AG143" t="e">
        <f t="shared" si="37"/>
        <v>#N/A</v>
      </c>
      <c r="AH143" t="e">
        <f t="shared" si="44"/>
        <v>#N/A</v>
      </c>
      <c r="AI143" t="e">
        <f t="shared" si="38"/>
        <v>#N/A</v>
      </c>
      <c r="AJ143">
        <f t="shared" si="39"/>
        <v>0</v>
      </c>
      <c r="AK143" t="e">
        <f t="shared" si="40"/>
        <v>#N/A</v>
      </c>
      <c r="AL143" t="e">
        <f t="shared" si="41"/>
        <v>#N/A</v>
      </c>
      <c r="AM143" t="e">
        <f t="shared" si="42"/>
        <v>#N/A</v>
      </c>
      <c r="AN1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3" t="e">
        <f t="shared" si="43"/>
        <v>#N/A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4" t="e">
        <f t="shared" si="30"/>
        <v>#N/A</v>
      </c>
      <c r="AA144" t="e">
        <f t="shared" si="31"/>
        <v>#N/A</v>
      </c>
      <c r="AB144" t="e">
        <f t="shared" si="32"/>
        <v>#N/A</v>
      </c>
      <c r="AC144" t="e">
        <f t="shared" si="33"/>
        <v>#N/A</v>
      </c>
      <c r="AD144" t="e">
        <f t="shared" si="34"/>
        <v>#N/A</v>
      </c>
      <c r="AE144" t="e">
        <f t="shared" si="35"/>
        <v>#N/A</v>
      </c>
      <c r="AF144" t="e">
        <f t="shared" si="36"/>
        <v>#N/A</v>
      </c>
      <c r="AG144" t="e">
        <f t="shared" si="37"/>
        <v>#N/A</v>
      </c>
      <c r="AH144" t="e">
        <f t="shared" si="44"/>
        <v>#N/A</v>
      </c>
      <c r="AI144" t="e">
        <f t="shared" si="38"/>
        <v>#N/A</v>
      </c>
      <c r="AJ144">
        <f t="shared" si="39"/>
        <v>0</v>
      </c>
      <c r="AK144" t="e">
        <f t="shared" si="40"/>
        <v>#N/A</v>
      </c>
      <c r="AL144" t="e">
        <f t="shared" si="41"/>
        <v>#N/A</v>
      </c>
      <c r="AM144" t="e">
        <f t="shared" si="42"/>
        <v>#N/A</v>
      </c>
      <c r="AN1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4" t="e">
        <f t="shared" si="43"/>
        <v>#N/A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5" t="e">
        <f t="shared" si="30"/>
        <v>#N/A</v>
      </c>
      <c r="AA145" t="e">
        <f t="shared" si="31"/>
        <v>#N/A</v>
      </c>
      <c r="AB145" t="e">
        <f t="shared" si="32"/>
        <v>#N/A</v>
      </c>
      <c r="AC145" t="e">
        <f t="shared" si="33"/>
        <v>#N/A</v>
      </c>
      <c r="AD145" t="e">
        <f t="shared" si="34"/>
        <v>#N/A</v>
      </c>
      <c r="AE145" t="e">
        <f t="shared" si="35"/>
        <v>#N/A</v>
      </c>
      <c r="AF145" t="e">
        <f t="shared" si="36"/>
        <v>#N/A</v>
      </c>
      <c r="AG145" t="e">
        <f t="shared" si="37"/>
        <v>#N/A</v>
      </c>
      <c r="AH145" t="e">
        <f t="shared" si="44"/>
        <v>#N/A</v>
      </c>
      <c r="AI145" t="e">
        <f t="shared" si="38"/>
        <v>#N/A</v>
      </c>
      <c r="AJ145">
        <f t="shared" si="39"/>
        <v>0</v>
      </c>
      <c r="AK145" t="e">
        <f t="shared" si="40"/>
        <v>#N/A</v>
      </c>
      <c r="AL145" t="e">
        <f t="shared" si="41"/>
        <v>#N/A</v>
      </c>
      <c r="AM145" t="e">
        <f t="shared" si="42"/>
        <v>#N/A</v>
      </c>
      <c r="AN1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5" t="e">
        <f t="shared" si="43"/>
        <v>#N/A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6" t="e">
        <f t="shared" si="30"/>
        <v>#N/A</v>
      </c>
      <c r="AA146" t="e">
        <f t="shared" si="31"/>
        <v>#N/A</v>
      </c>
      <c r="AB146" t="e">
        <f t="shared" si="32"/>
        <v>#N/A</v>
      </c>
      <c r="AC146" t="e">
        <f t="shared" si="33"/>
        <v>#N/A</v>
      </c>
      <c r="AD146" t="e">
        <f t="shared" si="34"/>
        <v>#N/A</v>
      </c>
      <c r="AE146" t="e">
        <f t="shared" si="35"/>
        <v>#N/A</v>
      </c>
      <c r="AF146" t="e">
        <f t="shared" si="36"/>
        <v>#N/A</v>
      </c>
      <c r="AG146" t="e">
        <f t="shared" si="37"/>
        <v>#N/A</v>
      </c>
      <c r="AH146" t="e">
        <f t="shared" si="44"/>
        <v>#N/A</v>
      </c>
      <c r="AI146" t="e">
        <f t="shared" si="38"/>
        <v>#N/A</v>
      </c>
      <c r="AJ146">
        <f t="shared" si="39"/>
        <v>0</v>
      </c>
      <c r="AK146" t="e">
        <f t="shared" si="40"/>
        <v>#N/A</v>
      </c>
      <c r="AL146" t="e">
        <f t="shared" si="41"/>
        <v>#N/A</v>
      </c>
      <c r="AM146" t="e">
        <f t="shared" si="42"/>
        <v>#N/A</v>
      </c>
      <c r="AN1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6" t="e">
        <f t="shared" si="43"/>
        <v>#N/A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7" t="e">
        <f t="shared" si="30"/>
        <v>#N/A</v>
      </c>
      <c r="AA147" t="e">
        <f t="shared" si="31"/>
        <v>#N/A</v>
      </c>
      <c r="AB147" t="e">
        <f t="shared" si="32"/>
        <v>#N/A</v>
      </c>
      <c r="AC147" t="e">
        <f t="shared" si="33"/>
        <v>#N/A</v>
      </c>
      <c r="AD147" t="e">
        <f t="shared" si="34"/>
        <v>#N/A</v>
      </c>
      <c r="AE147" t="e">
        <f t="shared" si="35"/>
        <v>#N/A</v>
      </c>
      <c r="AF147" t="e">
        <f t="shared" si="36"/>
        <v>#N/A</v>
      </c>
      <c r="AG147" t="e">
        <f t="shared" si="37"/>
        <v>#N/A</v>
      </c>
      <c r="AH147" t="e">
        <f t="shared" si="44"/>
        <v>#N/A</v>
      </c>
      <c r="AI147" t="e">
        <f t="shared" si="38"/>
        <v>#N/A</v>
      </c>
      <c r="AJ147">
        <f t="shared" si="39"/>
        <v>0</v>
      </c>
      <c r="AK147" t="e">
        <f t="shared" si="40"/>
        <v>#N/A</v>
      </c>
      <c r="AL147" t="e">
        <f t="shared" si="41"/>
        <v>#N/A</v>
      </c>
      <c r="AM147" t="e">
        <f t="shared" si="42"/>
        <v>#N/A</v>
      </c>
      <c r="AN1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7" t="e">
        <f t="shared" si="43"/>
        <v>#N/A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8" t="e">
        <f t="shared" si="30"/>
        <v>#N/A</v>
      </c>
      <c r="AA148" t="e">
        <f t="shared" si="31"/>
        <v>#N/A</v>
      </c>
      <c r="AB148" t="e">
        <f t="shared" si="32"/>
        <v>#N/A</v>
      </c>
      <c r="AC148" t="e">
        <f t="shared" si="33"/>
        <v>#N/A</v>
      </c>
      <c r="AD148" t="e">
        <f t="shared" si="34"/>
        <v>#N/A</v>
      </c>
      <c r="AE148" t="e">
        <f t="shared" si="35"/>
        <v>#N/A</v>
      </c>
      <c r="AF148" t="e">
        <f t="shared" si="36"/>
        <v>#N/A</v>
      </c>
      <c r="AG148" t="e">
        <f t="shared" si="37"/>
        <v>#N/A</v>
      </c>
      <c r="AH148" t="e">
        <f t="shared" si="44"/>
        <v>#N/A</v>
      </c>
      <c r="AI148" t="e">
        <f t="shared" si="38"/>
        <v>#N/A</v>
      </c>
      <c r="AJ148">
        <f t="shared" si="39"/>
        <v>0</v>
      </c>
      <c r="AK148" t="e">
        <f t="shared" si="40"/>
        <v>#N/A</v>
      </c>
      <c r="AL148" t="e">
        <f t="shared" si="41"/>
        <v>#N/A</v>
      </c>
      <c r="AM148" t="e">
        <f t="shared" si="42"/>
        <v>#N/A</v>
      </c>
      <c r="AN1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8" t="e">
        <f t="shared" si="43"/>
        <v>#N/A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9" t="e">
        <f t="shared" si="30"/>
        <v>#N/A</v>
      </c>
      <c r="AA149" t="e">
        <f t="shared" si="31"/>
        <v>#N/A</v>
      </c>
      <c r="AB149" t="e">
        <f t="shared" si="32"/>
        <v>#N/A</v>
      </c>
      <c r="AC149" t="e">
        <f t="shared" si="33"/>
        <v>#N/A</v>
      </c>
      <c r="AD149" t="e">
        <f t="shared" si="34"/>
        <v>#N/A</v>
      </c>
      <c r="AE149" t="e">
        <f t="shared" si="35"/>
        <v>#N/A</v>
      </c>
      <c r="AF149" t="e">
        <f t="shared" si="36"/>
        <v>#N/A</v>
      </c>
      <c r="AG149" t="e">
        <f t="shared" si="37"/>
        <v>#N/A</v>
      </c>
      <c r="AH149" t="e">
        <f t="shared" si="44"/>
        <v>#N/A</v>
      </c>
      <c r="AI149" t="e">
        <f t="shared" si="38"/>
        <v>#N/A</v>
      </c>
      <c r="AJ149">
        <f t="shared" si="39"/>
        <v>0</v>
      </c>
      <c r="AK149" t="e">
        <f t="shared" si="40"/>
        <v>#N/A</v>
      </c>
      <c r="AL149" t="e">
        <f t="shared" si="41"/>
        <v>#N/A</v>
      </c>
      <c r="AM149" t="e">
        <f t="shared" si="42"/>
        <v>#N/A</v>
      </c>
      <c r="AN1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9" t="e">
        <f t="shared" si="43"/>
        <v>#N/A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0" t="e">
        <f t="shared" si="30"/>
        <v>#N/A</v>
      </c>
      <c r="AA150" t="e">
        <f t="shared" si="31"/>
        <v>#N/A</v>
      </c>
      <c r="AB150" t="e">
        <f t="shared" si="32"/>
        <v>#N/A</v>
      </c>
      <c r="AC150" t="e">
        <f t="shared" si="33"/>
        <v>#N/A</v>
      </c>
      <c r="AD150" t="e">
        <f t="shared" si="34"/>
        <v>#N/A</v>
      </c>
      <c r="AE150" t="e">
        <f t="shared" si="35"/>
        <v>#N/A</v>
      </c>
      <c r="AF150" t="e">
        <f t="shared" si="36"/>
        <v>#N/A</v>
      </c>
      <c r="AG150" t="e">
        <f t="shared" si="37"/>
        <v>#N/A</v>
      </c>
      <c r="AH150" t="e">
        <f t="shared" si="44"/>
        <v>#N/A</v>
      </c>
      <c r="AI150" t="e">
        <f t="shared" si="38"/>
        <v>#N/A</v>
      </c>
      <c r="AJ150">
        <f t="shared" si="39"/>
        <v>0</v>
      </c>
      <c r="AK150" t="e">
        <f t="shared" si="40"/>
        <v>#N/A</v>
      </c>
      <c r="AL150" t="e">
        <f t="shared" si="41"/>
        <v>#N/A</v>
      </c>
      <c r="AM150" t="e">
        <f t="shared" si="42"/>
        <v>#N/A</v>
      </c>
      <c r="AN1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0" t="e">
        <f t="shared" si="43"/>
        <v>#N/A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1" t="e">
        <f t="shared" si="30"/>
        <v>#N/A</v>
      </c>
      <c r="AA151" t="e">
        <f t="shared" si="31"/>
        <v>#N/A</v>
      </c>
      <c r="AB151" t="e">
        <f t="shared" si="32"/>
        <v>#N/A</v>
      </c>
      <c r="AC151" t="e">
        <f t="shared" si="33"/>
        <v>#N/A</v>
      </c>
      <c r="AD151" t="e">
        <f t="shared" si="34"/>
        <v>#N/A</v>
      </c>
      <c r="AE151" t="e">
        <f t="shared" si="35"/>
        <v>#N/A</v>
      </c>
      <c r="AF151" t="e">
        <f t="shared" si="36"/>
        <v>#N/A</v>
      </c>
      <c r="AG151" t="e">
        <f t="shared" si="37"/>
        <v>#N/A</v>
      </c>
      <c r="AH151" t="e">
        <f t="shared" si="44"/>
        <v>#N/A</v>
      </c>
      <c r="AI151" t="e">
        <f t="shared" si="38"/>
        <v>#N/A</v>
      </c>
      <c r="AJ151">
        <f t="shared" si="39"/>
        <v>0</v>
      </c>
      <c r="AK151" t="e">
        <f t="shared" si="40"/>
        <v>#N/A</v>
      </c>
      <c r="AL151" t="e">
        <f t="shared" si="41"/>
        <v>#N/A</v>
      </c>
      <c r="AM151" t="e">
        <f t="shared" si="42"/>
        <v>#N/A</v>
      </c>
      <c r="AN1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1" t="e">
        <f t="shared" si="43"/>
        <v>#N/A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2" t="e">
        <f t="shared" si="30"/>
        <v>#N/A</v>
      </c>
      <c r="AA152" t="e">
        <f t="shared" si="31"/>
        <v>#N/A</v>
      </c>
      <c r="AB152" t="e">
        <f t="shared" si="32"/>
        <v>#N/A</v>
      </c>
      <c r="AC152" t="e">
        <f t="shared" si="33"/>
        <v>#N/A</v>
      </c>
      <c r="AD152" t="e">
        <f t="shared" si="34"/>
        <v>#N/A</v>
      </c>
      <c r="AE152" t="e">
        <f t="shared" si="35"/>
        <v>#N/A</v>
      </c>
      <c r="AF152" t="e">
        <f t="shared" si="36"/>
        <v>#N/A</v>
      </c>
      <c r="AG152" t="e">
        <f t="shared" si="37"/>
        <v>#N/A</v>
      </c>
      <c r="AH152" t="e">
        <f t="shared" si="44"/>
        <v>#N/A</v>
      </c>
      <c r="AI152" t="e">
        <f t="shared" si="38"/>
        <v>#N/A</v>
      </c>
      <c r="AJ152">
        <f t="shared" si="39"/>
        <v>0</v>
      </c>
      <c r="AK152" t="e">
        <f t="shared" si="40"/>
        <v>#N/A</v>
      </c>
      <c r="AL152" t="e">
        <f t="shared" si="41"/>
        <v>#N/A</v>
      </c>
      <c r="AM152" t="e">
        <f t="shared" si="42"/>
        <v>#N/A</v>
      </c>
      <c r="AN1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2" t="e">
        <f t="shared" si="43"/>
        <v>#N/A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3" t="e">
        <f t="shared" si="30"/>
        <v>#N/A</v>
      </c>
      <c r="AA153" t="e">
        <f t="shared" si="31"/>
        <v>#N/A</v>
      </c>
      <c r="AB153" t="e">
        <f t="shared" si="32"/>
        <v>#N/A</v>
      </c>
      <c r="AC153" t="e">
        <f t="shared" si="33"/>
        <v>#N/A</v>
      </c>
      <c r="AD153" t="e">
        <f t="shared" si="34"/>
        <v>#N/A</v>
      </c>
      <c r="AE153" t="e">
        <f t="shared" si="35"/>
        <v>#N/A</v>
      </c>
      <c r="AF153" t="e">
        <f t="shared" si="36"/>
        <v>#N/A</v>
      </c>
      <c r="AG153" t="e">
        <f t="shared" si="37"/>
        <v>#N/A</v>
      </c>
      <c r="AH153" t="e">
        <f t="shared" si="44"/>
        <v>#N/A</v>
      </c>
      <c r="AI153" t="e">
        <f t="shared" si="38"/>
        <v>#N/A</v>
      </c>
      <c r="AJ153">
        <f t="shared" si="39"/>
        <v>0</v>
      </c>
      <c r="AK153" t="e">
        <f t="shared" si="40"/>
        <v>#N/A</v>
      </c>
      <c r="AL153" t="e">
        <f t="shared" si="41"/>
        <v>#N/A</v>
      </c>
      <c r="AM153" t="e">
        <f t="shared" si="42"/>
        <v>#N/A</v>
      </c>
      <c r="AN1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3" t="e">
        <f t="shared" si="43"/>
        <v>#N/A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4" t="e">
        <f t="shared" si="30"/>
        <v>#N/A</v>
      </c>
      <c r="AA154" t="e">
        <f t="shared" si="31"/>
        <v>#N/A</v>
      </c>
      <c r="AB154" t="e">
        <f t="shared" si="32"/>
        <v>#N/A</v>
      </c>
      <c r="AC154" t="e">
        <f t="shared" si="33"/>
        <v>#N/A</v>
      </c>
      <c r="AD154" t="e">
        <f t="shared" si="34"/>
        <v>#N/A</v>
      </c>
      <c r="AE154" t="e">
        <f t="shared" si="35"/>
        <v>#N/A</v>
      </c>
      <c r="AF154" t="e">
        <f t="shared" si="36"/>
        <v>#N/A</v>
      </c>
      <c r="AG154" t="e">
        <f t="shared" si="37"/>
        <v>#N/A</v>
      </c>
      <c r="AH154" t="e">
        <f t="shared" si="44"/>
        <v>#N/A</v>
      </c>
      <c r="AI154" t="e">
        <f t="shared" si="38"/>
        <v>#N/A</v>
      </c>
      <c r="AJ154">
        <f t="shared" si="39"/>
        <v>0</v>
      </c>
      <c r="AK154" t="e">
        <f t="shared" si="40"/>
        <v>#N/A</v>
      </c>
      <c r="AL154" t="e">
        <f t="shared" si="41"/>
        <v>#N/A</v>
      </c>
      <c r="AM154" t="e">
        <f t="shared" si="42"/>
        <v>#N/A</v>
      </c>
      <c r="AN1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4" t="e">
        <f t="shared" si="43"/>
        <v>#N/A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5" t="e">
        <f t="shared" si="30"/>
        <v>#N/A</v>
      </c>
      <c r="AA155" t="e">
        <f t="shared" si="31"/>
        <v>#N/A</v>
      </c>
      <c r="AB155" t="e">
        <f t="shared" si="32"/>
        <v>#N/A</v>
      </c>
      <c r="AC155" t="e">
        <f t="shared" si="33"/>
        <v>#N/A</v>
      </c>
      <c r="AD155" t="e">
        <f t="shared" si="34"/>
        <v>#N/A</v>
      </c>
      <c r="AE155" t="e">
        <f t="shared" si="35"/>
        <v>#N/A</v>
      </c>
      <c r="AF155" t="e">
        <f t="shared" si="36"/>
        <v>#N/A</v>
      </c>
      <c r="AG155" t="e">
        <f t="shared" si="37"/>
        <v>#N/A</v>
      </c>
      <c r="AH155" t="e">
        <f t="shared" si="44"/>
        <v>#N/A</v>
      </c>
      <c r="AI155" t="e">
        <f t="shared" si="38"/>
        <v>#N/A</v>
      </c>
      <c r="AJ155">
        <f t="shared" si="39"/>
        <v>0</v>
      </c>
      <c r="AK155" t="e">
        <f t="shared" si="40"/>
        <v>#N/A</v>
      </c>
      <c r="AL155" t="e">
        <f t="shared" si="41"/>
        <v>#N/A</v>
      </c>
      <c r="AM155" t="e">
        <f t="shared" si="42"/>
        <v>#N/A</v>
      </c>
      <c r="AN1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5" t="e">
        <f t="shared" si="43"/>
        <v>#N/A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6" t="e">
        <f t="shared" si="30"/>
        <v>#N/A</v>
      </c>
      <c r="AA156" t="e">
        <f t="shared" si="31"/>
        <v>#N/A</v>
      </c>
      <c r="AB156" t="e">
        <f t="shared" si="32"/>
        <v>#N/A</v>
      </c>
      <c r="AC156" t="e">
        <f t="shared" si="33"/>
        <v>#N/A</v>
      </c>
      <c r="AD156" t="e">
        <f t="shared" si="34"/>
        <v>#N/A</v>
      </c>
      <c r="AE156" t="e">
        <f t="shared" si="35"/>
        <v>#N/A</v>
      </c>
      <c r="AF156" t="e">
        <f t="shared" si="36"/>
        <v>#N/A</v>
      </c>
      <c r="AG156" t="e">
        <f t="shared" si="37"/>
        <v>#N/A</v>
      </c>
      <c r="AH156" t="e">
        <f t="shared" si="44"/>
        <v>#N/A</v>
      </c>
      <c r="AI156" t="e">
        <f t="shared" si="38"/>
        <v>#N/A</v>
      </c>
      <c r="AJ156">
        <f t="shared" si="39"/>
        <v>0</v>
      </c>
      <c r="AK156" t="e">
        <f t="shared" si="40"/>
        <v>#N/A</v>
      </c>
      <c r="AL156" t="e">
        <f t="shared" si="41"/>
        <v>#N/A</v>
      </c>
      <c r="AM156" t="e">
        <f t="shared" si="42"/>
        <v>#N/A</v>
      </c>
      <c r="AN1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6" t="e">
        <f t="shared" si="43"/>
        <v>#N/A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7" t="e">
        <f t="shared" si="30"/>
        <v>#N/A</v>
      </c>
      <c r="AA157" t="e">
        <f t="shared" si="31"/>
        <v>#N/A</v>
      </c>
      <c r="AB157" t="e">
        <f t="shared" si="32"/>
        <v>#N/A</v>
      </c>
      <c r="AC157" t="e">
        <f t="shared" si="33"/>
        <v>#N/A</v>
      </c>
      <c r="AD157" t="e">
        <f t="shared" si="34"/>
        <v>#N/A</v>
      </c>
      <c r="AE157" t="e">
        <f t="shared" si="35"/>
        <v>#N/A</v>
      </c>
      <c r="AF157" t="e">
        <f t="shared" si="36"/>
        <v>#N/A</v>
      </c>
      <c r="AG157" t="e">
        <f t="shared" si="37"/>
        <v>#N/A</v>
      </c>
      <c r="AH157" t="e">
        <f t="shared" si="44"/>
        <v>#N/A</v>
      </c>
      <c r="AI157" t="e">
        <f t="shared" si="38"/>
        <v>#N/A</v>
      </c>
      <c r="AJ157">
        <f t="shared" si="39"/>
        <v>0</v>
      </c>
      <c r="AK157" t="e">
        <f t="shared" si="40"/>
        <v>#N/A</v>
      </c>
      <c r="AL157" t="e">
        <f t="shared" si="41"/>
        <v>#N/A</v>
      </c>
      <c r="AM157" t="e">
        <f t="shared" si="42"/>
        <v>#N/A</v>
      </c>
      <c r="AN1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7" t="e">
        <f t="shared" si="43"/>
        <v>#N/A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8" t="e">
        <f t="shared" si="30"/>
        <v>#N/A</v>
      </c>
      <c r="AA158" t="e">
        <f t="shared" si="31"/>
        <v>#N/A</v>
      </c>
      <c r="AB158" t="e">
        <f t="shared" si="32"/>
        <v>#N/A</v>
      </c>
      <c r="AC158" t="e">
        <f t="shared" si="33"/>
        <v>#N/A</v>
      </c>
      <c r="AD158" t="e">
        <f t="shared" si="34"/>
        <v>#N/A</v>
      </c>
      <c r="AE158" t="e">
        <f t="shared" si="35"/>
        <v>#N/A</v>
      </c>
      <c r="AF158" t="e">
        <f t="shared" si="36"/>
        <v>#N/A</v>
      </c>
      <c r="AG158" t="e">
        <f t="shared" si="37"/>
        <v>#N/A</v>
      </c>
      <c r="AH158" t="e">
        <f t="shared" si="44"/>
        <v>#N/A</v>
      </c>
      <c r="AI158" t="e">
        <f t="shared" si="38"/>
        <v>#N/A</v>
      </c>
      <c r="AJ158">
        <f t="shared" si="39"/>
        <v>0</v>
      </c>
      <c r="AK158" t="e">
        <f t="shared" si="40"/>
        <v>#N/A</v>
      </c>
      <c r="AL158" t="e">
        <f t="shared" si="41"/>
        <v>#N/A</v>
      </c>
      <c r="AM158" t="e">
        <f t="shared" si="42"/>
        <v>#N/A</v>
      </c>
      <c r="AN1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8" t="e">
        <f t="shared" si="43"/>
        <v>#N/A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9" t="e">
        <f t="shared" si="30"/>
        <v>#N/A</v>
      </c>
      <c r="AA159" t="e">
        <f t="shared" si="31"/>
        <v>#N/A</v>
      </c>
      <c r="AB159" t="e">
        <f t="shared" si="32"/>
        <v>#N/A</v>
      </c>
      <c r="AC159" t="e">
        <f t="shared" si="33"/>
        <v>#N/A</v>
      </c>
      <c r="AD159" t="e">
        <f t="shared" si="34"/>
        <v>#N/A</v>
      </c>
      <c r="AE159" t="e">
        <f t="shared" si="35"/>
        <v>#N/A</v>
      </c>
      <c r="AF159" t="e">
        <f t="shared" si="36"/>
        <v>#N/A</v>
      </c>
      <c r="AG159" t="e">
        <f t="shared" si="37"/>
        <v>#N/A</v>
      </c>
      <c r="AH159" t="e">
        <f t="shared" si="44"/>
        <v>#N/A</v>
      </c>
      <c r="AI159" t="e">
        <f t="shared" si="38"/>
        <v>#N/A</v>
      </c>
      <c r="AJ159">
        <f t="shared" si="39"/>
        <v>0</v>
      </c>
      <c r="AK159" t="e">
        <f t="shared" si="40"/>
        <v>#N/A</v>
      </c>
      <c r="AL159" t="e">
        <f t="shared" si="41"/>
        <v>#N/A</v>
      </c>
      <c r="AM159" t="e">
        <f t="shared" si="42"/>
        <v>#N/A</v>
      </c>
      <c r="AN1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9" t="e">
        <f t="shared" si="43"/>
        <v>#N/A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0" t="e">
        <f t="shared" si="30"/>
        <v>#N/A</v>
      </c>
      <c r="AA160" t="e">
        <f t="shared" si="31"/>
        <v>#N/A</v>
      </c>
      <c r="AB160" t="e">
        <f t="shared" si="32"/>
        <v>#N/A</v>
      </c>
      <c r="AC160" t="e">
        <f t="shared" si="33"/>
        <v>#N/A</v>
      </c>
      <c r="AD160" t="e">
        <f t="shared" si="34"/>
        <v>#N/A</v>
      </c>
      <c r="AE160" t="e">
        <f t="shared" si="35"/>
        <v>#N/A</v>
      </c>
      <c r="AF160" t="e">
        <f t="shared" si="36"/>
        <v>#N/A</v>
      </c>
      <c r="AG160" t="e">
        <f t="shared" si="37"/>
        <v>#N/A</v>
      </c>
      <c r="AH160" t="e">
        <f t="shared" si="44"/>
        <v>#N/A</v>
      </c>
      <c r="AI160" t="e">
        <f t="shared" si="38"/>
        <v>#N/A</v>
      </c>
      <c r="AJ160">
        <f t="shared" si="39"/>
        <v>0</v>
      </c>
      <c r="AK160" t="e">
        <f t="shared" si="40"/>
        <v>#N/A</v>
      </c>
      <c r="AL160" t="e">
        <f t="shared" si="41"/>
        <v>#N/A</v>
      </c>
      <c r="AM160" t="e">
        <f t="shared" si="42"/>
        <v>#N/A</v>
      </c>
      <c r="AN1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0" t="e">
        <f t="shared" si="43"/>
        <v>#N/A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1" t="e">
        <f t="shared" si="30"/>
        <v>#N/A</v>
      </c>
      <c r="AA161" t="e">
        <f t="shared" si="31"/>
        <v>#N/A</v>
      </c>
      <c r="AB161" t="e">
        <f t="shared" si="32"/>
        <v>#N/A</v>
      </c>
      <c r="AC161" t="e">
        <f t="shared" si="33"/>
        <v>#N/A</v>
      </c>
      <c r="AD161" t="e">
        <f t="shared" si="34"/>
        <v>#N/A</v>
      </c>
      <c r="AE161" t="e">
        <f t="shared" si="35"/>
        <v>#N/A</v>
      </c>
      <c r="AF161" t="e">
        <f t="shared" si="36"/>
        <v>#N/A</v>
      </c>
      <c r="AG161" t="e">
        <f t="shared" si="37"/>
        <v>#N/A</v>
      </c>
      <c r="AH161" t="e">
        <f t="shared" si="44"/>
        <v>#N/A</v>
      </c>
      <c r="AI161" t="e">
        <f t="shared" si="38"/>
        <v>#N/A</v>
      </c>
      <c r="AJ161">
        <f t="shared" si="39"/>
        <v>0</v>
      </c>
      <c r="AK161" t="e">
        <f t="shared" si="40"/>
        <v>#N/A</v>
      </c>
      <c r="AL161" t="e">
        <f t="shared" si="41"/>
        <v>#N/A</v>
      </c>
      <c r="AM161" t="e">
        <f t="shared" si="42"/>
        <v>#N/A</v>
      </c>
      <c r="AN1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1" t="e">
        <f t="shared" si="43"/>
        <v>#N/A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2" t="e">
        <f t="shared" si="30"/>
        <v>#N/A</v>
      </c>
      <c r="AA162" t="e">
        <f t="shared" si="31"/>
        <v>#N/A</v>
      </c>
      <c r="AB162" t="e">
        <f t="shared" si="32"/>
        <v>#N/A</v>
      </c>
      <c r="AC162" t="e">
        <f t="shared" si="33"/>
        <v>#N/A</v>
      </c>
      <c r="AD162" t="e">
        <f t="shared" si="34"/>
        <v>#N/A</v>
      </c>
      <c r="AE162" t="e">
        <f t="shared" si="35"/>
        <v>#N/A</v>
      </c>
      <c r="AF162" t="e">
        <f t="shared" si="36"/>
        <v>#N/A</v>
      </c>
      <c r="AG162" t="e">
        <f t="shared" si="37"/>
        <v>#N/A</v>
      </c>
      <c r="AH162" t="e">
        <f t="shared" si="44"/>
        <v>#N/A</v>
      </c>
      <c r="AI162" t="e">
        <f t="shared" si="38"/>
        <v>#N/A</v>
      </c>
      <c r="AJ162">
        <f t="shared" si="39"/>
        <v>0</v>
      </c>
      <c r="AK162" t="e">
        <f t="shared" si="40"/>
        <v>#N/A</v>
      </c>
      <c r="AL162" t="e">
        <f t="shared" si="41"/>
        <v>#N/A</v>
      </c>
      <c r="AM162" t="e">
        <f t="shared" si="42"/>
        <v>#N/A</v>
      </c>
      <c r="AN1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2" t="e">
        <f t="shared" si="43"/>
        <v>#N/A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3" t="e">
        <f t="shared" si="30"/>
        <v>#N/A</v>
      </c>
      <c r="AA163" t="e">
        <f t="shared" si="31"/>
        <v>#N/A</v>
      </c>
      <c r="AB163" t="e">
        <f t="shared" si="32"/>
        <v>#N/A</v>
      </c>
      <c r="AC163" t="e">
        <f t="shared" si="33"/>
        <v>#N/A</v>
      </c>
      <c r="AD163" t="e">
        <f t="shared" si="34"/>
        <v>#N/A</v>
      </c>
      <c r="AE163" t="e">
        <f t="shared" si="35"/>
        <v>#N/A</v>
      </c>
      <c r="AF163" t="e">
        <f t="shared" si="36"/>
        <v>#N/A</v>
      </c>
      <c r="AG163" t="e">
        <f t="shared" si="37"/>
        <v>#N/A</v>
      </c>
      <c r="AH163" t="e">
        <f t="shared" si="44"/>
        <v>#N/A</v>
      </c>
      <c r="AI163" t="e">
        <f t="shared" si="38"/>
        <v>#N/A</v>
      </c>
      <c r="AJ163">
        <f t="shared" si="39"/>
        <v>0</v>
      </c>
      <c r="AK163" t="e">
        <f t="shared" si="40"/>
        <v>#N/A</v>
      </c>
      <c r="AL163" t="e">
        <f t="shared" si="41"/>
        <v>#N/A</v>
      </c>
      <c r="AM163" t="e">
        <f t="shared" si="42"/>
        <v>#N/A</v>
      </c>
      <c r="AN1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3" t="e">
        <f t="shared" si="43"/>
        <v>#N/A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4" t="e">
        <f t="shared" si="30"/>
        <v>#N/A</v>
      </c>
      <c r="AA164" t="e">
        <f t="shared" si="31"/>
        <v>#N/A</v>
      </c>
      <c r="AB164" t="e">
        <f t="shared" si="32"/>
        <v>#N/A</v>
      </c>
      <c r="AC164" t="e">
        <f t="shared" si="33"/>
        <v>#N/A</v>
      </c>
      <c r="AD164" t="e">
        <f t="shared" si="34"/>
        <v>#N/A</v>
      </c>
      <c r="AE164" t="e">
        <f t="shared" si="35"/>
        <v>#N/A</v>
      </c>
      <c r="AF164" t="e">
        <f t="shared" si="36"/>
        <v>#N/A</v>
      </c>
      <c r="AG164" t="e">
        <f t="shared" si="37"/>
        <v>#N/A</v>
      </c>
      <c r="AH164" t="e">
        <f t="shared" si="44"/>
        <v>#N/A</v>
      </c>
      <c r="AI164" t="e">
        <f t="shared" si="38"/>
        <v>#N/A</v>
      </c>
      <c r="AJ164">
        <f t="shared" si="39"/>
        <v>0</v>
      </c>
      <c r="AK164" t="e">
        <f t="shared" si="40"/>
        <v>#N/A</v>
      </c>
      <c r="AL164" t="e">
        <f t="shared" si="41"/>
        <v>#N/A</v>
      </c>
      <c r="AM164" t="e">
        <f t="shared" si="42"/>
        <v>#N/A</v>
      </c>
      <c r="AN1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4" t="e">
        <f t="shared" si="43"/>
        <v>#N/A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5" t="e">
        <f t="shared" si="30"/>
        <v>#N/A</v>
      </c>
      <c r="AA165" t="e">
        <f t="shared" si="31"/>
        <v>#N/A</v>
      </c>
      <c r="AB165" t="e">
        <f t="shared" si="32"/>
        <v>#N/A</v>
      </c>
      <c r="AC165" t="e">
        <f t="shared" si="33"/>
        <v>#N/A</v>
      </c>
      <c r="AD165" t="e">
        <f t="shared" si="34"/>
        <v>#N/A</v>
      </c>
      <c r="AE165" t="e">
        <f t="shared" si="35"/>
        <v>#N/A</v>
      </c>
      <c r="AF165" t="e">
        <f t="shared" si="36"/>
        <v>#N/A</v>
      </c>
      <c r="AG165" t="e">
        <f t="shared" si="37"/>
        <v>#N/A</v>
      </c>
      <c r="AH165" t="e">
        <f t="shared" si="44"/>
        <v>#N/A</v>
      </c>
      <c r="AI165" t="e">
        <f t="shared" si="38"/>
        <v>#N/A</v>
      </c>
      <c r="AJ165">
        <f t="shared" si="39"/>
        <v>0</v>
      </c>
      <c r="AK165" t="e">
        <f t="shared" si="40"/>
        <v>#N/A</v>
      </c>
      <c r="AL165" t="e">
        <f t="shared" si="41"/>
        <v>#N/A</v>
      </c>
      <c r="AM165" t="e">
        <f t="shared" si="42"/>
        <v>#N/A</v>
      </c>
      <c r="AN1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5" t="e">
        <f t="shared" si="43"/>
        <v>#N/A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6" t="e">
        <f t="shared" si="30"/>
        <v>#N/A</v>
      </c>
      <c r="AA166" t="e">
        <f t="shared" si="31"/>
        <v>#N/A</v>
      </c>
      <c r="AB166" t="e">
        <f t="shared" si="32"/>
        <v>#N/A</v>
      </c>
      <c r="AC166" t="e">
        <f t="shared" si="33"/>
        <v>#N/A</v>
      </c>
      <c r="AD166" t="e">
        <f t="shared" si="34"/>
        <v>#N/A</v>
      </c>
      <c r="AE166" t="e">
        <f t="shared" si="35"/>
        <v>#N/A</v>
      </c>
      <c r="AF166" t="e">
        <f t="shared" si="36"/>
        <v>#N/A</v>
      </c>
      <c r="AG166" t="e">
        <f t="shared" si="37"/>
        <v>#N/A</v>
      </c>
      <c r="AH166" t="e">
        <f t="shared" si="44"/>
        <v>#N/A</v>
      </c>
      <c r="AI166" t="e">
        <f t="shared" si="38"/>
        <v>#N/A</v>
      </c>
      <c r="AJ166">
        <f t="shared" si="39"/>
        <v>0</v>
      </c>
      <c r="AK166" t="e">
        <f t="shared" si="40"/>
        <v>#N/A</v>
      </c>
      <c r="AL166" t="e">
        <f t="shared" si="41"/>
        <v>#N/A</v>
      </c>
      <c r="AM166" t="e">
        <f t="shared" si="42"/>
        <v>#N/A</v>
      </c>
      <c r="AN1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6" t="e">
        <f t="shared" si="43"/>
        <v>#N/A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7" t="e">
        <f t="shared" si="30"/>
        <v>#N/A</v>
      </c>
      <c r="AA167" t="e">
        <f t="shared" si="31"/>
        <v>#N/A</v>
      </c>
      <c r="AB167" t="e">
        <f t="shared" si="32"/>
        <v>#N/A</v>
      </c>
      <c r="AC167" t="e">
        <f t="shared" si="33"/>
        <v>#N/A</v>
      </c>
      <c r="AD167" t="e">
        <f t="shared" si="34"/>
        <v>#N/A</v>
      </c>
      <c r="AE167" t="e">
        <f t="shared" si="35"/>
        <v>#N/A</v>
      </c>
      <c r="AF167" t="e">
        <f t="shared" si="36"/>
        <v>#N/A</v>
      </c>
      <c r="AG167" t="e">
        <f t="shared" si="37"/>
        <v>#N/A</v>
      </c>
      <c r="AH167" t="e">
        <f t="shared" si="44"/>
        <v>#N/A</v>
      </c>
      <c r="AI167" t="e">
        <f t="shared" si="38"/>
        <v>#N/A</v>
      </c>
      <c r="AJ167">
        <f t="shared" si="39"/>
        <v>0</v>
      </c>
      <c r="AK167" t="e">
        <f t="shared" si="40"/>
        <v>#N/A</v>
      </c>
      <c r="AL167" t="e">
        <f t="shared" si="41"/>
        <v>#N/A</v>
      </c>
      <c r="AM167" t="e">
        <f t="shared" si="42"/>
        <v>#N/A</v>
      </c>
      <c r="AN1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7" t="e">
        <f t="shared" si="43"/>
        <v>#N/A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8" t="e">
        <f t="shared" si="30"/>
        <v>#N/A</v>
      </c>
      <c r="AA168" t="e">
        <f t="shared" si="31"/>
        <v>#N/A</v>
      </c>
      <c r="AB168" t="e">
        <f t="shared" si="32"/>
        <v>#N/A</v>
      </c>
      <c r="AC168" t="e">
        <f t="shared" si="33"/>
        <v>#N/A</v>
      </c>
      <c r="AD168" t="e">
        <f t="shared" si="34"/>
        <v>#N/A</v>
      </c>
      <c r="AE168" t="e">
        <f t="shared" si="35"/>
        <v>#N/A</v>
      </c>
      <c r="AF168" t="e">
        <f t="shared" si="36"/>
        <v>#N/A</v>
      </c>
      <c r="AG168" t="e">
        <f t="shared" si="37"/>
        <v>#N/A</v>
      </c>
      <c r="AH168" t="e">
        <f t="shared" si="44"/>
        <v>#N/A</v>
      </c>
      <c r="AI168" t="e">
        <f t="shared" si="38"/>
        <v>#N/A</v>
      </c>
      <c r="AJ168">
        <f t="shared" si="39"/>
        <v>0</v>
      </c>
      <c r="AK168" t="e">
        <f t="shared" si="40"/>
        <v>#N/A</v>
      </c>
      <c r="AL168" t="e">
        <f t="shared" si="41"/>
        <v>#N/A</v>
      </c>
      <c r="AM168" t="e">
        <f t="shared" si="42"/>
        <v>#N/A</v>
      </c>
      <c r="AN1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8" t="e">
        <f t="shared" si="43"/>
        <v>#N/A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9" t="e">
        <f t="shared" si="30"/>
        <v>#N/A</v>
      </c>
      <c r="AA169" t="e">
        <f t="shared" si="31"/>
        <v>#N/A</v>
      </c>
      <c r="AB169" t="e">
        <f t="shared" si="32"/>
        <v>#N/A</v>
      </c>
      <c r="AC169" t="e">
        <f t="shared" si="33"/>
        <v>#N/A</v>
      </c>
      <c r="AD169" t="e">
        <f t="shared" si="34"/>
        <v>#N/A</v>
      </c>
      <c r="AE169" t="e">
        <f t="shared" si="35"/>
        <v>#N/A</v>
      </c>
      <c r="AF169" t="e">
        <f t="shared" si="36"/>
        <v>#N/A</v>
      </c>
      <c r="AG169" t="e">
        <f t="shared" si="37"/>
        <v>#N/A</v>
      </c>
      <c r="AH169" t="e">
        <f t="shared" si="44"/>
        <v>#N/A</v>
      </c>
      <c r="AI169" t="e">
        <f t="shared" si="38"/>
        <v>#N/A</v>
      </c>
      <c r="AJ169">
        <f t="shared" si="39"/>
        <v>0</v>
      </c>
      <c r="AK169" t="e">
        <f t="shared" si="40"/>
        <v>#N/A</v>
      </c>
      <c r="AL169" t="e">
        <f t="shared" si="41"/>
        <v>#N/A</v>
      </c>
      <c r="AM169" t="e">
        <f t="shared" si="42"/>
        <v>#N/A</v>
      </c>
      <c r="AN1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9" t="e">
        <f t="shared" si="43"/>
        <v>#N/A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0" t="e">
        <f t="shared" si="30"/>
        <v>#N/A</v>
      </c>
      <c r="AA170" t="e">
        <f t="shared" si="31"/>
        <v>#N/A</v>
      </c>
      <c r="AB170" t="e">
        <f t="shared" si="32"/>
        <v>#N/A</v>
      </c>
      <c r="AC170" t="e">
        <f t="shared" si="33"/>
        <v>#N/A</v>
      </c>
      <c r="AD170" t="e">
        <f t="shared" si="34"/>
        <v>#N/A</v>
      </c>
      <c r="AE170" t="e">
        <f t="shared" si="35"/>
        <v>#N/A</v>
      </c>
      <c r="AF170" t="e">
        <f t="shared" si="36"/>
        <v>#N/A</v>
      </c>
      <c r="AG170" t="e">
        <f t="shared" si="37"/>
        <v>#N/A</v>
      </c>
      <c r="AH170" t="e">
        <f t="shared" si="44"/>
        <v>#N/A</v>
      </c>
      <c r="AI170" t="e">
        <f t="shared" si="38"/>
        <v>#N/A</v>
      </c>
      <c r="AJ170">
        <f t="shared" si="39"/>
        <v>0</v>
      </c>
      <c r="AK170" t="e">
        <f t="shared" si="40"/>
        <v>#N/A</v>
      </c>
      <c r="AL170" t="e">
        <f t="shared" si="41"/>
        <v>#N/A</v>
      </c>
      <c r="AM170" t="e">
        <f t="shared" si="42"/>
        <v>#N/A</v>
      </c>
      <c r="AN1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0" t="e">
        <f t="shared" si="43"/>
        <v>#N/A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1" t="e">
        <f t="shared" si="30"/>
        <v>#N/A</v>
      </c>
      <c r="AA171" t="e">
        <f t="shared" si="31"/>
        <v>#N/A</v>
      </c>
      <c r="AB171" t="e">
        <f t="shared" si="32"/>
        <v>#N/A</v>
      </c>
      <c r="AC171" t="e">
        <f t="shared" si="33"/>
        <v>#N/A</v>
      </c>
      <c r="AD171" t="e">
        <f t="shared" si="34"/>
        <v>#N/A</v>
      </c>
      <c r="AE171" t="e">
        <f t="shared" si="35"/>
        <v>#N/A</v>
      </c>
      <c r="AF171" t="e">
        <f t="shared" si="36"/>
        <v>#N/A</v>
      </c>
      <c r="AG171" t="e">
        <f t="shared" si="37"/>
        <v>#N/A</v>
      </c>
      <c r="AH171" t="e">
        <f t="shared" si="44"/>
        <v>#N/A</v>
      </c>
      <c r="AI171" t="e">
        <f t="shared" si="38"/>
        <v>#N/A</v>
      </c>
      <c r="AJ171">
        <f t="shared" si="39"/>
        <v>0</v>
      </c>
      <c r="AK171" t="e">
        <f t="shared" si="40"/>
        <v>#N/A</v>
      </c>
      <c r="AL171" t="e">
        <f t="shared" si="41"/>
        <v>#N/A</v>
      </c>
      <c r="AM171" t="e">
        <f t="shared" si="42"/>
        <v>#N/A</v>
      </c>
      <c r="AN1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1" t="e">
        <f t="shared" si="43"/>
        <v>#N/A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2" t="e">
        <f t="shared" si="30"/>
        <v>#N/A</v>
      </c>
      <c r="AA172" t="e">
        <f t="shared" si="31"/>
        <v>#N/A</v>
      </c>
      <c r="AB172" t="e">
        <f t="shared" si="32"/>
        <v>#N/A</v>
      </c>
      <c r="AC172" t="e">
        <f t="shared" si="33"/>
        <v>#N/A</v>
      </c>
      <c r="AD172" t="e">
        <f t="shared" si="34"/>
        <v>#N/A</v>
      </c>
      <c r="AE172" t="e">
        <f t="shared" si="35"/>
        <v>#N/A</v>
      </c>
      <c r="AF172" t="e">
        <f t="shared" si="36"/>
        <v>#N/A</v>
      </c>
      <c r="AG172" t="e">
        <f t="shared" si="37"/>
        <v>#N/A</v>
      </c>
      <c r="AH172" t="e">
        <f t="shared" si="44"/>
        <v>#N/A</v>
      </c>
      <c r="AI172" t="e">
        <f t="shared" si="38"/>
        <v>#N/A</v>
      </c>
      <c r="AJ172">
        <f t="shared" si="39"/>
        <v>0</v>
      </c>
      <c r="AK172" t="e">
        <f t="shared" si="40"/>
        <v>#N/A</v>
      </c>
      <c r="AL172" t="e">
        <f t="shared" si="41"/>
        <v>#N/A</v>
      </c>
      <c r="AM172" t="e">
        <f t="shared" si="42"/>
        <v>#N/A</v>
      </c>
      <c r="AN1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2" t="e">
        <f t="shared" si="43"/>
        <v>#N/A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3" t="e">
        <f t="shared" si="30"/>
        <v>#N/A</v>
      </c>
      <c r="AA173" t="e">
        <f t="shared" si="31"/>
        <v>#N/A</v>
      </c>
      <c r="AB173" t="e">
        <f t="shared" si="32"/>
        <v>#N/A</v>
      </c>
      <c r="AC173" t="e">
        <f t="shared" si="33"/>
        <v>#N/A</v>
      </c>
      <c r="AD173" t="e">
        <f t="shared" si="34"/>
        <v>#N/A</v>
      </c>
      <c r="AE173" t="e">
        <f t="shared" si="35"/>
        <v>#N/A</v>
      </c>
      <c r="AF173" t="e">
        <f t="shared" si="36"/>
        <v>#N/A</v>
      </c>
      <c r="AG173" t="e">
        <f t="shared" si="37"/>
        <v>#N/A</v>
      </c>
      <c r="AH173" t="e">
        <f t="shared" si="44"/>
        <v>#N/A</v>
      </c>
      <c r="AI173" t="e">
        <f t="shared" si="38"/>
        <v>#N/A</v>
      </c>
      <c r="AJ173">
        <f t="shared" si="39"/>
        <v>0</v>
      </c>
      <c r="AK173" t="e">
        <f t="shared" si="40"/>
        <v>#N/A</v>
      </c>
      <c r="AL173" t="e">
        <f t="shared" si="41"/>
        <v>#N/A</v>
      </c>
      <c r="AM173" t="e">
        <f t="shared" si="42"/>
        <v>#N/A</v>
      </c>
      <c r="AN1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3" t="e">
        <f t="shared" si="43"/>
        <v>#N/A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4" t="e">
        <f t="shared" si="30"/>
        <v>#N/A</v>
      </c>
      <c r="AA174" t="e">
        <f t="shared" si="31"/>
        <v>#N/A</v>
      </c>
      <c r="AB174" t="e">
        <f t="shared" si="32"/>
        <v>#N/A</v>
      </c>
      <c r="AC174" t="e">
        <f t="shared" si="33"/>
        <v>#N/A</v>
      </c>
      <c r="AD174" t="e">
        <f t="shared" si="34"/>
        <v>#N/A</v>
      </c>
      <c r="AE174" t="e">
        <f t="shared" si="35"/>
        <v>#N/A</v>
      </c>
      <c r="AF174" t="e">
        <f t="shared" si="36"/>
        <v>#N/A</v>
      </c>
      <c r="AG174" t="e">
        <f t="shared" si="37"/>
        <v>#N/A</v>
      </c>
      <c r="AH174" t="e">
        <f t="shared" si="44"/>
        <v>#N/A</v>
      </c>
      <c r="AI174" t="e">
        <f t="shared" si="38"/>
        <v>#N/A</v>
      </c>
      <c r="AJ174">
        <f t="shared" si="39"/>
        <v>0</v>
      </c>
      <c r="AK174" t="e">
        <f t="shared" si="40"/>
        <v>#N/A</v>
      </c>
      <c r="AL174" t="e">
        <f t="shared" si="41"/>
        <v>#N/A</v>
      </c>
      <c r="AM174" t="e">
        <f t="shared" si="42"/>
        <v>#N/A</v>
      </c>
      <c r="AN1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4" t="e">
        <f t="shared" si="43"/>
        <v>#N/A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5" t="e">
        <f t="shared" si="30"/>
        <v>#N/A</v>
      </c>
      <c r="AA175" t="e">
        <f t="shared" si="31"/>
        <v>#N/A</v>
      </c>
      <c r="AB175" t="e">
        <f t="shared" si="32"/>
        <v>#N/A</v>
      </c>
      <c r="AC175" t="e">
        <f t="shared" si="33"/>
        <v>#N/A</v>
      </c>
      <c r="AD175" t="e">
        <f t="shared" si="34"/>
        <v>#N/A</v>
      </c>
      <c r="AE175" t="e">
        <f t="shared" si="35"/>
        <v>#N/A</v>
      </c>
      <c r="AF175" t="e">
        <f t="shared" si="36"/>
        <v>#N/A</v>
      </c>
      <c r="AG175" t="e">
        <f t="shared" si="37"/>
        <v>#N/A</v>
      </c>
      <c r="AH175" t="e">
        <f t="shared" si="44"/>
        <v>#N/A</v>
      </c>
      <c r="AI175" t="e">
        <f t="shared" si="38"/>
        <v>#N/A</v>
      </c>
      <c r="AJ175">
        <f t="shared" si="39"/>
        <v>0</v>
      </c>
      <c r="AK175" t="e">
        <f t="shared" si="40"/>
        <v>#N/A</v>
      </c>
      <c r="AL175" t="e">
        <f t="shared" si="41"/>
        <v>#N/A</v>
      </c>
      <c r="AM175" t="e">
        <f t="shared" si="42"/>
        <v>#N/A</v>
      </c>
      <c r="AN1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5" t="e">
        <f t="shared" si="43"/>
        <v>#N/A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6" t="e">
        <f t="shared" si="30"/>
        <v>#N/A</v>
      </c>
      <c r="AA176" t="e">
        <f t="shared" si="31"/>
        <v>#N/A</v>
      </c>
      <c r="AB176" t="e">
        <f t="shared" si="32"/>
        <v>#N/A</v>
      </c>
      <c r="AC176" t="e">
        <f t="shared" si="33"/>
        <v>#N/A</v>
      </c>
      <c r="AD176" t="e">
        <f t="shared" si="34"/>
        <v>#N/A</v>
      </c>
      <c r="AE176" t="e">
        <f t="shared" si="35"/>
        <v>#N/A</v>
      </c>
      <c r="AF176" t="e">
        <f t="shared" si="36"/>
        <v>#N/A</v>
      </c>
      <c r="AG176" t="e">
        <f t="shared" si="37"/>
        <v>#N/A</v>
      </c>
      <c r="AH176" t="e">
        <f t="shared" si="44"/>
        <v>#N/A</v>
      </c>
      <c r="AI176" t="e">
        <f t="shared" si="38"/>
        <v>#N/A</v>
      </c>
      <c r="AJ176">
        <f t="shared" si="39"/>
        <v>0</v>
      </c>
      <c r="AK176" t="e">
        <f t="shared" si="40"/>
        <v>#N/A</v>
      </c>
      <c r="AL176" t="e">
        <f t="shared" si="41"/>
        <v>#N/A</v>
      </c>
      <c r="AM176" t="e">
        <f t="shared" si="42"/>
        <v>#N/A</v>
      </c>
      <c r="AN1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6" t="e">
        <f t="shared" si="43"/>
        <v>#N/A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7" t="e">
        <f t="shared" si="30"/>
        <v>#N/A</v>
      </c>
      <c r="AA177" t="e">
        <f t="shared" si="31"/>
        <v>#N/A</v>
      </c>
      <c r="AB177" t="e">
        <f t="shared" si="32"/>
        <v>#N/A</v>
      </c>
      <c r="AC177" t="e">
        <f t="shared" si="33"/>
        <v>#N/A</v>
      </c>
      <c r="AD177" t="e">
        <f t="shared" si="34"/>
        <v>#N/A</v>
      </c>
      <c r="AE177" t="e">
        <f t="shared" si="35"/>
        <v>#N/A</v>
      </c>
      <c r="AF177" t="e">
        <f t="shared" si="36"/>
        <v>#N/A</v>
      </c>
      <c r="AG177" t="e">
        <f t="shared" si="37"/>
        <v>#N/A</v>
      </c>
      <c r="AH177" t="e">
        <f t="shared" si="44"/>
        <v>#N/A</v>
      </c>
      <c r="AI177" t="e">
        <f t="shared" si="38"/>
        <v>#N/A</v>
      </c>
      <c r="AJ177">
        <f t="shared" si="39"/>
        <v>0</v>
      </c>
      <c r="AK177" t="e">
        <f t="shared" si="40"/>
        <v>#N/A</v>
      </c>
      <c r="AL177" t="e">
        <f t="shared" si="41"/>
        <v>#N/A</v>
      </c>
      <c r="AM177" t="e">
        <f t="shared" si="42"/>
        <v>#N/A</v>
      </c>
      <c r="AN1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7" t="e">
        <f t="shared" si="43"/>
        <v>#N/A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8" t="e">
        <f t="shared" si="30"/>
        <v>#N/A</v>
      </c>
      <c r="AA178" t="e">
        <f t="shared" si="31"/>
        <v>#N/A</v>
      </c>
      <c r="AB178" t="e">
        <f t="shared" si="32"/>
        <v>#N/A</v>
      </c>
      <c r="AC178" t="e">
        <f t="shared" si="33"/>
        <v>#N/A</v>
      </c>
      <c r="AD178" t="e">
        <f t="shared" si="34"/>
        <v>#N/A</v>
      </c>
      <c r="AE178" t="e">
        <f t="shared" si="35"/>
        <v>#N/A</v>
      </c>
      <c r="AF178" t="e">
        <f t="shared" si="36"/>
        <v>#N/A</v>
      </c>
      <c r="AG178" t="e">
        <f t="shared" si="37"/>
        <v>#N/A</v>
      </c>
      <c r="AH178" t="e">
        <f t="shared" si="44"/>
        <v>#N/A</v>
      </c>
      <c r="AI178" t="e">
        <f t="shared" si="38"/>
        <v>#N/A</v>
      </c>
      <c r="AJ178">
        <f t="shared" si="39"/>
        <v>0</v>
      </c>
      <c r="AK178" t="e">
        <f t="shared" si="40"/>
        <v>#N/A</v>
      </c>
      <c r="AL178" t="e">
        <f t="shared" si="41"/>
        <v>#N/A</v>
      </c>
      <c r="AM178" t="e">
        <f t="shared" si="42"/>
        <v>#N/A</v>
      </c>
      <c r="AN1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8" t="e">
        <f t="shared" si="43"/>
        <v>#N/A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9" t="e">
        <f t="shared" si="30"/>
        <v>#N/A</v>
      </c>
      <c r="AA179" t="e">
        <f t="shared" si="31"/>
        <v>#N/A</v>
      </c>
      <c r="AB179" t="e">
        <f t="shared" si="32"/>
        <v>#N/A</v>
      </c>
      <c r="AC179" t="e">
        <f t="shared" si="33"/>
        <v>#N/A</v>
      </c>
      <c r="AD179" t="e">
        <f t="shared" si="34"/>
        <v>#N/A</v>
      </c>
      <c r="AE179" t="e">
        <f t="shared" si="35"/>
        <v>#N/A</v>
      </c>
      <c r="AF179" t="e">
        <f t="shared" si="36"/>
        <v>#N/A</v>
      </c>
      <c r="AG179" t="e">
        <f t="shared" si="37"/>
        <v>#N/A</v>
      </c>
      <c r="AH179" t="e">
        <f t="shared" si="44"/>
        <v>#N/A</v>
      </c>
      <c r="AI179" t="e">
        <f t="shared" si="38"/>
        <v>#N/A</v>
      </c>
      <c r="AJ179">
        <f t="shared" si="39"/>
        <v>0</v>
      </c>
      <c r="AK179" t="e">
        <f t="shared" si="40"/>
        <v>#N/A</v>
      </c>
      <c r="AL179" t="e">
        <f t="shared" si="41"/>
        <v>#N/A</v>
      </c>
      <c r="AM179" t="e">
        <f t="shared" si="42"/>
        <v>#N/A</v>
      </c>
      <c r="AN1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9" t="e">
        <f t="shared" si="43"/>
        <v>#N/A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0" t="e">
        <f t="shared" si="30"/>
        <v>#N/A</v>
      </c>
      <c r="AA180" t="e">
        <f t="shared" si="31"/>
        <v>#N/A</v>
      </c>
      <c r="AB180" t="e">
        <f t="shared" si="32"/>
        <v>#N/A</v>
      </c>
      <c r="AC180" t="e">
        <f t="shared" si="33"/>
        <v>#N/A</v>
      </c>
      <c r="AD180" t="e">
        <f t="shared" si="34"/>
        <v>#N/A</v>
      </c>
      <c r="AE180" t="e">
        <f t="shared" si="35"/>
        <v>#N/A</v>
      </c>
      <c r="AF180" t="e">
        <f t="shared" si="36"/>
        <v>#N/A</v>
      </c>
      <c r="AG180" t="e">
        <f t="shared" si="37"/>
        <v>#N/A</v>
      </c>
      <c r="AH180" t="e">
        <f t="shared" si="44"/>
        <v>#N/A</v>
      </c>
      <c r="AI180" t="e">
        <f t="shared" si="38"/>
        <v>#N/A</v>
      </c>
      <c r="AJ180">
        <f t="shared" si="39"/>
        <v>0</v>
      </c>
      <c r="AK180" t="e">
        <f t="shared" si="40"/>
        <v>#N/A</v>
      </c>
      <c r="AL180" t="e">
        <f t="shared" si="41"/>
        <v>#N/A</v>
      </c>
      <c r="AM180" t="e">
        <f t="shared" si="42"/>
        <v>#N/A</v>
      </c>
      <c r="AN1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0" t="e">
        <f t="shared" si="43"/>
        <v>#N/A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1" t="e">
        <f t="shared" si="30"/>
        <v>#N/A</v>
      </c>
      <c r="AA181" t="e">
        <f t="shared" si="31"/>
        <v>#N/A</v>
      </c>
      <c r="AB181" t="e">
        <f t="shared" si="32"/>
        <v>#N/A</v>
      </c>
      <c r="AC181" t="e">
        <f t="shared" si="33"/>
        <v>#N/A</v>
      </c>
      <c r="AD181" t="e">
        <f t="shared" si="34"/>
        <v>#N/A</v>
      </c>
      <c r="AE181" t="e">
        <f t="shared" si="35"/>
        <v>#N/A</v>
      </c>
      <c r="AF181" t="e">
        <f t="shared" si="36"/>
        <v>#N/A</v>
      </c>
      <c r="AG181" t="e">
        <f t="shared" si="37"/>
        <v>#N/A</v>
      </c>
      <c r="AH181" t="e">
        <f t="shared" si="44"/>
        <v>#N/A</v>
      </c>
      <c r="AI181" t="e">
        <f t="shared" si="38"/>
        <v>#N/A</v>
      </c>
      <c r="AJ181">
        <f t="shared" si="39"/>
        <v>0</v>
      </c>
      <c r="AK181" t="e">
        <f t="shared" si="40"/>
        <v>#N/A</v>
      </c>
      <c r="AL181" t="e">
        <f t="shared" si="41"/>
        <v>#N/A</v>
      </c>
      <c r="AM181" t="e">
        <f t="shared" si="42"/>
        <v>#N/A</v>
      </c>
      <c r="AN1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1" t="e">
        <f t="shared" si="43"/>
        <v>#N/A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2" t="e">
        <f t="shared" si="30"/>
        <v>#N/A</v>
      </c>
      <c r="AA182" t="e">
        <f t="shared" si="31"/>
        <v>#N/A</v>
      </c>
      <c r="AB182" t="e">
        <f t="shared" si="32"/>
        <v>#N/A</v>
      </c>
      <c r="AC182" t="e">
        <f t="shared" si="33"/>
        <v>#N/A</v>
      </c>
      <c r="AD182" t="e">
        <f t="shared" si="34"/>
        <v>#N/A</v>
      </c>
      <c r="AE182" t="e">
        <f t="shared" si="35"/>
        <v>#N/A</v>
      </c>
      <c r="AF182" t="e">
        <f t="shared" si="36"/>
        <v>#N/A</v>
      </c>
      <c r="AG182" t="e">
        <f t="shared" si="37"/>
        <v>#N/A</v>
      </c>
      <c r="AH182" t="e">
        <f t="shared" si="44"/>
        <v>#N/A</v>
      </c>
      <c r="AI182" t="e">
        <f t="shared" si="38"/>
        <v>#N/A</v>
      </c>
      <c r="AJ182">
        <f t="shared" si="39"/>
        <v>0</v>
      </c>
      <c r="AK182" t="e">
        <f t="shared" si="40"/>
        <v>#N/A</v>
      </c>
      <c r="AL182" t="e">
        <f t="shared" si="41"/>
        <v>#N/A</v>
      </c>
      <c r="AM182" t="e">
        <f t="shared" si="42"/>
        <v>#N/A</v>
      </c>
      <c r="AN1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2" t="e">
        <f t="shared" si="43"/>
        <v>#N/A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3" t="e">
        <f t="shared" si="30"/>
        <v>#N/A</v>
      </c>
      <c r="AA183" t="e">
        <f t="shared" si="31"/>
        <v>#N/A</v>
      </c>
      <c r="AB183" t="e">
        <f t="shared" si="32"/>
        <v>#N/A</v>
      </c>
      <c r="AC183" t="e">
        <f t="shared" si="33"/>
        <v>#N/A</v>
      </c>
      <c r="AD183" t="e">
        <f t="shared" si="34"/>
        <v>#N/A</v>
      </c>
      <c r="AE183" t="e">
        <f t="shared" si="35"/>
        <v>#N/A</v>
      </c>
      <c r="AF183" t="e">
        <f t="shared" si="36"/>
        <v>#N/A</v>
      </c>
      <c r="AG183" t="e">
        <f t="shared" si="37"/>
        <v>#N/A</v>
      </c>
      <c r="AH183" t="e">
        <f t="shared" si="44"/>
        <v>#N/A</v>
      </c>
      <c r="AI183" t="e">
        <f t="shared" si="38"/>
        <v>#N/A</v>
      </c>
      <c r="AJ183">
        <f t="shared" si="39"/>
        <v>0</v>
      </c>
      <c r="AK183" t="e">
        <f t="shared" si="40"/>
        <v>#N/A</v>
      </c>
      <c r="AL183" t="e">
        <f t="shared" si="41"/>
        <v>#N/A</v>
      </c>
      <c r="AM183" t="e">
        <f t="shared" si="42"/>
        <v>#N/A</v>
      </c>
      <c r="AN1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3" t="e">
        <f t="shared" si="43"/>
        <v>#N/A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4" t="e">
        <f t="shared" si="30"/>
        <v>#N/A</v>
      </c>
      <c r="AA184" t="e">
        <f t="shared" si="31"/>
        <v>#N/A</v>
      </c>
      <c r="AB184" t="e">
        <f t="shared" si="32"/>
        <v>#N/A</v>
      </c>
      <c r="AC184" t="e">
        <f t="shared" si="33"/>
        <v>#N/A</v>
      </c>
      <c r="AD184" t="e">
        <f t="shared" si="34"/>
        <v>#N/A</v>
      </c>
      <c r="AE184" t="e">
        <f t="shared" si="35"/>
        <v>#N/A</v>
      </c>
      <c r="AF184" t="e">
        <f t="shared" si="36"/>
        <v>#N/A</v>
      </c>
      <c r="AG184" t="e">
        <f t="shared" si="37"/>
        <v>#N/A</v>
      </c>
      <c r="AH184" t="e">
        <f t="shared" si="44"/>
        <v>#N/A</v>
      </c>
      <c r="AI184" t="e">
        <f t="shared" si="38"/>
        <v>#N/A</v>
      </c>
      <c r="AJ184">
        <f t="shared" si="39"/>
        <v>0</v>
      </c>
      <c r="AK184" t="e">
        <f t="shared" si="40"/>
        <v>#N/A</v>
      </c>
      <c r="AL184" t="e">
        <f t="shared" si="41"/>
        <v>#N/A</v>
      </c>
      <c r="AM184" t="e">
        <f t="shared" si="42"/>
        <v>#N/A</v>
      </c>
      <c r="AN1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4" t="e">
        <f t="shared" si="43"/>
        <v>#N/A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5" t="e">
        <f t="shared" si="30"/>
        <v>#N/A</v>
      </c>
      <c r="AA185" t="e">
        <f t="shared" si="31"/>
        <v>#N/A</v>
      </c>
      <c r="AB185" t="e">
        <f t="shared" si="32"/>
        <v>#N/A</v>
      </c>
      <c r="AC185" t="e">
        <f t="shared" si="33"/>
        <v>#N/A</v>
      </c>
      <c r="AD185" t="e">
        <f t="shared" si="34"/>
        <v>#N/A</v>
      </c>
      <c r="AE185" t="e">
        <f t="shared" si="35"/>
        <v>#N/A</v>
      </c>
      <c r="AF185" t="e">
        <f t="shared" si="36"/>
        <v>#N/A</v>
      </c>
      <c r="AG185" t="e">
        <f t="shared" si="37"/>
        <v>#N/A</v>
      </c>
      <c r="AH185" t="e">
        <f t="shared" si="44"/>
        <v>#N/A</v>
      </c>
      <c r="AI185" t="e">
        <f t="shared" si="38"/>
        <v>#N/A</v>
      </c>
      <c r="AJ185">
        <f t="shared" si="39"/>
        <v>0</v>
      </c>
      <c r="AK185" t="e">
        <f t="shared" si="40"/>
        <v>#N/A</v>
      </c>
      <c r="AL185" t="e">
        <f t="shared" si="41"/>
        <v>#N/A</v>
      </c>
      <c r="AM185" t="e">
        <f t="shared" si="42"/>
        <v>#N/A</v>
      </c>
      <c r="AN1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5" t="e">
        <f t="shared" si="43"/>
        <v>#N/A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6" t="e">
        <f t="shared" si="30"/>
        <v>#N/A</v>
      </c>
      <c r="AA186" t="e">
        <f t="shared" si="31"/>
        <v>#N/A</v>
      </c>
      <c r="AB186" t="e">
        <f t="shared" si="32"/>
        <v>#N/A</v>
      </c>
      <c r="AC186" t="e">
        <f t="shared" si="33"/>
        <v>#N/A</v>
      </c>
      <c r="AD186" t="e">
        <f t="shared" si="34"/>
        <v>#N/A</v>
      </c>
      <c r="AE186" t="e">
        <f t="shared" si="35"/>
        <v>#N/A</v>
      </c>
      <c r="AF186" t="e">
        <f t="shared" si="36"/>
        <v>#N/A</v>
      </c>
      <c r="AG186" t="e">
        <f t="shared" si="37"/>
        <v>#N/A</v>
      </c>
      <c r="AH186" t="e">
        <f t="shared" si="44"/>
        <v>#N/A</v>
      </c>
      <c r="AI186" t="e">
        <f t="shared" si="38"/>
        <v>#N/A</v>
      </c>
      <c r="AJ186">
        <f t="shared" si="39"/>
        <v>0</v>
      </c>
      <c r="AK186" t="e">
        <f t="shared" si="40"/>
        <v>#N/A</v>
      </c>
      <c r="AL186" t="e">
        <f t="shared" si="41"/>
        <v>#N/A</v>
      </c>
      <c r="AM186" t="e">
        <f t="shared" si="42"/>
        <v>#N/A</v>
      </c>
      <c r="AN1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6" t="e">
        <f t="shared" si="43"/>
        <v>#N/A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7" t="e">
        <f t="shared" si="30"/>
        <v>#N/A</v>
      </c>
      <c r="AA187" t="e">
        <f t="shared" si="31"/>
        <v>#N/A</v>
      </c>
      <c r="AB187" t="e">
        <f t="shared" si="32"/>
        <v>#N/A</v>
      </c>
      <c r="AC187" t="e">
        <f t="shared" si="33"/>
        <v>#N/A</v>
      </c>
      <c r="AD187" t="e">
        <f t="shared" si="34"/>
        <v>#N/A</v>
      </c>
      <c r="AE187" t="e">
        <f t="shared" si="35"/>
        <v>#N/A</v>
      </c>
      <c r="AF187" t="e">
        <f t="shared" si="36"/>
        <v>#N/A</v>
      </c>
      <c r="AG187" t="e">
        <f t="shared" si="37"/>
        <v>#N/A</v>
      </c>
      <c r="AH187" t="e">
        <f t="shared" si="44"/>
        <v>#N/A</v>
      </c>
      <c r="AI187" t="e">
        <f t="shared" si="38"/>
        <v>#N/A</v>
      </c>
      <c r="AJ187">
        <f t="shared" si="39"/>
        <v>0</v>
      </c>
      <c r="AK187" t="e">
        <f t="shared" si="40"/>
        <v>#N/A</v>
      </c>
      <c r="AL187" t="e">
        <f t="shared" si="41"/>
        <v>#N/A</v>
      </c>
      <c r="AM187" t="e">
        <f t="shared" si="42"/>
        <v>#N/A</v>
      </c>
      <c r="AN1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7" t="e">
        <f t="shared" si="43"/>
        <v>#N/A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8" t="e">
        <f t="shared" si="30"/>
        <v>#N/A</v>
      </c>
      <c r="AA188" t="e">
        <f t="shared" si="31"/>
        <v>#N/A</v>
      </c>
      <c r="AB188" t="e">
        <f t="shared" si="32"/>
        <v>#N/A</v>
      </c>
      <c r="AC188" t="e">
        <f t="shared" si="33"/>
        <v>#N/A</v>
      </c>
      <c r="AD188" t="e">
        <f t="shared" si="34"/>
        <v>#N/A</v>
      </c>
      <c r="AE188" t="e">
        <f t="shared" si="35"/>
        <v>#N/A</v>
      </c>
      <c r="AF188" t="e">
        <f t="shared" si="36"/>
        <v>#N/A</v>
      </c>
      <c r="AG188" t="e">
        <f t="shared" si="37"/>
        <v>#N/A</v>
      </c>
      <c r="AH188" t="e">
        <f t="shared" si="44"/>
        <v>#N/A</v>
      </c>
      <c r="AI188" t="e">
        <f t="shared" si="38"/>
        <v>#N/A</v>
      </c>
      <c r="AJ188">
        <f t="shared" si="39"/>
        <v>0</v>
      </c>
      <c r="AK188" t="e">
        <f t="shared" si="40"/>
        <v>#N/A</v>
      </c>
      <c r="AL188" t="e">
        <f t="shared" si="41"/>
        <v>#N/A</v>
      </c>
      <c r="AM188" t="e">
        <f t="shared" si="42"/>
        <v>#N/A</v>
      </c>
      <c r="AN1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8" t="e">
        <f t="shared" si="43"/>
        <v>#N/A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9" t="e">
        <f t="shared" si="30"/>
        <v>#N/A</v>
      </c>
      <c r="AA189" t="e">
        <f t="shared" si="31"/>
        <v>#N/A</v>
      </c>
      <c r="AB189" t="e">
        <f t="shared" si="32"/>
        <v>#N/A</v>
      </c>
      <c r="AC189" t="e">
        <f t="shared" si="33"/>
        <v>#N/A</v>
      </c>
      <c r="AD189" t="e">
        <f t="shared" si="34"/>
        <v>#N/A</v>
      </c>
      <c r="AE189" t="e">
        <f t="shared" si="35"/>
        <v>#N/A</v>
      </c>
      <c r="AF189" t="e">
        <f t="shared" si="36"/>
        <v>#N/A</v>
      </c>
      <c r="AG189" t="e">
        <f t="shared" si="37"/>
        <v>#N/A</v>
      </c>
      <c r="AH189" t="e">
        <f t="shared" si="44"/>
        <v>#N/A</v>
      </c>
      <c r="AI189" t="e">
        <f t="shared" si="38"/>
        <v>#N/A</v>
      </c>
      <c r="AJ189">
        <f t="shared" si="39"/>
        <v>0</v>
      </c>
      <c r="AK189" t="e">
        <f t="shared" si="40"/>
        <v>#N/A</v>
      </c>
      <c r="AL189" t="e">
        <f t="shared" si="41"/>
        <v>#N/A</v>
      </c>
      <c r="AM189" t="e">
        <f t="shared" si="42"/>
        <v>#N/A</v>
      </c>
      <c r="AN1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9" t="e">
        <f t="shared" si="43"/>
        <v>#N/A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0" t="e">
        <f t="shared" si="30"/>
        <v>#N/A</v>
      </c>
      <c r="AA190" t="e">
        <f t="shared" si="31"/>
        <v>#N/A</v>
      </c>
      <c r="AB190" t="e">
        <f t="shared" si="32"/>
        <v>#N/A</v>
      </c>
      <c r="AC190" t="e">
        <f t="shared" si="33"/>
        <v>#N/A</v>
      </c>
      <c r="AD190" t="e">
        <f t="shared" si="34"/>
        <v>#N/A</v>
      </c>
      <c r="AE190" t="e">
        <f t="shared" si="35"/>
        <v>#N/A</v>
      </c>
      <c r="AF190" t="e">
        <f t="shared" si="36"/>
        <v>#N/A</v>
      </c>
      <c r="AG190" t="e">
        <f t="shared" si="37"/>
        <v>#N/A</v>
      </c>
      <c r="AH190" t="e">
        <f t="shared" si="44"/>
        <v>#N/A</v>
      </c>
      <c r="AI190" t="e">
        <f t="shared" si="38"/>
        <v>#N/A</v>
      </c>
      <c r="AJ190">
        <f t="shared" si="39"/>
        <v>0</v>
      </c>
      <c r="AK190" t="e">
        <f t="shared" si="40"/>
        <v>#N/A</v>
      </c>
      <c r="AL190" t="e">
        <f t="shared" si="41"/>
        <v>#N/A</v>
      </c>
      <c r="AM190" t="e">
        <f t="shared" si="42"/>
        <v>#N/A</v>
      </c>
      <c r="AN1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0" t="e">
        <f t="shared" si="43"/>
        <v>#N/A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1" t="e">
        <f t="shared" si="30"/>
        <v>#N/A</v>
      </c>
      <c r="AA191" t="e">
        <f t="shared" si="31"/>
        <v>#N/A</v>
      </c>
      <c r="AB191" t="e">
        <f t="shared" si="32"/>
        <v>#N/A</v>
      </c>
      <c r="AC191" t="e">
        <f t="shared" si="33"/>
        <v>#N/A</v>
      </c>
      <c r="AD191" t="e">
        <f t="shared" si="34"/>
        <v>#N/A</v>
      </c>
      <c r="AE191" t="e">
        <f t="shared" si="35"/>
        <v>#N/A</v>
      </c>
      <c r="AF191" t="e">
        <f t="shared" si="36"/>
        <v>#N/A</v>
      </c>
      <c r="AG191" t="e">
        <f t="shared" si="37"/>
        <v>#N/A</v>
      </c>
      <c r="AH191" t="e">
        <f t="shared" si="44"/>
        <v>#N/A</v>
      </c>
      <c r="AI191" t="e">
        <f t="shared" si="38"/>
        <v>#N/A</v>
      </c>
      <c r="AJ191">
        <f t="shared" si="39"/>
        <v>0</v>
      </c>
      <c r="AK191" t="e">
        <f t="shared" si="40"/>
        <v>#N/A</v>
      </c>
      <c r="AL191" t="e">
        <f t="shared" si="41"/>
        <v>#N/A</v>
      </c>
      <c r="AM191" t="e">
        <f t="shared" si="42"/>
        <v>#N/A</v>
      </c>
      <c r="AN1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1" t="e">
        <f t="shared" si="43"/>
        <v>#N/A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2" t="e">
        <f t="shared" si="30"/>
        <v>#N/A</v>
      </c>
      <c r="AA192" t="e">
        <f t="shared" si="31"/>
        <v>#N/A</v>
      </c>
      <c r="AB192" t="e">
        <f t="shared" si="32"/>
        <v>#N/A</v>
      </c>
      <c r="AC192" t="e">
        <f t="shared" si="33"/>
        <v>#N/A</v>
      </c>
      <c r="AD192" t="e">
        <f t="shared" si="34"/>
        <v>#N/A</v>
      </c>
      <c r="AE192" t="e">
        <f t="shared" si="35"/>
        <v>#N/A</v>
      </c>
      <c r="AF192" t="e">
        <f t="shared" si="36"/>
        <v>#N/A</v>
      </c>
      <c r="AG192" t="e">
        <f t="shared" si="37"/>
        <v>#N/A</v>
      </c>
      <c r="AH192" t="e">
        <f t="shared" si="44"/>
        <v>#N/A</v>
      </c>
      <c r="AI192" t="e">
        <f t="shared" si="38"/>
        <v>#N/A</v>
      </c>
      <c r="AJ192">
        <f t="shared" si="39"/>
        <v>0</v>
      </c>
      <c r="AK192" t="e">
        <f t="shared" si="40"/>
        <v>#N/A</v>
      </c>
      <c r="AL192" t="e">
        <f t="shared" si="41"/>
        <v>#N/A</v>
      </c>
      <c r="AM192" t="e">
        <f t="shared" si="42"/>
        <v>#N/A</v>
      </c>
      <c r="AN1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2" t="e">
        <f t="shared" si="43"/>
        <v>#N/A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3" t="e">
        <f t="shared" si="30"/>
        <v>#N/A</v>
      </c>
      <c r="AA193" t="e">
        <f t="shared" si="31"/>
        <v>#N/A</v>
      </c>
      <c r="AB193" t="e">
        <f t="shared" si="32"/>
        <v>#N/A</v>
      </c>
      <c r="AC193" t="e">
        <f t="shared" si="33"/>
        <v>#N/A</v>
      </c>
      <c r="AD193" t="e">
        <f t="shared" si="34"/>
        <v>#N/A</v>
      </c>
      <c r="AE193" t="e">
        <f t="shared" si="35"/>
        <v>#N/A</v>
      </c>
      <c r="AF193" t="e">
        <f t="shared" si="36"/>
        <v>#N/A</v>
      </c>
      <c r="AG193" t="e">
        <f t="shared" si="37"/>
        <v>#N/A</v>
      </c>
      <c r="AH193" t="e">
        <f t="shared" si="44"/>
        <v>#N/A</v>
      </c>
      <c r="AI193" t="e">
        <f t="shared" si="38"/>
        <v>#N/A</v>
      </c>
      <c r="AJ193">
        <f t="shared" si="39"/>
        <v>0</v>
      </c>
      <c r="AK193" t="e">
        <f t="shared" si="40"/>
        <v>#N/A</v>
      </c>
      <c r="AL193" t="e">
        <f t="shared" si="41"/>
        <v>#N/A</v>
      </c>
      <c r="AM193" t="e">
        <f t="shared" si="42"/>
        <v>#N/A</v>
      </c>
      <c r="AN1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3" t="e">
        <f t="shared" si="43"/>
        <v>#N/A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4" t="e">
        <f t="shared" si="30"/>
        <v>#N/A</v>
      </c>
      <c r="AA194" t="e">
        <f t="shared" si="31"/>
        <v>#N/A</v>
      </c>
      <c r="AB194" t="e">
        <f t="shared" si="32"/>
        <v>#N/A</v>
      </c>
      <c r="AC194" t="e">
        <f t="shared" si="33"/>
        <v>#N/A</v>
      </c>
      <c r="AD194" t="e">
        <f t="shared" si="34"/>
        <v>#N/A</v>
      </c>
      <c r="AE194" t="e">
        <f t="shared" si="35"/>
        <v>#N/A</v>
      </c>
      <c r="AF194" t="e">
        <f t="shared" si="36"/>
        <v>#N/A</v>
      </c>
      <c r="AG194" t="e">
        <f t="shared" si="37"/>
        <v>#N/A</v>
      </c>
      <c r="AH194" t="e">
        <f t="shared" si="44"/>
        <v>#N/A</v>
      </c>
      <c r="AI194" t="e">
        <f t="shared" si="38"/>
        <v>#N/A</v>
      </c>
      <c r="AJ194">
        <f t="shared" si="39"/>
        <v>0</v>
      </c>
      <c r="AK194" t="e">
        <f t="shared" si="40"/>
        <v>#N/A</v>
      </c>
      <c r="AL194" t="e">
        <f t="shared" si="41"/>
        <v>#N/A</v>
      </c>
      <c r="AM194" t="e">
        <f t="shared" si="42"/>
        <v>#N/A</v>
      </c>
      <c r="AN1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4" t="e">
        <f t="shared" si="43"/>
        <v>#N/A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5" t="e">
        <f t="shared" si="30"/>
        <v>#N/A</v>
      </c>
      <c r="AA195" t="e">
        <f t="shared" si="31"/>
        <v>#N/A</v>
      </c>
      <c r="AB195" t="e">
        <f t="shared" si="32"/>
        <v>#N/A</v>
      </c>
      <c r="AC195" t="e">
        <f t="shared" si="33"/>
        <v>#N/A</v>
      </c>
      <c r="AD195" t="e">
        <f t="shared" si="34"/>
        <v>#N/A</v>
      </c>
      <c r="AE195" t="e">
        <f t="shared" si="35"/>
        <v>#N/A</v>
      </c>
      <c r="AF195" t="e">
        <f t="shared" si="36"/>
        <v>#N/A</v>
      </c>
      <c r="AG195" t="e">
        <f t="shared" si="37"/>
        <v>#N/A</v>
      </c>
      <c r="AH195" t="e">
        <f t="shared" si="44"/>
        <v>#N/A</v>
      </c>
      <c r="AI195" t="e">
        <f t="shared" si="38"/>
        <v>#N/A</v>
      </c>
      <c r="AJ195">
        <f t="shared" si="39"/>
        <v>0</v>
      </c>
      <c r="AK195" t="e">
        <f t="shared" si="40"/>
        <v>#N/A</v>
      </c>
      <c r="AL195" t="e">
        <f t="shared" si="41"/>
        <v>#N/A</v>
      </c>
      <c r="AM195" t="e">
        <f t="shared" si="42"/>
        <v>#N/A</v>
      </c>
      <c r="AN1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5" t="e">
        <f t="shared" si="43"/>
        <v>#N/A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6" t="e">
        <f t="shared" si="30"/>
        <v>#N/A</v>
      </c>
      <c r="AA196" t="e">
        <f t="shared" si="31"/>
        <v>#N/A</v>
      </c>
      <c r="AB196" t="e">
        <f t="shared" si="32"/>
        <v>#N/A</v>
      </c>
      <c r="AC196" t="e">
        <f t="shared" si="33"/>
        <v>#N/A</v>
      </c>
      <c r="AD196" t="e">
        <f t="shared" si="34"/>
        <v>#N/A</v>
      </c>
      <c r="AE196" t="e">
        <f t="shared" si="35"/>
        <v>#N/A</v>
      </c>
      <c r="AF196" t="e">
        <f t="shared" si="36"/>
        <v>#N/A</v>
      </c>
      <c r="AG196" t="e">
        <f t="shared" si="37"/>
        <v>#N/A</v>
      </c>
      <c r="AH196" t="e">
        <f t="shared" si="44"/>
        <v>#N/A</v>
      </c>
      <c r="AI196" t="e">
        <f t="shared" si="38"/>
        <v>#N/A</v>
      </c>
      <c r="AJ196">
        <f t="shared" si="39"/>
        <v>0</v>
      </c>
      <c r="AK196" t="e">
        <f t="shared" si="40"/>
        <v>#N/A</v>
      </c>
      <c r="AL196" t="e">
        <f t="shared" si="41"/>
        <v>#N/A</v>
      </c>
      <c r="AM196" t="e">
        <f t="shared" si="42"/>
        <v>#N/A</v>
      </c>
      <c r="AN1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6" t="e">
        <f t="shared" si="43"/>
        <v>#N/A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7" t="e">
        <f t="shared" ref="Z197:Z260" si="45">Y197/1.128</f>
        <v>#N/A</v>
      </c>
      <c r="AA197" t="e">
        <f t="shared" ref="AA197:AA260" si="46">MAX(0,W197-(3*Z197))</f>
        <v>#N/A</v>
      </c>
      <c r="AB197" t="e">
        <f t="shared" ref="AB197:AB260" si="47">MAX(0,W197-(2*Z197))</f>
        <v>#N/A</v>
      </c>
      <c r="AC197" t="e">
        <f t="shared" ref="AC197:AC260" si="48">MAX(0,W197-Z197)</f>
        <v>#N/A</v>
      </c>
      <c r="AD197" t="e">
        <f t="shared" ref="AD197:AD260" si="49">W197+Z197</f>
        <v>#N/A</v>
      </c>
      <c r="AE197" t="e">
        <f t="shared" ref="AE197:AE260" si="50">W197+(2*Z197)</f>
        <v>#N/A</v>
      </c>
      <c r="AF197" t="e">
        <f t="shared" ref="AF197:AF260" si="51">W197+(3*Z197)</f>
        <v>#N/A</v>
      </c>
      <c r="AG197" t="e">
        <f t="shared" ref="AG197:AG260" si="52">IF(OR(V197&gt;AF197,V197&lt;AA197),V197,NA())</f>
        <v>#N/A</v>
      </c>
      <c r="AH197" t="e">
        <f t="shared" si="44"/>
        <v>#N/A</v>
      </c>
      <c r="AI197" t="e">
        <f t="shared" ref="AI197:AI260" si="53">IF(ABS(SUM(AH197:AH199))&gt;=5,V197,NA())</f>
        <v>#N/A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 t="e">
        <f t="shared" ref="AL197:AL260" si="56">IF(V197&lt;W197,-1,IF(V197&gt;W197,1,0))</f>
        <v>#N/A</v>
      </c>
      <c r="AM197" t="e">
        <f t="shared" ref="AM197:AM260" si="57">IF(ABS(SUM(AL197:AL205))=9,V197,NA())</f>
        <v>#N/A</v>
      </c>
      <c r="AN1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7" t="e">
        <f t="shared" ref="AP197:AP260" si="58">AO197-AN197</f>
        <v>#N/A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8" t="e">
        <f t="shared" si="45"/>
        <v>#N/A</v>
      </c>
      <c r="AA198" t="e">
        <f t="shared" si="46"/>
        <v>#N/A</v>
      </c>
      <c r="AB198" t="e">
        <f t="shared" si="47"/>
        <v>#N/A</v>
      </c>
      <c r="AC198" t="e">
        <f t="shared" si="48"/>
        <v>#N/A</v>
      </c>
      <c r="AD198" t="e">
        <f t="shared" si="49"/>
        <v>#N/A</v>
      </c>
      <c r="AE198" t="e">
        <f t="shared" si="50"/>
        <v>#N/A</v>
      </c>
      <c r="AF198" t="e">
        <f t="shared" si="51"/>
        <v>#N/A</v>
      </c>
      <c r="AG198" t="e">
        <f t="shared" si="52"/>
        <v>#N/A</v>
      </c>
      <c r="AH198" t="e">
        <f t="shared" ref="AH198:AH261" si="59">IF(V198&gt;AE198,2,IF(V198&lt;AB198,-2,IF(V198&gt;W198,1,IF(V198&lt;W198,-1,0))))</f>
        <v>#N/A</v>
      </c>
      <c r="AI198" t="e">
        <f t="shared" si="53"/>
        <v>#N/A</v>
      </c>
      <c r="AJ198">
        <f t="shared" si="54"/>
        <v>0</v>
      </c>
      <c r="AK198" t="e">
        <f t="shared" si="55"/>
        <v>#N/A</v>
      </c>
      <c r="AL198" t="e">
        <f t="shared" si="56"/>
        <v>#N/A</v>
      </c>
      <c r="AM198" t="e">
        <f t="shared" si="57"/>
        <v>#N/A</v>
      </c>
      <c r="AN1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8" t="e">
        <f t="shared" si="58"/>
        <v>#N/A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9" t="e">
        <f t="shared" si="45"/>
        <v>#N/A</v>
      </c>
      <c r="AA199" t="e">
        <f t="shared" si="46"/>
        <v>#N/A</v>
      </c>
      <c r="AB199" t="e">
        <f t="shared" si="47"/>
        <v>#N/A</v>
      </c>
      <c r="AC199" t="e">
        <f t="shared" si="48"/>
        <v>#N/A</v>
      </c>
      <c r="AD199" t="e">
        <f t="shared" si="49"/>
        <v>#N/A</v>
      </c>
      <c r="AE199" t="e">
        <f t="shared" si="50"/>
        <v>#N/A</v>
      </c>
      <c r="AF199" t="e">
        <f t="shared" si="51"/>
        <v>#N/A</v>
      </c>
      <c r="AG199" t="e">
        <f t="shared" si="52"/>
        <v>#N/A</v>
      </c>
      <c r="AH199" t="e">
        <f t="shared" si="59"/>
        <v>#N/A</v>
      </c>
      <c r="AI199" t="e">
        <f t="shared" si="53"/>
        <v>#N/A</v>
      </c>
      <c r="AJ199">
        <f t="shared" si="54"/>
        <v>0</v>
      </c>
      <c r="AK199" t="e">
        <f t="shared" si="55"/>
        <v>#N/A</v>
      </c>
      <c r="AL199" t="e">
        <f t="shared" si="56"/>
        <v>#N/A</v>
      </c>
      <c r="AM199" t="e">
        <f t="shared" si="57"/>
        <v>#N/A</v>
      </c>
      <c r="AN1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9" t="e">
        <f t="shared" si="58"/>
        <v>#N/A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0" t="e">
        <f t="shared" si="45"/>
        <v>#N/A</v>
      </c>
      <c r="AA200" t="e">
        <f t="shared" si="46"/>
        <v>#N/A</v>
      </c>
      <c r="AB200" t="e">
        <f t="shared" si="47"/>
        <v>#N/A</v>
      </c>
      <c r="AC200" t="e">
        <f t="shared" si="48"/>
        <v>#N/A</v>
      </c>
      <c r="AD200" t="e">
        <f t="shared" si="49"/>
        <v>#N/A</v>
      </c>
      <c r="AE200" t="e">
        <f t="shared" si="50"/>
        <v>#N/A</v>
      </c>
      <c r="AF200" t="e">
        <f t="shared" si="51"/>
        <v>#N/A</v>
      </c>
      <c r="AG200" t="e">
        <f t="shared" si="52"/>
        <v>#N/A</v>
      </c>
      <c r="AH200" t="e">
        <f t="shared" si="59"/>
        <v>#N/A</v>
      </c>
      <c r="AI200" t="e">
        <f t="shared" si="53"/>
        <v>#N/A</v>
      </c>
      <c r="AJ200">
        <f t="shared" si="54"/>
        <v>0</v>
      </c>
      <c r="AK200" t="e">
        <f t="shared" si="55"/>
        <v>#N/A</v>
      </c>
      <c r="AL200" t="e">
        <f t="shared" si="56"/>
        <v>#N/A</v>
      </c>
      <c r="AM200" t="e">
        <f t="shared" si="57"/>
        <v>#N/A</v>
      </c>
      <c r="AN2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0" t="e">
        <f t="shared" si="58"/>
        <v>#N/A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1" t="e">
        <f t="shared" si="45"/>
        <v>#N/A</v>
      </c>
      <c r="AA201" t="e">
        <f t="shared" si="46"/>
        <v>#N/A</v>
      </c>
      <c r="AB201" t="e">
        <f t="shared" si="47"/>
        <v>#N/A</v>
      </c>
      <c r="AC201" t="e">
        <f t="shared" si="48"/>
        <v>#N/A</v>
      </c>
      <c r="AD201" t="e">
        <f t="shared" si="49"/>
        <v>#N/A</v>
      </c>
      <c r="AE201" t="e">
        <f t="shared" si="50"/>
        <v>#N/A</v>
      </c>
      <c r="AF201" t="e">
        <f t="shared" si="51"/>
        <v>#N/A</v>
      </c>
      <c r="AG201" t="e">
        <f t="shared" si="52"/>
        <v>#N/A</v>
      </c>
      <c r="AH201" t="e">
        <f t="shared" si="59"/>
        <v>#N/A</v>
      </c>
      <c r="AI201" t="e">
        <f t="shared" si="53"/>
        <v>#N/A</v>
      </c>
      <c r="AJ201">
        <f t="shared" si="54"/>
        <v>0</v>
      </c>
      <c r="AK201" t="e">
        <f t="shared" si="55"/>
        <v>#N/A</v>
      </c>
      <c r="AL201" t="e">
        <f t="shared" si="56"/>
        <v>#N/A</v>
      </c>
      <c r="AM201" t="e">
        <f t="shared" si="57"/>
        <v>#N/A</v>
      </c>
      <c r="AN2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1" t="e">
        <f t="shared" si="58"/>
        <v>#N/A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2" t="e">
        <f t="shared" si="45"/>
        <v>#N/A</v>
      </c>
      <c r="AA202" t="e">
        <f t="shared" si="46"/>
        <v>#N/A</v>
      </c>
      <c r="AB202" t="e">
        <f t="shared" si="47"/>
        <v>#N/A</v>
      </c>
      <c r="AC202" t="e">
        <f t="shared" si="48"/>
        <v>#N/A</v>
      </c>
      <c r="AD202" t="e">
        <f t="shared" si="49"/>
        <v>#N/A</v>
      </c>
      <c r="AE202" t="e">
        <f t="shared" si="50"/>
        <v>#N/A</v>
      </c>
      <c r="AF202" t="e">
        <f t="shared" si="51"/>
        <v>#N/A</v>
      </c>
      <c r="AG202" t="e">
        <f t="shared" si="52"/>
        <v>#N/A</v>
      </c>
      <c r="AH202" t="e">
        <f t="shared" si="59"/>
        <v>#N/A</v>
      </c>
      <c r="AI202" t="e">
        <f t="shared" si="53"/>
        <v>#N/A</v>
      </c>
      <c r="AJ202">
        <f t="shared" si="54"/>
        <v>0</v>
      </c>
      <c r="AK202" t="e">
        <f t="shared" si="55"/>
        <v>#N/A</v>
      </c>
      <c r="AL202" t="e">
        <f t="shared" si="56"/>
        <v>#N/A</v>
      </c>
      <c r="AM202" t="e">
        <f t="shared" si="57"/>
        <v>#N/A</v>
      </c>
      <c r="AN2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2" t="e">
        <f t="shared" si="58"/>
        <v>#N/A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3" t="e">
        <f t="shared" si="45"/>
        <v>#N/A</v>
      </c>
      <c r="AA203" t="e">
        <f t="shared" si="46"/>
        <v>#N/A</v>
      </c>
      <c r="AB203" t="e">
        <f t="shared" si="47"/>
        <v>#N/A</v>
      </c>
      <c r="AC203" t="e">
        <f t="shared" si="48"/>
        <v>#N/A</v>
      </c>
      <c r="AD203" t="e">
        <f t="shared" si="49"/>
        <v>#N/A</v>
      </c>
      <c r="AE203" t="e">
        <f t="shared" si="50"/>
        <v>#N/A</v>
      </c>
      <c r="AF203" t="e">
        <f t="shared" si="51"/>
        <v>#N/A</v>
      </c>
      <c r="AG203" t="e">
        <f t="shared" si="52"/>
        <v>#N/A</v>
      </c>
      <c r="AH203" t="e">
        <f t="shared" si="59"/>
        <v>#N/A</v>
      </c>
      <c r="AI203" t="e">
        <f t="shared" si="53"/>
        <v>#N/A</v>
      </c>
      <c r="AJ203">
        <f t="shared" si="54"/>
        <v>0</v>
      </c>
      <c r="AK203" t="e">
        <f t="shared" si="55"/>
        <v>#N/A</v>
      </c>
      <c r="AL203" t="e">
        <f t="shared" si="56"/>
        <v>#N/A</v>
      </c>
      <c r="AM203" t="e">
        <f t="shared" si="57"/>
        <v>#N/A</v>
      </c>
      <c r="AN2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3" t="e">
        <f t="shared" si="58"/>
        <v>#N/A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4" t="e">
        <f t="shared" si="45"/>
        <v>#N/A</v>
      </c>
      <c r="AA204" t="e">
        <f t="shared" si="46"/>
        <v>#N/A</v>
      </c>
      <c r="AB204" t="e">
        <f t="shared" si="47"/>
        <v>#N/A</v>
      </c>
      <c r="AC204" t="e">
        <f t="shared" si="48"/>
        <v>#N/A</v>
      </c>
      <c r="AD204" t="e">
        <f t="shared" si="49"/>
        <v>#N/A</v>
      </c>
      <c r="AE204" t="e">
        <f t="shared" si="50"/>
        <v>#N/A</v>
      </c>
      <c r="AF204" t="e">
        <f t="shared" si="51"/>
        <v>#N/A</v>
      </c>
      <c r="AG204" t="e">
        <f t="shared" si="52"/>
        <v>#N/A</v>
      </c>
      <c r="AH204" t="e">
        <f t="shared" si="59"/>
        <v>#N/A</v>
      </c>
      <c r="AI204" t="e">
        <f t="shared" si="53"/>
        <v>#N/A</v>
      </c>
      <c r="AJ204">
        <f t="shared" si="54"/>
        <v>0</v>
      </c>
      <c r="AK204" t="e">
        <f t="shared" si="55"/>
        <v>#N/A</v>
      </c>
      <c r="AL204" t="e">
        <f t="shared" si="56"/>
        <v>#N/A</v>
      </c>
      <c r="AM204" t="e">
        <f t="shared" si="57"/>
        <v>#N/A</v>
      </c>
      <c r="AN2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4" t="e">
        <f t="shared" si="58"/>
        <v>#N/A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5" t="e">
        <f t="shared" si="45"/>
        <v>#N/A</v>
      </c>
      <c r="AA205" t="e">
        <f t="shared" si="46"/>
        <v>#N/A</v>
      </c>
      <c r="AB205" t="e">
        <f t="shared" si="47"/>
        <v>#N/A</v>
      </c>
      <c r="AC205" t="e">
        <f t="shared" si="48"/>
        <v>#N/A</v>
      </c>
      <c r="AD205" t="e">
        <f t="shared" si="49"/>
        <v>#N/A</v>
      </c>
      <c r="AE205" t="e">
        <f t="shared" si="50"/>
        <v>#N/A</v>
      </c>
      <c r="AF205" t="e">
        <f t="shared" si="51"/>
        <v>#N/A</v>
      </c>
      <c r="AG205" t="e">
        <f t="shared" si="52"/>
        <v>#N/A</v>
      </c>
      <c r="AH205" t="e">
        <f t="shared" si="59"/>
        <v>#N/A</v>
      </c>
      <c r="AI205" t="e">
        <f t="shared" si="53"/>
        <v>#N/A</v>
      </c>
      <c r="AJ205">
        <f t="shared" si="54"/>
        <v>0</v>
      </c>
      <c r="AK205" t="e">
        <f t="shared" si="55"/>
        <v>#N/A</v>
      </c>
      <c r="AL205" t="e">
        <f t="shared" si="56"/>
        <v>#N/A</v>
      </c>
      <c r="AM205" t="e">
        <f t="shared" si="57"/>
        <v>#N/A</v>
      </c>
      <c r="AN2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5" t="e">
        <f t="shared" si="58"/>
        <v>#N/A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6" t="e">
        <f t="shared" si="45"/>
        <v>#N/A</v>
      </c>
      <c r="AA206" t="e">
        <f t="shared" si="46"/>
        <v>#N/A</v>
      </c>
      <c r="AB206" t="e">
        <f t="shared" si="47"/>
        <v>#N/A</v>
      </c>
      <c r="AC206" t="e">
        <f t="shared" si="48"/>
        <v>#N/A</v>
      </c>
      <c r="AD206" t="e">
        <f t="shared" si="49"/>
        <v>#N/A</v>
      </c>
      <c r="AE206" t="e">
        <f t="shared" si="50"/>
        <v>#N/A</v>
      </c>
      <c r="AF206" t="e">
        <f t="shared" si="51"/>
        <v>#N/A</v>
      </c>
      <c r="AG206" t="e">
        <f t="shared" si="52"/>
        <v>#N/A</v>
      </c>
      <c r="AH206" t="e">
        <f t="shared" si="59"/>
        <v>#N/A</v>
      </c>
      <c r="AI206" t="e">
        <f t="shared" si="53"/>
        <v>#N/A</v>
      </c>
      <c r="AJ206">
        <f t="shared" si="54"/>
        <v>0</v>
      </c>
      <c r="AK206" t="e">
        <f t="shared" si="55"/>
        <v>#N/A</v>
      </c>
      <c r="AL206" t="e">
        <f t="shared" si="56"/>
        <v>#N/A</v>
      </c>
      <c r="AM206" t="e">
        <f t="shared" si="57"/>
        <v>#N/A</v>
      </c>
      <c r="AN2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6" t="e">
        <f t="shared" si="58"/>
        <v>#N/A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7" t="e">
        <f t="shared" si="45"/>
        <v>#N/A</v>
      </c>
      <c r="AA207" t="e">
        <f t="shared" si="46"/>
        <v>#N/A</v>
      </c>
      <c r="AB207" t="e">
        <f t="shared" si="47"/>
        <v>#N/A</v>
      </c>
      <c r="AC207" t="e">
        <f t="shared" si="48"/>
        <v>#N/A</v>
      </c>
      <c r="AD207" t="e">
        <f t="shared" si="49"/>
        <v>#N/A</v>
      </c>
      <c r="AE207" t="e">
        <f t="shared" si="50"/>
        <v>#N/A</v>
      </c>
      <c r="AF207" t="e">
        <f t="shared" si="51"/>
        <v>#N/A</v>
      </c>
      <c r="AG207" t="e">
        <f t="shared" si="52"/>
        <v>#N/A</v>
      </c>
      <c r="AH207" t="e">
        <f t="shared" si="59"/>
        <v>#N/A</v>
      </c>
      <c r="AI207" t="e">
        <f t="shared" si="53"/>
        <v>#N/A</v>
      </c>
      <c r="AJ207">
        <f t="shared" si="54"/>
        <v>0</v>
      </c>
      <c r="AK207" t="e">
        <f t="shared" si="55"/>
        <v>#N/A</v>
      </c>
      <c r="AL207" t="e">
        <f t="shared" si="56"/>
        <v>#N/A</v>
      </c>
      <c r="AM207" t="e">
        <f t="shared" si="57"/>
        <v>#N/A</v>
      </c>
      <c r="AN2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7" t="e">
        <f t="shared" si="58"/>
        <v>#N/A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8" t="e">
        <f t="shared" si="45"/>
        <v>#N/A</v>
      </c>
      <c r="AA208" t="e">
        <f t="shared" si="46"/>
        <v>#N/A</v>
      </c>
      <c r="AB208" t="e">
        <f t="shared" si="47"/>
        <v>#N/A</v>
      </c>
      <c r="AC208" t="e">
        <f t="shared" si="48"/>
        <v>#N/A</v>
      </c>
      <c r="AD208" t="e">
        <f t="shared" si="49"/>
        <v>#N/A</v>
      </c>
      <c r="AE208" t="e">
        <f t="shared" si="50"/>
        <v>#N/A</v>
      </c>
      <c r="AF208" t="e">
        <f t="shared" si="51"/>
        <v>#N/A</v>
      </c>
      <c r="AG208" t="e">
        <f t="shared" si="52"/>
        <v>#N/A</v>
      </c>
      <c r="AH208" t="e">
        <f t="shared" si="59"/>
        <v>#N/A</v>
      </c>
      <c r="AI208" t="e">
        <f t="shared" si="53"/>
        <v>#N/A</v>
      </c>
      <c r="AJ208">
        <f t="shared" si="54"/>
        <v>0</v>
      </c>
      <c r="AK208" t="e">
        <f t="shared" si="55"/>
        <v>#N/A</v>
      </c>
      <c r="AL208" t="e">
        <f t="shared" si="56"/>
        <v>#N/A</v>
      </c>
      <c r="AM208" t="e">
        <f t="shared" si="57"/>
        <v>#N/A</v>
      </c>
      <c r="AN2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8" t="e">
        <f t="shared" si="58"/>
        <v>#N/A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9" t="e">
        <f t="shared" si="45"/>
        <v>#N/A</v>
      </c>
      <c r="AA209" t="e">
        <f t="shared" si="46"/>
        <v>#N/A</v>
      </c>
      <c r="AB209" t="e">
        <f t="shared" si="47"/>
        <v>#N/A</v>
      </c>
      <c r="AC209" t="e">
        <f t="shared" si="48"/>
        <v>#N/A</v>
      </c>
      <c r="AD209" t="e">
        <f t="shared" si="49"/>
        <v>#N/A</v>
      </c>
      <c r="AE209" t="e">
        <f t="shared" si="50"/>
        <v>#N/A</v>
      </c>
      <c r="AF209" t="e">
        <f t="shared" si="51"/>
        <v>#N/A</v>
      </c>
      <c r="AG209" t="e">
        <f t="shared" si="52"/>
        <v>#N/A</v>
      </c>
      <c r="AH209" t="e">
        <f t="shared" si="59"/>
        <v>#N/A</v>
      </c>
      <c r="AI209" t="e">
        <f t="shared" si="53"/>
        <v>#N/A</v>
      </c>
      <c r="AJ209">
        <f t="shared" si="54"/>
        <v>0</v>
      </c>
      <c r="AK209" t="e">
        <f t="shared" si="55"/>
        <v>#N/A</v>
      </c>
      <c r="AL209" t="e">
        <f t="shared" si="56"/>
        <v>#N/A</v>
      </c>
      <c r="AM209" t="e">
        <f t="shared" si="57"/>
        <v>#N/A</v>
      </c>
      <c r="AN2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9" t="e">
        <f t="shared" si="58"/>
        <v>#N/A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0" t="e">
        <f t="shared" si="45"/>
        <v>#N/A</v>
      </c>
      <c r="AA210" t="e">
        <f t="shared" si="46"/>
        <v>#N/A</v>
      </c>
      <c r="AB210" t="e">
        <f t="shared" si="47"/>
        <v>#N/A</v>
      </c>
      <c r="AC210" t="e">
        <f t="shared" si="48"/>
        <v>#N/A</v>
      </c>
      <c r="AD210" t="e">
        <f t="shared" si="49"/>
        <v>#N/A</v>
      </c>
      <c r="AE210" t="e">
        <f t="shared" si="50"/>
        <v>#N/A</v>
      </c>
      <c r="AF210" t="e">
        <f t="shared" si="51"/>
        <v>#N/A</v>
      </c>
      <c r="AG210" t="e">
        <f t="shared" si="52"/>
        <v>#N/A</v>
      </c>
      <c r="AH210" t="e">
        <f t="shared" si="59"/>
        <v>#N/A</v>
      </c>
      <c r="AI210" t="e">
        <f t="shared" si="53"/>
        <v>#N/A</v>
      </c>
      <c r="AJ210">
        <f t="shared" si="54"/>
        <v>0</v>
      </c>
      <c r="AK210" t="e">
        <f t="shared" si="55"/>
        <v>#N/A</v>
      </c>
      <c r="AL210" t="e">
        <f t="shared" si="56"/>
        <v>#N/A</v>
      </c>
      <c r="AM210" t="e">
        <f t="shared" si="57"/>
        <v>#N/A</v>
      </c>
      <c r="AN2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0" t="e">
        <f t="shared" si="58"/>
        <v>#N/A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1" t="e">
        <f t="shared" si="45"/>
        <v>#N/A</v>
      </c>
      <c r="AA211" t="e">
        <f t="shared" si="46"/>
        <v>#N/A</v>
      </c>
      <c r="AB211" t="e">
        <f t="shared" si="47"/>
        <v>#N/A</v>
      </c>
      <c r="AC211" t="e">
        <f t="shared" si="48"/>
        <v>#N/A</v>
      </c>
      <c r="AD211" t="e">
        <f t="shared" si="49"/>
        <v>#N/A</v>
      </c>
      <c r="AE211" t="e">
        <f t="shared" si="50"/>
        <v>#N/A</v>
      </c>
      <c r="AF211" t="e">
        <f t="shared" si="51"/>
        <v>#N/A</v>
      </c>
      <c r="AG211" t="e">
        <f t="shared" si="52"/>
        <v>#N/A</v>
      </c>
      <c r="AH211" t="e">
        <f t="shared" si="59"/>
        <v>#N/A</v>
      </c>
      <c r="AI211" t="e">
        <f t="shared" si="53"/>
        <v>#N/A</v>
      </c>
      <c r="AJ211">
        <f t="shared" si="54"/>
        <v>0</v>
      </c>
      <c r="AK211" t="e">
        <f t="shared" si="55"/>
        <v>#N/A</v>
      </c>
      <c r="AL211" t="e">
        <f t="shared" si="56"/>
        <v>#N/A</v>
      </c>
      <c r="AM211" t="e">
        <f t="shared" si="57"/>
        <v>#N/A</v>
      </c>
      <c r="AN2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1" t="e">
        <f t="shared" si="58"/>
        <v>#N/A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2" t="e">
        <f t="shared" si="45"/>
        <v>#N/A</v>
      </c>
      <c r="AA212" t="e">
        <f t="shared" si="46"/>
        <v>#N/A</v>
      </c>
      <c r="AB212" t="e">
        <f t="shared" si="47"/>
        <v>#N/A</v>
      </c>
      <c r="AC212" t="e">
        <f t="shared" si="48"/>
        <v>#N/A</v>
      </c>
      <c r="AD212" t="e">
        <f t="shared" si="49"/>
        <v>#N/A</v>
      </c>
      <c r="AE212" t="e">
        <f t="shared" si="50"/>
        <v>#N/A</v>
      </c>
      <c r="AF212" t="e">
        <f t="shared" si="51"/>
        <v>#N/A</v>
      </c>
      <c r="AG212" t="e">
        <f t="shared" si="52"/>
        <v>#N/A</v>
      </c>
      <c r="AH212" t="e">
        <f t="shared" si="59"/>
        <v>#N/A</v>
      </c>
      <c r="AI212" t="e">
        <f t="shared" si="53"/>
        <v>#N/A</v>
      </c>
      <c r="AJ212">
        <f t="shared" si="54"/>
        <v>0</v>
      </c>
      <c r="AK212" t="e">
        <f t="shared" si="55"/>
        <v>#N/A</v>
      </c>
      <c r="AL212" t="e">
        <f t="shared" si="56"/>
        <v>#N/A</v>
      </c>
      <c r="AM212" t="e">
        <f t="shared" si="57"/>
        <v>#N/A</v>
      </c>
      <c r="AN2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2" t="e">
        <f t="shared" si="58"/>
        <v>#N/A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3" t="e">
        <f t="shared" si="45"/>
        <v>#N/A</v>
      </c>
      <c r="AA213" t="e">
        <f t="shared" si="46"/>
        <v>#N/A</v>
      </c>
      <c r="AB213" t="e">
        <f t="shared" si="47"/>
        <v>#N/A</v>
      </c>
      <c r="AC213" t="e">
        <f t="shared" si="48"/>
        <v>#N/A</v>
      </c>
      <c r="AD213" t="e">
        <f t="shared" si="49"/>
        <v>#N/A</v>
      </c>
      <c r="AE213" t="e">
        <f t="shared" si="50"/>
        <v>#N/A</v>
      </c>
      <c r="AF213" t="e">
        <f t="shared" si="51"/>
        <v>#N/A</v>
      </c>
      <c r="AG213" t="e">
        <f t="shared" si="52"/>
        <v>#N/A</v>
      </c>
      <c r="AH213" t="e">
        <f t="shared" si="59"/>
        <v>#N/A</v>
      </c>
      <c r="AI213" t="e">
        <f t="shared" si="53"/>
        <v>#N/A</v>
      </c>
      <c r="AJ213">
        <f t="shared" si="54"/>
        <v>0</v>
      </c>
      <c r="AK213" t="e">
        <f t="shared" si="55"/>
        <v>#N/A</v>
      </c>
      <c r="AL213" t="e">
        <f t="shared" si="56"/>
        <v>#N/A</v>
      </c>
      <c r="AM213" t="e">
        <f t="shared" si="57"/>
        <v>#N/A</v>
      </c>
      <c r="AN2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3" t="e">
        <f t="shared" si="58"/>
        <v>#N/A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4" t="e">
        <f t="shared" si="45"/>
        <v>#N/A</v>
      </c>
      <c r="AA214" t="e">
        <f t="shared" si="46"/>
        <v>#N/A</v>
      </c>
      <c r="AB214" t="e">
        <f t="shared" si="47"/>
        <v>#N/A</v>
      </c>
      <c r="AC214" t="e">
        <f t="shared" si="48"/>
        <v>#N/A</v>
      </c>
      <c r="AD214" t="e">
        <f t="shared" si="49"/>
        <v>#N/A</v>
      </c>
      <c r="AE214" t="e">
        <f t="shared" si="50"/>
        <v>#N/A</v>
      </c>
      <c r="AF214" t="e">
        <f t="shared" si="51"/>
        <v>#N/A</v>
      </c>
      <c r="AG214" t="e">
        <f t="shared" si="52"/>
        <v>#N/A</v>
      </c>
      <c r="AH214" t="e">
        <f t="shared" si="59"/>
        <v>#N/A</v>
      </c>
      <c r="AI214" t="e">
        <f t="shared" si="53"/>
        <v>#N/A</v>
      </c>
      <c r="AJ214">
        <f t="shared" si="54"/>
        <v>0</v>
      </c>
      <c r="AK214" t="e">
        <f t="shared" si="55"/>
        <v>#N/A</v>
      </c>
      <c r="AL214" t="e">
        <f t="shared" si="56"/>
        <v>#N/A</v>
      </c>
      <c r="AM214" t="e">
        <f t="shared" si="57"/>
        <v>#N/A</v>
      </c>
      <c r="AN2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4" t="e">
        <f t="shared" si="58"/>
        <v>#N/A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5" t="e">
        <f t="shared" si="45"/>
        <v>#N/A</v>
      </c>
      <c r="AA215" t="e">
        <f t="shared" si="46"/>
        <v>#N/A</v>
      </c>
      <c r="AB215" t="e">
        <f t="shared" si="47"/>
        <v>#N/A</v>
      </c>
      <c r="AC215" t="e">
        <f t="shared" si="48"/>
        <v>#N/A</v>
      </c>
      <c r="AD215" t="e">
        <f t="shared" si="49"/>
        <v>#N/A</v>
      </c>
      <c r="AE215" t="e">
        <f t="shared" si="50"/>
        <v>#N/A</v>
      </c>
      <c r="AF215" t="e">
        <f t="shared" si="51"/>
        <v>#N/A</v>
      </c>
      <c r="AG215" t="e">
        <f t="shared" si="52"/>
        <v>#N/A</v>
      </c>
      <c r="AH215" t="e">
        <f t="shared" si="59"/>
        <v>#N/A</v>
      </c>
      <c r="AI215" t="e">
        <f t="shared" si="53"/>
        <v>#N/A</v>
      </c>
      <c r="AJ215">
        <f t="shared" si="54"/>
        <v>0</v>
      </c>
      <c r="AK215" t="e">
        <f t="shared" si="55"/>
        <v>#N/A</v>
      </c>
      <c r="AL215" t="e">
        <f t="shared" si="56"/>
        <v>#N/A</v>
      </c>
      <c r="AM215" t="e">
        <f t="shared" si="57"/>
        <v>#N/A</v>
      </c>
      <c r="AN2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5" t="e">
        <f t="shared" si="58"/>
        <v>#N/A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6" t="e">
        <f t="shared" si="45"/>
        <v>#N/A</v>
      </c>
      <c r="AA216" t="e">
        <f t="shared" si="46"/>
        <v>#N/A</v>
      </c>
      <c r="AB216" t="e">
        <f t="shared" si="47"/>
        <v>#N/A</v>
      </c>
      <c r="AC216" t="e">
        <f t="shared" si="48"/>
        <v>#N/A</v>
      </c>
      <c r="AD216" t="e">
        <f t="shared" si="49"/>
        <v>#N/A</v>
      </c>
      <c r="AE216" t="e">
        <f t="shared" si="50"/>
        <v>#N/A</v>
      </c>
      <c r="AF216" t="e">
        <f t="shared" si="51"/>
        <v>#N/A</v>
      </c>
      <c r="AG216" t="e">
        <f t="shared" si="52"/>
        <v>#N/A</v>
      </c>
      <c r="AH216" t="e">
        <f t="shared" si="59"/>
        <v>#N/A</v>
      </c>
      <c r="AI216" t="e">
        <f t="shared" si="53"/>
        <v>#N/A</v>
      </c>
      <c r="AJ216">
        <f t="shared" si="54"/>
        <v>0</v>
      </c>
      <c r="AK216" t="e">
        <f t="shared" si="55"/>
        <v>#N/A</v>
      </c>
      <c r="AL216" t="e">
        <f t="shared" si="56"/>
        <v>#N/A</v>
      </c>
      <c r="AM216" t="e">
        <f t="shared" si="57"/>
        <v>#N/A</v>
      </c>
      <c r="AN2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6" t="e">
        <f t="shared" si="58"/>
        <v>#N/A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7" t="e">
        <f t="shared" si="45"/>
        <v>#N/A</v>
      </c>
      <c r="AA217" t="e">
        <f t="shared" si="46"/>
        <v>#N/A</v>
      </c>
      <c r="AB217" t="e">
        <f t="shared" si="47"/>
        <v>#N/A</v>
      </c>
      <c r="AC217" t="e">
        <f t="shared" si="48"/>
        <v>#N/A</v>
      </c>
      <c r="AD217" t="e">
        <f t="shared" si="49"/>
        <v>#N/A</v>
      </c>
      <c r="AE217" t="e">
        <f t="shared" si="50"/>
        <v>#N/A</v>
      </c>
      <c r="AF217" t="e">
        <f t="shared" si="51"/>
        <v>#N/A</v>
      </c>
      <c r="AG217" t="e">
        <f t="shared" si="52"/>
        <v>#N/A</v>
      </c>
      <c r="AH217" t="e">
        <f t="shared" si="59"/>
        <v>#N/A</v>
      </c>
      <c r="AI217" t="e">
        <f t="shared" si="53"/>
        <v>#N/A</v>
      </c>
      <c r="AJ217">
        <f t="shared" si="54"/>
        <v>0</v>
      </c>
      <c r="AK217" t="e">
        <f t="shared" si="55"/>
        <v>#N/A</v>
      </c>
      <c r="AL217" t="e">
        <f t="shared" si="56"/>
        <v>#N/A</v>
      </c>
      <c r="AM217" t="e">
        <f t="shared" si="57"/>
        <v>#N/A</v>
      </c>
      <c r="AN2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7" t="e">
        <f t="shared" si="58"/>
        <v>#N/A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8" t="e">
        <f t="shared" si="45"/>
        <v>#N/A</v>
      </c>
      <c r="AA218" t="e">
        <f t="shared" si="46"/>
        <v>#N/A</v>
      </c>
      <c r="AB218" t="e">
        <f t="shared" si="47"/>
        <v>#N/A</v>
      </c>
      <c r="AC218" t="e">
        <f t="shared" si="48"/>
        <v>#N/A</v>
      </c>
      <c r="AD218" t="e">
        <f t="shared" si="49"/>
        <v>#N/A</v>
      </c>
      <c r="AE218" t="e">
        <f t="shared" si="50"/>
        <v>#N/A</v>
      </c>
      <c r="AF218" t="e">
        <f t="shared" si="51"/>
        <v>#N/A</v>
      </c>
      <c r="AG218" t="e">
        <f t="shared" si="52"/>
        <v>#N/A</v>
      </c>
      <c r="AH218" t="e">
        <f t="shared" si="59"/>
        <v>#N/A</v>
      </c>
      <c r="AI218" t="e">
        <f t="shared" si="53"/>
        <v>#N/A</v>
      </c>
      <c r="AJ218">
        <f t="shared" si="54"/>
        <v>0</v>
      </c>
      <c r="AK218" t="e">
        <f t="shared" si="55"/>
        <v>#N/A</v>
      </c>
      <c r="AL218" t="e">
        <f t="shared" si="56"/>
        <v>#N/A</v>
      </c>
      <c r="AM218" t="e">
        <f t="shared" si="57"/>
        <v>#N/A</v>
      </c>
      <c r="AN2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8" t="e">
        <f t="shared" si="58"/>
        <v>#N/A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9" t="e">
        <f t="shared" si="45"/>
        <v>#N/A</v>
      </c>
      <c r="AA219" t="e">
        <f t="shared" si="46"/>
        <v>#N/A</v>
      </c>
      <c r="AB219" t="e">
        <f t="shared" si="47"/>
        <v>#N/A</v>
      </c>
      <c r="AC219" t="e">
        <f t="shared" si="48"/>
        <v>#N/A</v>
      </c>
      <c r="AD219" t="e">
        <f t="shared" si="49"/>
        <v>#N/A</v>
      </c>
      <c r="AE219" t="e">
        <f t="shared" si="50"/>
        <v>#N/A</v>
      </c>
      <c r="AF219" t="e">
        <f t="shared" si="51"/>
        <v>#N/A</v>
      </c>
      <c r="AG219" t="e">
        <f t="shared" si="52"/>
        <v>#N/A</v>
      </c>
      <c r="AH219" t="e">
        <f t="shared" si="59"/>
        <v>#N/A</v>
      </c>
      <c r="AI219" t="e">
        <f t="shared" si="53"/>
        <v>#N/A</v>
      </c>
      <c r="AJ219">
        <f t="shared" si="54"/>
        <v>0</v>
      </c>
      <c r="AK219" t="e">
        <f t="shared" si="55"/>
        <v>#N/A</v>
      </c>
      <c r="AL219" t="e">
        <f t="shared" si="56"/>
        <v>#N/A</v>
      </c>
      <c r="AM219" t="e">
        <f t="shared" si="57"/>
        <v>#N/A</v>
      </c>
      <c r="AN2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9" t="e">
        <f t="shared" si="58"/>
        <v>#N/A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0" t="e">
        <f t="shared" si="45"/>
        <v>#N/A</v>
      </c>
      <c r="AA220" t="e">
        <f t="shared" si="46"/>
        <v>#N/A</v>
      </c>
      <c r="AB220" t="e">
        <f t="shared" si="47"/>
        <v>#N/A</v>
      </c>
      <c r="AC220" t="e">
        <f t="shared" si="48"/>
        <v>#N/A</v>
      </c>
      <c r="AD220" t="e">
        <f t="shared" si="49"/>
        <v>#N/A</v>
      </c>
      <c r="AE220" t="e">
        <f t="shared" si="50"/>
        <v>#N/A</v>
      </c>
      <c r="AF220" t="e">
        <f t="shared" si="51"/>
        <v>#N/A</v>
      </c>
      <c r="AG220" t="e">
        <f t="shared" si="52"/>
        <v>#N/A</v>
      </c>
      <c r="AH220" t="e">
        <f t="shared" si="59"/>
        <v>#N/A</v>
      </c>
      <c r="AI220" t="e">
        <f t="shared" si="53"/>
        <v>#N/A</v>
      </c>
      <c r="AJ220">
        <f t="shared" si="54"/>
        <v>0</v>
      </c>
      <c r="AK220" t="e">
        <f t="shared" si="55"/>
        <v>#N/A</v>
      </c>
      <c r="AL220" t="e">
        <f t="shared" si="56"/>
        <v>#N/A</v>
      </c>
      <c r="AM220" t="e">
        <f t="shared" si="57"/>
        <v>#N/A</v>
      </c>
      <c r="AN2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0" t="e">
        <f t="shared" si="58"/>
        <v>#N/A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1" t="e">
        <f t="shared" si="45"/>
        <v>#N/A</v>
      </c>
      <c r="AA221" t="e">
        <f t="shared" si="46"/>
        <v>#N/A</v>
      </c>
      <c r="AB221" t="e">
        <f t="shared" si="47"/>
        <v>#N/A</v>
      </c>
      <c r="AC221" t="e">
        <f t="shared" si="48"/>
        <v>#N/A</v>
      </c>
      <c r="AD221" t="e">
        <f t="shared" si="49"/>
        <v>#N/A</v>
      </c>
      <c r="AE221" t="e">
        <f t="shared" si="50"/>
        <v>#N/A</v>
      </c>
      <c r="AF221" t="e">
        <f t="shared" si="51"/>
        <v>#N/A</v>
      </c>
      <c r="AG221" t="e">
        <f t="shared" si="52"/>
        <v>#N/A</v>
      </c>
      <c r="AH221" t="e">
        <f t="shared" si="59"/>
        <v>#N/A</v>
      </c>
      <c r="AI221" t="e">
        <f t="shared" si="53"/>
        <v>#N/A</v>
      </c>
      <c r="AJ221">
        <f t="shared" si="54"/>
        <v>0</v>
      </c>
      <c r="AK221" t="e">
        <f t="shared" si="55"/>
        <v>#N/A</v>
      </c>
      <c r="AL221" t="e">
        <f t="shared" si="56"/>
        <v>#N/A</v>
      </c>
      <c r="AM221" t="e">
        <f t="shared" si="57"/>
        <v>#N/A</v>
      </c>
      <c r="AN2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1" t="e">
        <f t="shared" si="58"/>
        <v>#N/A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2" t="e">
        <f t="shared" si="45"/>
        <v>#N/A</v>
      </c>
      <c r="AA222" t="e">
        <f t="shared" si="46"/>
        <v>#N/A</v>
      </c>
      <c r="AB222" t="e">
        <f t="shared" si="47"/>
        <v>#N/A</v>
      </c>
      <c r="AC222" t="e">
        <f t="shared" si="48"/>
        <v>#N/A</v>
      </c>
      <c r="AD222" t="e">
        <f t="shared" si="49"/>
        <v>#N/A</v>
      </c>
      <c r="AE222" t="e">
        <f t="shared" si="50"/>
        <v>#N/A</v>
      </c>
      <c r="AF222" t="e">
        <f t="shared" si="51"/>
        <v>#N/A</v>
      </c>
      <c r="AG222" t="e">
        <f t="shared" si="52"/>
        <v>#N/A</v>
      </c>
      <c r="AH222" t="e">
        <f t="shared" si="59"/>
        <v>#N/A</v>
      </c>
      <c r="AI222" t="e">
        <f t="shared" si="53"/>
        <v>#N/A</v>
      </c>
      <c r="AJ222">
        <f t="shared" si="54"/>
        <v>0</v>
      </c>
      <c r="AK222" t="e">
        <f t="shared" si="55"/>
        <v>#N/A</v>
      </c>
      <c r="AL222" t="e">
        <f t="shared" si="56"/>
        <v>#N/A</v>
      </c>
      <c r="AM222" t="e">
        <f t="shared" si="57"/>
        <v>#N/A</v>
      </c>
      <c r="AN2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2" t="e">
        <f t="shared" si="58"/>
        <v>#N/A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3" t="e">
        <f t="shared" si="45"/>
        <v>#N/A</v>
      </c>
      <c r="AA223" t="e">
        <f t="shared" si="46"/>
        <v>#N/A</v>
      </c>
      <c r="AB223" t="e">
        <f t="shared" si="47"/>
        <v>#N/A</v>
      </c>
      <c r="AC223" t="e">
        <f t="shared" si="48"/>
        <v>#N/A</v>
      </c>
      <c r="AD223" t="e">
        <f t="shared" si="49"/>
        <v>#N/A</v>
      </c>
      <c r="AE223" t="e">
        <f t="shared" si="50"/>
        <v>#N/A</v>
      </c>
      <c r="AF223" t="e">
        <f t="shared" si="51"/>
        <v>#N/A</v>
      </c>
      <c r="AG223" t="e">
        <f t="shared" si="52"/>
        <v>#N/A</v>
      </c>
      <c r="AH223" t="e">
        <f t="shared" si="59"/>
        <v>#N/A</v>
      </c>
      <c r="AI223" t="e">
        <f t="shared" si="53"/>
        <v>#N/A</v>
      </c>
      <c r="AJ223">
        <f t="shared" si="54"/>
        <v>0</v>
      </c>
      <c r="AK223" t="e">
        <f t="shared" si="55"/>
        <v>#N/A</v>
      </c>
      <c r="AL223" t="e">
        <f t="shared" si="56"/>
        <v>#N/A</v>
      </c>
      <c r="AM223" t="e">
        <f t="shared" si="57"/>
        <v>#N/A</v>
      </c>
      <c r="AN2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3" t="e">
        <f t="shared" si="58"/>
        <v>#N/A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4" t="e">
        <f t="shared" si="45"/>
        <v>#N/A</v>
      </c>
      <c r="AA224" t="e">
        <f t="shared" si="46"/>
        <v>#N/A</v>
      </c>
      <c r="AB224" t="e">
        <f t="shared" si="47"/>
        <v>#N/A</v>
      </c>
      <c r="AC224" t="e">
        <f t="shared" si="48"/>
        <v>#N/A</v>
      </c>
      <c r="AD224" t="e">
        <f t="shared" si="49"/>
        <v>#N/A</v>
      </c>
      <c r="AE224" t="e">
        <f t="shared" si="50"/>
        <v>#N/A</v>
      </c>
      <c r="AF224" t="e">
        <f t="shared" si="51"/>
        <v>#N/A</v>
      </c>
      <c r="AG224" t="e">
        <f t="shared" si="52"/>
        <v>#N/A</v>
      </c>
      <c r="AH224" t="e">
        <f t="shared" si="59"/>
        <v>#N/A</v>
      </c>
      <c r="AI224" t="e">
        <f t="shared" si="53"/>
        <v>#N/A</v>
      </c>
      <c r="AJ224">
        <f t="shared" si="54"/>
        <v>0</v>
      </c>
      <c r="AK224" t="e">
        <f t="shared" si="55"/>
        <v>#N/A</v>
      </c>
      <c r="AL224" t="e">
        <f t="shared" si="56"/>
        <v>#N/A</v>
      </c>
      <c r="AM224" t="e">
        <f t="shared" si="57"/>
        <v>#N/A</v>
      </c>
      <c r="AN2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4" t="e">
        <f t="shared" si="58"/>
        <v>#N/A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5" t="e">
        <f t="shared" si="45"/>
        <v>#N/A</v>
      </c>
      <c r="AA225" t="e">
        <f t="shared" si="46"/>
        <v>#N/A</v>
      </c>
      <c r="AB225" t="e">
        <f t="shared" si="47"/>
        <v>#N/A</v>
      </c>
      <c r="AC225" t="e">
        <f t="shared" si="48"/>
        <v>#N/A</v>
      </c>
      <c r="AD225" t="e">
        <f t="shared" si="49"/>
        <v>#N/A</v>
      </c>
      <c r="AE225" t="e">
        <f t="shared" si="50"/>
        <v>#N/A</v>
      </c>
      <c r="AF225" t="e">
        <f t="shared" si="51"/>
        <v>#N/A</v>
      </c>
      <c r="AG225" t="e">
        <f t="shared" si="52"/>
        <v>#N/A</v>
      </c>
      <c r="AH225" t="e">
        <f t="shared" si="59"/>
        <v>#N/A</v>
      </c>
      <c r="AI225" t="e">
        <f t="shared" si="53"/>
        <v>#N/A</v>
      </c>
      <c r="AJ225">
        <f t="shared" si="54"/>
        <v>0</v>
      </c>
      <c r="AK225" t="e">
        <f t="shared" si="55"/>
        <v>#N/A</v>
      </c>
      <c r="AL225" t="e">
        <f t="shared" si="56"/>
        <v>#N/A</v>
      </c>
      <c r="AM225" t="e">
        <f t="shared" si="57"/>
        <v>#N/A</v>
      </c>
      <c r="AN2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5" t="e">
        <f t="shared" si="58"/>
        <v>#N/A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6" t="e">
        <f t="shared" si="45"/>
        <v>#N/A</v>
      </c>
      <c r="AA226" t="e">
        <f t="shared" si="46"/>
        <v>#N/A</v>
      </c>
      <c r="AB226" t="e">
        <f t="shared" si="47"/>
        <v>#N/A</v>
      </c>
      <c r="AC226" t="e">
        <f t="shared" si="48"/>
        <v>#N/A</v>
      </c>
      <c r="AD226" t="e">
        <f t="shared" si="49"/>
        <v>#N/A</v>
      </c>
      <c r="AE226" t="e">
        <f t="shared" si="50"/>
        <v>#N/A</v>
      </c>
      <c r="AF226" t="e">
        <f t="shared" si="51"/>
        <v>#N/A</v>
      </c>
      <c r="AG226" t="e">
        <f t="shared" si="52"/>
        <v>#N/A</v>
      </c>
      <c r="AH226" t="e">
        <f t="shared" si="59"/>
        <v>#N/A</v>
      </c>
      <c r="AI226" t="e">
        <f t="shared" si="53"/>
        <v>#N/A</v>
      </c>
      <c r="AJ226">
        <f t="shared" si="54"/>
        <v>0</v>
      </c>
      <c r="AK226" t="e">
        <f t="shared" si="55"/>
        <v>#N/A</v>
      </c>
      <c r="AL226" t="e">
        <f t="shared" si="56"/>
        <v>#N/A</v>
      </c>
      <c r="AM226" t="e">
        <f t="shared" si="57"/>
        <v>#N/A</v>
      </c>
      <c r="AN2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6" t="e">
        <f t="shared" si="58"/>
        <v>#N/A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7" t="e">
        <f t="shared" si="45"/>
        <v>#N/A</v>
      </c>
      <c r="AA227" t="e">
        <f t="shared" si="46"/>
        <v>#N/A</v>
      </c>
      <c r="AB227" t="e">
        <f t="shared" si="47"/>
        <v>#N/A</v>
      </c>
      <c r="AC227" t="e">
        <f t="shared" si="48"/>
        <v>#N/A</v>
      </c>
      <c r="AD227" t="e">
        <f t="shared" si="49"/>
        <v>#N/A</v>
      </c>
      <c r="AE227" t="e">
        <f t="shared" si="50"/>
        <v>#N/A</v>
      </c>
      <c r="AF227" t="e">
        <f t="shared" si="51"/>
        <v>#N/A</v>
      </c>
      <c r="AG227" t="e">
        <f t="shared" si="52"/>
        <v>#N/A</v>
      </c>
      <c r="AH227" t="e">
        <f t="shared" si="59"/>
        <v>#N/A</v>
      </c>
      <c r="AI227" t="e">
        <f t="shared" si="53"/>
        <v>#N/A</v>
      </c>
      <c r="AJ227">
        <f t="shared" si="54"/>
        <v>0</v>
      </c>
      <c r="AK227" t="e">
        <f t="shared" si="55"/>
        <v>#N/A</v>
      </c>
      <c r="AL227" t="e">
        <f t="shared" si="56"/>
        <v>#N/A</v>
      </c>
      <c r="AM227" t="e">
        <f t="shared" si="57"/>
        <v>#N/A</v>
      </c>
      <c r="AN2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7" t="e">
        <f t="shared" si="58"/>
        <v>#N/A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8" t="e">
        <f t="shared" si="45"/>
        <v>#N/A</v>
      </c>
      <c r="AA228" t="e">
        <f t="shared" si="46"/>
        <v>#N/A</v>
      </c>
      <c r="AB228" t="e">
        <f t="shared" si="47"/>
        <v>#N/A</v>
      </c>
      <c r="AC228" t="e">
        <f t="shared" si="48"/>
        <v>#N/A</v>
      </c>
      <c r="AD228" t="e">
        <f t="shared" si="49"/>
        <v>#N/A</v>
      </c>
      <c r="AE228" t="e">
        <f t="shared" si="50"/>
        <v>#N/A</v>
      </c>
      <c r="AF228" t="e">
        <f t="shared" si="51"/>
        <v>#N/A</v>
      </c>
      <c r="AG228" t="e">
        <f t="shared" si="52"/>
        <v>#N/A</v>
      </c>
      <c r="AH228" t="e">
        <f t="shared" si="59"/>
        <v>#N/A</v>
      </c>
      <c r="AI228" t="e">
        <f t="shared" si="53"/>
        <v>#N/A</v>
      </c>
      <c r="AJ228">
        <f t="shared" si="54"/>
        <v>0</v>
      </c>
      <c r="AK228" t="e">
        <f t="shared" si="55"/>
        <v>#N/A</v>
      </c>
      <c r="AL228" t="e">
        <f t="shared" si="56"/>
        <v>#N/A</v>
      </c>
      <c r="AM228" t="e">
        <f t="shared" si="57"/>
        <v>#N/A</v>
      </c>
      <c r="AN2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8" t="e">
        <f t="shared" si="58"/>
        <v>#N/A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9" t="e">
        <f t="shared" si="45"/>
        <v>#N/A</v>
      </c>
      <c r="AA229" t="e">
        <f t="shared" si="46"/>
        <v>#N/A</v>
      </c>
      <c r="AB229" t="e">
        <f t="shared" si="47"/>
        <v>#N/A</v>
      </c>
      <c r="AC229" t="e">
        <f t="shared" si="48"/>
        <v>#N/A</v>
      </c>
      <c r="AD229" t="e">
        <f t="shared" si="49"/>
        <v>#N/A</v>
      </c>
      <c r="AE229" t="e">
        <f t="shared" si="50"/>
        <v>#N/A</v>
      </c>
      <c r="AF229" t="e">
        <f t="shared" si="51"/>
        <v>#N/A</v>
      </c>
      <c r="AG229" t="e">
        <f t="shared" si="52"/>
        <v>#N/A</v>
      </c>
      <c r="AH229" t="e">
        <f t="shared" si="59"/>
        <v>#N/A</v>
      </c>
      <c r="AI229" t="e">
        <f t="shared" si="53"/>
        <v>#N/A</v>
      </c>
      <c r="AJ229">
        <f t="shared" si="54"/>
        <v>0</v>
      </c>
      <c r="AK229" t="e">
        <f t="shared" si="55"/>
        <v>#N/A</v>
      </c>
      <c r="AL229" t="e">
        <f t="shared" si="56"/>
        <v>#N/A</v>
      </c>
      <c r="AM229" t="e">
        <f t="shared" si="57"/>
        <v>#N/A</v>
      </c>
      <c r="AN2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9" t="e">
        <f t="shared" si="58"/>
        <v>#N/A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0" t="e">
        <f t="shared" si="45"/>
        <v>#N/A</v>
      </c>
      <c r="AA230" t="e">
        <f t="shared" si="46"/>
        <v>#N/A</v>
      </c>
      <c r="AB230" t="e">
        <f t="shared" si="47"/>
        <v>#N/A</v>
      </c>
      <c r="AC230" t="e">
        <f t="shared" si="48"/>
        <v>#N/A</v>
      </c>
      <c r="AD230" t="e">
        <f t="shared" si="49"/>
        <v>#N/A</v>
      </c>
      <c r="AE230" t="e">
        <f t="shared" si="50"/>
        <v>#N/A</v>
      </c>
      <c r="AF230" t="e">
        <f t="shared" si="51"/>
        <v>#N/A</v>
      </c>
      <c r="AG230" t="e">
        <f t="shared" si="52"/>
        <v>#N/A</v>
      </c>
      <c r="AH230" t="e">
        <f t="shared" si="59"/>
        <v>#N/A</v>
      </c>
      <c r="AI230" t="e">
        <f t="shared" si="53"/>
        <v>#N/A</v>
      </c>
      <c r="AJ230">
        <f t="shared" si="54"/>
        <v>0</v>
      </c>
      <c r="AK230" t="e">
        <f t="shared" si="55"/>
        <v>#N/A</v>
      </c>
      <c r="AL230" t="e">
        <f t="shared" si="56"/>
        <v>#N/A</v>
      </c>
      <c r="AM230" t="e">
        <f t="shared" si="57"/>
        <v>#N/A</v>
      </c>
      <c r="AN2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0" t="e">
        <f t="shared" si="58"/>
        <v>#N/A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1" t="e">
        <f t="shared" si="45"/>
        <v>#N/A</v>
      </c>
      <c r="AA231" t="e">
        <f t="shared" si="46"/>
        <v>#N/A</v>
      </c>
      <c r="AB231" t="e">
        <f t="shared" si="47"/>
        <v>#N/A</v>
      </c>
      <c r="AC231" t="e">
        <f t="shared" si="48"/>
        <v>#N/A</v>
      </c>
      <c r="AD231" t="e">
        <f t="shared" si="49"/>
        <v>#N/A</v>
      </c>
      <c r="AE231" t="e">
        <f t="shared" si="50"/>
        <v>#N/A</v>
      </c>
      <c r="AF231" t="e">
        <f t="shared" si="51"/>
        <v>#N/A</v>
      </c>
      <c r="AG231" t="e">
        <f t="shared" si="52"/>
        <v>#N/A</v>
      </c>
      <c r="AH231" t="e">
        <f t="shared" si="59"/>
        <v>#N/A</v>
      </c>
      <c r="AI231" t="e">
        <f t="shared" si="53"/>
        <v>#N/A</v>
      </c>
      <c r="AJ231">
        <f t="shared" si="54"/>
        <v>0</v>
      </c>
      <c r="AK231" t="e">
        <f t="shared" si="55"/>
        <v>#N/A</v>
      </c>
      <c r="AL231" t="e">
        <f t="shared" si="56"/>
        <v>#N/A</v>
      </c>
      <c r="AM231" t="e">
        <f t="shared" si="57"/>
        <v>#N/A</v>
      </c>
      <c r="AN2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1" t="e">
        <f t="shared" si="58"/>
        <v>#N/A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2" t="e">
        <f t="shared" si="45"/>
        <v>#N/A</v>
      </c>
      <c r="AA232" t="e">
        <f t="shared" si="46"/>
        <v>#N/A</v>
      </c>
      <c r="AB232" t="e">
        <f t="shared" si="47"/>
        <v>#N/A</v>
      </c>
      <c r="AC232" t="e">
        <f t="shared" si="48"/>
        <v>#N/A</v>
      </c>
      <c r="AD232" t="e">
        <f t="shared" si="49"/>
        <v>#N/A</v>
      </c>
      <c r="AE232" t="e">
        <f t="shared" si="50"/>
        <v>#N/A</v>
      </c>
      <c r="AF232" t="e">
        <f t="shared" si="51"/>
        <v>#N/A</v>
      </c>
      <c r="AG232" t="e">
        <f t="shared" si="52"/>
        <v>#N/A</v>
      </c>
      <c r="AH232" t="e">
        <f t="shared" si="59"/>
        <v>#N/A</v>
      </c>
      <c r="AI232" t="e">
        <f t="shared" si="53"/>
        <v>#N/A</v>
      </c>
      <c r="AJ232">
        <f t="shared" si="54"/>
        <v>0</v>
      </c>
      <c r="AK232" t="e">
        <f t="shared" si="55"/>
        <v>#N/A</v>
      </c>
      <c r="AL232" t="e">
        <f t="shared" si="56"/>
        <v>#N/A</v>
      </c>
      <c r="AM232" t="e">
        <f t="shared" si="57"/>
        <v>#N/A</v>
      </c>
      <c r="AN2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2" t="e">
        <f t="shared" si="58"/>
        <v>#N/A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3" t="e">
        <f t="shared" si="45"/>
        <v>#N/A</v>
      </c>
      <c r="AA233" t="e">
        <f t="shared" si="46"/>
        <v>#N/A</v>
      </c>
      <c r="AB233" t="e">
        <f t="shared" si="47"/>
        <v>#N/A</v>
      </c>
      <c r="AC233" t="e">
        <f t="shared" si="48"/>
        <v>#N/A</v>
      </c>
      <c r="AD233" t="e">
        <f t="shared" si="49"/>
        <v>#N/A</v>
      </c>
      <c r="AE233" t="e">
        <f t="shared" si="50"/>
        <v>#N/A</v>
      </c>
      <c r="AF233" t="e">
        <f t="shared" si="51"/>
        <v>#N/A</v>
      </c>
      <c r="AG233" t="e">
        <f t="shared" si="52"/>
        <v>#N/A</v>
      </c>
      <c r="AH233" t="e">
        <f t="shared" si="59"/>
        <v>#N/A</v>
      </c>
      <c r="AI233" t="e">
        <f t="shared" si="53"/>
        <v>#N/A</v>
      </c>
      <c r="AJ233">
        <f t="shared" si="54"/>
        <v>0</v>
      </c>
      <c r="AK233" t="e">
        <f t="shared" si="55"/>
        <v>#N/A</v>
      </c>
      <c r="AL233" t="e">
        <f t="shared" si="56"/>
        <v>#N/A</v>
      </c>
      <c r="AM233" t="e">
        <f t="shared" si="57"/>
        <v>#N/A</v>
      </c>
      <c r="AN2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3" t="e">
        <f t="shared" si="58"/>
        <v>#N/A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4" t="e">
        <f t="shared" si="45"/>
        <v>#N/A</v>
      </c>
      <c r="AA234" t="e">
        <f t="shared" si="46"/>
        <v>#N/A</v>
      </c>
      <c r="AB234" t="e">
        <f t="shared" si="47"/>
        <v>#N/A</v>
      </c>
      <c r="AC234" t="e">
        <f t="shared" si="48"/>
        <v>#N/A</v>
      </c>
      <c r="AD234" t="e">
        <f t="shared" si="49"/>
        <v>#N/A</v>
      </c>
      <c r="AE234" t="e">
        <f t="shared" si="50"/>
        <v>#N/A</v>
      </c>
      <c r="AF234" t="e">
        <f t="shared" si="51"/>
        <v>#N/A</v>
      </c>
      <c r="AG234" t="e">
        <f t="shared" si="52"/>
        <v>#N/A</v>
      </c>
      <c r="AH234" t="e">
        <f t="shared" si="59"/>
        <v>#N/A</v>
      </c>
      <c r="AI234" t="e">
        <f t="shared" si="53"/>
        <v>#N/A</v>
      </c>
      <c r="AJ234">
        <f t="shared" si="54"/>
        <v>0</v>
      </c>
      <c r="AK234" t="e">
        <f t="shared" si="55"/>
        <v>#N/A</v>
      </c>
      <c r="AL234" t="e">
        <f t="shared" si="56"/>
        <v>#N/A</v>
      </c>
      <c r="AM234" t="e">
        <f t="shared" si="57"/>
        <v>#N/A</v>
      </c>
      <c r="AN2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4" t="e">
        <f t="shared" si="58"/>
        <v>#N/A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5" t="e">
        <f t="shared" si="45"/>
        <v>#N/A</v>
      </c>
      <c r="AA235" t="e">
        <f t="shared" si="46"/>
        <v>#N/A</v>
      </c>
      <c r="AB235" t="e">
        <f t="shared" si="47"/>
        <v>#N/A</v>
      </c>
      <c r="AC235" t="e">
        <f t="shared" si="48"/>
        <v>#N/A</v>
      </c>
      <c r="AD235" t="e">
        <f t="shared" si="49"/>
        <v>#N/A</v>
      </c>
      <c r="AE235" t="e">
        <f t="shared" si="50"/>
        <v>#N/A</v>
      </c>
      <c r="AF235" t="e">
        <f t="shared" si="51"/>
        <v>#N/A</v>
      </c>
      <c r="AG235" t="e">
        <f t="shared" si="52"/>
        <v>#N/A</v>
      </c>
      <c r="AH235" t="e">
        <f t="shared" si="59"/>
        <v>#N/A</v>
      </c>
      <c r="AI235" t="e">
        <f t="shared" si="53"/>
        <v>#N/A</v>
      </c>
      <c r="AJ235">
        <f t="shared" si="54"/>
        <v>0</v>
      </c>
      <c r="AK235" t="e">
        <f t="shared" si="55"/>
        <v>#N/A</v>
      </c>
      <c r="AL235" t="e">
        <f t="shared" si="56"/>
        <v>#N/A</v>
      </c>
      <c r="AM235" t="e">
        <f t="shared" si="57"/>
        <v>#N/A</v>
      </c>
      <c r="AN2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5" t="e">
        <f t="shared" si="58"/>
        <v>#N/A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6" t="e">
        <f t="shared" si="45"/>
        <v>#N/A</v>
      </c>
      <c r="AA236" t="e">
        <f t="shared" si="46"/>
        <v>#N/A</v>
      </c>
      <c r="AB236" t="e">
        <f t="shared" si="47"/>
        <v>#N/A</v>
      </c>
      <c r="AC236" t="e">
        <f t="shared" si="48"/>
        <v>#N/A</v>
      </c>
      <c r="AD236" t="e">
        <f t="shared" si="49"/>
        <v>#N/A</v>
      </c>
      <c r="AE236" t="e">
        <f t="shared" si="50"/>
        <v>#N/A</v>
      </c>
      <c r="AF236" t="e">
        <f t="shared" si="51"/>
        <v>#N/A</v>
      </c>
      <c r="AG236" t="e">
        <f t="shared" si="52"/>
        <v>#N/A</v>
      </c>
      <c r="AH236" t="e">
        <f t="shared" si="59"/>
        <v>#N/A</v>
      </c>
      <c r="AI236" t="e">
        <f t="shared" si="53"/>
        <v>#N/A</v>
      </c>
      <c r="AJ236">
        <f t="shared" si="54"/>
        <v>0</v>
      </c>
      <c r="AK236" t="e">
        <f t="shared" si="55"/>
        <v>#N/A</v>
      </c>
      <c r="AL236" t="e">
        <f t="shared" si="56"/>
        <v>#N/A</v>
      </c>
      <c r="AM236" t="e">
        <f t="shared" si="57"/>
        <v>#N/A</v>
      </c>
      <c r="AN2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6" t="e">
        <f t="shared" si="58"/>
        <v>#N/A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7" t="e">
        <f t="shared" si="45"/>
        <v>#N/A</v>
      </c>
      <c r="AA237" t="e">
        <f t="shared" si="46"/>
        <v>#N/A</v>
      </c>
      <c r="AB237" t="e">
        <f t="shared" si="47"/>
        <v>#N/A</v>
      </c>
      <c r="AC237" t="e">
        <f t="shared" si="48"/>
        <v>#N/A</v>
      </c>
      <c r="AD237" t="e">
        <f t="shared" si="49"/>
        <v>#N/A</v>
      </c>
      <c r="AE237" t="e">
        <f t="shared" si="50"/>
        <v>#N/A</v>
      </c>
      <c r="AF237" t="e">
        <f t="shared" si="51"/>
        <v>#N/A</v>
      </c>
      <c r="AG237" t="e">
        <f t="shared" si="52"/>
        <v>#N/A</v>
      </c>
      <c r="AH237" t="e">
        <f t="shared" si="59"/>
        <v>#N/A</v>
      </c>
      <c r="AI237" t="e">
        <f t="shared" si="53"/>
        <v>#N/A</v>
      </c>
      <c r="AJ237">
        <f t="shared" si="54"/>
        <v>0</v>
      </c>
      <c r="AK237" t="e">
        <f t="shared" si="55"/>
        <v>#N/A</v>
      </c>
      <c r="AL237" t="e">
        <f t="shared" si="56"/>
        <v>#N/A</v>
      </c>
      <c r="AM237" t="e">
        <f t="shared" si="57"/>
        <v>#N/A</v>
      </c>
      <c r="AN2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7" t="e">
        <f t="shared" si="58"/>
        <v>#N/A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8" t="e">
        <f t="shared" si="45"/>
        <v>#N/A</v>
      </c>
      <c r="AA238" t="e">
        <f t="shared" si="46"/>
        <v>#N/A</v>
      </c>
      <c r="AB238" t="e">
        <f t="shared" si="47"/>
        <v>#N/A</v>
      </c>
      <c r="AC238" t="e">
        <f t="shared" si="48"/>
        <v>#N/A</v>
      </c>
      <c r="AD238" t="e">
        <f t="shared" si="49"/>
        <v>#N/A</v>
      </c>
      <c r="AE238" t="e">
        <f t="shared" si="50"/>
        <v>#N/A</v>
      </c>
      <c r="AF238" t="e">
        <f t="shared" si="51"/>
        <v>#N/A</v>
      </c>
      <c r="AG238" t="e">
        <f t="shared" si="52"/>
        <v>#N/A</v>
      </c>
      <c r="AH238" t="e">
        <f t="shared" si="59"/>
        <v>#N/A</v>
      </c>
      <c r="AI238" t="e">
        <f t="shared" si="53"/>
        <v>#N/A</v>
      </c>
      <c r="AJ238">
        <f t="shared" si="54"/>
        <v>0</v>
      </c>
      <c r="AK238" t="e">
        <f t="shared" si="55"/>
        <v>#N/A</v>
      </c>
      <c r="AL238" t="e">
        <f t="shared" si="56"/>
        <v>#N/A</v>
      </c>
      <c r="AM238" t="e">
        <f t="shared" si="57"/>
        <v>#N/A</v>
      </c>
      <c r="AN2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8" t="e">
        <f t="shared" si="58"/>
        <v>#N/A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9" t="e">
        <f t="shared" si="45"/>
        <v>#N/A</v>
      </c>
      <c r="AA239" t="e">
        <f t="shared" si="46"/>
        <v>#N/A</v>
      </c>
      <c r="AB239" t="e">
        <f t="shared" si="47"/>
        <v>#N/A</v>
      </c>
      <c r="AC239" t="e">
        <f t="shared" si="48"/>
        <v>#N/A</v>
      </c>
      <c r="AD239" t="e">
        <f t="shared" si="49"/>
        <v>#N/A</v>
      </c>
      <c r="AE239" t="e">
        <f t="shared" si="50"/>
        <v>#N/A</v>
      </c>
      <c r="AF239" t="e">
        <f t="shared" si="51"/>
        <v>#N/A</v>
      </c>
      <c r="AG239" t="e">
        <f t="shared" si="52"/>
        <v>#N/A</v>
      </c>
      <c r="AH239" t="e">
        <f t="shared" si="59"/>
        <v>#N/A</v>
      </c>
      <c r="AI239" t="e">
        <f t="shared" si="53"/>
        <v>#N/A</v>
      </c>
      <c r="AJ239">
        <f t="shared" si="54"/>
        <v>0</v>
      </c>
      <c r="AK239" t="e">
        <f t="shared" si="55"/>
        <v>#N/A</v>
      </c>
      <c r="AL239" t="e">
        <f t="shared" si="56"/>
        <v>#N/A</v>
      </c>
      <c r="AM239" t="e">
        <f t="shared" si="57"/>
        <v>#N/A</v>
      </c>
      <c r="AN2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9" t="e">
        <f t="shared" si="58"/>
        <v>#N/A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0" t="e">
        <f t="shared" si="45"/>
        <v>#N/A</v>
      </c>
      <c r="AA240" t="e">
        <f t="shared" si="46"/>
        <v>#N/A</v>
      </c>
      <c r="AB240" t="e">
        <f t="shared" si="47"/>
        <v>#N/A</v>
      </c>
      <c r="AC240" t="e">
        <f t="shared" si="48"/>
        <v>#N/A</v>
      </c>
      <c r="AD240" t="e">
        <f t="shared" si="49"/>
        <v>#N/A</v>
      </c>
      <c r="AE240" t="e">
        <f t="shared" si="50"/>
        <v>#N/A</v>
      </c>
      <c r="AF240" t="e">
        <f t="shared" si="51"/>
        <v>#N/A</v>
      </c>
      <c r="AG240" t="e">
        <f t="shared" si="52"/>
        <v>#N/A</v>
      </c>
      <c r="AH240" t="e">
        <f t="shared" si="59"/>
        <v>#N/A</v>
      </c>
      <c r="AI240" t="e">
        <f t="shared" si="53"/>
        <v>#N/A</v>
      </c>
      <c r="AJ240">
        <f t="shared" si="54"/>
        <v>0</v>
      </c>
      <c r="AK240" t="e">
        <f t="shared" si="55"/>
        <v>#N/A</v>
      </c>
      <c r="AL240" t="e">
        <f t="shared" si="56"/>
        <v>#N/A</v>
      </c>
      <c r="AM240" t="e">
        <f t="shared" si="57"/>
        <v>#N/A</v>
      </c>
      <c r="AN2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0" t="e">
        <f t="shared" si="58"/>
        <v>#N/A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1" t="e">
        <f t="shared" si="45"/>
        <v>#N/A</v>
      </c>
      <c r="AA241" t="e">
        <f t="shared" si="46"/>
        <v>#N/A</v>
      </c>
      <c r="AB241" t="e">
        <f t="shared" si="47"/>
        <v>#N/A</v>
      </c>
      <c r="AC241" t="e">
        <f t="shared" si="48"/>
        <v>#N/A</v>
      </c>
      <c r="AD241" t="e">
        <f t="shared" si="49"/>
        <v>#N/A</v>
      </c>
      <c r="AE241" t="e">
        <f t="shared" si="50"/>
        <v>#N/A</v>
      </c>
      <c r="AF241" t="e">
        <f t="shared" si="51"/>
        <v>#N/A</v>
      </c>
      <c r="AG241" t="e">
        <f t="shared" si="52"/>
        <v>#N/A</v>
      </c>
      <c r="AH241" t="e">
        <f t="shared" si="59"/>
        <v>#N/A</v>
      </c>
      <c r="AI241" t="e">
        <f t="shared" si="53"/>
        <v>#N/A</v>
      </c>
      <c r="AJ241">
        <f t="shared" si="54"/>
        <v>0</v>
      </c>
      <c r="AK241" t="e">
        <f t="shared" si="55"/>
        <v>#N/A</v>
      </c>
      <c r="AL241" t="e">
        <f t="shared" si="56"/>
        <v>#N/A</v>
      </c>
      <c r="AM241" t="e">
        <f t="shared" si="57"/>
        <v>#N/A</v>
      </c>
      <c r="AN2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1" t="e">
        <f t="shared" si="58"/>
        <v>#N/A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2" t="e">
        <f t="shared" si="45"/>
        <v>#N/A</v>
      </c>
      <c r="AA242" t="e">
        <f t="shared" si="46"/>
        <v>#N/A</v>
      </c>
      <c r="AB242" t="e">
        <f t="shared" si="47"/>
        <v>#N/A</v>
      </c>
      <c r="AC242" t="e">
        <f t="shared" si="48"/>
        <v>#N/A</v>
      </c>
      <c r="AD242" t="e">
        <f t="shared" si="49"/>
        <v>#N/A</v>
      </c>
      <c r="AE242" t="e">
        <f t="shared" si="50"/>
        <v>#N/A</v>
      </c>
      <c r="AF242" t="e">
        <f t="shared" si="51"/>
        <v>#N/A</v>
      </c>
      <c r="AG242" t="e">
        <f t="shared" si="52"/>
        <v>#N/A</v>
      </c>
      <c r="AH242" t="e">
        <f t="shared" si="59"/>
        <v>#N/A</v>
      </c>
      <c r="AI242" t="e">
        <f t="shared" si="53"/>
        <v>#N/A</v>
      </c>
      <c r="AJ242">
        <f t="shared" si="54"/>
        <v>0</v>
      </c>
      <c r="AK242" t="e">
        <f t="shared" si="55"/>
        <v>#N/A</v>
      </c>
      <c r="AL242" t="e">
        <f t="shared" si="56"/>
        <v>#N/A</v>
      </c>
      <c r="AM242" t="e">
        <f t="shared" si="57"/>
        <v>#N/A</v>
      </c>
      <c r="AN2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2" t="e">
        <f t="shared" si="58"/>
        <v>#N/A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3" t="e">
        <f t="shared" si="45"/>
        <v>#N/A</v>
      </c>
      <c r="AA243" t="e">
        <f t="shared" si="46"/>
        <v>#N/A</v>
      </c>
      <c r="AB243" t="e">
        <f t="shared" si="47"/>
        <v>#N/A</v>
      </c>
      <c r="AC243" t="e">
        <f t="shared" si="48"/>
        <v>#N/A</v>
      </c>
      <c r="AD243" t="e">
        <f t="shared" si="49"/>
        <v>#N/A</v>
      </c>
      <c r="AE243" t="e">
        <f t="shared" si="50"/>
        <v>#N/A</v>
      </c>
      <c r="AF243" t="e">
        <f t="shared" si="51"/>
        <v>#N/A</v>
      </c>
      <c r="AG243" t="e">
        <f t="shared" si="52"/>
        <v>#N/A</v>
      </c>
      <c r="AH243" t="e">
        <f t="shared" si="59"/>
        <v>#N/A</v>
      </c>
      <c r="AI243" t="e">
        <f t="shared" si="53"/>
        <v>#N/A</v>
      </c>
      <c r="AJ243">
        <f t="shared" si="54"/>
        <v>0</v>
      </c>
      <c r="AK243" t="e">
        <f t="shared" si="55"/>
        <v>#N/A</v>
      </c>
      <c r="AL243" t="e">
        <f t="shared" si="56"/>
        <v>#N/A</v>
      </c>
      <c r="AM243" t="e">
        <f t="shared" si="57"/>
        <v>#N/A</v>
      </c>
      <c r="AN2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3" t="e">
        <f t="shared" si="58"/>
        <v>#N/A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4" t="e">
        <f t="shared" si="45"/>
        <v>#N/A</v>
      </c>
      <c r="AA244" t="e">
        <f t="shared" si="46"/>
        <v>#N/A</v>
      </c>
      <c r="AB244" t="e">
        <f t="shared" si="47"/>
        <v>#N/A</v>
      </c>
      <c r="AC244" t="e">
        <f t="shared" si="48"/>
        <v>#N/A</v>
      </c>
      <c r="AD244" t="e">
        <f t="shared" si="49"/>
        <v>#N/A</v>
      </c>
      <c r="AE244" t="e">
        <f t="shared" si="50"/>
        <v>#N/A</v>
      </c>
      <c r="AF244" t="e">
        <f t="shared" si="51"/>
        <v>#N/A</v>
      </c>
      <c r="AG244" t="e">
        <f t="shared" si="52"/>
        <v>#N/A</v>
      </c>
      <c r="AH244" t="e">
        <f t="shared" si="59"/>
        <v>#N/A</v>
      </c>
      <c r="AI244" t="e">
        <f t="shared" si="53"/>
        <v>#N/A</v>
      </c>
      <c r="AJ244">
        <f t="shared" si="54"/>
        <v>0</v>
      </c>
      <c r="AK244" t="e">
        <f t="shared" si="55"/>
        <v>#N/A</v>
      </c>
      <c r="AL244" t="e">
        <f t="shared" si="56"/>
        <v>#N/A</v>
      </c>
      <c r="AM244" t="e">
        <f t="shared" si="57"/>
        <v>#N/A</v>
      </c>
      <c r="AN2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4" t="e">
        <f t="shared" si="58"/>
        <v>#N/A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5" t="e">
        <f t="shared" si="45"/>
        <v>#N/A</v>
      </c>
      <c r="AA245" t="e">
        <f t="shared" si="46"/>
        <v>#N/A</v>
      </c>
      <c r="AB245" t="e">
        <f t="shared" si="47"/>
        <v>#N/A</v>
      </c>
      <c r="AC245" t="e">
        <f t="shared" si="48"/>
        <v>#N/A</v>
      </c>
      <c r="AD245" t="e">
        <f t="shared" si="49"/>
        <v>#N/A</v>
      </c>
      <c r="AE245" t="e">
        <f t="shared" si="50"/>
        <v>#N/A</v>
      </c>
      <c r="AF245" t="e">
        <f t="shared" si="51"/>
        <v>#N/A</v>
      </c>
      <c r="AG245" t="e">
        <f t="shared" si="52"/>
        <v>#N/A</v>
      </c>
      <c r="AH245" t="e">
        <f t="shared" si="59"/>
        <v>#N/A</v>
      </c>
      <c r="AI245" t="e">
        <f t="shared" si="53"/>
        <v>#N/A</v>
      </c>
      <c r="AJ245">
        <f t="shared" si="54"/>
        <v>0</v>
      </c>
      <c r="AK245" t="e">
        <f t="shared" si="55"/>
        <v>#N/A</v>
      </c>
      <c r="AL245" t="e">
        <f t="shared" si="56"/>
        <v>#N/A</v>
      </c>
      <c r="AM245" t="e">
        <f t="shared" si="57"/>
        <v>#N/A</v>
      </c>
      <c r="AN2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5" t="e">
        <f t="shared" si="58"/>
        <v>#N/A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6" t="e">
        <f t="shared" si="45"/>
        <v>#N/A</v>
      </c>
      <c r="AA246" t="e">
        <f t="shared" si="46"/>
        <v>#N/A</v>
      </c>
      <c r="AB246" t="e">
        <f t="shared" si="47"/>
        <v>#N/A</v>
      </c>
      <c r="AC246" t="e">
        <f t="shared" si="48"/>
        <v>#N/A</v>
      </c>
      <c r="AD246" t="e">
        <f t="shared" si="49"/>
        <v>#N/A</v>
      </c>
      <c r="AE246" t="e">
        <f t="shared" si="50"/>
        <v>#N/A</v>
      </c>
      <c r="AF246" t="e">
        <f t="shared" si="51"/>
        <v>#N/A</v>
      </c>
      <c r="AG246" t="e">
        <f t="shared" si="52"/>
        <v>#N/A</v>
      </c>
      <c r="AH246" t="e">
        <f t="shared" si="59"/>
        <v>#N/A</v>
      </c>
      <c r="AI246" t="e">
        <f t="shared" si="53"/>
        <v>#N/A</v>
      </c>
      <c r="AJ246">
        <f t="shared" si="54"/>
        <v>0</v>
      </c>
      <c r="AK246" t="e">
        <f t="shared" si="55"/>
        <v>#N/A</v>
      </c>
      <c r="AL246" t="e">
        <f t="shared" si="56"/>
        <v>#N/A</v>
      </c>
      <c r="AM246" t="e">
        <f t="shared" si="57"/>
        <v>#N/A</v>
      </c>
      <c r="AN2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6" t="e">
        <f t="shared" si="58"/>
        <v>#N/A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7" t="e">
        <f t="shared" si="45"/>
        <v>#N/A</v>
      </c>
      <c r="AA247" t="e">
        <f t="shared" si="46"/>
        <v>#N/A</v>
      </c>
      <c r="AB247" t="e">
        <f t="shared" si="47"/>
        <v>#N/A</v>
      </c>
      <c r="AC247" t="e">
        <f t="shared" si="48"/>
        <v>#N/A</v>
      </c>
      <c r="AD247" t="e">
        <f t="shared" si="49"/>
        <v>#N/A</v>
      </c>
      <c r="AE247" t="e">
        <f t="shared" si="50"/>
        <v>#N/A</v>
      </c>
      <c r="AF247" t="e">
        <f t="shared" si="51"/>
        <v>#N/A</v>
      </c>
      <c r="AG247" t="e">
        <f t="shared" si="52"/>
        <v>#N/A</v>
      </c>
      <c r="AH247" t="e">
        <f t="shared" si="59"/>
        <v>#N/A</v>
      </c>
      <c r="AI247" t="e">
        <f t="shared" si="53"/>
        <v>#N/A</v>
      </c>
      <c r="AJ247">
        <f t="shared" si="54"/>
        <v>0</v>
      </c>
      <c r="AK247" t="e">
        <f t="shared" si="55"/>
        <v>#N/A</v>
      </c>
      <c r="AL247" t="e">
        <f t="shared" si="56"/>
        <v>#N/A</v>
      </c>
      <c r="AM247" t="e">
        <f t="shared" si="57"/>
        <v>#N/A</v>
      </c>
      <c r="AN2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7" t="e">
        <f t="shared" si="58"/>
        <v>#N/A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8" t="e">
        <f t="shared" si="45"/>
        <v>#N/A</v>
      </c>
      <c r="AA248" t="e">
        <f t="shared" si="46"/>
        <v>#N/A</v>
      </c>
      <c r="AB248" t="e">
        <f t="shared" si="47"/>
        <v>#N/A</v>
      </c>
      <c r="AC248" t="e">
        <f t="shared" si="48"/>
        <v>#N/A</v>
      </c>
      <c r="AD248" t="e">
        <f t="shared" si="49"/>
        <v>#N/A</v>
      </c>
      <c r="AE248" t="e">
        <f t="shared" si="50"/>
        <v>#N/A</v>
      </c>
      <c r="AF248" t="e">
        <f t="shared" si="51"/>
        <v>#N/A</v>
      </c>
      <c r="AG248" t="e">
        <f t="shared" si="52"/>
        <v>#N/A</v>
      </c>
      <c r="AH248" t="e">
        <f t="shared" si="59"/>
        <v>#N/A</v>
      </c>
      <c r="AI248" t="e">
        <f t="shared" si="53"/>
        <v>#N/A</v>
      </c>
      <c r="AJ248">
        <f t="shared" si="54"/>
        <v>0</v>
      </c>
      <c r="AK248" t="e">
        <f t="shared" si="55"/>
        <v>#N/A</v>
      </c>
      <c r="AL248" t="e">
        <f t="shared" si="56"/>
        <v>#N/A</v>
      </c>
      <c r="AM248" t="e">
        <f t="shared" si="57"/>
        <v>#N/A</v>
      </c>
      <c r="AN2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8" t="e">
        <f t="shared" si="58"/>
        <v>#N/A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9" t="e">
        <f t="shared" si="45"/>
        <v>#N/A</v>
      </c>
      <c r="AA249" t="e">
        <f t="shared" si="46"/>
        <v>#N/A</v>
      </c>
      <c r="AB249" t="e">
        <f t="shared" si="47"/>
        <v>#N/A</v>
      </c>
      <c r="AC249" t="e">
        <f t="shared" si="48"/>
        <v>#N/A</v>
      </c>
      <c r="AD249" t="e">
        <f t="shared" si="49"/>
        <v>#N/A</v>
      </c>
      <c r="AE249" t="e">
        <f t="shared" si="50"/>
        <v>#N/A</v>
      </c>
      <c r="AF249" t="e">
        <f t="shared" si="51"/>
        <v>#N/A</v>
      </c>
      <c r="AG249" t="e">
        <f t="shared" si="52"/>
        <v>#N/A</v>
      </c>
      <c r="AH249" t="e">
        <f t="shared" si="59"/>
        <v>#N/A</v>
      </c>
      <c r="AI249" t="e">
        <f t="shared" si="53"/>
        <v>#N/A</v>
      </c>
      <c r="AJ249">
        <f t="shared" si="54"/>
        <v>0</v>
      </c>
      <c r="AK249" t="e">
        <f t="shared" si="55"/>
        <v>#N/A</v>
      </c>
      <c r="AL249" t="e">
        <f t="shared" si="56"/>
        <v>#N/A</v>
      </c>
      <c r="AM249" t="e">
        <f t="shared" si="57"/>
        <v>#N/A</v>
      </c>
      <c r="AN2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9" t="e">
        <f t="shared" si="58"/>
        <v>#N/A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0" t="e">
        <f t="shared" si="45"/>
        <v>#N/A</v>
      </c>
      <c r="AA250" t="e">
        <f t="shared" si="46"/>
        <v>#N/A</v>
      </c>
      <c r="AB250" t="e">
        <f t="shared" si="47"/>
        <v>#N/A</v>
      </c>
      <c r="AC250" t="e">
        <f t="shared" si="48"/>
        <v>#N/A</v>
      </c>
      <c r="AD250" t="e">
        <f t="shared" si="49"/>
        <v>#N/A</v>
      </c>
      <c r="AE250" t="e">
        <f t="shared" si="50"/>
        <v>#N/A</v>
      </c>
      <c r="AF250" t="e">
        <f t="shared" si="51"/>
        <v>#N/A</v>
      </c>
      <c r="AG250" t="e">
        <f t="shared" si="52"/>
        <v>#N/A</v>
      </c>
      <c r="AH250" t="e">
        <f t="shared" si="59"/>
        <v>#N/A</v>
      </c>
      <c r="AI250" t="e">
        <f t="shared" si="53"/>
        <v>#N/A</v>
      </c>
      <c r="AJ250">
        <f t="shared" si="54"/>
        <v>0</v>
      </c>
      <c r="AK250" t="e">
        <f t="shared" si="55"/>
        <v>#N/A</v>
      </c>
      <c r="AL250" t="e">
        <f t="shared" si="56"/>
        <v>#N/A</v>
      </c>
      <c r="AM250" t="e">
        <f t="shared" si="57"/>
        <v>#N/A</v>
      </c>
      <c r="AN2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0" t="e">
        <f t="shared" si="58"/>
        <v>#N/A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1" t="e">
        <f t="shared" si="45"/>
        <v>#N/A</v>
      </c>
      <c r="AA251" t="e">
        <f t="shared" si="46"/>
        <v>#N/A</v>
      </c>
      <c r="AB251" t="e">
        <f t="shared" si="47"/>
        <v>#N/A</v>
      </c>
      <c r="AC251" t="e">
        <f t="shared" si="48"/>
        <v>#N/A</v>
      </c>
      <c r="AD251" t="e">
        <f t="shared" si="49"/>
        <v>#N/A</v>
      </c>
      <c r="AE251" t="e">
        <f t="shared" si="50"/>
        <v>#N/A</v>
      </c>
      <c r="AF251" t="e">
        <f t="shared" si="51"/>
        <v>#N/A</v>
      </c>
      <c r="AG251" t="e">
        <f t="shared" si="52"/>
        <v>#N/A</v>
      </c>
      <c r="AH251" t="e">
        <f t="shared" si="59"/>
        <v>#N/A</v>
      </c>
      <c r="AI251" t="e">
        <f t="shared" si="53"/>
        <v>#N/A</v>
      </c>
      <c r="AJ251">
        <f t="shared" si="54"/>
        <v>0</v>
      </c>
      <c r="AK251" t="e">
        <f t="shared" si="55"/>
        <v>#N/A</v>
      </c>
      <c r="AL251" t="e">
        <f t="shared" si="56"/>
        <v>#N/A</v>
      </c>
      <c r="AM251" t="e">
        <f t="shared" si="57"/>
        <v>#N/A</v>
      </c>
      <c r="AN2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1" t="e">
        <f t="shared" si="58"/>
        <v>#N/A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2" t="e">
        <f t="shared" si="45"/>
        <v>#N/A</v>
      </c>
      <c r="AA252" t="e">
        <f t="shared" si="46"/>
        <v>#N/A</v>
      </c>
      <c r="AB252" t="e">
        <f t="shared" si="47"/>
        <v>#N/A</v>
      </c>
      <c r="AC252" t="e">
        <f t="shared" si="48"/>
        <v>#N/A</v>
      </c>
      <c r="AD252" t="e">
        <f t="shared" si="49"/>
        <v>#N/A</v>
      </c>
      <c r="AE252" t="e">
        <f t="shared" si="50"/>
        <v>#N/A</v>
      </c>
      <c r="AF252" t="e">
        <f t="shared" si="51"/>
        <v>#N/A</v>
      </c>
      <c r="AG252" t="e">
        <f t="shared" si="52"/>
        <v>#N/A</v>
      </c>
      <c r="AH252" t="e">
        <f t="shared" si="59"/>
        <v>#N/A</v>
      </c>
      <c r="AI252" t="e">
        <f t="shared" si="53"/>
        <v>#N/A</v>
      </c>
      <c r="AJ252">
        <f t="shared" si="54"/>
        <v>0</v>
      </c>
      <c r="AK252" t="e">
        <f t="shared" si="55"/>
        <v>#N/A</v>
      </c>
      <c r="AL252" t="e">
        <f t="shared" si="56"/>
        <v>#N/A</v>
      </c>
      <c r="AM252" t="e">
        <f t="shared" si="57"/>
        <v>#N/A</v>
      </c>
      <c r="AN2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2" t="e">
        <f t="shared" si="58"/>
        <v>#N/A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3" t="e">
        <f t="shared" si="45"/>
        <v>#N/A</v>
      </c>
      <c r="AA253" t="e">
        <f t="shared" si="46"/>
        <v>#N/A</v>
      </c>
      <c r="AB253" t="e">
        <f t="shared" si="47"/>
        <v>#N/A</v>
      </c>
      <c r="AC253" t="e">
        <f t="shared" si="48"/>
        <v>#N/A</v>
      </c>
      <c r="AD253" t="e">
        <f t="shared" si="49"/>
        <v>#N/A</v>
      </c>
      <c r="AE253" t="e">
        <f t="shared" si="50"/>
        <v>#N/A</v>
      </c>
      <c r="AF253" t="e">
        <f t="shared" si="51"/>
        <v>#N/A</v>
      </c>
      <c r="AG253" t="e">
        <f t="shared" si="52"/>
        <v>#N/A</v>
      </c>
      <c r="AH253" t="e">
        <f t="shared" si="59"/>
        <v>#N/A</v>
      </c>
      <c r="AI253" t="e">
        <f t="shared" si="53"/>
        <v>#N/A</v>
      </c>
      <c r="AJ253">
        <f t="shared" si="54"/>
        <v>0</v>
      </c>
      <c r="AK253" t="e">
        <f t="shared" si="55"/>
        <v>#N/A</v>
      </c>
      <c r="AL253" t="e">
        <f t="shared" si="56"/>
        <v>#N/A</v>
      </c>
      <c r="AM253" t="e">
        <f t="shared" si="57"/>
        <v>#N/A</v>
      </c>
      <c r="AN2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3" t="e">
        <f t="shared" si="58"/>
        <v>#N/A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4" t="e">
        <f t="shared" si="45"/>
        <v>#N/A</v>
      </c>
      <c r="AA254" t="e">
        <f t="shared" si="46"/>
        <v>#N/A</v>
      </c>
      <c r="AB254" t="e">
        <f t="shared" si="47"/>
        <v>#N/A</v>
      </c>
      <c r="AC254" t="e">
        <f t="shared" si="48"/>
        <v>#N/A</v>
      </c>
      <c r="AD254" t="e">
        <f t="shared" si="49"/>
        <v>#N/A</v>
      </c>
      <c r="AE254" t="e">
        <f t="shared" si="50"/>
        <v>#N/A</v>
      </c>
      <c r="AF254" t="e">
        <f t="shared" si="51"/>
        <v>#N/A</v>
      </c>
      <c r="AG254" t="e">
        <f t="shared" si="52"/>
        <v>#N/A</v>
      </c>
      <c r="AH254" t="e">
        <f t="shared" si="59"/>
        <v>#N/A</v>
      </c>
      <c r="AI254" t="e">
        <f t="shared" si="53"/>
        <v>#N/A</v>
      </c>
      <c r="AJ254">
        <f t="shared" si="54"/>
        <v>0</v>
      </c>
      <c r="AK254" t="e">
        <f t="shared" si="55"/>
        <v>#N/A</v>
      </c>
      <c r="AL254" t="e">
        <f t="shared" si="56"/>
        <v>#N/A</v>
      </c>
      <c r="AM254" t="e">
        <f t="shared" si="57"/>
        <v>#N/A</v>
      </c>
      <c r="AN2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4" t="e">
        <f t="shared" si="58"/>
        <v>#N/A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5" t="e">
        <f t="shared" si="45"/>
        <v>#N/A</v>
      </c>
      <c r="AA255" t="e">
        <f t="shared" si="46"/>
        <v>#N/A</v>
      </c>
      <c r="AB255" t="e">
        <f t="shared" si="47"/>
        <v>#N/A</v>
      </c>
      <c r="AC255" t="e">
        <f t="shared" si="48"/>
        <v>#N/A</v>
      </c>
      <c r="AD255" t="e">
        <f t="shared" si="49"/>
        <v>#N/A</v>
      </c>
      <c r="AE255" t="e">
        <f t="shared" si="50"/>
        <v>#N/A</v>
      </c>
      <c r="AF255" t="e">
        <f t="shared" si="51"/>
        <v>#N/A</v>
      </c>
      <c r="AG255" t="e">
        <f t="shared" si="52"/>
        <v>#N/A</v>
      </c>
      <c r="AH255" t="e">
        <f t="shared" si="59"/>
        <v>#N/A</v>
      </c>
      <c r="AI255" t="e">
        <f t="shared" si="53"/>
        <v>#N/A</v>
      </c>
      <c r="AJ255">
        <f t="shared" si="54"/>
        <v>0</v>
      </c>
      <c r="AK255" t="e">
        <f t="shared" si="55"/>
        <v>#N/A</v>
      </c>
      <c r="AL255" t="e">
        <f t="shared" si="56"/>
        <v>#N/A</v>
      </c>
      <c r="AM255" t="e">
        <f t="shared" si="57"/>
        <v>#N/A</v>
      </c>
      <c r="AN2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5" t="e">
        <f t="shared" si="58"/>
        <v>#N/A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6" t="e">
        <f t="shared" si="45"/>
        <v>#N/A</v>
      </c>
      <c r="AA256" t="e">
        <f t="shared" si="46"/>
        <v>#N/A</v>
      </c>
      <c r="AB256" t="e">
        <f t="shared" si="47"/>
        <v>#N/A</v>
      </c>
      <c r="AC256" t="e">
        <f t="shared" si="48"/>
        <v>#N/A</v>
      </c>
      <c r="AD256" t="e">
        <f t="shared" si="49"/>
        <v>#N/A</v>
      </c>
      <c r="AE256" t="e">
        <f t="shared" si="50"/>
        <v>#N/A</v>
      </c>
      <c r="AF256" t="e">
        <f t="shared" si="51"/>
        <v>#N/A</v>
      </c>
      <c r="AG256" t="e">
        <f t="shared" si="52"/>
        <v>#N/A</v>
      </c>
      <c r="AH256" t="e">
        <f t="shared" si="59"/>
        <v>#N/A</v>
      </c>
      <c r="AI256" t="e">
        <f t="shared" si="53"/>
        <v>#N/A</v>
      </c>
      <c r="AJ256">
        <f t="shared" si="54"/>
        <v>0</v>
      </c>
      <c r="AK256" t="e">
        <f t="shared" si="55"/>
        <v>#N/A</v>
      </c>
      <c r="AL256" t="e">
        <f t="shared" si="56"/>
        <v>#N/A</v>
      </c>
      <c r="AM256" t="e">
        <f t="shared" si="57"/>
        <v>#N/A</v>
      </c>
      <c r="AN2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6" t="e">
        <f t="shared" si="58"/>
        <v>#N/A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7" t="e">
        <f t="shared" si="45"/>
        <v>#N/A</v>
      </c>
      <c r="AA257" t="e">
        <f t="shared" si="46"/>
        <v>#N/A</v>
      </c>
      <c r="AB257" t="e">
        <f t="shared" si="47"/>
        <v>#N/A</v>
      </c>
      <c r="AC257" t="e">
        <f t="shared" si="48"/>
        <v>#N/A</v>
      </c>
      <c r="AD257" t="e">
        <f t="shared" si="49"/>
        <v>#N/A</v>
      </c>
      <c r="AE257" t="e">
        <f t="shared" si="50"/>
        <v>#N/A</v>
      </c>
      <c r="AF257" t="e">
        <f t="shared" si="51"/>
        <v>#N/A</v>
      </c>
      <c r="AG257" t="e">
        <f t="shared" si="52"/>
        <v>#N/A</v>
      </c>
      <c r="AH257" t="e">
        <f t="shared" si="59"/>
        <v>#N/A</v>
      </c>
      <c r="AI257" t="e">
        <f t="shared" si="53"/>
        <v>#N/A</v>
      </c>
      <c r="AJ257">
        <f t="shared" si="54"/>
        <v>0</v>
      </c>
      <c r="AK257" t="e">
        <f t="shared" si="55"/>
        <v>#N/A</v>
      </c>
      <c r="AL257" t="e">
        <f t="shared" si="56"/>
        <v>#N/A</v>
      </c>
      <c r="AM257" t="e">
        <f t="shared" si="57"/>
        <v>#N/A</v>
      </c>
      <c r="AN2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7" t="e">
        <f t="shared" si="58"/>
        <v>#N/A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8" t="e">
        <f t="shared" si="45"/>
        <v>#N/A</v>
      </c>
      <c r="AA258" t="e">
        <f t="shared" si="46"/>
        <v>#N/A</v>
      </c>
      <c r="AB258" t="e">
        <f t="shared" si="47"/>
        <v>#N/A</v>
      </c>
      <c r="AC258" t="e">
        <f t="shared" si="48"/>
        <v>#N/A</v>
      </c>
      <c r="AD258" t="e">
        <f t="shared" si="49"/>
        <v>#N/A</v>
      </c>
      <c r="AE258" t="e">
        <f t="shared" si="50"/>
        <v>#N/A</v>
      </c>
      <c r="AF258" t="e">
        <f t="shared" si="51"/>
        <v>#N/A</v>
      </c>
      <c r="AG258" t="e">
        <f t="shared" si="52"/>
        <v>#N/A</v>
      </c>
      <c r="AH258" t="e">
        <f t="shared" si="59"/>
        <v>#N/A</v>
      </c>
      <c r="AI258" t="e">
        <f t="shared" si="53"/>
        <v>#N/A</v>
      </c>
      <c r="AJ258">
        <f t="shared" si="54"/>
        <v>0</v>
      </c>
      <c r="AK258" t="e">
        <f t="shared" si="55"/>
        <v>#N/A</v>
      </c>
      <c r="AL258" t="e">
        <f t="shared" si="56"/>
        <v>#N/A</v>
      </c>
      <c r="AM258" t="e">
        <f t="shared" si="57"/>
        <v>#N/A</v>
      </c>
      <c r="AN2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8" t="e">
        <f t="shared" si="58"/>
        <v>#N/A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9" t="e">
        <f t="shared" si="45"/>
        <v>#N/A</v>
      </c>
      <c r="AA259" t="e">
        <f t="shared" si="46"/>
        <v>#N/A</v>
      </c>
      <c r="AB259" t="e">
        <f t="shared" si="47"/>
        <v>#N/A</v>
      </c>
      <c r="AC259" t="e">
        <f t="shared" si="48"/>
        <v>#N/A</v>
      </c>
      <c r="AD259" t="e">
        <f t="shared" si="49"/>
        <v>#N/A</v>
      </c>
      <c r="AE259" t="e">
        <f t="shared" si="50"/>
        <v>#N/A</v>
      </c>
      <c r="AF259" t="e">
        <f t="shared" si="51"/>
        <v>#N/A</v>
      </c>
      <c r="AG259" t="e">
        <f t="shared" si="52"/>
        <v>#N/A</v>
      </c>
      <c r="AH259" t="e">
        <f t="shared" si="59"/>
        <v>#N/A</v>
      </c>
      <c r="AI259" t="e">
        <f t="shared" si="53"/>
        <v>#N/A</v>
      </c>
      <c r="AJ259">
        <f t="shared" si="54"/>
        <v>0</v>
      </c>
      <c r="AK259" t="e">
        <f t="shared" si="55"/>
        <v>#N/A</v>
      </c>
      <c r="AL259" t="e">
        <f t="shared" si="56"/>
        <v>#N/A</v>
      </c>
      <c r="AM259" t="e">
        <f t="shared" si="57"/>
        <v>#N/A</v>
      </c>
      <c r="AN2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9" t="e">
        <f t="shared" si="58"/>
        <v>#N/A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0" t="e">
        <f t="shared" si="45"/>
        <v>#N/A</v>
      </c>
      <c r="AA260" t="e">
        <f t="shared" si="46"/>
        <v>#N/A</v>
      </c>
      <c r="AB260" t="e">
        <f t="shared" si="47"/>
        <v>#N/A</v>
      </c>
      <c r="AC260" t="e">
        <f t="shared" si="48"/>
        <v>#N/A</v>
      </c>
      <c r="AD260" t="e">
        <f t="shared" si="49"/>
        <v>#N/A</v>
      </c>
      <c r="AE260" t="e">
        <f t="shared" si="50"/>
        <v>#N/A</v>
      </c>
      <c r="AF260" t="e">
        <f t="shared" si="51"/>
        <v>#N/A</v>
      </c>
      <c r="AG260" t="e">
        <f t="shared" si="52"/>
        <v>#N/A</v>
      </c>
      <c r="AH260" t="e">
        <f t="shared" si="59"/>
        <v>#N/A</v>
      </c>
      <c r="AI260" t="e">
        <f t="shared" si="53"/>
        <v>#N/A</v>
      </c>
      <c r="AJ260">
        <f t="shared" si="54"/>
        <v>0</v>
      </c>
      <c r="AK260" t="e">
        <f t="shared" si="55"/>
        <v>#N/A</v>
      </c>
      <c r="AL260" t="e">
        <f t="shared" si="56"/>
        <v>#N/A</v>
      </c>
      <c r="AM260" t="e">
        <f t="shared" si="57"/>
        <v>#N/A</v>
      </c>
      <c r="AN2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0" t="e">
        <f t="shared" si="58"/>
        <v>#N/A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1" t="e">
        <f>Y261/1.128</f>
        <v>#N/A</v>
      </c>
      <c r="AA261" t="e">
        <f>MAX(0,W261-(3*Z261))</f>
        <v>#N/A</v>
      </c>
      <c r="AB261" t="e">
        <f>MAX(0,W261-(2*Z261))</f>
        <v>#N/A</v>
      </c>
      <c r="AC261" t="e">
        <f>MAX(0,W261-Z261)</f>
        <v>#N/A</v>
      </c>
      <c r="AD261" t="e">
        <f>W261+Z261</f>
        <v>#N/A</v>
      </c>
      <c r="AE261" t="e">
        <f>W261+(2*Z261)</f>
        <v>#N/A</v>
      </c>
      <c r="AF261" t="e">
        <f>W261+(3*Z261)</f>
        <v>#N/A</v>
      </c>
      <c r="AG261" t="e">
        <f>IF(OR(V261&gt;AF261,V261&lt;AA261),V261,NA())</f>
        <v>#N/A</v>
      </c>
      <c r="AH261" t="e">
        <f t="shared" si="59"/>
        <v>#N/A</v>
      </c>
      <c r="AI261" t="e">
        <f>IF(ABS(SUM(AH261:AH263))&gt;=5,V261,NA())</f>
        <v>#N/A</v>
      </c>
      <c r="AJ261">
        <f>IF(V262&gt;V261,1,IF(V262&lt;V261,-1,0))</f>
        <v>0</v>
      </c>
      <c r="AK261" t="e">
        <f>IF(ABS(SUM(AJ261:AJ266))=6,V261,NA())</f>
        <v>#N/A</v>
      </c>
      <c r="AL261" t="e">
        <f>IF(V261&lt;W261,-1,IF(V261&gt;W261,1,0))</f>
        <v>#N/A</v>
      </c>
      <c r="AM261" t="e">
        <f>IF(ABS(SUM(AL261:AL269))=9,V261,NA())</f>
        <v>#N/A</v>
      </c>
      <c r="AN2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1" t="e">
        <f>AO261-AN261</f>
        <v>#N/A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2" t="e">
        <f>Y262/1.128</f>
        <v>#N/A</v>
      </c>
      <c r="AA262" t="e">
        <f>MAX(0,W262-(3*Z262))</f>
        <v>#N/A</v>
      </c>
      <c r="AB262" t="e">
        <f>MAX(0,W262-(2*Z262))</f>
        <v>#N/A</v>
      </c>
      <c r="AC262" t="e">
        <f>MAX(0,W262-Z262)</f>
        <v>#N/A</v>
      </c>
      <c r="AD262" t="e">
        <f>W262+Z262</f>
        <v>#N/A</v>
      </c>
      <c r="AE262" t="e">
        <f>W262+(2*Z262)</f>
        <v>#N/A</v>
      </c>
      <c r="AF262" t="e">
        <f>W262+(3*Z262)</f>
        <v>#N/A</v>
      </c>
      <c r="AG262" t="e">
        <f>IF(OR(V262&gt;AF262,V262&lt;AA262),V262,NA())</f>
        <v>#N/A</v>
      </c>
      <c r="AH262" t="e">
        <f>IF(V262&gt;AE262,2,IF(V262&lt;AB262,-2,IF(V262&gt;W262,1,IF(V262&lt;W262,-1,0))))</f>
        <v>#N/A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 t="e">
        <f>IF(V262&lt;W262,-1,IF(V262&gt;W262,1,0))</f>
        <v>#N/A</v>
      </c>
      <c r="AM262" t="e">
        <f>IF(ABS(SUM(AL262:AL270))=9,V262,NA())</f>
        <v>#N/A</v>
      </c>
      <c r="AN2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2" t="e">
        <f>AO262-AN262</f>
        <v>#N/A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3" t="e">
        <f>Y263/1.128</f>
        <v>#N/A</v>
      </c>
      <c r="AA263" t="e">
        <f>MAX(0,W263-(3*Z263))</f>
        <v>#N/A</v>
      </c>
      <c r="AB263" t="e">
        <f>MAX(0,W263-(2*Z263))</f>
        <v>#N/A</v>
      </c>
      <c r="AC263" t="e">
        <f>MAX(0,W263-Z263)</f>
        <v>#N/A</v>
      </c>
      <c r="AD263" t="e">
        <f>W263+Z263</f>
        <v>#N/A</v>
      </c>
      <c r="AE263" t="e">
        <f>W263+(2*Z263)</f>
        <v>#N/A</v>
      </c>
      <c r="AF263" t="e">
        <f>W263+(3*Z263)</f>
        <v>#N/A</v>
      </c>
      <c r="AG263" t="e">
        <f>IF(OR(V263&gt;AF263,V263&lt;AA263),V263,NA())</f>
        <v>#N/A</v>
      </c>
      <c r="AH263" t="e">
        <f>IF(V263&gt;AE263,2,IF(V263&lt;AB263,-2,IF(V263&gt;W263,1,IF(V263&lt;W263,-1,0))))</f>
        <v>#N/A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 t="e">
        <f>IF(V263&lt;W263,-1,IF(V263&gt;W263,1,0))</f>
        <v>#N/A</v>
      </c>
      <c r="AM263" t="e">
        <f>IF(ABS(SUM(AL263:AL271))=9,V263,NA())</f>
        <v>#N/A</v>
      </c>
      <c r="AN2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3" t="e">
        <f>AO263-AN263</f>
        <v>#N/A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G20" sqref="C20:G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170</v>
      </c>
    </row>
    <row r="3" spans="1:24" ht="15" thickBot="1" x14ac:dyDescent="0.4"/>
    <row r="4" spans="1:24" ht="29.5" thickBot="1" x14ac:dyDescent="0.4">
      <c r="B4" s="115" t="str">
        <f>Setup!B15</f>
        <v>Caseload</v>
      </c>
      <c r="C4" s="116" t="s">
        <v>191</v>
      </c>
      <c r="D4" s="116" t="s">
        <v>184</v>
      </c>
      <c r="E4" s="115" t="s">
        <v>165</v>
      </c>
      <c r="F4" s="115" t="s">
        <v>166</v>
      </c>
      <c r="G4" s="115" t="s">
        <v>90</v>
      </c>
      <c r="H4" s="115" t="s">
        <v>171</v>
      </c>
      <c r="I4" s="115" t="s">
        <v>182</v>
      </c>
      <c r="J4" s="27"/>
      <c r="K4" s="27"/>
      <c r="L4" s="27"/>
      <c r="M4" s="27"/>
      <c r="N4" s="27"/>
      <c r="O4" s="27"/>
      <c r="P4" s="27" t="s">
        <v>52</v>
      </c>
      <c r="Q4" s="27"/>
      <c r="R4" s="27" t="s">
        <v>50</v>
      </c>
      <c r="S4" s="27"/>
      <c r="T4" s="27" t="s">
        <v>52</v>
      </c>
      <c r="U4" s="27" t="s">
        <v>50</v>
      </c>
      <c r="V4" s="27" t="s">
        <v>63</v>
      </c>
      <c r="W4" s="27" t="s">
        <v>63</v>
      </c>
      <c r="X4" s="27" t="s">
        <v>63</v>
      </c>
    </row>
    <row r="5" spans="1:24" x14ac:dyDescent="0.35">
      <c r="B5" s="41" t="str">
        <f>Setup!A20</f>
        <v>Caseload 1</v>
      </c>
      <c r="C5" s="117"/>
      <c r="D5" s="117"/>
      <c r="E5" s="96"/>
      <c r="F5" s="96"/>
      <c r="G5" s="11"/>
      <c r="H5" s="132">
        <f t="shared" ref="H5:H20" si="0">IF(G5="Weeks",C5*((E5*7)+(F5*7-E5*7)/2),C5*(E5+(F5-E5)/2))</f>
        <v>0</v>
      </c>
      <c r="I5" s="99" t="str">
        <f>IF(H5&lt;&gt;0,TEXT(H5-(H5/100*5),"#")&amp;" - "&amp;TEXT(H5+(H5/100*5),"#"),"")</f>
        <v/>
      </c>
      <c r="J5" s="27">
        <f>H5-(H5/100*5)</f>
        <v>0</v>
      </c>
      <c r="K5" s="27">
        <f>H5+(H5/100*5)</f>
        <v>0</v>
      </c>
      <c r="L5" s="27">
        <f>K5-J5</f>
        <v>0</v>
      </c>
      <c r="M5" s="136">
        <f>MAX(0,D5-J5)</f>
        <v>0</v>
      </c>
      <c r="N5" s="136">
        <f>MAX(0,D5-K5)</f>
        <v>0</v>
      </c>
      <c r="O5" s="27" t="str">
        <f>IF(TEXT(N5,"#")="",0,TEXT(N5,"#"))&amp;" - "&amp;IF(TEXT(M5,"#")="",0,TEXT(M5,"#"))</f>
        <v>0 - 0</v>
      </c>
      <c r="P5" s="27">
        <f>(N5*INDEX(Service!$B$4:$J$78,MATCH(B5,Service!$B$4:$B$78,0),8))/IF(Summary!$B$7="hours",60,1)</f>
        <v>0</v>
      </c>
      <c r="Q5" s="27">
        <f>(M5*INDEX(Service!$B$4:$J$78,MATCH(B5,Service!$B$4:$B$78,0),8))/IF(Summary!$B$7="hours",60,1)</f>
        <v>0</v>
      </c>
      <c r="R5" s="27">
        <f>(N5*INDEX(Service!$B$4:$J$78,MATCH(B5,Service!$B$4:$B$78,0),9))/IF(Summary!$B$7="hours",60,1)</f>
        <v>0</v>
      </c>
      <c r="S5" s="27">
        <f>(M5*INDEX(Service!$B$4:$J$78,MATCH(B5,Service!$B$4:$B$78,0),9))/IF(Summary!$B$7="hours",60,1)</f>
        <v>0</v>
      </c>
      <c r="T5" s="27" t="str">
        <f>IF(TEXT(P5,"#")="",0,TEXT(P5,"#"))&amp;" - "&amp;IF(TEXT(Q5,"#")="",0,TEXT(Q5,"#"))</f>
        <v>0 - 0</v>
      </c>
      <c r="U5" s="27" t="str">
        <f>IF(TEXT(R5,"#")="",0,TEXT(R5,"#"))&amp;" - "&amp;IF(TEXT(S5,"#")="",0,TEXT(S5,"#"))</f>
        <v>0 - 0</v>
      </c>
      <c r="V5" s="27">
        <f>P5+R5</f>
        <v>0</v>
      </c>
      <c r="W5" s="27">
        <f>Q5+S5</f>
        <v>0</v>
      </c>
      <c r="X5" s="27" t="str">
        <f>IF(TEXT(P5+R5,"#")="",0,TEXT(P5+R5,"#"))&amp;" - "&amp;IF(TEXT(Q5+S5,"#")="",0,TEXT(Q5+S5,"#"))</f>
        <v>0 - 0</v>
      </c>
    </row>
    <row r="6" spans="1:24" x14ac:dyDescent="0.35">
      <c r="B6" s="52" t="str">
        <f>Setup!A21</f>
        <v>Caseload 2</v>
      </c>
      <c r="C6" s="118"/>
      <c r="D6" s="118"/>
      <c r="E6" s="97"/>
      <c r="F6" s="97"/>
      <c r="G6" s="39"/>
      <c r="H6" s="133">
        <f t="shared" si="0"/>
        <v>0</v>
      </c>
      <c r="I6" s="100" t="str">
        <f t="shared" ref="I6:I20" si="1">IF(H6&lt;&gt;0,TEXT(H6-(H6/100*5),"#")&amp;" - "&amp;TEXT(H6+(H6/100*5),"#"),"")</f>
        <v/>
      </c>
      <c r="J6" s="27">
        <f t="shared" ref="J6:J19" si="2">H6-(H6/100*5)</f>
        <v>0</v>
      </c>
      <c r="K6" s="27">
        <f t="shared" ref="K6:K19" si="3">H6+(H6/100*5)</f>
        <v>0</v>
      </c>
      <c r="L6" s="27">
        <f t="shared" ref="L6:L19" si="4">K6-J6</f>
        <v>0</v>
      </c>
      <c r="M6" s="136">
        <f t="shared" ref="M6:M20" si="5">MAX(0,D6-J6)</f>
        <v>0</v>
      </c>
      <c r="N6" s="136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(N6*INDEX(Service!$B$4:$J$78,MATCH(B6,Service!$B$4:$B$78,0),8))/IF(Summary!$B$7="hours",60,1)</f>
        <v>0</v>
      </c>
      <c r="Q6" s="27">
        <f>(M6*INDEX(Service!$B$4:$J$78,MATCH(B6,Service!$B$4:$B$78,0),8))/IF(Summary!$B$7="hours",60,1)</f>
        <v>0</v>
      </c>
      <c r="R6" s="27">
        <f>(N6*INDEX(Service!$B$4:$J$78,MATCH(B6,Service!$B$4:$B$78,0),9))/IF(Summary!$B$7="hours",60,1)</f>
        <v>0</v>
      </c>
      <c r="S6" s="27">
        <f>(M6*INDEX(Service!$B$4:$J$78,MATCH(B6,Service!$B$4:$B$78,0),9))/IF(Summary!$B$7="hours",60,1)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Caseload 3</v>
      </c>
      <c r="C7" s="118"/>
      <c r="D7" s="118"/>
      <c r="E7" s="97"/>
      <c r="F7" s="97"/>
      <c r="G7" s="39"/>
      <c r="H7" s="133">
        <f t="shared" si="0"/>
        <v>0</v>
      </c>
      <c r="I7" s="100" t="str">
        <f t="shared" si="1"/>
        <v/>
      </c>
      <c r="J7" s="27">
        <f t="shared" si="2"/>
        <v>0</v>
      </c>
      <c r="K7" s="27">
        <f t="shared" si="3"/>
        <v>0</v>
      </c>
      <c r="L7" s="27">
        <f t="shared" si="4"/>
        <v>0</v>
      </c>
      <c r="M7" s="136">
        <f t="shared" si="5"/>
        <v>0</v>
      </c>
      <c r="N7" s="136">
        <f t="shared" si="6"/>
        <v>0</v>
      </c>
      <c r="O7" s="27" t="str">
        <f t="shared" si="7"/>
        <v>0 - 0</v>
      </c>
      <c r="P7" s="27">
        <f>(N7*INDEX(Service!$B$4:$J$78,MATCH(B7,Service!$B$4:$B$78,0),8))/IF(Summary!$B$7="hours",60,1)</f>
        <v>0</v>
      </c>
      <c r="Q7" s="27">
        <f>(M7*INDEX(Service!$B$4:$J$78,MATCH(B7,Service!$B$4:$B$78,0),8))/IF(Summary!$B$7="hours",60,1)</f>
        <v>0</v>
      </c>
      <c r="R7" s="27">
        <f>(N7*INDEX(Service!$B$4:$J$78,MATCH(B7,Service!$B$4:$B$78,0),9))/IF(Summary!$B$7="hours",60,1)</f>
        <v>0</v>
      </c>
      <c r="S7" s="27">
        <f>(M7*INDEX(Service!$B$4:$J$78,MATCH(B7,Service!$B$4:$B$78,0),9))/IF(Summary!$B$7="hours",60,1)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Caseload 4</v>
      </c>
      <c r="C8" s="118"/>
      <c r="D8" s="118"/>
      <c r="E8" s="97"/>
      <c r="F8" s="97"/>
      <c r="G8" s="39"/>
      <c r="H8" s="133">
        <f t="shared" si="0"/>
        <v>0</v>
      </c>
      <c r="I8" s="100" t="str">
        <f t="shared" si="1"/>
        <v/>
      </c>
      <c r="J8" s="27">
        <f t="shared" si="2"/>
        <v>0</v>
      </c>
      <c r="K8" s="27">
        <f t="shared" si="3"/>
        <v>0</v>
      </c>
      <c r="L8" s="27">
        <f t="shared" si="4"/>
        <v>0</v>
      </c>
      <c r="M8" s="136">
        <f t="shared" si="5"/>
        <v>0</v>
      </c>
      <c r="N8" s="136">
        <f t="shared" si="6"/>
        <v>0</v>
      </c>
      <c r="O8" s="27" t="str">
        <f t="shared" si="7"/>
        <v>0 - 0</v>
      </c>
      <c r="P8" s="27">
        <f>(N8*INDEX(Service!$B$4:$J$78,MATCH(B8,Service!$B$4:$B$78,0),8))/IF(Summary!$B$7="hours",60,1)</f>
        <v>0</v>
      </c>
      <c r="Q8" s="27">
        <f>(M8*INDEX(Service!$B$4:$J$78,MATCH(B8,Service!$B$4:$B$78,0),8))/IF(Summary!$B$7="hours",60,1)</f>
        <v>0</v>
      </c>
      <c r="R8" s="27">
        <f>(N8*INDEX(Service!$B$4:$J$78,MATCH(B8,Service!$B$4:$B$78,0),9))/IF(Summary!$B$7="hours",60,1)</f>
        <v>0</v>
      </c>
      <c r="S8" s="27">
        <f>(M8*INDEX(Service!$B$4:$J$78,MATCH(B8,Service!$B$4:$B$78,0),9))/IF(Summary!$B$7="hours",60,1)</f>
        <v>0</v>
      </c>
      <c r="T8" s="27" t="str">
        <f t="shared" si="8"/>
        <v>0 - 0</v>
      </c>
      <c r="U8" s="27" t="str">
        <f t="shared" si="9"/>
        <v>0 - 0</v>
      </c>
      <c r="V8" s="27">
        <f t="shared" si="10"/>
        <v>0</v>
      </c>
      <c r="W8" s="27">
        <f t="shared" si="11"/>
        <v>0</v>
      </c>
      <c r="X8" s="27" t="str">
        <f t="shared" si="12"/>
        <v>0 - 0</v>
      </c>
    </row>
    <row r="9" spans="1:24" x14ac:dyDescent="0.35">
      <c r="B9" s="52" t="str">
        <f>Setup!A24</f>
        <v>Caseload 5</v>
      </c>
      <c r="C9" s="118"/>
      <c r="D9" s="118"/>
      <c r="E9" s="97"/>
      <c r="F9" s="97"/>
      <c r="G9" s="39"/>
      <c r="H9" s="133">
        <f t="shared" si="0"/>
        <v>0</v>
      </c>
      <c r="I9" s="100" t="str">
        <f t="shared" si="1"/>
        <v/>
      </c>
      <c r="J9" s="27">
        <f t="shared" si="2"/>
        <v>0</v>
      </c>
      <c r="K9" s="27">
        <f t="shared" si="3"/>
        <v>0</v>
      </c>
      <c r="L9" s="27">
        <f t="shared" si="4"/>
        <v>0</v>
      </c>
      <c r="M9" s="136">
        <f t="shared" si="5"/>
        <v>0</v>
      </c>
      <c r="N9" s="136">
        <f t="shared" si="6"/>
        <v>0</v>
      </c>
      <c r="O9" s="27" t="str">
        <f t="shared" si="7"/>
        <v>0 - 0</v>
      </c>
      <c r="P9" s="27">
        <f>(N9*INDEX(Service!$B$4:$J$78,MATCH(B9,Service!$B$4:$B$78,0),8))/IF(Summary!$B$7="hours",60,1)</f>
        <v>0</v>
      </c>
      <c r="Q9" s="27">
        <f>(M9*INDEX(Service!$B$4:$J$78,MATCH(B9,Service!$B$4:$B$78,0),8))/IF(Summary!$B$7="hours",60,1)</f>
        <v>0</v>
      </c>
      <c r="R9" s="27">
        <f>(N9*INDEX(Service!$B$4:$J$78,MATCH(B9,Service!$B$4:$B$78,0),9))/IF(Summary!$B$7="hours",60,1)</f>
        <v>0</v>
      </c>
      <c r="S9" s="27">
        <f>(M9*INDEX(Service!$B$4:$J$78,MATCH(B9,Service!$B$4:$B$78,0),9))/IF(Summary!$B$7="hours",60,1)</f>
        <v>0</v>
      </c>
      <c r="T9" s="27" t="str">
        <f t="shared" si="8"/>
        <v>0 - 0</v>
      </c>
      <c r="U9" s="27" t="str">
        <f t="shared" si="9"/>
        <v>0 - 0</v>
      </c>
      <c r="V9" s="27">
        <f t="shared" si="10"/>
        <v>0</v>
      </c>
      <c r="W9" s="27">
        <f t="shared" si="11"/>
        <v>0</v>
      </c>
      <c r="X9" s="27" t="str">
        <f t="shared" si="12"/>
        <v>0 - 0</v>
      </c>
    </row>
    <row r="10" spans="1:24" x14ac:dyDescent="0.35">
      <c r="B10" s="52" t="str">
        <f>Setup!A25</f>
        <v>Caseload 6</v>
      </c>
      <c r="C10" s="130"/>
      <c r="D10" s="118"/>
      <c r="E10" s="97"/>
      <c r="F10" s="97"/>
      <c r="G10" s="39"/>
      <c r="H10" s="133">
        <f t="shared" si="0"/>
        <v>0</v>
      </c>
      <c r="I10" s="100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36">
        <f t="shared" si="5"/>
        <v>0</v>
      </c>
      <c r="N10" s="136">
        <f t="shared" si="6"/>
        <v>0</v>
      </c>
      <c r="O10" s="27" t="str">
        <f t="shared" si="7"/>
        <v>0 - 0</v>
      </c>
      <c r="P10" s="27">
        <f>(N10*INDEX(Service!$B$4:$J$78,MATCH(B10,Service!$B$4:$B$78,0),8))/IF(Summary!$B$7="hours",60,1)</f>
        <v>0</v>
      </c>
      <c r="Q10" s="27">
        <f>(M10*INDEX(Service!$B$4:$J$78,MATCH(B10,Service!$B$4:$B$78,0),8))/IF(Summary!$B$7="hours",60,1)</f>
        <v>0</v>
      </c>
      <c r="R10" s="27">
        <f>(N10*INDEX(Service!$B$4:$J$78,MATCH(B10,Service!$B$4:$B$78,0),9))/IF(Summary!$B$7="hours",60,1)</f>
        <v>0</v>
      </c>
      <c r="S10" s="27">
        <f>(M10*INDEX(Service!$B$4:$J$78,MATCH(B10,Service!$B$4:$B$78,0),9))/IF(Summary!$B$7="hours",60,1)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x14ac:dyDescent="0.35">
      <c r="B11" s="52" t="str">
        <f>Setup!A26</f>
        <v>Caseload 7</v>
      </c>
      <c r="C11" s="130"/>
      <c r="D11" s="118"/>
      <c r="E11" s="97"/>
      <c r="F11" s="97"/>
      <c r="G11" s="39"/>
      <c r="H11" s="133">
        <f t="shared" si="0"/>
        <v>0</v>
      </c>
      <c r="I11" s="100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36">
        <f t="shared" si="5"/>
        <v>0</v>
      </c>
      <c r="N11" s="136">
        <f t="shared" si="6"/>
        <v>0</v>
      </c>
      <c r="O11" s="27" t="str">
        <f t="shared" si="7"/>
        <v>0 - 0</v>
      </c>
      <c r="P11" s="27">
        <f>(N11*INDEX(Service!$B$4:$J$78,MATCH(B11,Service!$B$4:$B$78,0),8))/IF(Summary!$B$7="hours",60,1)</f>
        <v>0</v>
      </c>
      <c r="Q11" s="27">
        <f>(M11*INDEX(Service!$B$4:$J$78,MATCH(B11,Service!$B$4:$B$78,0),8))/IF(Summary!$B$7="hours",60,1)</f>
        <v>0</v>
      </c>
      <c r="R11" s="27">
        <f>(N11*INDEX(Service!$B$4:$J$78,MATCH(B11,Service!$B$4:$B$78,0),9))/IF(Summary!$B$7="hours",60,1)</f>
        <v>0</v>
      </c>
      <c r="S11" s="27">
        <f>(M11*INDEX(Service!$B$4:$J$78,MATCH(B11,Service!$B$4:$B$78,0),9))/IF(Summary!$B$7="hours",60,1)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x14ac:dyDescent="0.35">
      <c r="B12" s="52" t="str">
        <f>Setup!A27</f>
        <v>Caseload 8</v>
      </c>
      <c r="C12" s="130"/>
      <c r="D12" s="118"/>
      <c r="E12" s="97"/>
      <c r="F12" s="97"/>
      <c r="G12" s="39"/>
      <c r="H12" s="133">
        <f t="shared" si="0"/>
        <v>0</v>
      </c>
      <c r="I12" s="100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36">
        <f t="shared" si="5"/>
        <v>0</v>
      </c>
      <c r="N12" s="136">
        <f t="shared" si="6"/>
        <v>0</v>
      </c>
      <c r="O12" s="27" t="str">
        <f t="shared" si="7"/>
        <v>0 - 0</v>
      </c>
      <c r="P12" s="27">
        <f>(N12*INDEX(Service!$B$4:$J$78,MATCH(B12,Service!$B$4:$B$78,0),8))/IF(Summary!$B$7="hours",60,1)</f>
        <v>0</v>
      </c>
      <c r="Q12" s="27">
        <f>(M12*INDEX(Service!$B$4:$J$78,MATCH(B12,Service!$B$4:$B$78,0),8))/IF(Summary!$B$7="hours",60,1)</f>
        <v>0</v>
      </c>
      <c r="R12" s="27">
        <f>(N12*INDEX(Service!$B$4:$J$78,MATCH(B12,Service!$B$4:$B$78,0),9))/IF(Summary!$B$7="hours",60,1)</f>
        <v>0</v>
      </c>
      <c r="S12" s="27">
        <f>(M12*INDEX(Service!$B$4:$J$78,MATCH(B12,Service!$B$4:$B$78,0),9))/IF(Summary!$B$7="hours",60,1)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x14ac:dyDescent="0.35">
      <c r="B13" s="52" t="str">
        <f>Setup!A28</f>
        <v>Caseload 9</v>
      </c>
      <c r="C13" s="130"/>
      <c r="D13" s="118"/>
      <c r="E13" s="97"/>
      <c r="F13" s="97"/>
      <c r="G13" s="39"/>
      <c r="H13" s="133">
        <f t="shared" si="0"/>
        <v>0</v>
      </c>
      <c r="I13" s="100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36">
        <f t="shared" si="5"/>
        <v>0</v>
      </c>
      <c r="N13" s="136">
        <f t="shared" si="6"/>
        <v>0</v>
      </c>
      <c r="O13" s="27" t="str">
        <f t="shared" si="7"/>
        <v>0 - 0</v>
      </c>
      <c r="P13" s="27">
        <f>(N13*INDEX(Service!$B$4:$J$78,MATCH(B13,Service!$B$4:$B$78,0),8))/IF(Summary!$B$7="hours",60,1)</f>
        <v>0</v>
      </c>
      <c r="Q13" s="27">
        <f>(M13*INDEX(Service!$B$4:$J$78,MATCH(B13,Service!$B$4:$B$78,0),8))/IF(Summary!$B$7="hours",60,1)</f>
        <v>0</v>
      </c>
      <c r="R13" s="27">
        <f>(N13*INDEX(Service!$B$4:$J$78,MATCH(B13,Service!$B$4:$B$78,0),9))/IF(Summary!$B$7="hours",60,1)</f>
        <v>0</v>
      </c>
      <c r="S13" s="27">
        <f>(M13*INDEX(Service!$B$4:$J$78,MATCH(B13,Service!$B$4:$B$78,0),9))/IF(Summary!$B$7="hours",60,1)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x14ac:dyDescent="0.35">
      <c r="B14" s="52" t="str">
        <f>Setup!A29</f>
        <v>Caseload 10</v>
      </c>
      <c r="C14" s="130"/>
      <c r="D14" s="118"/>
      <c r="E14" s="97"/>
      <c r="F14" s="97"/>
      <c r="G14" s="39"/>
      <c r="H14" s="133">
        <f t="shared" si="0"/>
        <v>0</v>
      </c>
      <c r="I14" s="100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36">
        <f t="shared" si="5"/>
        <v>0</v>
      </c>
      <c r="N14" s="136">
        <f t="shared" si="6"/>
        <v>0</v>
      </c>
      <c r="O14" s="27" t="str">
        <f t="shared" si="7"/>
        <v>0 - 0</v>
      </c>
      <c r="P14" s="27">
        <f>(N14*INDEX(Service!$B$4:$J$78,MATCH(B14,Service!$B$4:$B$78,0),8))/IF(Summary!$B$7="hours",60,1)</f>
        <v>0</v>
      </c>
      <c r="Q14" s="27">
        <f>(M14*INDEX(Service!$B$4:$J$78,MATCH(B14,Service!$B$4:$B$78,0),8))/IF(Summary!$B$7="hours",60,1)</f>
        <v>0</v>
      </c>
      <c r="R14" s="27">
        <f>(N14*INDEX(Service!$B$4:$J$78,MATCH(B14,Service!$B$4:$B$78,0),9))/IF(Summary!$B$7="hours",60,1)</f>
        <v>0</v>
      </c>
      <c r="S14" s="27">
        <f>(M14*INDEX(Service!$B$4:$J$78,MATCH(B14,Service!$B$4:$B$78,0),9))/IF(Summary!$B$7="hours",60,1)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x14ac:dyDescent="0.35">
      <c r="B15" s="52" t="str">
        <f>Setup!A30</f>
        <v>Caseload 11</v>
      </c>
      <c r="C15" s="130"/>
      <c r="D15" s="118"/>
      <c r="E15" s="97"/>
      <c r="F15" s="97"/>
      <c r="G15" s="39"/>
      <c r="H15" s="133">
        <f t="shared" si="0"/>
        <v>0</v>
      </c>
      <c r="I15" s="100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36">
        <f t="shared" si="5"/>
        <v>0</v>
      </c>
      <c r="N15" s="136">
        <f t="shared" si="6"/>
        <v>0</v>
      </c>
      <c r="O15" s="27" t="str">
        <f t="shared" si="7"/>
        <v>0 - 0</v>
      </c>
      <c r="P15" s="27">
        <f>(N15*INDEX(Service!$B$4:$J$78,MATCH(B15,Service!$B$4:$B$78,0),8))/IF(Summary!$B$7="hours",60,1)</f>
        <v>0</v>
      </c>
      <c r="Q15" s="27">
        <f>(M15*INDEX(Service!$B$4:$J$78,MATCH(B15,Service!$B$4:$B$78,0),8))/IF(Summary!$B$7="hours",60,1)</f>
        <v>0</v>
      </c>
      <c r="R15" s="27">
        <f>(N15*INDEX(Service!$B$4:$J$78,MATCH(B15,Service!$B$4:$B$78,0),9))/IF(Summary!$B$7="hours",60,1)</f>
        <v>0</v>
      </c>
      <c r="S15" s="27">
        <f>(M15*INDEX(Service!$B$4:$J$78,MATCH(B15,Service!$B$4:$B$78,0),9))/IF(Summary!$B$7="hours",60,1)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x14ac:dyDescent="0.35">
      <c r="B16" s="52" t="str">
        <f>Setup!A31</f>
        <v>Caseload 12</v>
      </c>
      <c r="C16" s="130"/>
      <c r="D16" s="118"/>
      <c r="E16" s="97"/>
      <c r="F16" s="97"/>
      <c r="G16" s="39"/>
      <c r="H16" s="133">
        <f t="shared" si="0"/>
        <v>0</v>
      </c>
      <c r="I16" s="100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36">
        <f t="shared" si="5"/>
        <v>0</v>
      </c>
      <c r="N16" s="136">
        <f t="shared" si="6"/>
        <v>0</v>
      </c>
      <c r="O16" s="27" t="str">
        <f t="shared" si="7"/>
        <v>0 - 0</v>
      </c>
      <c r="P16" s="27">
        <f>(N16*INDEX(Service!$B$4:$J$78,MATCH(B16,Service!$B$4:$B$78,0),8))/IF(Summary!$B$7="hours",60,1)</f>
        <v>0</v>
      </c>
      <c r="Q16" s="27">
        <f>(M16*INDEX(Service!$B$4:$J$78,MATCH(B16,Service!$B$4:$B$78,0),8))/IF(Summary!$B$7="hours",60,1)</f>
        <v>0</v>
      </c>
      <c r="R16" s="27">
        <f>(N16*INDEX(Service!$B$4:$J$78,MATCH(B16,Service!$B$4:$B$78,0),9))/IF(Summary!$B$7="hours",60,1)</f>
        <v>0</v>
      </c>
      <c r="S16" s="27">
        <f>(M16*INDEX(Service!$B$4:$J$78,MATCH(B16,Service!$B$4:$B$78,0),9))/IF(Summary!$B$7="hours",60,1)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x14ac:dyDescent="0.35">
      <c r="B17" s="52" t="str">
        <f>Setup!A32</f>
        <v>Caseload 13</v>
      </c>
      <c r="C17" s="130"/>
      <c r="D17" s="118"/>
      <c r="E17" s="97"/>
      <c r="F17" s="97"/>
      <c r="G17" s="39"/>
      <c r="H17" s="133">
        <f t="shared" si="0"/>
        <v>0</v>
      </c>
      <c r="I17" s="100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36">
        <f t="shared" si="5"/>
        <v>0</v>
      </c>
      <c r="N17" s="136">
        <f t="shared" si="6"/>
        <v>0</v>
      </c>
      <c r="O17" s="27" t="str">
        <f t="shared" si="7"/>
        <v>0 - 0</v>
      </c>
      <c r="P17" s="27">
        <f>(N17*INDEX(Service!$B$4:$J$78,MATCH(B17,Service!$B$4:$B$78,0),8))/IF(Summary!$B$7="hours",60,1)</f>
        <v>0</v>
      </c>
      <c r="Q17" s="27">
        <f>(M17*INDEX(Service!$B$4:$J$78,MATCH(B17,Service!$B$4:$B$78,0),8))/IF(Summary!$B$7="hours",60,1)</f>
        <v>0</v>
      </c>
      <c r="R17" s="27">
        <f>(N17*INDEX(Service!$B$4:$J$78,MATCH(B17,Service!$B$4:$B$78,0),9))/IF(Summary!$B$7="hours",60,1)</f>
        <v>0</v>
      </c>
      <c r="S17" s="27">
        <f>(M17*INDEX(Service!$B$4:$J$78,MATCH(B17,Service!$B$4:$B$78,0),9))/IF(Summary!$B$7="hours",60,1)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x14ac:dyDescent="0.35">
      <c r="B18" s="52" t="str">
        <f>Setup!A33</f>
        <v>Caseload 14</v>
      </c>
      <c r="C18" s="130"/>
      <c r="D18" s="118"/>
      <c r="E18" s="97"/>
      <c r="F18" s="97"/>
      <c r="G18" s="39"/>
      <c r="H18" s="133">
        <f t="shared" si="0"/>
        <v>0</v>
      </c>
      <c r="I18" s="100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36">
        <f t="shared" si="5"/>
        <v>0</v>
      </c>
      <c r="N18" s="136">
        <f t="shared" si="6"/>
        <v>0</v>
      </c>
      <c r="O18" s="27" t="str">
        <f t="shared" si="7"/>
        <v>0 - 0</v>
      </c>
      <c r="P18" s="27">
        <f>(N18*INDEX(Service!$B$4:$J$78,MATCH(B18,Service!$B$4:$B$78,0),8))/IF(Summary!$B$7="hours",60,1)</f>
        <v>0</v>
      </c>
      <c r="Q18" s="27">
        <f>(M18*INDEX(Service!$B$4:$J$78,MATCH(B18,Service!$B$4:$B$78,0),8))/IF(Summary!$B$7="hours",60,1)</f>
        <v>0</v>
      </c>
      <c r="R18" s="27">
        <f>(N18*INDEX(Service!$B$4:$J$78,MATCH(B18,Service!$B$4:$B$78,0),9))/IF(Summary!$B$7="hours",60,1)</f>
        <v>0</v>
      </c>
      <c r="S18" s="27">
        <f>(M18*INDEX(Service!$B$4:$J$78,MATCH(B18,Service!$B$4:$B$78,0),9))/IF(Summary!$B$7="hours",60,1)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thickBot="1" x14ac:dyDescent="0.4">
      <c r="B19" s="53" t="str">
        <f>Setup!A34</f>
        <v>Caseload 15</v>
      </c>
      <c r="C19" s="131"/>
      <c r="D19" s="118"/>
      <c r="E19" s="98"/>
      <c r="F19" s="98"/>
      <c r="G19" s="40"/>
      <c r="H19" s="134">
        <f t="shared" si="0"/>
        <v>0</v>
      </c>
      <c r="I19" s="101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36">
        <f t="shared" si="5"/>
        <v>0</v>
      </c>
      <c r="N19" s="136">
        <f t="shared" si="6"/>
        <v>0</v>
      </c>
      <c r="O19" s="27" t="str">
        <f t="shared" si="7"/>
        <v>0 - 0</v>
      </c>
      <c r="P19" s="27">
        <f>(N19*INDEX(Service!$B$4:$J$78,MATCH(B19,Service!$B$4:$B$78,0),8))/IF(Summary!$B$7="hours",60,1)</f>
        <v>0</v>
      </c>
      <c r="Q19" s="27">
        <f>(M19*INDEX(Service!$B$4:$J$78,MATCH(B19,Service!$B$4:$B$78,0),8))/IF(Summary!$B$7="hours",60,1)</f>
        <v>0</v>
      </c>
      <c r="R19" s="27">
        <f>(N19*INDEX(Service!$B$4:$J$78,MATCH(B19,Service!$B$4:$B$78,0),9))/IF(Summary!$B$7="hours",60,1)</f>
        <v>0</v>
      </c>
      <c r="S19" s="27">
        <f>(M19*INDEX(Service!$B$4:$J$78,MATCH(B19,Service!$B$4:$B$78,0),9))/IF(Summary!$B$7="hours",60,1)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20" t="s">
        <v>185</v>
      </c>
      <c r="C20" s="38"/>
      <c r="D20" s="38"/>
      <c r="E20" s="38"/>
      <c r="F20" s="38"/>
      <c r="G20" s="17"/>
      <c r="H20" s="135">
        <f t="shared" si="0"/>
        <v>0</v>
      </c>
      <c r="I20" s="119" t="str">
        <f t="shared" si="1"/>
        <v/>
      </c>
      <c r="J20" s="27">
        <f t="shared" ref="J20" si="13">H20-(H20/100*5)</f>
        <v>0</v>
      </c>
      <c r="K20" s="27">
        <f t="shared" ref="K20" si="14">H20+(H20/100*5)</f>
        <v>0</v>
      </c>
      <c r="L20" s="27">
        <f t="shared" ref="L20" si="15">K20-J20</f>
        <v>0</v>
      </c>
      <c r="M20" s="136">
        <f t="shared" si="5"/>
        <v>0</v>
      </c>
      <c r="N20" s="136">
        <f t="shared" si="6"/>
        <v>0</v>
      </c>
      <c r="O20" s="27" t="str">
        <f t="shared" si="7"/>
        <v>0 - 0</v>
      </c>
      <c r="P20" s="27" t="e">
        <f>(N20*INDEX(Service!$B$4:$J$78,MATCH(B20,Service!$B$4:$B$78,0),8))/IF(Summary!$B$7="hours",60,1)</f>
        <v>#N/A</v>
      </c>
      <c r="Q20" s="27" t="e">
        <f>(M20*INDEX(Service!$B$4:$J$78,MATCH(B20,Service!$B$4:$B$78,0),8))/IF(Summary!$B$7="hours",60,1)</f>
        <v>#N/A</v>
      </c>
      <c r="R20" s="27" t="e">
        <f>(N20*INDEX(Service!$B$4:$J$78,MATCH(B20,Service!$B$4:$B$78,0),9))/IF(Summary!$B$7="hours",60,1)</f>
        <v>#N/A</v>
      </c>
      <c r="S20" s="27" t="e">
        <f>(M20*INDEX(Service!$B$4:$J$78,MATCH(B20,Service!$B$4:$B$78,0),9))/IF(Summary!$B$7="hours",60,1)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C4" sqref="C4:F24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137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45</v>
      </c>
      <c r="D3" s="56" t="s">
        <v>164</v>
      </c>
      <c r="E3" s="56" t="s">
        <v>46</v>
      </c>
      <c r="F3" s="56" t="s">
        <v>49</v>
      </c>
      <c r="G3" s="56" t="s">
        <v>47</v>
      </c>
      <c r="H3" s="56" t="s">
        <v>48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3" t="str" cm="1">
        <f t="array" ref="B4">INDEX('Data Validation (Hide)'!$B$2:$B$16,ROUNDUP(ROW(A1)/5,0),1)</f>
        <v>Caseload 1</v>
      </c>
      <c r="C4" s="3"/>
      <c r="D4" s="18"/>
      <c r="E4" s="18"/>
      <c r="F4" s="15"/>
      <c r="G4" s="4" t="e">
        <f>INDEX('Data Validation (Hide)'!$K$2:$L$9,MATCH(Service!F4,'Data Validation (Hide)'!$K$2:$K$8,0),2)</f>
        <v>#N/A</v>
      </c>
      <c r="H4" s="85" t="str">
        <f>IFERROR((G4*D4)/E4,"")</f>
        <v/>
      </c>
      <c r="I4" s="147">
        <f>SUMIF($E$4:$E$8,1,$H$4:$H$8)</f>
        <v>0</v>
      </c>
      <c r="J4" s="144">
        <f>SUMIF($E$4:$E$8,"&gt;"&amp;1,$H$4:$H$8)</f>
        <v>0</v>
      </c>
    </row>
    <row r="5" spans="1:10" x14ac:dyDescent="0.35">
      <c r="B5" s="124" t="str" cm="1">
        <f t="array" ref="B5">INDEX('Data Validation (Hide)'!$B$2:$B$16,ROUNDUP(ROW(A2)/5,0),1)</f>
        <v>Caseload 1</v>
      </c>
      <c r="C5" s="7"/>
      <c r="D5" s="20"/>
      <c r="E5" s="20"/>
      <c r="F5" s="6"/>
      <c r="G5" s="19" t="e">
        <f>INDEX('Data Validation (Hide)'!$K$2:$L$9,MATCH(Service!F5,'Data Validation (Hide)'!$K$2:$K$8,0),2)</f>
        <v>#N/A</v>
      </c>
      <c r="H5" s="86" t="str">
        <f t="shared" ref="H5:H35" si="0">IFERROR((G5*D5)/E5,"")</f>
        <v/>
      </c>
      <c r="I5" s="148"/>
      <c r="J5" s="145"/>
    </row>
    <row r="6" spans="1:10" x14ac:dyDescent="0.35">
      <c r="B6" s="122" t="str" cm="1">
        <f t="array" ref="B6">INDEX('Data Validation (Hide)'!$B$2:$B$16,ROUNDUP(ROW(A3)/5,0),1)</f>
        <v>Caseload 1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8"/>
      <c r="J6" s="145"/>
    </row>
    <row r="7" spans="1:10" x14ac:dyDescent="0.35">
      <c r="B7" s="124" t="str" cm="1">
        <f t="array" ref="B7">INDEX('Data Validation (Hide)'!$B$2:$B$16,ROUNDUP(ROW(A4)/5,0),1)</f>
        <v>Caseload 1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8"/>
      <c r="J7" s="145"/>
    </row>
    <row r="8" spans="1:10" ht="15" thickBot="1" x14ac:dyDescent="0.4">
      <c r="B8" s="125" t="str" cm="1">
        <f t="array" ref="B8">INDEX('Data Validation (Hide)'!$B$2:$B$16,ROUNDUP(ROW(A5)/5,0),1)</f>
        <v>Caseload 1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9"/>
      <c r="J8" s="146"/>
    </row>
    <row r="9" spans="1:10" x14ac:dyDescent="0.35">
      <c r="B9" s="123" t="str" cm="1">
        <f t="array" ref="B9">INDEX('Data Validation (Hide)'!$B$2:$B$16,ROUNDUP(ROW(A6)/5,0),1)</f>
        <v>Caseload 2</v>
      </c>
      <c r="C9" s="3"/>
      <c r="D9" s="18"/>
      <c r="E9" s="18"/>
      <c r="F9" s="15"/>
      <c r="G9" s="4" t="e">
        <f>INDEX('Data Validation (Hide)'!$K$2:$L$9,MATCH(Service!F9,'Data Validation (Hide)'!$K$2:$K$8,0),2)</f>
        <v>#N/A</v>
      </c>
      <c r="H9" s="85" t="str">
        <f t="shared" si="0"/>
        <v/>
      </c>
      <c r="I9" s="147">
        <f>SUMIF($E$9:$E$13,1,$H$9:$H$13)</f>
        <v>0</v>
      </c>
      <c r="J9" s="147">
        <f>SUMIF($E$9:$E$13,"&gt;"&amp;1,$H$9:$H$13)</f>
        <v>0</v>
      </c>
    </row>
    <row r="10" spans="1:10" x14ac:dyDescent="0.35">
      <c r="B10" s="124" t="str" cm="1">
        <f t="array" ref="B10">INDEX('Data Validation (Hide)'!$B$2:$B$16,ROUNDUP(ROW(A7)/5,0),1)</f>
        <v>Caseload 2</v>
      </c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86" t="str">
        <f t="shared" si="0"/>
        <v/>
      </c>
      <c r="I10" s="148"/>
      <c r="J10" s="148"/>
    </row>
    <row r="11" spans="1:10" x14ac:dyDescent="0.35">
      <c r="B11" s="122" t="str" cm="1">
        <f t="array" ref="B11">INDEX('Data Validation (Hide)'!$B$2:$B$16,ROUNDUP(ROW(A8)/5,0),1)</f>
        <v>Caseload 2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8"/>
      <c r="J11" s="148"/>
    </row>
    <row r="12" spans="1:10" x14ac:dyDescent="0.35">
      <c r="B12" s="124" t="str" cm="1">
        <f t="array" ref="B12">INDEX('Data Validation (Hide)'!$B$2:$B$16,ROUNDUP(ROW(A9)/5,0),1)</f>
        <v>Caseload 2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8"/>
      <c r="J12" s="148"/>
    </row>
    <row r="13" spans="1:10" ht="15" thickBot="1" x14ac:dyDescent="0.4">
      <c r="B13" s="125" t="str" cm="1">
        <f t="array" ref="B13">INDEX('Data Validation (Hide)'!$B$2:$B$16,ROUNDUP(ROW(A10)/5,0),1)</f>
        <v>Caseload 2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9"/>
      <c r="J13" s="149"/>
    </row>
    <row r="14" spans="1:10" x14ac:dyDescent="0.35">
      <c r="B14" s="123" t="str" cm="1">
        <f t="array" ref="B14">INDEX('Data Validation (Hide)'!$B$2:$B$16,ROUNDUP(ROW(A11)/5,0),1)</f>
        <v>Caseload 3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85" t="str">
        <f t="shared" si="0"/>
        <v/>
      </c>
      <c r="I14" s="147">
        <f>SUMIF($E$14:$E$18,1,$H$14:$H$18)</f>
        <v>0</v>
      </c>
      <c r="J14" s="147">
        <f>SUMIF($E$14:$E$18,"&gt;"&amp;1,$H$14:$H$18)</f>
        <v>0</v>
      </c>
    </row>
    <row r="15" spans="1:10" x14ac:dyDescent="0.35">
      <c r="B15" s="124" t="str" cm="1">
        <f t="array" ref="B15">INDEX('Data Validation (Hide)'!$B$2:$B$16,ROUNDUP(ROW(A12)/5,0),1)</f>
        <v>Caseload 3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8"/>
      <c r="J15" s="148"/>
    </row>
    <row r="16" spans="1:10" x14ac:dyDescent="0.35">
      <c r="B16" s="122" t="str" cm="1">
        <f t="array" ref="B16">INDEX('Data Validation (Hide)'!$B$2:$B$16,ROUNDUP(ROW(A13)/5,0),1)</f>
        <v>Caseload 3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8"/>
      <c r="J16" s="148"/>
    </row>
    <row r="17" spans="2:10" x14ac:dyDescent="0.35">
      <c r="B17" s="124" t="str" cm="1">
        <f t="array" ref="B17">INDEX('Data Validation (Hide)'!$B$2:$B$16,ROUNDUP(ROW(A14)/5,0),1)</f>
        <v>Caseload 3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8"/>
      <c r="J17" s="148"/>
    </row>
    <row r="18" spans="2:10" ht="15" thickBot="1" x14ac:dyDescent="0.4">
      <c r="B18" s="125" t="str" cm="1">
        <f t="array" ref="B18">INDEX('Data Validation (Hide)'!$B$2:$B$16,ROUNDUP(ROW(A15)/5,0),1)</f>
        <v>Caseload 3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9"/>
      <c r="J18" s="149"/>
    </row>
    <row r="19" spans="2:10" x14ac:dyDescent="0.35">
      <c r="B19" s="123" t="str" cm="1">
        <f t="array" ref="B19">INDEX('Data Validation (Hide)'!$B$2:$B$16,ROUNDUP(ROW(A16)/5,0),1)</f>
        <v>Caseload 4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85" t="str">
        <f t="shared" si="0"/>
        <v/>
      </c>
      <c r="I19" s="147">
        <f>SUMIF($E$19:$E$23,1,$H$19:$H$23)</f>
        <v>0</v>
      </c>
      <c r="J19" s="147">
        <f>SUMIF($E$19:$E$23,"&gt;"&amp;1,$H$19:$H$23)</f>
        <v>0</v>
      </c>
    </row>
    <row r="20" spans="2:10" x14ac:dyDescent="0.35">
      <c r="B20" s="124" t="str" cm="1">
        <f t="array" ref="B20">INDEX('Data Validation (Hide)'!$B$2:$B$16,ROUNDUP(ROW(A17)/5,0),1)</f>
        <v>Caseload 4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8"/>
      <c r="J20" s="148"/>
    </row>
    <row r="21" spans="2:10" x14ac:dyDescent="0.35">
      <c r="B21" s="122" t="str" cm="1">
        <f t="array" ref="B21">INDEX('Data Validation (Hide)'!$B$2:$B$16,ROUNDUP(ROW(A18)/5,0),1)</f>
        <v>Caseload 4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8"/>
      <c r="J21" s="148"/>
    </row>
    <row r="22" spans="2:10" x14ac:dyDescent="0.35">
      <c r="B22" s="124" t="str" cm="1">
        <f t="array" ref="B22">INDEX('Data Validation (Hide)'!$B$2:$B$16,ROUNDUP(ROW(A19)/5,0),1)</f>
        <v>Caseload 4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8"/>
      <c r="J22" s="148"/>
    </row>
    <row r="23" spans="2:10" ht="15" thickBot="1" x14ac:dyDescent="0.4">
      <c r="B23" s="125" t="str" cm="1">
        <f t="array" ref="B23">INDEX('Data Validation (Hide)'!$B$2:$B$16,ROUNDUP(ROW(A20)/5,0),1)</f>
        <v>Caseload 4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9"/>
      <c r="J23" s="149"/>
    </row>
    <row r="24" spans="2:10" x14ac:dyDescent="0.35">
      <c r="B24" s="123" t="str" cm="1">
        <f t="array" ref="B24">INDEX('Data Validation (Hide)'!$B$2:$B$16,ROUNDUP(ROW(A21)/5,0),1)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85" t="str">
        <f t="shared" si="0"/>
        <v/>
      </c>
      <c r="I24" s="147">
        <f>SUMIF($E$24:$E$28,1,$H$24:$H$28)</f>
        <v>0</v>
      </c>
      <c r="J24" s="147">
        <f>SUMIF($E$24:$E$28,"&gt;"&amp;1,$H$24:$H$28)</f>
        <v>0</v>
      </c>
    </row>
    <row r="25" spans="2:10" x14ac:dyDescent="0.35">
      <c r="B25" s="124" t="str" cm="1">
        <f t="array" ref="B25">INDEX('Data Validation (Hide)'!$B$2:$B$16,ROUNDUP(ROW(A22)/5,0),1)</f>
        <v>Caseload 5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8"/>
      <c r="J25" s="148"/>
    </row>
    <row r="26" spans="2:10" x14ac:dyDescent="0.35">
      <c r="B26" s="122" t="str" cm="1">
        <f t="array" ref="B26">INDEX('Data Validation (Hide)'!$B$2:$B$16,ROUNDUP(ROW(A23)/5,0),1)</f>
        <v>Caseload 5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8"/>
      <c r="J26" s="148"/>
    </row>
    <row r="27" spans="2:10" x14ac:dyDescent="0.35">
      <c r="B27" s="124" t="str" cm="1">
        <f t="array" ref="B27">INDEX('Data Validation (Hide)'!$B$2:$B$16,ROUNDUP(ROW(A24)/5,0),1)</f>
        <v>Caseload 5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8"/>
      <c r="J27" s="148"/>
    </row>
    <row r="28" spans="2:10" ht="15" thickBot="1" x14ac:dyDescent="0.4">
      <c r="B28" s="125" t="str" cm="1">
        <f t="array" ref="B28">INDEX('Data Validation (Hide)'!$B$2:$B$16,ROUNDUP(ROW(A25)/5,0),1)</f>
        <v>Caseload 5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9"/>
      <c r="J28" s="149"/>
    </row>
    <row r="29" spans="2:10" x14ac:dyDescent="0.35">
      <c r="B29" s="123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41">
        <f>SUMIF($E$29:$E$33,1,$H$29:$H$33)</f>
        <v>0</v>
      </c>
      <c r="J29" s="141">
        <f>SUMIF($E$29:$E$33,"&gt;"&amp;1,$H$29:$H$33)</f>
        <v>0</v>
      </c>
    </row>
    <row r="30" spans="2:10" x14ac:dyDescent="0.35">
      <c r="B30" s="124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42"/>
      <c r="J30" s="142"/>
    </row>
    <row r="31" spans="2:10" x14ac:dyDescent="0.35">
      <c r="B31" s="122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42"/>
      <c r="J31" s="142"/>
    </row>
    <row r="32" spans="2:10" x14ac:dyDescent="0.35">
      <c r="B32" s="124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42"/>
      <c r="J32" s="142"/>
    </row>
    <row r="33" spans="2:10" ht="15" thickBot="1" x14ac:dyDescent="0.4">
      <c r="B33" s="125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43"/>
      <c r="J33" s="143"/>
    </row>
    <row r="34" spans="2:10" x14ac:dyDescent="0.35">
      <c r="B34" s="123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41">
        <f>SUMIF($E$34:$E$38,1,$H$34:$H$38)</f>
        <v>0</v>
      </c>
      <c r="J34" s="141">
        <f>SUMIF($E$34:$E$38,"&gt;"&amp;1,$H$34:$H$38)</f>
        <v>0</v>
      </c>
    </row>
    <row r="35" spans="2:10" x14ac:dyDescent="0.35">
      <c r="B35" s="124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42"/>
      <c r="J35" s="142"/>
    </row>
    <row r="36" spans="2:10" x14ac:dyDescent="0.35">
      <c r="B36" s="122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42"/>
      <c r="J36" s="142"/>
    </row>
    <row r="37" spans="2:10" x14ac:dyDescent="0.35">
      <c r="B37" s="124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42"/>
      <c r="J37" s="142"/>
    </row>
    <row r="38" spans="2:10" ht="15" thickBot="1" x14ac:dyDescent="0.4">
      <c r="B38" s="125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43"/>
      <c r="J38" s="143"/>
    </row>
    <row r="39" spans="2:10" x14ac:dyDescent="0.35">
      <c r="B39" s="123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41">
        <f>SUMIF($E$39:$E$43,1,$H$39:$H$43)</f>
        <v>0</v>
      </c>
      <c r="J39" s="141">
        <f>SUMIF($E$39:$E$43,"&gt;"&amp;1,$H$39:$H$43)</f>
        <v>0</v>
      </c>
    </row>
    <row r="40" spans="2:10" x14ac:dyDescent="0.35">
      <c r="B40" s="124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42"/>
      <c r="J40" s="142"/>
    </row>
    <row r="41" spans="2:10" x14ac:dyDescent="0.35">
      <c r="B41" s="122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42"/>
      <c r="J41" s="142"/>
    </row>
    <row r="42" spans="2:10" x14ac:dyDescent="0.35">
      <c r="B42" s="124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42"/>
      <c r="J42" s="142"/>
    </row>
    <row r="43" spans="2:10" ht="15" thickBot="1" x14ac:dyDescent="0.4">
      <c r="B43" s="125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43"/>
      <c r="J43" s="143"/>
    </row>
    <row r="44" spans="2:10" x14ac:dyDescent="0.35">
      <c r="B44" s="123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41">
        <f>SUMIF($E$44:$E$48,1,$H$44:$H$48)</f>
        <v>0</v>
      </c>
      <c r="J44" s="141">
        <f>SUMIF($E$44:$E$48,"&gt;"&amp;1,$H$44:$H$48)</f>
        <v>0</v>
      </c>
    </row>
    <row r="45" spans="2:10" x14ac:dyDescent="0.35">
      <c r="B45" s="124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42"/>
      <c r="J45" s="142"/>
    </row>
    <row r="46" spans="2:10" x14ac:dyDescent="0.35">
      <c r="B46" s="122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42"/>
      <c r="J46" s="142"/>
    </row>
    <row r="47" spans="2:10" x14ac:dyDescent="0.35">
      <c r="B47" s="124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42"/>
      <c r="J47" s="142"/>
    </row>
    <row r="48" spans="2:10" ht="15" thickBot="1" x14ac:dyDescent="0.4">
      <c r="B48" s="125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43"/>
      <c r="J48" s="143"/>
    </row>
    <row r="49" spans="2:10" x14ac:dyDescent="0.35">
      <c r="B49" s="123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41">
        <f>SUMIF($E$49:$E$53,1,$H$49:$H$53)</f>
        <v>0</v>
      </c>
      <c r="J49" s="141">
        <f>SUMIF($E$49:$E$53,"&gt;"&amp;1,$H$49:$H$53)</f>
        <v>0</v>
      </c>
    </row>
    <row r="50" spans="2:10" x14ac:dyDescent="0.35">
      <c r="B50" s="124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42"/>
      <c r="J50" s="142"/>
    </row>
    <row r="51" spans="2:10" x14ac:dyDescent="0.35">
      <c r="B51" s="122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42"/>
      <c r="J51" s="142"/>
    </row>
    <row r="52" spans="2:10" x14ac:dyDescent="0.35">
      <c r="B52" s="124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42"/>
      <c r="J52" s="142"/>
    </row>
    <row r="53" spans="2:10" ht="15" thickBot="1" x14ac:dyDescent="0.4">
      <c r="B53" s="125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43"/>
      <c r="J53" s="143"/>
    </row>
    <row r="54" spans="2:10" x14ac:dyDescent="0.35">
      <c r="B54" s="123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41">
        <f>SUMIF($E$54:$E$58,1,$H$54:$H$58)</f>
        <v>0</v>
      </c>
      <c r="J54" s="141">
        <f>SUMIF($E$54:$E$58,"&gt;"&amp;1,$H$54:$H$58)</f>
        <v>0</v>
      </c>
    </row>
    <row r="55" spans="2:10" x14ac:dyDescent="0.35">
      <c r="B55" s="124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42"/>
      <c r="J55" s="142"/>
    </row>
    <row r="56" spans="2:10" x14ac:dyDescent="0.35">
      <c r="B56" s="122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42"/>
      <c r="J56" s="142"/>
    </row>
    <row r="57" spans="2:10" x14ac:dyDescent="0.35">
      <c r="B57" s="124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42"/>
      <c r="J57" s="142"/>
    </row>
    <row r="58" spans="2:10" ht="15" thickBot="1" x14ac:dyDescent="0.4">
      <c r="B58" s="125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43"/>
      <c r="J58" s="143"/>
    </row>
    <row r="59" spans="2:10" x14ac:dyDescent="0.35">
      <c r="B59" s="123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41">
        <f>SUMIF($E$59:$E$63,1,$H$59:$H$63)</f>
        <v>0</v>
      </c>
      <c r="J59" s="141">
        <f>SUMIF($E$59:$E$63,"&gt;"&amp;1,$H$59:$H$63)</f>
        <v>0</v>
      </c>
    </row>
    <row r="60" spans="2:10" x14ac:dyDescent="0.35">
      <c r="B60" s="124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42"/>
      <c r="J60" s="142"/>
    </row>
    <row r="61" spans="2:10" x14ac:dyDescent="0.35">
      <c r="B61" s="122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42"/>
      <c r="J61" s="142"/>
    </row>
    <row r="62" spans="2:10" x14ac:dyDescent="0.35">
      <c r="B62" s="124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42"/>
      <c r="J62" s="142"/>
    </row>
    <row r="63" spans="2:10" ht="15" thickBot="1" x14ac:dyDescent="0.4">
      <c r="B63" s="125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43"/>
      <c r="J63" s="143"/>
    </row>
    <row r="64" spans="2:10" x14ac:dyDescent="0.35">
      <c r="B64" s="123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41">
        <f>SUMIF($E$64:$E$68,1,$H$64:$H$68)</f>
        <v>0</v>
      </c>
      <c r="J64" s="141">
        <f>SUMIF($E$64:$E$68,"&gt;"&amp;1,$H$64:$H$68)</f>
        <v>0</v>
      </c>
    </row>
    <row r="65" spans="2:10" x14ac:dyDescent="0.35">
      <c r="B65" s="124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42"/>
      <c r="J65" s="142"/>
    </row>
    <row r="66" spans="2:10" x14ac:dyDescent="0.35">
      <c r="B66" s="122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42"/>
      <c r="J66" s="142"/>
    </row>
    <row r="67" spans="2:10" x14ac:dyDescent="0.35">
      <c r="B67" s="124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42"/>
      <c r="J67" s="142"/>
    </row>
    <row r="68" spans="2:10" ht="15" thickBot="1" x14ac:dyDescent="0.4">
      <c r="B68" s="125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43"/>
      <c r="J68" s="143"/>
    </row>
    <row r="69" spans="2:10" x14ac:dyDescent="0.35">
      <c r="B69" s="123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41">
        <f>SUMIF($E$69:$E$73,1,$H$69:$H$73)</f>
        <v>0</v>
      </c>
      <c r="J69" s="141">
        <f>SUMIF($E$69:$E$73,"&gt;"&amp;1,$H$69:$H$73)</f>
        <v>0</v>
      </c>
    </row>
    <row r="70" spans="2:10" x14ac:dyDescent="0.35">
      <c r="B70" s="124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42"/>
      <c r="J70" s="142"/>
    </row>
    <row r="71" spans="2:10" x14ac:dyDescent="0.35">
      <c r="B71" s="122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42"/>
      <c r="J71" s="142"/>
    </row>
    <row r="72" spans="2:10" x14ac:dyDescent="0.35">
      <c r="B72" s="124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42"/>
      <c r="J72" s="142"/>
    </row>
    <row r="73" spans="2:10" ht="15" thickBot="1" x14ac:dyDescent="0.4">
      <c r="B73" s="125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43"/>
      <c r="J73" s="143"/>
    </row>
    <row r="74" spans="2:10" x14ac:dyDescent="0.35">
      <c r="B74" s="123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41">
        <f>SUMIF($E$74:$E$78,1,$H$74:$H$78)</f>
        <v>0</v>
      </c>
      <c r="J74" s="141">
        <f>SUMIF($E$74:$E$78,"&gt;"&amp;1,$H$74:$H$78)</f>
        <v>0</v>
      </c>
    </row>
    <row r="75" spans="2:10" x14ac:dyDescent="0.35">
      <c r="B75" s="124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42"/>
      <c r="J75" s="142"/>
    </row>
    <row r="76" spans="2:10" x14ac:dyDescent="0.35">
      <c r="B76" s="122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42"/>
      <c r="J76" s="142"/>
    </row>
    <row r="77" spans="2:10" x14ac:dyDescent="0.35">
      <c r="B77" s="124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42"/>
      <c r="J77" s="142"/>
    </row>
    <row r="78" spans="2:10" ht="15" thickBot="1" x14ac:dyDescent="0.4">
      <c r="B78" s="125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43"/>
      <c r="J78" s="143"/>
    </row>
    <row r="79" spans="2:10" x14ac:dyDescent="0.35">
      <c r="E79" s="32"/>
      <c r="H79" s="32"/>
      <c r="I79" s="32"/>
      <c r="J79" s="32"/>
    </row>
  </sheetData>
  <mergeCells count="30">
    <mergeCell ref="I29:I33"/>
    <mergeCell ref="I34:I38"/>
    <mergeCell ref="I4:I8"/>
    <mergeCell ref="I9:I13"/>
    <mergeCell ref="I14:I18"/>
    <mergeCell ref="I19:I23"/>
    <mergeCell ref="I24:I28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I5" sqref="I5:I10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53</v>
      </c>
      <c r="E1" s="3" t="s">
        <v>56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Caseload 2</v>
      </c>
      <c r="M1" s="15" t="str" cm="1">
        <f t="array" ref="M1">INDEX($A$5:$A$19,ROUNDUP(COLUMN(H1)/6,0),1)</f>
        <v>Caseload 2</v>
      </c>
      <c r="N1" s="3" t="str" cm="1">
        <f t="array" ref="N1">INDEX($A$5:$A$19,ROUNDUP(COLUMN(I1)/6,0),1)</f>
        <v>Caseload 2</v>
      </c>
      <c r="O1" s="15" t="str" cm="1">
        <f t="array" ref="O1">INDEX($A$5:$A$19,ROUNDUP(COLUMN(J1)/6,0),1)</f>
        <v>Caseload 2</v>
      </c>
      <c r="P1" s="4" t="str" cm="1">
        <f t="array" ref="P1">INDEX($A$5:$A$19,ROUNDUP(COLUMN(K1)/6,0),1)</f>
        <v>Caseload 2</v>
      </c>
      <c r="Q1" s="15" t="str" cm="1">
        <f t="array" ref="Q1">INDEX($A$5:$A$19,ROUNDUP(COLUMN(L1)/6,0),1)</f>
        <v>Caseload 2</v>
      </c>
      <c r="R1" s="3" t="str" cm="1">
        <f t="array" ref="R1">INDEX($A$5:$A$19,ROUNDUP(COLUMN(M1)/6,0),1)</f>
        <v>Caseload 3</v>
      </c>
      <c r="S1" s="15" t="str" cm="1">
        <f t="array" ref="S1">INDEX($A$5:$A$19,ROUNDUP(COLUMN(N1)/6,0),1)</f>
        <v>Caseload 3</v>
      </c>
      <c r="T1" s="3" t="str" cm="1">
        <f t="array" ref="T1">INDEX($A$5:$A$19,ROUNDUP(COLUMN(O1)/6,0),1)</f>
        <v>Caseload 3</v>
      </c>
      <c r="U1" s="15" t="str" cm="1">
        <f t="array" ref="U1">INDEX($A$5:$A$19,ROUNDUP(COLUMN(P1)/6,0),1)</f>
        <v>Caseload 3</v>
      </c>
      <c r="V1" s="4" t="str" cm="1">
        <f t="array" ref="V1">INDEX($A$5:$A$19,ROUNDUP(COLUMN(Q1)/6,0),1)</f>
        <v>Caseload 3</v>
      </c>
      <c r="W1" s="15" t="str" cm="1">
        <f t="array" ref="W1">INDEX($A$5:$A$19,ROUNDUP(COLUMN(R1)/6,0),1)</f>
        <v>Caseload 3</v>
      </c>
      <c r="X1" s="3" t="str" cm="1">
        <f t="array" ref="X1">INDEX($A$5:$A$19,ROUNDUP(COLUMN(S1)/6,0),1)</f>
        <v>Caseload 4</v>
      </c>
      <c r="Y1" s="15" t="str" cm="1">
        <f t="array" ref="Y1">INDEX($A$5:$A$19,ROUNDUP(COLUMN(T1)/6,0),1)</f>
        <v>Caseload 4</v>
      </c>
      <c r="Z1" s="3" t="str" cm="1">
        <f t="array" ref="Z1">INDEX($A$5:$A$19,ROUNDUP(COLUMN(U1)/6,0),1)</f>
        <v>Caseload 4</v>
      </c>
      <c r="AA1" s="15" t="str" cm="1">
        <f t="array" ref="AA1">INDEX($A$5:$A$19,ROUNDUP(COLUMN(V1)/6,0),1)</f>
        <v>Caseload 4</v>
      </c>
      <c r="AB1" s="4" t="str" cm="1">
        <f t="array" ref="AB1">INDEX($A$5:$A$19,ROUNDUP(COLUMN(W1)/6,0),1)</f>
        <v>Caseload 4</v>
      </c>
      <c r="AC1" s="15" t="str" cm="1">
        <f t="array" ref="AC1">INDEX($A$5:$A$19,ROUNDUP(COLUMN(X1)/6,0),1)</f>
        <v>Caseload 4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142</v>
      </c>
      <c r="CS1" s="3" t="s">
        <v>142</v>
      </c>
      <c r="CT1" s="3" t="s">
        <v>142</v>
      </c>
      <c r="CU1" s="3" t="s">
        <v>142</v>
      </c>
      <c r="CV1" s="3" t="s">
        <v>142</v>
      </c>
      <c r="CW1" s="3" t="s">
        <v>142</v>
      </c>
      <c r="CY1" s="3" t="s">
        <v>64</v>
      </c>
      <c r="CZ1" s="4"/>
      <c r="DA1" s="15"/>
    </row>
    <row r="2" spans="1:105" ht="15" thickBot="1" x14ac:dyDescent="0.4">
      <c r="E2" s="7"/>
      <c r="F2" s="7" t="s">
        <v>58</v>
      </c>
      <c r="G2" s="6" t="s">
        <v>58</v>
      </c>
      <c r="H2" s="7" t="s">
        <v>50</v>
      </c>
      <c r="I2" s="6" t="s">
        <v>50</v>
      </c>
      <c r="J2" s="19" t="s">
        <v>63</v>
      </c>
      <c r="K2" s="23" t="s">
        <v>63</v>
      </c>
      <c r="L2" s="7" t="s">
        <v>58</v>
      </c>
      <c r="M2" s="6" t="s">
        <v>58</v>
      </c>
      <c r="N2" s="7" t="s">
        <v>50</v>
      </c>
      <c r="O2" s="6" t="s">
        <v>50</v>
      </c>
      <c r="P2" s="19" t="s">
        <v>63</v>
      </c>
      <c r="Q2" s="23" t="s">
        <v>63</v>
      </c>
      <c r="R2" s="7" t="s">
        <v>58</v>
      </c>
      <c r="S2" s="6" t="s">
        <v>58</v>
      </c>
      <c r="T2" s="7" t="s">
        <v>50</v>
      </c>
      <c r="U2" s="6" t="s">
        <v>50</v>
      </c>
      <c r="V2" s="19" t="s">
        <v>63</v>
      </c>
      <c r="W2" s="23" t="s">
        <v>63</v>
      </c>
      <c r="X2" s="7" t="s">
        <v>58</v>
      </c>
      <c r="Y2" s="6" t="s">
        <v>58</v>
      </c>
      <c r="Z2" s="7" t="s">
        <v>50</v>
      </c>
      <c r="AA2" s="6" t="s">
        <v>50</v>
      </c>
      <c r="AB2" s="19" t="s">
        <v>63</v>
      </c>
      <c r="AC2" s="23" t="s">
        <v>63</v>
      </c>
      <c r="AD2" s="7" t="s">
        <v>58</v>
      </c>
      <c r="AE2" s="6" t="s">
        <v>58</v>
      </c>
      <c r="AF2" s="7" t="s">
        <v>50</v>
      </c>
      <c r="AG2" s="6" t="s">
        <v>50</v>
      </c>
      <c r="AH2" s="19" t="s">
        <v>63</v>
      </c>
      <c r="AI2" s="23" t="s">
        <v>63</v>
      </c>
      <c r="AJ2" s="7" t="s">
        <v>58</v>
      </c>
      <c r="AK2" s="6" t="s">
        <v>58</v>
      </c>
      <c r="AL2" s="7" t="s">
        <v>50</v>
      </c>
      <c r="AM2" s="6" t="s">
        <v>50</v>
      </c>
      <c r="AN2" s="19" t="s">
        <v>63</v>
      </c>
      <c r="AO2" s="23" t="s">
        <v>63</v>
      </c>
      <c r="AP2" s="7" t="s">
        <v>58</v>
      </c>
      <c r="AQ2" s="6" t="s">
        <v>58</v>
      </c>
      <c r="AR2" s="7" t="s">
        <v>50</v>
      </c>
      <c r="AS2" s="6" t="s">
        <v>50</v>
      </c>
      <c r="AT2" s="19" t="s">
        <v>63</v>
      </c>
      <c r="AU2" s="23" t="s">
        <v>63</v>
      </c>
      <c r="AV2" s="7" t="s">
        <v>58</v>
      </c>
      <c r="AW2" s="6" t="s">
        <v>58</v>
      </c>
      <c r="AX2" s="7" t="s">
        <v>50</v>
      </c>
      <c r="AY2" s="6" t="s">
        <v>50</v>
      </c>
      <c r="AZ2" s="19" t="s">
        <v>63</v>
      </c>
      <c r="BA2" s="23" t="s">
        <v>63</v>
      </c>
      <c r="BB2" s="7" t="s">
        <v>58</v>
      </c>
      <c r="BC2" s="6" t="s">
        <v>58</v>
      </c>
      <c r="BD2" s="7" t="s">
        <v>50</v>
      </c>
      <c r="BE2" s="6" t="s">
        <v>50</v>
      </c>
      <c r="BF2" s="19" t="s">
        <v>63</v>
      </c>
      <c r="BG2" s="23" t="s">
        <v>63</v>
      </c>
      <c r="BH2" s="7" t="s">
        <v>58</v>
      </c>
      <c r="BI2" s="6" t="s">
        <v>58</v>
      </c>
      <c r="BJ2" s="7" t="s">
        <v>50</v>
      </c>
      <c r="BK2" s="6" t="s">
        <v>50</v>
      </c>
      <c r="BL2" s="19" t="s">
        <v>63</v>
      </c>
      <c r="BM2" s="23" t="s">
        <v>63</v>
      </c>
      <c r="BN2" s="7" t="s">
        <v>58</v>
      </c>
      <c r="BO2" s="6" t="s">
        <v>58</v>
      </c>
      <c r="BP2" s="7" t="s">
        <v>50</v>
      </c>
      <c r="BQ2" s="6" t="s">
        <v>50</v>
      </c>
      <c r="BR2" s="19" t="s">
        <v>63</v>
      </c>
      <c r="BS2" s="23" t="s">
        <v>63</v>
      </c>
      <c r="BT2" s="7" t="s">
        <v>58</v>
      </c>
      <c r="BU2" s="6" t="s">
        <v>58</v>
      </c>
      <c r="BV2" s="7" t="s">
        <v>50</v>
      </c>
      <c r="BW2" s="6" t="s">
        <v>50</v>
      </c>
      <c r="BX2" s="19" t="s">
        <v>63</v>
      </c>
      <c r="BY2" s="23" t="s">
        <v>63</v>
      </c>
      <c r="BZ2" s="7" t="s">
        <v>58</v>
      </c>
      <c r="CA2" s="6" t="s">
        <v>58</v>
      </c>
      <c r="CB2" s="7" t="s">
        <v>50</v>
      </c>
      <c r="CC2" s="6" t="s">
        <v>50</v>
      </c>
      <c r="CD2" s="19" t="s">
        <v>63</v>
      </c>
      <c r="CE2" s="23" t="s">
        <v>63</v>
      </c>
      <c r="CF2" s="7" t="s">
        <v>58</v>
      </c>
      <c r="CG2" s="6" t="s">
        <v>58</v>
      </c>
      <c r="CH2" s="7" t="s">
        <v>50</v>
      </c>
      <c r="CI2" s="6" t="s">
        <v>50</v>
      </c>
      <c r="CJ2" s="19" t="s">
        <v>63</v>
      </c>
      <c r="CK2" s="23" t="s">
        <v>63</v>
      </c>
      <c r="CL2" s="7" t="s">
        <v>58</v>
      </c>
      <c r="CM2" s="6" t="s">
        <v>58</v>
      </c>
      <c r="CN2" s="7" t="s">
        <v>50</v>
      </c>
      <c r="CO2" s="6" t="s">
        <v>50</v>
      </c>
      <c r="CP2" s="19" t="s">
        <v>63</v>
      </c>
      <c r="CQ2" s="23" t="s">
        <v>63</v>
      </c>
      <c r="CR2" s="7" t="s">
        <v>58</v>
      </c>
      <c r="CS2" s="6" t="s">
        <v>58</v>
      </c>
      <c r="CT2" s="7" t="s">
        <v>50</v>
      </c>
      <c r="CU2" s="6" t="s">
        <v>50</v>
      </c>
      <c r="CV2" s="19" t="s">
        <v>63</v>
      </c>
      <c r="CW2" s="23" t="s">
        <v>63</v>
      </c>
      <c r="CY2" s="7"/>
      <c r="CZ2" s="5"/>
      <c r="DA2" s="6"/>
    </row>
    <row r="3" spans="1:105" ht="15" thickBot="1" x14ac:dyDescent="0.4">
      <c r="B3" s="5" t="s">
        <v>117</v>
      </c>
      <c r="E3" s="7"/>
      <c r="F3" s="29">
        <f>INDEX(Service!$I$4:$J$78,MATCH('Required Capacity (Hide)'!F$1,Service!$B$4:$B$78,0),1)/IF(Summary!$B$7="Minutes",1,60)</f>
        <v>0</v>
      </c>
      <c r="G3" s="31"/>
      <c r="H3" s="29">
        <f>INDEX(Service!$I$4:$J$78,MATCH('Required Capacity (Hide)'!F$1,Service!$B$4:$B$78,0),2)/IF(Summary!$B$7="Minutes",1,60)</f>
        <v>0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</v>
      </c>
      <c r="U3" s="31"/>
      <c r="V3" s="30"/>
      <c r="W3" s="31"/>
      <c r="X3" s="29">
        <f>INDEX(Service!$I$4:$J$78,MATCH('Required Capacity (Hide)'!X$1,Service!$B$4:$B$78,0),1)/IF(Summary!$B$7="Minutes",1,60)</f>
        <v>0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0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54</v>
      </c>
      <c r="C4" s="31" t="s">
        <v>55</v>
      </c>
      <c r="E4" s="17" t="s">
        <v>57</v>
      </c>
      <c r="F4" s="24" t="s">
        <v>59</v>
      </c>
      <c r="G4" s="26" t="s">
        <v>60</v>
      </c>
      <c r="H4" s="24" t="s">
        <v>59</v>
      </c>
      <c r="I4" s="26" t="s">
        <v>60</v>
      </c>
      <c r="J4" s="25" t="s">
        <v>51</v>
      </c>
      <c r="K4" s="26" t="s">
        <v>60</v>
      </c>
      <c r="L4" s="24" t="s">
        <v>59</v>
      </c>
      <c r="M4" s="26" t="s">
        <v>60</v>
      </c>
      <c r="N4" s="24" t="s">
        <v>59</v>
      </c>
      <c r="O4" s="26" t="s">
        <v>60</v>
      </c>
      <c r="P4" s="25" t="s">
        <v>51</v>
      </c>
      <c r="Q4" s="26" t="s">
        <v>60</v>
      </c>
      <c r="R4" s="24" t="s">
        <v>59</v>
      </c>
      <c r="S4" s="26" t="s">
        <v>60</v>
      </c>
      <c r="T4" s="24" t="s">
        <v>59</v>
      </c>
      <c r="U4" s="26" t="s">
        <v>60</v>
      </c>
      <c r="V4" s="25" t="s">
        <v>51</v>
      </c>
      <c r="W4" s="26" t="s">
        <v>60</v>
      </c>
      <c r="X4" s="24" t="s">
        <v>59</v>
      </c>
      <c r="Y4" s="26" t="s">
        <v>60</v>
      </c>
      <c r="Z4" s="24" t="s">
        <v>59</v>
      </c>
      <c r="AA4" s="26" t="s">
        <v>60</v>
      </c>
      <c r="AB4" s="25" t="s">
        <v>51</v>
      </c>
      <c r="AC4" s="26" t="s">
        <v>60</v>
      </c>
      <c r="AD4" s="24" t="s">
        <v>59</v>
      </c>
      <c r="AE4" s="26" t="s">
        <v>60</v>
      </c>
      <c r="AF4" s="24" t="s">
        <v>59</v>
      </c>
      <c r="AG4" s="26" t="s">
        <v>60</v>
      </c>
      <c r="AH4" s="25" t="s">
        <v>51</v>
      </c>
      <c r="AI4" s="26" t="s">
        <v>60</v>
      </c>
      <c r="AJ4" s="24" t="s">
        <v>59</v>
      </c>
      <c r="AK4" s="26" t="s">
        <v>60</v>
      </c>
      <c r="AL4" s="24" t="s">
        <v>59</v>
      </c>
      <c r="AM4" s="26" t="s">
        <v>60</v>
      </c>
      <c r="AN4" s="25" t="s">
        <v>51</v>
      </c>
      <c r="AO4" s="26" t="s">
        <v>60</v>
      </c>
      <c r="AP4" s="24" t="s">
        <v>59</v>
      </c>
      <c r="AQ4" s="26" t="s">
        <v>60</v>
      </c>
      <c r="AR4" s="24" t="s">
        <v>59</v>
      </c>
      <c r="AS4" s="26" t="s">
        <v>60</v>
      </c>
      <c r="AT4" s="25" t="s">
        <v>51</v>
      </c>
      <c r="AU4" s="26" t="s">
        <v>60</v>
      </c>
      <c r="AV4" s="24" t="s">
        <v>59</v>
      </c>
      <c r="AW4" s="26" t="s">
        <v>60</v>
      </c>
      <c r="AX4" s="24" t="s">
        <v>59</v>
      </c>
      <c r="AY4" s="26" t="s">
        <v>60</v>
      </c>
      <c r="AZ4" s="25" t="s">
        <v>51</v>
      </c>
      <c r="BA4" s="26" t="s">
        <v>60</v>
      </c>
      <c r="BB4" s="24" t="s">
        <v>59</v>
      </c>
      <c r="BC4" s="26" t="s">
        <v>60</v>
      </c>
      <c r="BD4" s="24" t="s">
        <v>59</v>
      </c>
      <c r="BE4" s="26" t="s">
        <v>60</v>
      </c>
      <c r="BF4" s="25" t="s">
        <v>51</v>
      </c>
      <c r="BG4" s="26" t="s">
        <v>60</v>
      </c>
      <c r="BH4" s="24" t="s">
        <v>59</v>
      </c>
      <c r="BI4" s="26" t="s">
        <v>60</v>
      </c>
      <c r="BJ4" s="24" t="s">
        <v>59</v>
      </c>
      <c r="BK4" s="26" t="s">
        <v>60</v>
      </c>
      <c r="BL4" s="25" t="s">
        <v>51</v>
      </c>
      <c r="BM4" s="26" t="s">
        <v>60</v>
      </c>
      <c r="BN4" s="24" t="s">
        <v>59</v>
      </c>
      <c r="BO4" s="26" t="s">
        <v>60</v>
      </c>
      <c r="BP4" s="24" t="s">
        <v>59</v>
      </c>
      <c r="BQ4" s="26" t="s">
        <v>60</v>
      </c>
      <c r="BR4" s="25" t="s">
        <v>51</v>
      </c>
      <c r="BS4" s="26" t="s">
        <v>60</v>
      </c>
      <c r="BT4" s="24" t="s">
        <v>59</v>
      </c>
      <c r="BU4" s="26" t="s">
        <v>60</v>
      </c>
      <c r="BV4" s="24" t="s">
        <v>59</v>
      </c>
      <c r="BW4" s="26" t="s">
        <v>60</v>
      </c>
      <c r="BX4" s="25" t="s">
        <v>51</v>
      </c>
      <c r="BY4" s="26" t="s">
        <v>60</v>
      </c>
      <c r="BZ4" s="24" t="s">
        <v>59</v>
      </c>
      <c r="CA4" s="26" t="s">
        <v>60</v>
      </c>
      <c r="CB4" s="24" t="s">
        <v>59</v>
      </c>
      <c r="CC4" s="26" t="s">
        <v>60</v>
      </c>
      <c r="CD4" s="25" t="s">
        <v>51</v>
      </c>
      <c r="CE4" s="26" t="s">
        <v>60</v>
      </c>
      <c r="CF4" s="24" t="s">
        <v>59</v>
      </c>
      <c r="CG4" s="26" t="s">
        <v>60</v>
      </c>
      <c r="CH4" s="24" t="s">
        <v>59</v>
      </c>
      <c r="CI4" s="26" t="s">
        <v>60</v>
      </c>
      <c r="CJ4" s="25" t="s">
        <v>51</v>
      </c>
      <c r="CK4" s="26" t="s">
        <v>60</v>
      </c>
      <c r="CL4" s="24" t="s">
        <v>59</v>
      </c>
      <c r="CM4" s="26" t="s">
        <v>60</v>
      </c>
      <c r="CN4" s="24" t="s">
        <v>59</v>
      </c>
      <c r="CO4" s="26" t="s">
        <v>60</v>
      </c>
      <c r="CP4" s="25" t="s">
        <v>51</v>
      </c>
      <c r="CQ4" s="26" t="s">
        <v>60</v>
      </c>
      <c r="CR4" s="24" t="s">
        <v>51</v>
      </c>
      <c r="CS4" s="26" t="s">
        <v>60</v>
      </c>
      <c r="CT4" s="24" t="s">
        <v>51</v>
      </c>
      <c r="CU4" s="26" t="s">
        <v>60</v>
      </c>
      <c r="CV4" s="25" t="s">
        <v>51</v>
      </c>
      <c r="CW4" s="26" t="s">
        <v>60</v>
      </c>
      <c r="CY4" s="29" t="s">
        <v>59</v>
      </c>
      <c r="CZ4" s="30" t="s">
        <v>60</v>
      </c>
      <c r="DA4" s="31" t="s">
        <v>43</v>
      </c>
    </row>
    <row r="5" spans="1:105" x14ac:dyDescent="0.35">
      <c r="A5" s="7" t="str">
        <f>'Data Validation (Hide)'!B2</f>
        <v>Caseload 1</v>
      </c>
      <c r="B5" s="22" t="e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#N/A</v>
      </c>
      <c r="C5" s="33" t="e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#N/A</v>
      </c>
      <c r="E5" s="12" t="e" cm="1" vm="1">
        <f t="array" aca="1" ref="E5" ca="1">IF(Setup!B11="Weekly",INDEX(Demand!$C$9:$C$268,Demand!$A$8,1)+7,EOMONTH(_xlfn.NUMBERVALUE(INDEX('SPC Backing (Hide)'!$E$4:$E$263,Demand!A8)),0)+1)</f>
        <v>#VALUE!</v>
      </c>
      <c r="F5" s="7" t="e">
        <f>INDEX($B$5:$C$19,MATCH(F$1,$A$5:$A$19,0),1)*F$3</f>
        <v>#N/A</v>
      </c>
      <c r="G5" s="6" t="e">
        <f>INDEX($B$5:$C$19,MATCH(F$1,$A$5:$A$19,0),2)*F$3</f>
        <v>#N/A</v>
      </c>
      <c r="H5" s="7" t="e">
        <f>INDEX($B$5:$C$19,MATCH(F$1,$A$5:$A$19,0),1)*H$3</f>
        <v>#N/A</v>
      </c>
      <c r="I5" s="6" t="e">
        <f>INDEX($B$5:$C$19,MATCH(F$1,$A$5:$A$19,0),2)*H$3</f>
        <v>#N/A</v>
      </c>
      <c r="J5" s="5" t="e">
        <f>SUMIF(F$4:I$4,J$4,F5:I5)</f>
        <v>#N/A</v>
      </c>
      <c r="K5" s="6" t="e">
        <f>SUMIF(F$4:I$4,K$4,F5:I5)</f>
        <v>#N/A</v>
      </c>
      <c r="L5" s="7" t="e">
        <f>INDEX($B$5:$C$19,MATCH(L$1,$A$5:$A$19,0),1)*L$3</f>
        <v>#N/A</v>
      </c>
      <c r="M5" s="6" t="e">
        <f>INDEX($B$5:$C$19,MATCH(L$1,$A$5:$A$19,0),2)*L$3</f>
        <v>#N/A</v>
      </c>
      <c r="N5" s="7" t="e">
        <f>INDEX($B$5:$C$19,MATCH(L$1,$A$5:$A$19,0),1)*N$3</f>
        <v>#N/A</v>
      </c>
      <c r="O5" s="6" t="e">
        <f>INDEX($B$5:$C$19,MATCH(L$1,$A$5:$A$19,0),2)*N$3</f>
        <v>#N/A</v>
      </c>
      <c r="P5" s="5" t="e">
        <f>SUMIF(L$4:O$4,P$4,L5:O5)</f>
        <v>#N/A</v>
      </c>
      <c r="Q5" s="6" t="e">
        <f>SUMIF(L$4:O$4,Q$4,L5:O5)</f>
        <v>#N/A</v>
      </c>
      <c r="R5" s="7" t="e">
        <f>INDEX($B$5:$C$19,MATCH(R$1,$A$5:$A$19,0),1)*R$3</f>
        <v>#N/A</v>
      </c>
      <c r="S5" s="6" t="e">
        <f>INDEX($B$5:$C$19,MATCH(R$1,$A$5:$A$19,0),2)*R$3</f>
        <v>#N/A</v>
      </c>
      <c r="T5" s="7" t="e">
        <f>INDEX($B$5:$C$19,MATCH(R$1,$A$5:$A$19,0),1)*T$3</f>
        <v>#N/A</v>
      </c>
      <c r="U5" s="6" t="e">
        <f>INDEX($B$5:$C$19,MATCH(R$1,$A$5:$A$19,0),2)*T$3</f>
        <v>#N/A</v>
      </c>
      <c r="V5" s="5" t="e">
        <f>SUMIF(R$4:U$4,V$4,R5:U5)</f>
        <v>#N/A</v>
      </c>
      <c r="W5" s="6" t="e">
        <f>SUMIF(R$4:U$4,W$4,R5:U5)</f>
        <v>#N/A</v>
      </c>
      <c r="X5" s="7" t="e">
        <f>INDEX($B$5:$C$19,MATCH(X$1,$A$5:$A$19,0),1)*X$3</f>
        <v>#N/A</v>
      </c>
      <c r="Y5" s="6" t="e">
        <f>INDEX($B$5:$C$19,MATCH(X$1,$A$5:$A$19,0),2)*X$3</f>
        <v>#N/A</v>
      </c>
      <c r="Z5" s="7" t="e">
        <f>INDEX($B$5:$C$19,MATCH(X$1,$A$5:$A$19,0),1)*Z$3</f>
        <v>#N/A</v>
      </c>
      <c r="AA5" s="6" t="e">
        <f>INDEX($B$5:$C$19,MATCH(X$1,$A$5:$A$19,0),2)*Z$3</f>
        <v>#N/A</v>
      </c>
      <c r="AB5" s="5" t="e">
        <f>SUMIF(X$4:AA$4,AB$4,X5:AA5)</f>
        <v>#N/A</v>
      </c>
      <c r="AC5" s="6" t="e">
        <f>SUMIF(X$4:AA$4,AC$4,X5:AA5)</f>
        <v>#N/A</v>
      </c>
      <c r="AD5" s="7" t="e">
        <f>INDEX($B$5:$C$19,MATCH(AD$1,$A$5:$A$19,0),1)*AD$3</f>
        <v>#N/A</v>
      </c>
      <c r="AE5" s="6" t="e">
        <f>INDEX($B$5:$C$19,MATCH(AD$1,$A$5:$A$19,0),2)*AD$3</f>
        <v>#N/A</v>
      </c>
      <c r="AF5" s="7" t="e">
        <f>INDEX($B$5:$C$19,MATCH(AD$1,$A$5:$A$19,0),1)*AF$3</f>
        <v>#N/A</v>
      </c>
      <c r="AG5" s="6" t="e">
        <f>INDEX($B$5:$C$19,MATCH(AD$1,$A$5:$A$19,0),2)*AF$3</f>
        <v>#N/A</v>
      </c>
      <c r="AH5" s="5" t="e">
        <f>SUMIF(AD$4:AG$4,AH$4,AD5:AG5)</f>
        <v>#N/A</v>
      </c>
      <c r="AI5" s="6" t="e">
        <f>SUMIF(AD$4:AG$4,AI$4,AD5:AG5)</f>
        <v>#N/A</v>
      </c>
      <c r="AJ5" s="7" t="e">
        <f>INDEX($B$5:$C$19,MATCH(AJ$1,$A$5:$A$19,0),1)*AJ$3</f>
        <v>#N/A</v>
      </c>
      <c r="AK5" s="6" t="e">
        <f>INDEX($B$5:$C$19,MATCH(AJ$1,$A$5:$A$19,0),2)*AJ$3</f>
        <v>#N/A</v>
      </c>
      <c r="AL5" s="7" t="e">
        <f>INDEX($B$5:$C$19,MATCH(AJ$1,$A$5:$A$19,0),1)*AL$3</f>
        <v>#N/A</v>
      </c>
      <c r="AM5" s="6" t="e">
        <f>INDEX($B$5:$C$19,MATCH(AJ$1,$A$5:$A$19,0),2)*AL$3</f>
        <v>#N/A</v>
      </c>
      <c r="AN5" s="5" t="e">
        <f>SUMIF(AJ$4:AM$4,AN$4,AJ5:AM5)</f>
        <v>#N/A</v>
      </c>
      <c r="AO5" s="6" t="e">
        <f>SUMIF(AJ$4:AM$4,AO$4,AJ5:AM5)</f>
        <v>#N/A</v>
      </c>
      <c r="AP5" s="7" t="e">
        <f>INDEX($B$5:$C$19,MATCH(AP$1,$A$5:$A$19,0),1)*AP$3</f>
        <v>#N/A</v>
      </c>
      <c r="AQ5" s="6" t="e">
        <f>INDEX($B$5:$C$19,MATCH(AP$1,$A$5:$A$19,0),2)*AP$3</f>
        <v>#N/A</v>
      </c>
      <c r="AR5" s="7" t="e">
        <f>INDEX($B$5:$C$19,MATCH(AP$1,$A$5:$A$19,0),1)*AR$3</f>
        <v>#N/A</v>
      </c>
      <c r="AS5" s="6" t="e">
        <f>INDEX($B$5:$C$19,MATCH(AP$1,$A$5:$A$19,0),2)*AR$3</f>
        <v>#N/A</v>
      </c>
      <c r="AT5" s="5" t="e">
        <f>SUMIF(AP$4:AS$4,AT$4,AP5:AS5)</f>
        <v>#N/A</v>
      </c>
      <c r="AU5" s="6" t="e">
        <f>SUMIF(AP$4:AS$4,AU$4,AP5:AS5)</f>
        <v>#N/A</v>
      </c>
      <c r="AV5" s="7" t="e">
        <f>INDEX($B$5:$C$19,MATCH(AV$1,$A$5:$A$19,0),1)*AV$3</f>
        <v>#N/A</v>
      </c>
      <c r="AW5" s="6" t="e">
        <f>INDEX($B$5:$C$19,MATCH(AV$1,$A$5:$A$19,0),2)*AV$3</f>
        <v>#N/A</v>
      </c>
      <c r="AX5" s="7" t="e">
        <f>INDEX($B$5:$C$19,MATCH(AV$1,$A$5:$A$19,0),1)*AX$3</f>
        <v>#N/A</v>
      </c>
      <c r="AY5" s="6" t="e">
        <f>INDEX($B$5:$C$19,MATCH(AV$1,$A$5:$A$19,0),2)*AX$3</f>
        <v>#N/A</v>
      </c>
      <c r="AZ5" s="5" t="e">
        <f>SUMIF(AV$4:AY$4,AZ$4,AV5:AY5)</f>
        <v>#N/A</v>
      </c>
      <c r="BA5" s="6" t="e">
        <f>SUMIF(AV$4:AY$4,BA$4,AV5:AY5)</f>
        <v>#N/A</v>
      </c>
      <c r="BB5" s="7" t="e">
        <f>INDEX($B$5:$C$19,MATCH(BB$1,$A$5:$A$19,0),1)*BB$3</f>
        <v>#N/A</v>
      </c>
      <c r="BC5" s="6" t="e">
        <f>INDEX($B$5:$C$19,MATCH(BB$1,$A$5:$A$19,0),2)*BB$3</f>
        <v>#N/A</v>
      </c>
      <c r="BD5" s="7" t="e">
        <f>INDEX($B$5:$C$19,MATCH(BB$1,$A$5:$A$19,0),1)*BD$3</f>
        <v>#N/A</v>
      </c>
      <c r="BE5" s="6" t="e">
        <f>INDEX($B$5:$C$19,MATCH(BB$1,$A$5:$A$19,0),2)*BD$3</f>
        <v>#N/A</v>
      </c>
      <c r="BF5" s="5" t="e">
        <f>SUMIF(BB$4:BE$4,BF$4,BB5:BE5)</f>
        <v>#N/A</v>
      </c>
      <c r="BG5" s="6" t="e">
        <f>SUMIF(BB$4:BE$4,BG$4,BB5:BE5)</f>
        <v>#N/A</v>
      </c>
      <c r="BH5" s="7" t="e">
        <f>INDEX($B$5:$C$19,MATCH(BH$1,$A$5:$A$19,0),1)*BH$3</f>
        <v>#N/A</v>
      </c>
      <c r="BI5" s="6" t="e">
        <f>INDEX($B$5:$C$19,MATCH(BH$1,$A$5:$A$19,0),2)*BH$3</f>
        <v>#N/A</v>
      </c>
      <c r="BJ5" s="7" t="e">
        <f>INDEX($B$5:$C$19,MATCH(BH$1,$A$5:$A$19,0),1)*BJ$3</f>
        <v>#N/A</v>
      </c>
      <c r="BK5" s="6" t="e">
        <f>INDEX($B$5:$C$19,MATCH(BH$1,$A$5:$A$19,0),2)*BJ$3</f>
        <v>#N/A</v>
      </c>
      <c r="BL5" s="5" t="e">
        <f>SUMIF(BH$4:BK$4,BL$4,BH5:BK5)</f>
        <v>#N/A</v>
      </c>
      <c r="BM5" s="6" t="e">
        <f>SUMIF(BH$4:BK$4,BM$4,BH5:BK5)</f>
        <v>#N/A</v>
      </c>
      <c r="BN5" s="7" t="e">
        <f>INDEX($B$5:$C$19,MATCH(BN$1,$A$5:$A$19,0),1)*BN$3</f>
        <v>#N/A</v>
      </c>
      <c r="BO5" s="6" t="e">
        <f>INDEX($B$5:$C$19,MATCH(BN$1,$A$5:$A$19,0),2)*BN$3</f>
        <v>#N/A</v>
      </c>
      <c r="BP5" s="7" t="e">
        <f>INDEX($B$5:$C$19,MATCH(BN$1,$A$5:$A$19,0),1)*BP$3</f>
        <v>#N/A</v>
      </c>
      <c r="BQ5" s="6" t="e">
        <f>INDEX($B$5:$C$19,MATCH(BN$1,$A$5:$A$19,0),2)*BP$3</f>
        <v>#N/A</v>
      </c>
      <c r="BR5" s="5" t="e">
        <f>SUMIF(BN$4:BQ$4,BR$4,BN5:BQ5)</f>
        <v>#N/A</v>
      </c>
      <c r="BS5" s="6" t="e">
        <f>SUMIF(BN$4:BQ$4,BS$4,BN5:BQ5)</f>
        <v>#N/A</v>
      </c>
      <c r="BT5" s="7" t="e">
        <f>INDEX($B$5:$C$19,MATCH(BT$1,$A$5:$A$19,0),1)*BT$3</f>
        <v>#N/A</v>
      </c>
      <c r="BU5" s="6" t="e">
        <f>INDEX($B$5:$C$19,MATCH(BT$1,$A$5:$A$19,0),2)*BT$3</f>
        <v>#N/A</v>
      </c>
      <c r="BV5" s="7" t="e">
        <f>INDEX($B$5:$C$19,MATCH(BT$1,$A$5:$A$19,0),1)*BV$3</f>
        <v>#N/A</v>
      </c>
      <c r="BW5" s="6" t="e">
        <f>INDEX($B$5:$C$19,MATCH(BT$1,$A$5:$A$19,0),2)*BV$3</f>
        <v>#N/A</v>
      </c>
      <c r="BX5" s="5" t="e">
        <f>SUMIF(BT$4:BW$4,BX$4,BT5:BW5)</f>
        <v>#N/A</v>
      </c>
      <c r="BY5" s="6" t="e">
        <f>SUMIF(BT$4:BW$4,BY$4,BT5:BW5)</f>
        <v>#N/A</v>
      </c>
      <c r="BZ5" s="7" t="e">
        <f>INDEX($B$5:$C$19,MATCH(BZ$1,$A$5:$A$19,0),1)*BZ$3</f>
        <v>#N/A</v>
      </c>
      <c r="CA5" s="6" t="e">
        <f>INDEX($B$5:$C$19,MATCH(BZ$1,$A$5:$A$19,0),2)*BZ$3</f>
        <v>#N/A</v>
      </c>
      <c r="CB5" s="7" t="e">
        <f>INDEX($B$5:$C$19,MATCH(BZ$1,$A$5:$A$19,0),1)*CB$3</f>
        <v>#N/A</v>
      </c>
      <c r="CC5" s="6" t="e">
        <f>INDEX($B$5:$C$19,MATCH(BZ$1,$A$5:$A$19,0),2)*CB$3</f>
        <v>#N/A</v>
      </c>
      <c r="CD5" s="5" t="e">
        <f>SUMIF(BZ$4:CC$4,CD$4,BZ5:CC5)</f>
        <v>#N/A</v>
      </c>
      <c r="CE5" s="6" t="e">
        <f>SUMIF(BZ$4:CC$4,CE$4,BZ5:CC5)</f>
        <v>#N/A</v>
      </c>
      <c r="CF5" s="7" t="e">
        <f>INDEX($B$5:$C$19,MATCH(CF$1,$A$5:$A$19,0),1)*CF$3</f>
        <v>#N/A</v>
      </c>
      <c r="CG5" s="6" t="e">
        <f>INDEX($B$5:$C$19,MATCH(CF$1,$A$5:$A$19,0),2)*CF$3</f>
        <v>#N/A</v>
      </c>
      <c r="CH5" s="7" t="e">
        <f>INDEX($B$5:$C$19,MATCH(CF$1,$A$5:$A$19,0),1)*CH$3</f>
        <v>#N/A</v>
      </c>
      <c r="CI5" s="6" t="e">
        <f>INDEX($B$5:$C$19,MATCH(CF$1,$A$5:$A$19,0),2)*CH$3</f>
        <v>#N/A</v>
      </c>
      <c r="CJ5" s="5" t="e">
        <f>SUMIF(CF$4:CI$4,CJ$4,CF5:CI5)</f>
        <v>#N/A</v>
      </c>
      <c r="CK5" s="6" t="e">
        <f>SUMIF(CF$4:CI$4,CK$4,CF5:CI5)</f>
        <v>#N/A</v>
      </c>
      <c r="CL5" s="7" t="e">
        <f>INDEX($B$5:$C$19,MATCH(CL$1,$A$5:$A$19,0),1)*CL$3</f>
        <v>#N/A</v>
      </c>
      <c r="CM5" s="6" t="e">
        <f>INDEX($B$5:$C$19,MATCH(CL$1,$A$5:$A$19,0),2)*CL$3</f>
        <v>#N/A</v>
      </c>
      <c r="CN5" s="7" t="e">
        <f>INDEX($B$5:$C$19,MATCH(CL$1,$A$5:$A$19,0),1)*CN$3</f>
        <v>#N/A</v>
      </c>
      <c r="CO5" s="6" t="e">
        <f>INDEX($B$5:$C$19,MATCH(CL$1,$A$5:$A$19,0),2)*CN$3</f>
        <v>#N/A</v>
      </c>
      <c r="CP5" s="5" t="e">
        <f>SUMIF(CL$4:CO$4,CP$4,CL5:CO5)</f>
        <v>#N/A</v>
      </c>
      <c r="CQ5" s="6" t="e">
        <f>SUMIF(CL$4:CO$4,CQ$4,CL5:CO5)</f>
        <v>#N/A</v>
      </c>
      <c r="CR5" s="7" t="e">
        <f>SUMIFS($F5:$CQ5,$F$2:$CQ$2,CR$2,$F$4:$CQ$4,CR$4)</f>
        <v>#N/A</v>
      </c>
      <c r="CS5" s="7" t="e">
        <f>SUMIFS($F5:$CQ5,$F$2:$CQ$2,CS$2,$F$4:$CQ$4,CS$4)</f>
        <v>#N/A</v>
      </c>
      <c r="CT5" s="7" t="e">
        <f>SUMIFS($F5:$CQ5,$F$2:$CQ$2,CT$2,$F$4:$CQ$4,CT$4)</f>
        <v>#N/A</v>
      </c>
      <c r="CU5" s="7" t="e">
        <f>SUMIFS($F5:$CQ5,$F$2:$CQ$2,CU$2,$F$4:$CQ$4,CU$4)</f>
        <v>#N/A</v>
      </c>
      <c r="CV5" s="5" t="e">
        <f>SUM(CR5,CT5)</f>
        <v>#N/A</v>
      </c>
      <c r="CW5" s="6" t="e">
        <f>SUM(CS5,CU5)</f>
        <v>#N/A</v>
      </c>
      <c r="CY5" s="7" t="e">
        <f t="array" ref="CY5:CY56">Summary_LowerBound</f>
        <v>#N/A</v>
      </c>
      <c r="CZ5" s="5" t="e">
        <f t="array" ref="CZ5">Summary_UpperBound</f>
        <v>#N/A</v>
      </c>
      <c r="DA5" s="6" t="e">
        <f>CZ5-CY5</f>
        <v>#N/A</v>
      </c>
    </row>
    <row r="6" spans="1:105" x14ac:dyDescent="0.35">
      <c r="A6" s="7" t="str">
        <f>'Data Validation (Hide)'!B3</f>
        <v>Caseload 2</v>
      </c>
      <c r="B6" s="22" t="e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#N/A</v>
      </c>
      <c r="C6" s="33" t="e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#N/A</v>
      </c>
      <c r="E6" s="12" t="e" vm="2">
        <f ca="1">E5+7</f>
        <v>#VALUE!</v>
      </c>
      <c r="F6" s="7" t="e">
        <f t="shared" ref="F6:F56" si="0">INDEX($B$5:$C$19,MATCH(F$1,$A$5:$A$19,0),1)*F$3</f>
        <v>#N/A</v>
      </c>
      <c r="G6" s="6" t="e">
        <f t="shared" ref="G6:G56" si="1">INDEX($B$5:$C$19,MATCH(F$1,$A$5:$A$19,0),2)*F$3</f>
        <v>#N/A</v>
      </c>
      <c r="H6" s="7" t="e">
        <f t="shared" ref="H6:H56" si="2">INDEX($B$5:$C$19,MATCH(F$1,$A$5:$A$19,0),1)*H$3</f>
        <v>#N/A</v>
      </c>
      <c r="I6" s="6" t="e">
        <f t="shared" ref="I6:I56" si="3">INDEX($B$5:$C$19,MATCH(F$1,$A$5:$A$19,0),2)*H$3</f>
        <v>#N/A</v>
      </c>
      <c r="J6" s="5" t="e">
        <f t="shared" ref="J6:J56" si="4">SUMIF(F$4:I$4,J$4,F6:I6)</f>
        <v>#N/A</v>
      </c>
      <c r="K6" s="6" t="e">
        <f t="shared" ref="K6:K56" si="5">SUMIF(F$4:I$4,K$4,F6:I6)</f>
        <v>#N/A</v>
      </c>
      <c r="L6" s="7" t="e">
        <f t="shared" ref="L6:L56" si="6">INDEX($B$5:$C$19,MATCH(L$1,$A$5:$A$19,0),1)*L$3</f>
        <v>#N/A</v>
      </c>
      <c r="M6" s="6" t="e">
        <f t="shared" ref="M6:M56" si="7">INDEX($B$5:$C$19,MATCH(L$1,$A$5:$A$19,0),2)*L$3</f>
        <v>#N/A</v>
      </c>
      <c r="N6" s="7" t="e">
        <f t="shared" ref="N6:N56" si="8">INDEX($B$5:$C$19,MATCH(L$1,$A$5:$A$19,0),1)*N$3</f>
        <v>#N/A</v>
      </c>
      <c r="O6" s="6" t="e">
        <f t="shared" ref="O6:O56" si="9">INDEX($B$5:$C$19,MATCH(L$1,$A$5:$A$19,0),2)*N$3</f>
        <v>#N/A</v>
      </c>
      <c r="P6" s="5" t="e">
        <f t="shared" ref="P6:P56" si="10">SUMIF(L$4:O$4,P$4,L6:O6)</f>
        <v>#N/A</v>
      </c>
      <c r="Q6" s="6" t="e">
        <f t="shared" ref="Q6:Q56" si="11">SUMIF(L$4:O$4,Q$4,L6:O6)</f>
        <v>#N/A</v>
      </c>
      <c r="R6" s="7" t="e">
        <f t="shared" ref="R6:R56" si="12">INDEX($B$5:$C$19,MATCH(R$1,$A$5:$A$19,0),1)*R$3</f>
        <v>#N/A</v>
      </c>
      <c r="S6" s="6" t="e">
        <f t="shared" ref="S6:S56" si="13">INDEX($B$5:$C$19,MATCH(R$1,$A$5:$A$19,0),2)*R$3</f>
        <v>#N/A</v>
      </c>
      <c r="T6" s="7" t="e">
        <f t="shared" ref="T6:T56" si="14">INDEX($B$5:$C$19,MATCH(R$1,$A$5:$A$19,0),1)*T$3</f>
        <v>#N/A</v>
      </c>
      <c r="U6" s="6" t="e">
        <f t="shared" ref="U6:U56" si="15">INDEX($B$5:$C$19,MATCH(R$1,$A$5:$A$19,0),2)*T$3</f>
        <v>#N/A</v>
      </c>
      <c r="V6" s="5" t="e">
        <f t="shared" ref="V6:V56" si="16">SUMIF(R$4:U$4,V$4,R6:U6)</f>
        <v>#N/A</v>
      </c>
      <c r="W6" s="6" t="e">
        <f t="shared" ref="W6:W56" si="17">SUMIF(R$4:U$4,W$4,R6:U6)</f>
        <v>#N/A</v>
      </c>
      <c r="X6" s="7" t="e">
        <f t="shared" ref="X6:X56" si="18">INDEX($B$5:$C$19,MATCH(X$1,$A$5:$A$19,0),1)*X$3</f>
        <v>#N/A</v>
      </c>
      <c r="Y6" s="6" t="e">
        <f t="shared" ref="Y6:Y56" si="19">INDEX($B$5:$C$19,MATCH(X$1,$A$5:$A$19,0),2)*X$3</f>
        <v>#N/A</v>
      </c>
      <c r="Z6" s="7" t="e">
        <f t="shared" ref="Z6:Z56" si="20">INDEX($B$5:$C$19,MATCH(X$1,$A$5:$A$19,0),1)*Z$3</f>
        <v>#N/A</v>
      </c>
      <c r="AA6" s="6" t="e">
        <f t="shared" ref="AA6:AA56" si="21">INDEX($B$5:$C$19,MATCH(X$1,$A$5:$A$19,0),2)*Z$3</f>
        <v>#N/A</v>
      </c>
      <c r="AB6" s="5" t="e">
        <f t="shared" ref="AB6:AB56" si="22">SUMIF(X$4:AA$4,AB$4,X6:AA6)</f>
        <v>#N/A</v>
      </c>
      <c r="AC6" s="6" t="e">
        <f t="shared" ref="AC6:AC56" si="23">SUMIF(X$4:AA$4,AC$4,X6:AA6)</f>
        <v>#N/A</v>
      </c>
      <c r="AD6" s="7" t="e">
        <f t="shared" ref="AD6:AD56" si="24">INDEX($B$5:$C$19,MATCH(AD$1,$A$5:$A$19,0),1)*AD$3</f>
        <v>#N/A</v>
      </c>
      <c r="AE6" s="6" t="e">
        <f t="shared" ref="AE6:AE56" si="25">INDEX($B$5:$C$19,MATCH(AD$1,$A$5:$A$19,0),2)*AD$3</f>
        <v>#N/A</v>
      </c>
      <c r="AF6" s="7" t="e">
        <f t="shared" ref="AF6:AF56" si="26">INDEX($B$5:$C$19,MATCH(AD$1,$A$5:$A$19,0),1)*AF$3</f>
        <v>#N/A</v>
      </c>
      <c r="AG6" s="6" t="e">
        <f t="shared" ref="AG6:AG56" si="27">INDEX($B$5:$C$19,MATCH(AD$1,$A$5:$A$19,0),2)*AF$3</f>
        <v>#N/A</v>
      </c>
      <c r="AH6" s="5" t="e">
        <f t="shared" ref="AH6:AH56" si="28">SUMIF(AD$4:AG$4,AH$4,AD6:AG6)</f>
        <v>#N/A</v>
      </c>
      <c r="AI6" s="6" t="e">
        <f t="shared" ref="AI6:AI56" si="29">SUMIF(AD$4:AG$4,AI$4,AD6:AG6)</f>
        <v>#N/A</v>
      </c>
      <c r="AJ6" s="7" t="e">
        <f t="shared" ref="AJ6:AJ56" si="30">INDEX($B$5:$C$19,MATCH(AJ$1,$A$5:$A$19,0),1)*AJ$3</f>
        <v>#N/A</v>
      </c>
      <c r="AK6" s="6" t="e">
        <f t="shared" ref="AK6:AK56" si="31">INDEX($B$5:$C$19,MATCH(AJ$1,$A$5:$A$19,0),2)*AJ$3</f>
        <v>#N/A</v>
      </c>
      <c r="AL6" s="7" t="e">
        <f t="shared" ref="AL6:AL56" si="32">INDEX($B$5:$C$19,MATCH(AJ$1,$A$5:$A$19,0),1)*AL$3</f>
        <v>#N/A</v>
      </c>
      <c r="AM6" s="6" t="e">
        <f t="shared" ref="AM6:AM56" si="33">INDEX($B$5:$C$19,MATCH(AJ$1,$A$5:$A$19,0),2)*AL$3</f>
        <v>#N/A</v>
      </c>
      <c r="AN6" s="5" t="e">
        <f t="shared" ref="AN6:AN56" si="34">SUMIF(AJ$4:AM$4,AN$4,AJ6:AM6)</f>
        <v>#N/A</v>
      </c>
      <c r="AO6" s="6" t="e">
        <f t="shared" ref="AO6:AO56" si="35">SUMIF(AJ$4:AM$4,AO$4,AJ6:AM6)</f>
        <v>#N/A</v>
      </c>
      <c r="AP6" s="7" t="e">
        <f t="shared" ref="AP6:AP56" si="36">INDEX($B$5:$C$19,MATCH(AP$1,$A$5:$A$19,0),1)*AP$3</f>
        <v>#N/A</v>
      </c>
      <c r="AQ6" s="6" t="e">
        <f t="shared" ref="AQ6:AQ56" si="37">INDEX($B$5:$C$19,MATCH(AP$1,$A$5:$A$19,0),2)*AP$3</f>
        <v>#N/A</v>
      </c>
      <c r="AR6" s="7" t="e">
        <f t="shared" ref="AR6:AR56" si="38">INDEX($B$5:$C$19,MATCH(AP$1,$A$5:$A$19,0),1)*AR$3</f>
        <v>#N/A</v>
      </c>
      <c r="AS6" s="6" t="e">
        <f t="shared" ref="AS6:AS56" si="39">INDEX($B$5:$C$19,MATCH(AP$1,$A$5:$A$19,0),2)*AR$3</f>
        <v>#N/A</v>
      </c>
      <c r="AT6" s="5" t="e">
        <f t="shared" ref="AT6:AT56" si="40">SUMIF(AP$4:AS$4,AT$4,AP6:AS6)</f>
        <v>#N/A</v>
      </c>
      <c r="AU6" s="6" t="e">
        <f t="shared" ref="AU6:AU56" si="41">SUMIF(AP$4:AS$4,AU$4,AP6:AS6)</f>
        <v>#N/A</v>
      </c>
      <c r="AV6" s="7" t="e">
        <f t="shared" ref="AV6:AV56" si="42">INDEX($B$5:$C$19,MATCH(AV$1,$A$5:$A$19,0),1)*AV$3</f>
        <v>#N/A</v>
      </c>
      <c r="AW6" s="6" t="e">
        <f t="shared" ref="AW6:AW56" si="43">INDEX($B$5:$C$19,MATCH(AV$1,$A$5:$A$19,0),2)*AV$3</f>
        <v>#N/A</v>
      </c>
      <c r="AX6" s="7" t="e">
        <f t="shared" ref="AX6:AX56" si="44">INDEX($B$5:$C$19,MATCH(AV$1,$A$5:$A$19,0),1)*AX$3</f>
        <v>#N/A</v>
      </c>
      <c r="AY6" s="6" t="e">
        <f t="shared" ref="AY6:AY56" si="45">INDEX($B$5:$C$19,MATCH(AV$1,$A$5:$A$19,0),2)*AX$3</f>
        <v>#N/A</v>
      </c>
      <c r="AZ6" s="5" t="e">
        <f t="shared" ref="AZ6:AZ56" si="46">SUMIF(AV$4:AY$4,AZ$4,AV6:AY6)</f>
        <v>#N/A</v>
      </c>
      <c r="BA6" s="6" t="e">
        <f t="shared" ref="BA6:BA56" si="47">SUMIF(AV$4:AY$4,BA$4,AV6:AY6)</f>
        <v>#N/A</v>
      </c>
      <c r="BB6" s="7" t="e">
        <f t="shared" ref="BB6:BB56" si="48">INDEX($B$5:$C$19,MATCH(BB$1,$A$5:$A$19,0),1)*BB$3</f>
        <v>#N/A</v>
      </c>
      <c r="BC6" s="6" t="e">
        <f t="shared" ref="BC6:BC56" si="49">INDEX($B$5:$C$19,MATCH(BB$1,$A$5:$A$19,0),2)*BB$3</f>
        <v>#N/A</v>
      </c>
      <c r="BD6" s="7" t="e">
        <f t="shared" ref="BD6:BD56" si="50">INDEX($B$5:$C$19,MATCH(BB$1,$A$5:$A$19,0),1)*BD$3</f>
        <v>#N/A</v>
      </c>
      <c r="BE6" s="6" t="e">
        <f t="shared" ref="BE6:BE56" si="51">INDEX($B$5:$C$19,MATCH(BB$1,$A$5:$A$19,0),2)*BD$3</f>
        <v>#N/A</v>
      </c>
      <c r="BF6" s="5" t="e">
        <f t="shared" ref="BF6:BF56" si="52">SUMIF(BB$4:BE$4,BF$4,BB6:BE6)</f>
        <v>#N/A</v>
      </c>
      <c r="BG6" s="6" t="e">
        <f t="shared" ref="BG6:BG56" si="53">SUMIF(BB$4:BE$4,BG$4,BB6:BE6)</f>
        <v>#N/A</v>
      </c>
      <c r="BH6" s="7" t="e">
        <f t="shared" ref="BH6:BH56" si="54">INDEX($B$5:$C$19,MATCH(BH$1,$A$5:$A$19,0),1)*BH$3</f>
        <v>#N/A</v>
      </c>
      <c r="BI6" s="6" t="e">
        <f t="shared" ref="BI6:BI56" si="55">INDEX($B$5:$C$19,MATCH(BH$1,$A$5:$A$19,0),2)*BH$3</f>
        <v>#N/A</v>
      </c>
      <c r="BJ6" s="7" t="e">
        <f t="shared" ref="BJ6:BJ56" si="56">INDEX($B$5:$C$19,MATCH(BH$1,$A$5:$A$19,0),1)*BJ$3</f>
        <v>#N/A</v>
      </c>
      <c r="BK6" s="6" t="e">
        <f t="shared" ref="BK6:BK56" si="57">INDEX($B$5:$C$19,MATCH(BH$1,$A$5:$A$19,0),2)*BJ$3</f>
        <v>#N/A</v>
      </c>
      <c r="BL6" s="5" t="e">
        <f t="shared" ref="BL6:BL56" si="58">SUMIF(BH$4:BK$4,BL$4,BH6:BK6)</f>
        <v>#N/A</v>
      </c>
      <c r="BM6" s="6" t="e">
        <f t="shared" ref="BM6:BM56" si="59">SUMIF(BH$4:BK$4,BM$4,BH6:BK6)</f>
        <v>#N/A</v>
      </c>
      <c r="BN6" s="7" t="e">
        <f t="shared" ref="BN6:BN56" si="60">INDEX($B$5:$C$19,MATCH(BN$1,$A$5:$A$19,0),1)*BN$3</f>
        <v>#N/A</v>
      </c>
      <c r="BO6" s="6" t="e">
        <f t="shared" ref="BO6:BO56" si="61">INDEX($B$5:$C$19,MATCH(BN$1,$A$5:$A$19,0),2)*BN$3</f>
        <v>#N/A</v>
      </c>
      <c r="BP6" s="7" t="e">
        <f t="shared" ref="BP6:BP56" si="62">INDEX($B$5:$C$19,MATCH(BN$1,$A$5:$A$19,0),1)*BP$3</f>
        <v>#N/A</v>
      </c>
      <c r="BQ6" s="6" t="e">
        <f t="shared" ref="BQ6:BQ56" si="63">INDEX($B$5:$C$19,MATCH(BN$1,$A$5:$A$19,0),2)*BP$3</f>
        <v>#N/A</v>
      </c>
      <c r="BR6" s="5" t="e">
        <f t="shared" ref="BR6:BR56" si="64">SUMIF(BN$4:BQ$4,BR$4,BN6:BQ6)</f>
        <v>#N/A</v>
      </c>
      <c r="BS6" s="6" t="e">
        <f t="shared" ref="BS6:BS56" si="65">SUMIF(BN$4:BQ$4,BS$4,BN6:BQ6)</f>
        <v>#N/A</v>
      </c>
      <c r="BT6" s="7" t="e">
        <f t="shared" ref="BT6:BT56" si="66">INDEX($B$5:$C$19,MATCH(BT$1,$A$5:$A$19,0),1)*BT$3</f>
        <v>#N/A</v>
      </c>
      <c r="BU6" s="6" t="e">
        <f t="shared" ref="BU6:BU56" si="67">INDEX($B$5:$C$19,MATCH(BT$1,$A$5:$A$19,0),2)*BT$3</f>
        <v>#N/A</v>
      </c>
      <c r="BV6" s="7" t="e">
        <f t="shared" ref="BV6:BV56" si="68">INDEX($B$5:$C$19,MATCH(BT$1,$A$5:$A$19,0),1)*BV$3</f>
        <v>#N/A</v>
      </c>
      <c r="BW6" s="6" t="e">
        <f t="shared" ref="BW6:BW56" si="69">INDEX($B$5:$C$19,MATCH(BT$1,$A$5:$A$19,0),2)*BV$3</f>
        <v>#N/A</v>
      </c>
      <c r="BX6" s="5" t="e">
        <f t="shared" ref="BX6:BX56" si="70">SUMIF(BT$4:BW$4,BX$4,BT6:BW6)</f>
        <v>#N/A</v>
      </c>
      <c r="BY6" s="6" t="e">
        <f t="shared" ref="BY6:BY56" si="71">SUMIF(BT$4:BW$4,BY$4,BT6:BW6)</f>
        <v>#N/A</v>
      </c>
      <c r="BZ6" s="7" t="e">
        <f t="shared" ref="BZ6:BZ56" si="72">INDEX($B$5:$C$19,MATCH(BZ$1,$A$5:$A$19,0),1)*BZ$3</f>
        <v>#N/A</v>
      </c>
      <c r="CA6" s="6" t="e">
        <f t="shared" ref="CA6:CA56" si="73">INDEX($B$5:$C$19,MATCH(BZ$1,$A$5:$A$19,0),2)*BZ$3</f>
        <v>#N/A</v>
      </c>
      <c r="CB6" s="7" t="e">
        <f t="shared" ref="CB6:CB56" si="74">INDEX($B$5:$C$19,MATCH(BZ$1,$A$5:$A$19,0),1)*CB$3</f>
        <v>#N/A</v>
      </c>
      <c r="CC6" s="6" t="e">
        <f t="shared" ref="CC6:CC56" si="75">INDEX($B$5:$C$19,MATCH(BZ$1,$A$5:$A$19,0),2)*CB$3</f>
        <v>#N/A</v>
      </c>
      <c r="CD6" s="5" t="e">
        <f t="shared" ref="CD6:CD56" si="76">SUMIF(BZ$4:CC$4,CD$4,BZ6:CC6)</f>
        <v>#N/A</v>
      </c>
      <c r="CE6" s="6" t="e">
        <f t="shared" ref="CE6:CE56" si="77">SUMIF(BZ$4:CC$4,CE$4,BZ6:CC6)</f>
        <v>#N/A</v>
      </c>
      <c r="CF6" s="7" t="e">
        <f t="shared" ref="CF6:CF56" si="78">INDEX($B$5:$C$19,MATCH(CF$1,$A$5:$A$19,0),1)*CF$3</f>
        <v>#N/A</v>
      </c>
      <c r="CG6" s="6" t="e">
        <f t="shared" ref="CG6:CG56" si="79">INDEX($B$5:$C$19,MATCH(CF$1,$A$5:$A$19,0),2)*CF$3</f>
        <v>#N/A</v>
      </c>
      <c r="CH6" s="7" t="e">
        <f t="shared" ref="CH6:CH56" si="80">INDEX($B$5:$C$19,MATCH(CF$1,$A$5:$A$19,0),1)*CH$3</f>
        <v>#N/A</v>
      </c>
      <c r="CI6" s="6" t="e">
        <f t="shared" ref="CI6:CI56" si="81">INDEX($B$5:$C$19,MATCH(CF$1,$A$5:$A$19,0),2)*CH$3</f>
        <v>#N/A</v>
      </c>
      <c r="CJ6" s="5" t="e">
        <f t="shared" ref="CJ6:CJ56" si="82">SUMIF(CF$4:CI$4,CJ$4,CF6:CI6)</f>
        <v>#N/A</v>
      </c>
      <c r="CK6" s="6" t="e">
        <f t="shared" ref="CK6:CK56" si="83">SUMIF(CF$4:CI$4,CK$4,CF6:CI6)</f>
        <v>#N/A</v>
      </c>
      <c r="CL6" s="7" t="e">
        <f t="shared" ref="CL6:CL56" si="84">INDEX($B$5:$C$19,MATCH(CL$1,$A$5:$A$19,0),1)*CL$3</f>
        <v>#N/A</v>
      </c>
      <c r="CM6" s="6" t="e">
        <f t="shared" ref="CM6:CM56" si="85">INDEX($B$5:$C$19,MATCH(CL$1,$A$5:$A$19,0),2)*CL$3</f>
        <v>#N/A</v>
      </c>
      <c r="CN6" s="7" t="e">
        <f t="shared" ref="CN6:CN56" si="86">INDEX($B$5:$C$19,MATCH(CL$1,$A$5:$A$19,0),1)*CN$3</f>
        <v>#N/A</v>
      </c>
      <c r="CO6" s="6" t="e">
        <f t="shared" ref="CO6:CO56" si="87">INDEX($B$5:$C$19,MATCH(CL$1,$A$5:$A$19,0),2)*CN$3</f>
        <v>#N/A</v>
      </c>
      <c r="CP6" s="5" t="e">
        <f t="shared" ref="CP6:CP56" si="88">SUMIF(CL$4:CO$4,CP$4,CL6:CO6)</f>
        <v>#N/A</v>
      </c>
      <c r="CQ6" s="6" t="e">
        <f t="shared" ref="CQ6:CQ56" si="89">SUMIF(CL$4:CO$4,CQ$4,CL6:CO6)</f>
        <v>#N/A</v>
      </c>
      <c r="CR6" s="7" t="e">
        <f t="shared" ref="CR6:CU56" si="90">SUMIFS($F6:$CQ6,$F$2:$CQ$2,CR$2,$F$4:$CQ$4,CR$4)</f>
        <v>#N/A</v>
      </c>
      <c r="CS6" s="7" t="e">
        <f t="shared" si="90"/>
        <v>#N/A</v>
      </c>
      <c r="CT6" s="7" t="e">
        <f t="shared" si="90"/>
        <v>#N/A</v>
      </c>
      <c r="CU6" s="7" t="e">
        <f t="shared" si="90"/>
        <v>#N/A</v>
      </c>
      <c r="CV6" s="5" t="e">
        <f t="shared" ref="CV6:CV56" si="91">SUM(CR6,CT6)</f>
        <v>#N/A</v>
      </c>
      <c r="CW6" s="6" t="e">
        <f t="shared" ref="CW6:CW56" si="92">SUM(CS6,CU6)</f>
        <v>#N/A</v>
      </c>
      <c r="CY6" s="7" t="e">
        <v>#N/A</v>
      </c>
      <c r="CZ6" s="5" t="e">
        <f t="array" ref="CZ6">Summary_UpperBound</f>
        <v>#N/A</v>
      </c>
      <c r="DA6" s="6" t="e">
        <f t="shared" ref="DA6:DA56" si="93">CZ6-CY6</f>
        <v>#N/A</v>
      </c>
    </row>
    <row r="7" spans="1:105" x14ac:dyDescent="0.35">
      <c r="A7" s="7" t="str">
        <f>'Data Validation (Hide)'!B4</f>
        <v>Caseload 3</v>
      </c>
      <c r="B7" s="22" t="e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#N/A</v>
      </c>
      <c r="C7" s="33" t="e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#N/A</v>
      </c>
      <c r="E7" s="12" t="e" vm="2">
        <f t="shared" ref="E7:E56" ca="1" si="94">E6+7</f>
        <v>#VALUE!</v>
      </c>
      <c r="F7" s="7" t="e">
        <f t="shared" si="0"/>
        <v>#N/A</v>
      </c>
      <c r="G7" s="6" t="e">
        <f t="shared" si="1"/>
        <v>#N/A</v>
      </c>
      <c r="H7" s="7" t="e">
        <f t="shared" si="2"/>
        <v>#N/A</v>
      </c>
      <c r="I7" s="6" t="e">
        <f t="shared" si="3"/>
        <v>#N/A</v>
      </c>
      <c r="J7" s="5" t="e">
        <f t="shared" si="4"/>
        <v>#N/A</v>
      </c>
      <c r="K7" s="6" t="e">
        <f t="shared" si="5"/>
        <v>#N/A</v>
      </c>
      <c r="L7" s="7" t="e">
        <f t="shared" si="6"/>
        <v>#N/A</v>
      </c>
      <c r="M7" s="6" t="e">
        <f t="shared" si="7"/>
        <v>#N/A</v>
      </c>
      <c r="N7" s="7" t="e">
        <f t="shared" si="8"/>
        <v>#N/A</v>
      </c>
      <c r="O7" s="6" t="e">
        <f t="shared" si="9"/>
        <v>#N/A</v>
      </c>
      <c r="P7" s="5" t="e">
        <f t="shared" si="10"/>
        <v>#N/A</v>
      </c>
      <c r="Q7" s="6" t="e">
        <f t="shared" si="11"/>
        <v>#N/A</v>
      </c>
      <c r="R7" s="7" t="e">
        <f t="shared" si="12"/>
        <v>#N/A</v>
      </c>
      <c r="S7" s="6" t="e">
        <f t="shared" si="13"/>
        <v>#N/A</v>
      </c>
      <c r="T7" s="7" t="e">
        <f t="shared" si="14"/>
        <v>#N/A</v>
      </c>
      <c r="U7" s="6" t="e">
        <f t="shared" si="15"/>
        <v>#N/A</v>
      </c>
      <c r="V7" s="5" t="e">
        <f t="shared" si="16"/>
        <v>#N/A</v>
      </c>
      <c r="W7" s="6" t="e">
        <f t="shared" si="17"/>
        <v>#N/A</v>
      </c>
      <c r="X7" s="7" t="e">
        <f t="shared" si="18"/>
        <v>#N/A</v>
      </c>
      <c r="Y7" s="6" t="e">
        <f t="shared" si="19"/>
        <v>#N/A</v>
      </c>
      <c r="Z7" s="7" t="e">
        <f t="shared" si="20"/>
        <v>#N/A</v>
      </c>
      <c r="AA7" s="6" t="e">
        <f t="shared" si="21"/>
        <v>#N/A</v>
      </c>
      <c r="AB7" s="5" t="e">
        <f t="shared" si="22"/>
        <v>#N/A</v>
      </c>
      <c r="AC7" s="6" t="e">
        <f t="shared" si="23"/>
        <v>#N/A</v>
      </c>
      <c r="AD7" s="7" t="e">
        <f t="shared" si="24"/>
        <v>#N/A</v>
      </c>
      <c r="AE7" s="6" t="e">
        <f t="shared" si="25"/>
        <v>#N/A</v>
      </c>
      <c r="AF7" s="7" t="e">
        <f t="shared" si="26"/>
        <v>#N/A</v>
      </c>
      <c r="AG7" s="6" t="e">
        <f t="shared" si="27"/>
        <v>#N/A</v>
      </c>
      <c r="AH7" s="5" t="e">
        <f t="shared" si="28"/>
        <v>#N/A</v>
      </c>
      <c r="AI7" s="6" t="e">
        <f t="shared" si="29"/>
        <v>#N/A</v>
      </c>
      <c r="AJ7" s="7" t="e">
        <f t="shared" si="30"/>
        <v>#N/A</v>
      </c>
      <c r="AK7" s="6" t="e">
        <f t="shared" si="31"/>
        <v>#N/A</v>
      </c>
      <c r="AL7" s="7" t="e">
        <f t="shared" si="32"/>
        <v>#N/A</v>
      </c>
      <c r="AM7" s="6" t="e">
        <f t="shared" si="33"/>
        <v>#N/A</v>
      </c>
      <c r="AN7" s="5" t="e">
        <f t="shared" si="34"/>
        <v>#N/A</v>
      </c>
      <c r="AO7" s="6" t="e">
        <f t="shared" si="35"/>
        <v>#N/A</v>
      </c>
      <c r="AP7" s="7" t="e">
        <f t="shared" si="36"/>
        <v>#N/A</v>
      </c>
      <c r="AQ7" s="6" t="e">
        <f t="shared" si="37"/>
        <v>#N/A</v>
      </c>
      <c r="AR7" s="7" t="e">
        <f t="shared" si="38"/>
        <v>#N/A</v>
      </c>
      <c r="AS7" s="6" t="e">
        <f t="shared" si="39"/>
        <v>#N/A</v>
      </c>
      <c r="AT7" s="5" t="e">
        <f t="shared" si="40"/>
        <v>#N/A</v>
      </c>
      <c r="AU7" s="6" t="e">
        <f t="shared" si="41"/>
        <v>#N/A</v>
      </c>
      <c r="AV7" s="7" t="e">
        <f t="shared" si="42"/>
        <v>#N/A</v>
      </c>
      <c r="AW7" s="6" t="e">
        <f t="shared" si="43"/>
        <v>#N/A</v>
      </c>
      <c r="AX7" s="7" t="e">
        <f t="shared" si="44"/>
        <v>#N/A</v>
      </c>
      <c r="AY7" s="6" t="e">
        <f t="shared" si="45"/>
        <v>#N/A</v>
      </c>
      <c r="AZ7" s="5" t="e">
        <f t="shared" si="46"/>
        <v>#N/A</v>
      </c>
      <c r="BA7" s="6" t="e">
        <f t="shared" si="47"/>
        <v>#N/A</v>
      </c>
      <c r="BB7" s="7" t="e">
        <f t="shared" si="48"/>
        <v>#N/A</v>
      </c>
      <c r="BC7" s="6" t="e">
        <f t="shared" si="49"/>
        <v>#N/A</v>
      </c>
      <c r="BD7" s="7" t="e">
        <f t="shared" si="50"/>
        <v>#N/A</v>
      </c>
      <c r="BE7" s="6" t="e">
        <f t="shared" si="51"/>
        <v>#N/A</v>
      </c>
      <c r="BF7" s="5" t="e">
        <f t="shared" si="52"/>
        <v>#N/A</v>
      </c>
      <c r="BG7" s="6" t="e">
        <f t="shared" si="53"/>
        <v>#N/A</v>
      </c>
      <c r="BH7" s="7" t="e">
        <f t="shared" si="54"/>
        <v>#N/A</v>
      </c>
      <c r="BI7" s="6" t="e">
        <f t="shared" si="55"/>
        <v>#N/A</v>
      </c>
      <c r="BJ7" s="7" t="e">
        <f t="shared" si="56"/>
        <v>#N/A</v>
      </c>
      <c r="BK7" s="6" t="e">
        <f t="shared" si="57"/>
        <v>#N/A</v>
      </c>
      <c r="BL7" s="5" t="e">
        <f t="shared" si="58"/>
        <v>#N/A</v>
      </c>
      <c r="BM7" s="6" t="e">
        <f t="shared" si="59"/>
        <v>#N/A</v>
      </c>
      <c r="BN7" s="7" t="e">
        <f t="shared" si="60"/>
        <v>#N/A</v>
      </c>
      <c r="BO7" s="6" t="e">
        <f t="shared" si="61"/>
        <v>#N/A</v>
      </c>
      <c r="BP7" s="7" t="e">
        <f t="shared" si="62"/>
        <v>#N/A</v>
      </c>
      <c r="BQ7" s="6" t="e">
        <f t="shared" si="63"/>
        <v>#N/A</v>
      </c>
      <c r="BR7" s="5" t="e">
        <f t="shared" si="64"/>
        <v>#N/A</v>
      </c>
      <c r="BS7" s="6" t="e">
        <f t="shared" si="65"/>
        <v>#N/A</v>
      </c>
      <c r="BT7" s="7" t="e">
        <f t="shared" si="66"/>
        <v>#N/A</v>
      </c>
      <c r="BU7" s="6" t="e">
        <f t="shared" si="67"/>
        <v>#N/A</v>
      </c>
      <c r="BV7" s="7" t="e">
        <f t="shared" si="68"/>
        <v>#N/A</v>
      </c>
      <c r="BW7" s="6" t="e">
        <f t="shared" si="69"/>
        <v>#N/A</v>
      </c>
      <c r="BX7" s="5" t="e">
        <f t="shared" si="70"/>
        <v>#N/A</v>
      </c>
      <c r="BY7" s="6" t="e">
        <f t="shared" si="71"/>
        <v>#N/A</v>
      </c>
      <c r="BZ7" s="7" t="e">
        <f t="shared" si="72"/>
        <v>#N/A</v>
      </c>
      <c r="CA7" s="6" t="e">
        <f t="shared" si="73"/>
        <v>#N/A</v>
      </c>
      <c r="CB7" s="7" t="e">
        <f t="shared" si="74"/>
        <v>#N/A</v>
      </c>
      <c r="CC7" s="6" t="e">
        <f t="shared" si="75"/>
        <v>#N/A</v>
      </c>
      <c r="CD7" s="5" t="e">
        <f t="shared" si="76"/>
        <v>#N/A</v>
      </c>
      <c r="CE7" s="6" t="e">
        <f t="shared" si="77"/>
        <v>#N/A</v>
      </c>
      <c r="CF7" s="7" t="e">
        <f t="shared" si="78"/>
        <v>#N/A</v>
      </c>
      <c r="CG7" s="6" t="e">
        <f t="shared" si="79"/>
        <v>#N/A</v>
      </c>
      <c r="CH7" s="7" t="e">
        <f t="shared" si="80"/>
        <v>#N/A</v>
      </c>
      <c r="CI7" s="6" t="e">
        <f t="shared" si="81"/>
        <v>#N/A</v>
      </c>
      <c r="CJ7" s="5" t="e">
        <f t="shared" si="82"/>
        <v>#N/A</v>
      </c>
      <c r="CK7" s="6" t="e">
        <f t="shared" si="83"/>
        <v>#N/A</v>
      </c>
      <c r="CL7" s="7" t="e">
        <f t="shared" si="84"/>
        <v>#N/A</v>
      </c>
      <c r="CM7" s="6" t="e">
        <f t="shared" si="85"/>
        <v>#N/A</v>
      </c>
      <c r="CN7" s="7" t="e">
        <f t="shared" si="86"/>
        <v>#N/A</v>
      </c>
      <c r="CO7" s="6" t="e">
        <f t="shared" si="87"/>
        <v>#N/A</v>
      </c>
      <c r="CP7" s="5" t="e">
        <f t="shared" si="88"/>
        <v>#N/A</v>
      </c>
      <c r="CQ7" s="6" t="e">
        <f t="shared" si="89"/>
        <v>#N/A</v>
      </c>
      <c r="CR7" s="7" t="e">
        <f t="shared" si="90"/>
        <v>#N/A</v>
      </c>
      <c r="CS7" s="7" t="e">
        <f t="shared" si="90"/>
        <v>#N/A</v>
      </c>
      <c r="CT7" s="7" t="e">
        <f t="shared" si="90"/>
        <v>#N/A</v>
      </c>
      <c r="CU7" s="7" t="e">
        <f t="shared" si="90"/>
        <v>#N/A</v>
      </c>
      <c r="CV7" s="5" t="e">
        <f t="shared" si="91"/>
        <v>#N/A</v>
      </c>
      <c r="CW7" s="6" t="e">
        <f t="shared" si="92"/>
        <v>#N/A</v>
      </c>
      <c r="CY7" s="7" t="e">
        <v>#N/A</v>
      </c>
      <c r="CZ7" s="5" t="e">
        <f t="array" ref="CZ7">Summary_UpperBound</f>
        <v>#N/A</v>
      </c>
      <c r="DA7" s="6" t="e">
        <f t="shared" si="93"/>
        <v>#N/A</v>
      </c>
    </row>
    <row r="8" spans="1:105" x14ac:dyDescent="0.35">
      <c r="A8" s="7" t="str">
        <f>'Data Validation (Hide)'!B5</f>
        <v>Caseload 4</v>
      </c>
      <c r="B8" s="22" t="e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#N/A</v>
      </c>
      <c r="C8" s="33" t="e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#N/A</v>
      </c>
      <c r="E8" s="12" t="e" vm="2">
        <f t="shared" ca="1" si="94"/>
        <v>#VALUE!</v>
      </c>
      <c r="F8" s="7" t="e">
        <f t="shared" si="0"/>
        <v>#N/A</v>
      </c>
      <c r="G8" s="6" t="e">
        <f t="shared" si="1"/>
        <v>#N/A</v>
      </c>
      <c r="H8" s="7" t="e">
        <f t="shared" si="2"/>
        <v>#N/A</v>
      </c>
      <c r="I8" s="6" t="e">
        <f t="shared" si="3"/>
        <v>#N/A</v>
      </c>
      <c r="J8" s="5" t="e">
        <f t="shared" si="4"/>
        <v>#N/A</v>
      </c>
      <c r="K8" s="6" t="e">
        <f t="shared" si="5"/>
        <v>#N/A</v>
      </c>
      <c r="L8" s="7" t="e">
        <f t="shared" si="6"/>
        <v>#N/A</v>
      </c>
      <c r="M8" s="6" t="e">
        <f t="shared" si="7"/>
        <v>#N/A</v>
      </c>
      <c r="N8" s="7" t="e">
        <f t="shared" si="8"/>
        <v>#N/A</v>
      </c>
      <c r="O8" s="6" t="e">
        <f t="shared" si="9"/>
        <v>#N/A</v>
      </c>
      <c r="P8" s="5" t="e">
        <f t="shared" si="10"/>
        <v>#N/A</v>
      </c>
      <c r="Q8" s="6" t="e">
        <f t="shared" si="11"/>
        <v>#N/A</v>
      </c>
      <c r="R8" s="7" t="e">
        <f t="shared" si="12"/>
        <v>#N/A</v>
      </c>
      <c r="S8" s="6" t="e">
        <f t="shared" si="13"/>
        <v>#N/A</v>
      </c>
      <c r="T8" s="7" t="e">
        <f t="shared" si="14"/>
        <v>#N/A</v>
      </c>
      <c r="U8" s="6" t="e">
        <f t="shared" si="15"/>
        <v>#N/A</v>
      </c>
      <c r="V8" s="5" t="e">
        <f t="shared" si="16"/>
        <v>#N/A</v>
      </c>
      <c r="W8" s="6" t="e">
        <f t="shared" si="17"/>
        <v>#N/A</v>
      </c>
      <c r="X8" s="7" t="e">
        <f t="shared" si="18"/>
        <v>#N/A</v>
      </c>
      <c r="Y8" s="6" t="e">
        <f t="shared" si="19"/>
        <v>#N/A</v>
      </c>
      <c r="Z8" s="7" t="e">
        <f t="shared" si="20"/>
        <v>#N/A</v>
      </c>
      <c r="AA8" s="6" t="e">
        <f t="shared" si="21"/>
        <v>#N/A</v>
      </c>
      <c r="AB8" s="5" t="e">
        <f t="shared" si="22"/>
        <v>#N/A</v>
      </c>
      <c r="AC8" s="6" t="e">
        <f t="shared" si="23"/>
        <v>#N/A</v>
      </c>
      <c r="AD8" s="7" t="e">
        <f t="shared" si="24"/>
        <v>#N/A</v>
      </c>
      <c r="AE8" s="6" t="e">
        <f t="shared" si="25"/>
        <v>#N/A</v>
      </c>
      <c r="AF8" s="7" t="e">
        <f t="shared" si="26"/>
        <v>#N/A</v>
      </c>
      <c r="AG8" s="6" t="e">
        <f t="shared" si="27"/>
        <v>#N/A</v>
      </c>
      <c r="AH8" s="5" t="e">
        <f t="shared" si="28"/>
        <v>#N/A</v>
      </c>
      <c r="AI8" s="6" t="e">
        <f t="shared" si="29"/>
        <v>#N/A</v>
      </c>
      <c r="AJ8" s="7" t="e">
        <f t="shared" si="30"/>
        <v>#N/A</v>
      </c>
      <c r="AK8" s="6" t="e">
        <f t="shared" si="31"/>
        <v>#N/A</v>
      </c>
      <c r="AL8" s="7" t="e">
        <f t="shared" si="32"/>
        <v>#N/A</v>
      </c>
      <c r="AM8" s="6" t="e">
        <f t="shared" si="33"/>
        <v>#N/A</v>
      </c>
      <c r="AN8" s="5" t="e">
        <f t="shared" si="34"/>
        <v>#N/A</v>
      </c>
      <c r="AO8" s="6" t="e">
        <f t="shared" si="35"/>
        <v>#N/A</v>
      </c>
      <c r="AP8" s="7" t="e">
        <f t="shared" si="36"/>
        <v>#N/A</v>
      </c>
      <c r="AQ8" s="6" t="e">
        <f t="shared" si="37"/>
        <v>#N/A</v>
      </c>
      <c r="AR8" s="7" t="e">
        <f t="shared" si="38"/>
        <v>#N/A</v>
      </c>
      <c r="AS8" s="6" t="e">
        <f t="shared" si="39"/>
        <v>#N/A</v>
      </c>
      <c r="AT8" s="5" t="e">
        <f t="shared" si="40"/>
        <v>#N/A</v>
      </c>
      <c r="AU8" s="6" t="e">
        <f t="shared" si="41"/>
        <v>#N/A</v>
      </c>
      <c r="AV8" s="7" t="e">
        <f t="shared" si="42"/>
        <v>#N/A</v>
      </c>
      <c r="AW8" s="6" t="e">
        <f t="shared" si="43"/>
        <v>#N/A</v>
      </c>
      <c r="AX8" s="7" t="e">
        <f t="shared" si="44"/>
        <v>#N/A</v>
      </c>
      <c r="AY8" s="6" t="e">
        <f t="shared" si="45"/>
        <v>#N/A</v>
      </c>
      <c r="AZ8" s="5" t="e">
        <f t="shared" si="46"/>
        <v>#N/A</v>
      </c>
      <c r="BA8" s="6" t="e">
        <f t="shared" si="47"/>
        <v>#N/A</v>
      </c>
      <c r="BB8" s="7" t="e">
        <f t="shared" si="48"/>
        <v>#N/A</v>
      </c>
      <c r="BC8" s="6" t="e">
        <f t="shared" si="49"/>
        <v>#N/A</v>
      </c>
      <c r="BD8" s="7" t="e">
        <f t="shared" si="50"/>
        <v>#N/A</v>
      </c>
      <c r="BE8" s="6" t="e">
        <f t="shared" si="51"/>
        <v>#N/A</v>
      </c>
      <c r="BF8" s="5" t="e">
        <f t="shared" si="52"/>
        <v>#N/A</v>
      </c>
      <c r="BG8" s="6" t="e">
        <f t="shared" si="53"/>
        <v>#N/A</v>
      </c>
      <c r="BH8" s="7" t="e">
        <f t="shared" si="54"/>
        <v>#N/A</v>
      </c>
      <c r="BI8" s="6" t="e">
        <f t="shared" si="55"/>
        <v>#N/A</v>
      </c>
      <c r="BJ8" s="7" t="e">
        <f t="shared" si="56"/>
        <v>#N/A</v>
      </c>
      <c r="BK8" s="6" t="e">
        <f t="shared" si="57"/>
        <v>#N/A</v>
      </c>
      <c r="BL8" s="5" t="e">
        <f t="shared" si="58"/>
        <v>#N/A</v>
      </c>
      <c r="BM8" s="6" t="e">
        <f t="shared" si="59"/>
        <v>#N/A</v>
      </c>
      <c r="BN8" s="7" t="e">
        <f t="shared" si="60"/>
        <v>#N/A</v>
      </c>
      <c r="BO8" s="6" t="e">
        <f t="shared" si="61"/>
        <v>#N/A</v>
      </c>
      <c r="BP8" s="7" t="e">
        <f t="shared" si="62"/>
        <v>#N/A</v>
      </c>
      <c r="BQ8" s="6" t="e">
        <f t="shared" si="63"/>
        <v>#N/A</v>
      </c>
      <c r="BR8" s="5" t="e">
        <f t="shared" si="64"/>
        <v>#N/A</v>
      </c>
      <c r="BS8" s="6" t="e">
        <f t="shared" si="65"/>
        <v>#N/A</v>
      </c>
      <c r="BT8" s="7" t="e">
        <f t="shared" si="66"/>
        <v>#N/A</v>
      </c>
      <c r="BU8" s="6" t="e">
        <f t="shared" si="67"/>
        <v>#N/A</v>
      </c>
      <c r="BV8" s="7" t="e">
        <f t="shared" si="68"/>
        <v>#N/A</v>
      </c>
      <c r="BW8" s="6" t="e">
        <f t="shared" si="69"/>
        <v>#N/A</v>
      </c>
      <c r="BX8" s="5" t="e">
        <f t="shared" si="70"/>
        <v>#N/A</v>
      </c>
      <c r="BY8" s="6" t="e">
        <f t="shared" si="71"/>
        <v>#N/A</v>
      </c>
      <c r="BZ8" s="7" t="e">
        <f t="shared" si="72"/>
        <v>#N/A</v>
      </c>
      <c r="CA8" s="6" t="e">
        <f t="shared" si="73"/>
        <v>#N/A</v>
      </c>
      <c r="CB8" s="7" t="e">
        <f t="shared" si="74"/>
        <v>#N/A</v>
      </c>
      <c r="CC8" s="6" t="e">
        <f t="shared" si="75"/>
        <v>#N/A</v>
      </c>
      <c r="CD8" s="5" t="e">
        <f t="shared" si="76"/>
        <v>#N/A</v>
      </c>
      <c r="CE8" s="6" t="e">
        <f t="shared" si="77"/>
        <v>#N/A</v>
      </c>
      <c r="CF8" s="7" t="e">
        <f t="shared" si="78"/>
        <v>#N/A</v>
      </c>
      <c r="CG8" s="6" t="e">
        <f t="shared" si="79"/>
        <v>#N/A</v>
      </c>
      <c r="CH8" s="7" t="e">
        <f t="shared" si="80"/>
        <v>#N/A</v>
      </c>
      <c r="CI8" s="6" t="e">
        <f t="shared" si="81"/>
        <v>#N/A</v>
      </c>
      <c r="CJ8" s="5" t="e">
        <f t="shared" si="82"/>
        <v>#N/A</v>
      </c>
      <c r="CK8" s="6" t="e">
        <f t="shared" si="83"/>
        <v>#N/A</v>
      </c>
      <c r="CL8" s="7" t="e">
        <f t="shared" si="84"/>
        <v>#N/A</v>
      </c>
      <c r="CM8" s="6" t="e">
        <f t="shared" si="85"/>
        <v>#N/A</v>
      </c>
      <c r="CN8" s="7" t="e">
        <f t="shared" si="86"/>
        <v>#N/A</v>
      </c>
      <c r="CO8" s="6" t="e">
        <f t="shared" si="87"/>
        <v>#N/A</v>
      </c>
      <c r="CP8" s="5" t="e">
        <f t="shared" si="88"/>
        <v>#N/A</v>
      </c>
      <c r="CQ8" s="6" t="e">
        <f t="shared" si="89"/>
        <v>#N/A</v>
      </c>
      <c r="CR8" s="7" t="e">
        <f t="shared" si="90"/>
        <v>#N/A</v>
      </c>
      <c r="CS8" s="7" t="e">
        <f t="shared" si="90"/>
        <v>#N/A</v>
      </c>
      <c r="CT8" s="7" t="e">
        <f t="shared" si="90"/>
        <v>#N/A</v>
      </c>
      <c r="CU8" s="7" t="e">
        <f t="shared" si="90"/>
        <v>#N/A</v>
      </c>
      <c r="CV8" s="5" t="e">
        <f t="shared" si="91"/>
        <v>#N/A</v>
      </c>
      <c r="CW8" s="6" t="e">
        <f t="shared" si="92"/>
        <v>#N/A</v>
      </c>
      <c r="CY8" s="7" t="e">
        <v>#N/A</v>
      </c>
      <c r="CZ8" s="5" t="e">
        <f t="array" ref="CZ8">Summary_UpperBound</f>
        <v>#N/A</v>
      </c>
      <c r="DA8" s="6" t="e">
        <f t="shared" si="93"/>
        <v>#N/A</v>
      </c>
    </row>
    <row r="9" spans="1:105" x14ac:dyDescent="0.35">
      <c r="A9" s="7" t="str">
        <f>'Data Validation (Hide)'!B6</f>
        <v>Caseload 5</v>
      </c>
      <c r="B9" s="22" t="e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#N/A</v>
      </c>
      <c r="C9" s="33" t="e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#N/A</v>
      </c>
      <c r="E9" s="12" t="e" vm="2">
        <f t="shared" ca="1" si="94"/>
        <v>#VALUE!</v>
      </c>
      <c r="F9" s="7" t="e">
        <f t="shared" si="0"/>
        <v>#N/A</v>
      </c>
      <c r="G9" s="6" t="e">
        <f t="shared" si="1"/>
        <v>#N/A</v>
      </c>
      <c r="H9" s="7" t="e">
        <f t="shared" si="2"/>
        <v>#N/A</v>
      </c>
      <c r="I9" s="6" t="e">
        <f t="shared" si="3"/>
        <v>#N/A</v>
      </c>
      <c r="J9" s="5" t="e">
        <f t="shared" si="4"/>
        <v>#N/A</v>
      </c>
      <c r="K9" s="6" t="e">
        <f t="shared" si="5"/>
        <v>#N/A</v>
      </c>
      <c r="L9" s="7" t="e">
        <f t="shared" si="6"/>
        <v>#N/A</v>
      </c>
      <c r="M9" s="6" t="e">
        <f t="shared" si="7"/>
        <v>#N/A</v>
      </c>
      <c r="N9" s="7" t="e">
        <f t="shared" si="8"/>
        <v>#N/A</v>
      </c>
      <c r="O9" s="6" t="e">
        <f t="shared" si="9"/>
        <v>#N/A</v>
      </c>
      <c r="P9" s="5" t="e">
        <f t="shared" si="10"/>
        <v>#N/A</v>
      </c>
      <c r="Q9" s="6" t="e">
        <f t="shared" si="11"/>
        <v>#N/A</v>
      </c>
      <c r="R9" s="7" t="e">
        <f t="shared" si="12"/>
        <v>#N/A</v>
      </c>
      <c r="S9" s="6" t="e">
        <f t="shared" si="13"/>
        <v>#N/A</v>
      </c>
      <c r="T9" s="7" t="e">
        <f t="shared" si="14"/>
        <v>#N/A</v>
      </c>
      <c r="U9" s="6" t="e">
        <f t="shared" si="15"/>
        <v>#N/A</v>
      </c>
      <c r="V9" s="5" t="e">
        <f t="shared" si="16"/>
        <v>#N/A</v>
      </c>
      <c r="W9" s="6" t="e">
        <f t="shared" si="17"/>
        <v>#N/A</v>
      </c>
      <c r="X9" s="7" t="e">
        <f t="shared" si="18"/>
        <v>#N/A</v>
      </c>
      <c r="Y9" s="6" t="e">
        <f t="shared" si="19"/>
        <v>#N/A</v>
      </c>
      <c r="Z9" s="7" t="e">
        <f t="shared" si="20"/>
        <v>#N/A</v>
      </c>
      <c r="AA9" s="6" t="e">
        <f t="shared" si="21"/>
        <v>#N/A</v>
      </c>
      <c r="AB9" s="5" t="e">
        <f t="shared" si="22"/>
        <v>#N/A</v>
      </c>
      <c r="AC9" s="6" t="e">
        <f t="shared" si="23"/>
        <v>#N/A</v>
      </c>
      <c r="AD9" s="7" t="e">
        <f t="shared" si="24"/>
        <v>#N/A</v>
      </c>
      <c r="AE9" s="6" t="e">
        <f t="shared" si="25"/>
        <v>#N/A</v>
      </c>
      <c r="AF9" s="7" t="e">
        <f t="shared" si="26"/>
        <v>#N/A</v>
      </c>
      <c r="AG9" s="6" t="e">
        <f t="shared" si="27"/>
        <v>#N/A</v>
      </c>
      <c r="AH9" s="5" t="e">
        <f t="shared" si="28"/>
        <v>#N/A</v>
      </c>
      <c r="AI9" s="6" t="e">
        <f t="shared" si="29"/>
        <v>#N/A</v>
      </c>
      <c r="AJ9" s="7" t="e">
        <f t="shared" si="30"/>
        <v>#N/A</v>
      </c>
      <c r="AK9" s="6" t="e">
        <f t="shared" si="31"/>
        <v>#N/A</v>
      </c>
      <c r="AL9" s="7" t="e">
        <f t="shared" si="32"/>
        <v>#N/A</v>
      </c>
      <c r="AM9" s="6" t="e">
        <f t="shared" si="33"/>
        <v>#N/A</v>
      </c>
      <c r="AN9" s="5" t="e">
        <f t="shared" si="34"/>
        <v>#N/A</v>
      </c>
      <c r="AO9" s="6" t="e">
        <f t="shared" si="35"/>
        <v>#N/A</v>
      </c>
      <c r="AP9" s="7" t="e">
        <f t="shared" si="36"/>
        <v>#N/A</v>
      </c>
      <c r="AQ9" s="6" t="e">
        <f t="shared" si="37"/>
        <v>#N/A</v>
      </c>
      <c r="AR9" s="7" t="e">
        <f t="shared" si="38"/>
        <v>#N/A</v>
      </c>
      <c r="AS9" s="6" t="e">
        <f t="shared" si="39"/>
        <v>#N/A</v>
      </c>
      <c r="AT9" s="5" t="e">
        <f t="shared" si="40"/>
        <v>#N/A</v>
      </c>
      <c r="AU9" s="6" t="e">
        <f t="shared" si="41"/>
        <v>#N/A</v>
      </c>
      <c r="AV9" s="7" t="e">
        <f t="shared" si="42"/>
        <v>#N/A</v>
      </c>
      <c r="AW9" s="6" t="e">
        <f t="shared" si="43"/>
        <v>#N/A</v>
      </c>
      <c r="AX9" s="7" t="e">
        <f t="shared" si="44"/>
        <v>#N/A</v>
      </c>
      <c r="AY9" s="6" t="e">
        <f t="shared" si="45"/>
        <v>#N/A</v>
      </c>
      <c r="AZ9" s="5" t="e">
        <f t="shared" si="46"/>
        <v>#N/A</v>
      </c>
      <c r="BA9" s="6" t="e">
        <f t="shared" si="47"/>
        <v>#N/A</v>
      </c>
      <c r="BB9" s="7" t="e">
        <f t="shared" si="48"/>
        <v>#N/A</v>
      </c>
      <c r="BC9" s="6" t="e">
        <f t="shared" si="49"/>
        <v>#N/A</v>
      </c>
      <c r="BD9" s="7" t="e">
        <f t="shared" si="50"/>
        <v>#N/A</v>
      </c>
      <c r="BE9" s="6" t="e">
        <f t="shared" si="51"/>
        <v>#N/A</v>
      </c>
      <c r="BF9" s="5" t="e">
        <f t="shared" si="52"/>
        <v>#N/A</v>
      </c>
      <c r="BG9" s="6" t="e">
        <f t="shared" si="53"/>
        <v>#N/A</v>
      </c>
      <c r="BH9" s="7" t="e">
        <f t="shared" si="54"/>
        <v>#N/A</v>
      </c>
      <c r="BI9" s="6" t="e">
        <f t="shared" si="55"/>
        <v>#N/A</v>
      </c>
      <c r="BJ9" s="7" t="e">
        <f t="shared" si="56"/>
        <v>#N/A</v>
      </c>
      <c r="BK9" s="6" t="e">
        <f t="shared" si="57"/>
        <v>#N/A</v>
      </c>
      <c r="BL9" s="5" t="e">
        <f t="shared" si="58"/>
        <v>#N/A</v>
      </c>
      <c r="BM9" s="6" t="e">
        <f t="shared" si="59"/>
        <v>#N/A</v>
      </c>
      <c r="BN9" s="7" t="e">
        <f t="shared" si="60"/>
        <v>#N/A</v>
      </c>
      <c r="BO9" s="6" t="e">
        <f t="shared" si="61"/>
        <v>#N/A</v>
      </c>
      <c r="BP9" s="7" t="e">
        <f t="shared" si="62"/>
        <v>#N/A</v>
      </c>
      <c r="BQ9" s="6" t="e">
        <f t="shared" si="63"/>
        <v>#N/A</v>
      </c>
      <c r="BR9" s="5" t="e">
        <f t="shared" si="64"/>
        <v>#N/A</v>
      </c>
      <c r="BS9" s="6" t="e">
        <f t="shared" si="65"/>
        <v>#N/A</v>
      </c>
      <c r="BT9" s="7" t="e">
        <f t="shared" si="66"/>
        <v>#N/A</v>
      </c>
      <c r="BU9" s="6" t="e">
        <f t="shared" si="67"/>
        <v>#N/A</v>
      </c>
      <c r="BV9" s="7" t="e">
        <f t="shared" si="68"/>
        <v>#N/A</v>
      </c>
      <c r="BW9" s="6" t="e">
        <f t="shared" si="69"/>
        <v>#N/A</v>
      </c>
      <c r="BX9" s="5" t="e">
        <f t="shared" si="70"/>
        <v>#N/A</v>
      </c>
      <c r="BY9" s="6" t="e">
        <f t="shared" si="71"/>
        <v>#N/A</v>
      </c>
      <c r="BZ9" s="7" t="e">
        <f t="shared" si="72"/>
        <v>#N/A</v>
      </c>
      <c r="CA9" s="6" t="e">
        <f t="shared" si="73"/>
        <v>#N/A</v>
      </c>
      <c r="CB9" s="7" t="e">
        <f t="shared" si="74"/>
        <v>#N/A</v>
      </c>
      <c r="CC9" s="6" t="e">
        <f t="shared" si="75"/>
        <v>#N/A</v>
      </c>
      <c r="CD9" s="5" t="e">
        <f t="shared" si="76"/>
        <v>#N/A</v>
      </c>
      <c r="CE9" s="6" t="e">
        <f t="shared" si="77"/>
        <v>#N/A</v>
      </c>
      <c r="CF9" s="7" t="e">
        <f t="shared" si="78"/>
        <v>#N/A</v>
      </c>
      <c r="CG9" s="6" t="e">
        <f t="shared" si="79"/>
        <v>#N/A</v>
      </c>
      <c r="CH9" s="7" t="e">
        <f t="shared" si="80"/>
        <v>#N/A</v>
      </c>
      <c r="CI9" s="6" t="e">
        <f t="shared" si="81"/>
        <v>#N/A</v>
      </c>
      <c r="CJ9" s="5" t="e">
        <f t="shared" si="82"/>
        <v>#N/A</v>
      </c>
      <c r="CK9" s="6" t="e">
        <f t="shared" si="83"/>
        <v>#N/A</v>
      </c>
      <c r="CL9" s="7" t="e">
        <f t="shared" si="84"/>
        <v>#N/A</v>
      </c>
      <c r="CM9" s="6" t="e">
        <f t="shared" si="85"/>
        <v>#N/A</v>
      </c>
      <c r="CN9" s="7" t="e">
        <f t="shared" si="86"/>
        <v>#N/A</v>
      </c>
      <c r="CO9" s="6" t="e">
        <f t="shared" si="87"/>
        <v>#N/A</v>
      </c>
      <c r="CP9" s="5" t="e">
        <f t="shared" si="88"/>
        <v>#N/A</v>
      </c>
      <c r="CQ9" s="6" t="e">
        <f t="shared" si="89"/>
        <v>#N/A</v>
      </c>
      <c r="CR9" s="7" t="e">
        <f t="shared" si="90"/>
        <v>#N/A</v>
      </c>
      <c r="CS9" s="7" t="e">
        <f t="shared" si="90"/>
        <v>#N/A</v>
      </c>
      <c r="CT9" s="7" t="e">
        <f t="shared" si="90"/>
        <v>#N/A</v>
      </c>
      <c r="CU9" s="7" t="e">
        <f t="shared" si="90"/>
        <v>#N/A</v>
      </c>
      <c r="CV9" s="5" t="e">
        <f t="shared" si="91"/>
        <v>#N/A</v>
      </c>
      <c r="CW9" s="6" t="e">
        <f t="shared" si="92"/>
        <v>#N/A</v>
      </c>
      <c r="CY9" s="7" t="e">
        <v>#N/A</v>
      </c>
      <c r="CZ9" s="5" t="e">
        <f t="array" ref="CZ9">Summary_UpperBound</f>
        <v>#N/A</v>
      </c>
      <c r="DA9" s="6" t="e">
        <f t="shared" si="93"/>
        <v>#N/A</v>
      </c>
    </row>
    <row r="10" spans="1:105" x14ac:dyDescent="0.35">
      <c r="A10" s="7" t="str">
        <f>'Data Validation (Hide)'!B7</f>
        <v>Caseload 6</v>
      </c>
      <c r="B10" s="22" t="e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#N/A</v>
      </c>
      <c r="C10" s="33" t="e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#N/A</v>
      </c>
      <c r="E10" s="12" t="e" vm="2">
        <f t="shared" ca="1" si="94"/>
        <v>#VALUE!</v>
      </c>
      <c r="F10" s="7" t="e">
        <f t="shared" si="0"/>
        <v>#N/A</v>
      </c>
      <c r="G10" s="6" t="e">
        <f t="shared" si="1"/>
        <v>#N/A</v>
      </c>
      <c r="H10" s="7" t="e">
        <f t="shared" si="2"/>
        <v>#N/A</v>
      </c>
      <c r="I10" s="6" t="e">
        <f t="shared" si="3"/>
        <v>#N/A</v>
      </c>
      <c r="J10" s="5" t="e">
        <f t="shared" si="4"/>
        <v>#N/A</v>
      </c>
      <c r="K10" s="6" t="e">
        <f t="shared" si="5"/>
        <v>#N/A</v>
      </c>
      <c r="L10" s="7" t="e">
        <f t="shared" si="6"/>
        <v>#N/A</v>
      </c>
      <c r="M10" s="6" t="e">
        <f t="shared" si="7"/>
        <v>#N/A</v>
      </c>
      <c r="N10" s="7" t="e">
        <f t="shared" si="8"/>
        <v>#N/A</v>
      </c>
      <c r="O10" s="6" t="e">
        <f t="shared" si="9"/>
        <v>#N/A</v>
      </c>
      <c r="P10" s="5" t="e">
        <f t="shared" si="10"/>
        <v>#N/A</v>
      </c>
      <c r="Q10" s="6" t="e">
        <f t="shared" si="11"/>
        <v>#N/A</v>
      </c>
      <c r="R10" s="7" t="e">
        <f t="shared" si="12"/>
        <v>#N/A</v>
      </c>
      <c r="S10" s="6" t="e">
        <f t="shared" si="13"/>
        <v>#N/A</v>
      </c>
      <c r="T10" s="7" t="e">
        <f t="shared" si="14"/>
        <v>#N/A</v>
      </c>
      <c r="U10" s="6" t="e">
        <f t="shared" si="15"/>
        <v>#N/A</v>
      </c>
      <c r="V10" s="5" t="e">
        <f t="shared" si="16"/>
        <v>#N/A</v>
      </c>
      <c r="W10" s="6" t="e">
        <f t="shared" si="17"/>
        <v>#N/A</v>
      </c>
      <c r="X10" s="7" t="e">
        <f t="shared" si="18"/>
        <v>#N/A</v>
      </c>
      <c r="Y10" s="6" t="e">
        <f t="shared" si="19"/>
        <v>#N/A</v>
      </c>
      <c r="Z10" s="7" t="e">
        <f t="shared" si="20"/>
        <v>#N/A</v>
      </c>
      <c r="AA10" s="6" t="e">
        <f t="shared" si="21"/>
        <v>#N/A</v>
      </c>
      <c r="AB10" s="5" t="e">
        <f t="shared" si="22"/>
        <v>#N/A</v>
      </c>
      <c r="AC10" s="6" t="e">
        <f t="shared" si="23"/>
        <v>#N/A</v>
      </c>
      <c r="AD10" s="7" t="e">
        <f t="shared" si="24"/>
        <v>#N/A</v>
      </c>
      <c r="AE10" s="6" t="e">
        <f t="shared" si="25"/>
        <v>#N/A</v>
      </c>
      <c r="AF10" s="7" t="e">
        <f t="shared" si="26"/>
        <v>#N/A</v>
      </c>
      <c r="AG10" s="6" t="e">
        <f t="shared" si="27"/>
        <v>#N/A</v>
      </c>
      <c r="AH10" s="5" t="e">
        <f t="shared" si="28"/>
        <v>#N/A</v>
      </c>
      <c r="AI10" s="6" t="e">
        <f t="shared" si="29"/>
        <v>#N/A</v>
      </c>
      <c r="AJ10" s="7" t="e">
        <f t="shared" si="30"/>
        <v>#N/A</v>
      </c>
      <c r="AK10" s="6" t="e">
        <f t="shared" si="31"/>
        <v>#N/A</v>
      </c>
      <c r="AL10" s="7" t="e">
        <f t="shared" si="32"/>
        <v>#N/A</v>
      </c>
      <c r="AM10" s="6" t="e">
        <f t="shared" si="33"/>
        <v>#N/A</v>
      </c>
      <c r="AN10" s="5" t="e">
        <f t="shared" si="34"/>
        <v>#N/A</v>
      </c>
      <c r="AO10" s="6" t="e">
        <f t="shared" si="35"/>
        <v>#N/A</v>
      </c>
      <c r="AP10" s="7" t="e">
        <f t="shared" si="36"/>
        <v>#N/A</v>
      </c>
      <c r="AQ10" s="6" t="e">
        <f t="shared" si="37"/>
        <v>#N/A</v>
      </c>
      <c r="AR10" s="7" t="e">
        <f t="shared" si="38"/>
        <v>#N/A</v>
      </c>
      <c r="AS10" s="6" t="e">
        <f t="shared" si="39"/>
        <v>#N/A</v>
      </c>
      <c r="AT10" s="5" t="e">
        <f t="shared" si="40"/>
        <v>#N/A</v>
      </c>
      <c r="AU10" s="6" t="e">
        <f t="shared" si="41"/>
        <v>#N/A</v>
      </c>
      <c r="AV10" s="7" t="e">
        <f t="shared" si="42"/>
        <v>#N/A</v>
      </c>
      <c r="AW10" s="6" t="e">
        <f t="shared" si="43"/>
        <v>#N/A</v>
      </c>
      <c r="AX10" s="7" t="e">
        <f t="shared" si="44"/>
        <v>#N/A</v>
      </c>
      <c r="AY10" s="6" t="e">
        <f t="shared" si="45"/>
        <v>#N/A</v>
      </c>
      <c r="AZ10" s="5" t="e">
        <f t="shared" si="46"/>
        <v>#N/A</v>
      </c>
      <c r="BA10" s="6" t="e">
        <f t="shared" si="47"/>
        <v>#N/A</v>
      </c>
      <c r="BB10" s="7" t="e">
        <f t="shared" si="48"/>
        <v>#N/A</v>
      </c>
      <c r="BC10" s="6" t="e">
        <f t="shared" si="49"/>
        <v>#N/A</v>
      </c>
      <c r="BD10" s="7" t="e">
        <f t="shared" si="50"/>
        <v>#N/A</v>
      </c>
      <c r="BE10" s="6" t="e">
        <f t="shared" si="51"/>
        <v>#N/A</v>
      </c>
      <c r="BF10" s="5" t="e">
        <f t="shared" si="52"/>
        <v>#N/A</v>
      </c>
      <c r="BG10" s="6" t="e">
        <f t="shared" si="53"/>
        <v>#N/A</v>
      </c>
      <c r="BH10" s="7" t="e">
        <f t="shared" si="54"/>
        <v>#N/A</v>
      </c>
      <c r="BI10" s="6" t="e">
        <f t="shared" si="55"/>
        <v>#N/A</v>
      </c>
      <c r="BJ10" s="7" t="e">
        <f t="shared" si="56"/>
        <v>#N/A</v>
      </c>
      <c r="BK10" s="6" t="e">
        <f t="shared" si="57"/>
        <v>#N/A</v>
      </c>
      <c r="BL10" s="5" t="e">
        <f t="shared" si="58"/>
        <v>#N/A</v>
      </c>
      <c r="BM10" s="6" t="e">
        <f t="shared" si="59"/>
        <v>#N/A</v>
      </c>
      <c r="BN10" s="7" t="e">
        <f t="shared" si="60"/>
        <v>#N/A</v>
      </c>
      <c r="BO10" s="6" t="e">
        <f t="shared" si="61"/>
        <v>#N/A</v>
      </c>
      <c r="BP10" s="7" t="e">
        <f t="shared" si="62"/>
        <v>#N/A</v>
      </c>
      <c r="BQ10" s="6" t="e">
        <f t="shared" si="63"/>
        <v>#N/A</v>
      </c>
      <c r="BR10" s="5" t="e">
        <f t="shared" si="64"/>
        <v>#N/A</v>
      </c>
      <c r="BS10" s="6" t="e">
        <f t="shared" si="65"/>
        <v>#N/A</v>
      </c>
      <c r="BT10" s="7" t="e">
        <f t="shared" si="66"/>
        <v>#N/A</v>
      </c>
      <c r="BU10" s="6" t="e">
        <f t="shared" si="67"/>
        <v>#N/A</v>
      </c>
      <c r="BV10" s="7" t="e">
        <f t="shared" si="68"/>
        <v>#N/A</v>
      </c>
      <c r="BW10" s="6" t="e">
        <f t="shared" si="69"/>
        <v>#N/A</v>
      </c>
      <c r="BX10" s="5" t="e">
        <f t="shared" si="70"/>
        <v>#N/A</v>
      </c>
      <c r="BY10" s="6" t="e">
        <f t="shared" si="71"/>
        <v>#N/A</v>
      </c>
      <c r="BZ10" s="7" t="e">
        <f t="shared" si="72"/>
        <v>#N/A</v>
      </c>
      <c r="CA10" s="6" t="e">
        <f t="shared" si="73"/>
        <v>#N/A</v>
      </c>
      <c r="CB10" s="7" t="e">
        <f t="shared" si="74"/>
        <v>#N/A</v>
      </c>
      <c r="CC10" s="6" t="e">
        <f t="shared" si="75"/>
        <v>#N/A</v>
      </c>
      <c r="CD10" s="5" t="e">
        <f t="shared" si="76"/>
        <v>#N/A</v>
      </c>
      <c r="CE10" s="6" t="e">
        <f t="shared" si="77"/>
        <v>#N/A</v>
      </c>
      <c r="CF10" s="7" t="e">
        <f t="shared" si="78"/>
        <v>#N/A</v>
      </c>
      <c r="CG10" s="6" t="e">
        <f t="shared" si="79"/>
        <v>#N/A</v>
      </c>
      <c r="CH10" s="7" t="e">
        <f t="shared" si="80"/>
        <v>#N/A</v>
      </c>
      <c r="CI10" s="6" t="e">
        <f t="shared" si="81"/>
        <v>#N/A</v>
      </c>
      <c r="CJ10" s="5" t="e">
        <f t="shared" si="82"/>
        <v>#N/A</v>
      </c>
      <c r="CK10" s="6" t="e">
        <f t="shared" si="83"/>
        <v>#N/A</v>
      </c>
      <c r="CL10" s="7" t="e">
        <f t="shared" si="84"/>
        <v>#N/A</v>
      </c>
      <c r="CM10" s="6" t="e">
        <f t="shared" si="85"/>
        <v>#N/A</v>
      </c>
      <c r="CN10" s="7" t="e">
        <f t="shared" si="86"/>
        <v>#N/A</v>
      </c>
      <c r="CO10" s="6" t="e">
        <f t="shared" si="87"/>
        <v>#N/A</v>
      </c>
      <c r="CP10" s="5" t="e">
        <f t="shared" si="88"/>
        <v>#N/A</v>
      </c>
      <c r="CQ10" s="6" t="e">
        <f t="shared" si="89"/>
        <v>#N/A</v>
      </c>
      <c r="CR10" s="7" t="e">
        <f t="shared" si="90"/>
        <v>#N/A</v>
      </c>
      <c r="CS10" s="7" t="e">
        <f t="shared" si="90"/>
        <v>#N/A</v>
      </c>
      <c r="CT10" s="7" t="e">
        <f t="shared" si="90"/>
        <v>#N/A</v>
      </c>
      <c r="CU10" s="7" t="e">
        <f t="shared" si="90"/>
        <v>#N/A</v>
      </c>
      <c r="CV10" s="5" t="e">
        <f t="shared" si="91"/>
        <v>#N/A</v>
      </c>
      <c r="CW10" s="6" t="e">
        <f t="shared" si="92"/>
        <v>#N/A</v>
      </c>
      <c r="CY10" s="7" t="e">
        <v>#N/A</v>
      </c>
      <c r="CZ10" s="5" t="e">
        <f t="array" ref="CZ10">Summary_UpperBound</f>
        <v>#N/A</v>
      </c>
      <c r="DA10" s="6" t="e">
        <f t="shared" si="93"/>
        <v>#N/A</v>
      </c>
    </row>
    <row r="11" spans="1:105" x14ac:dyDescent="0.35">
      <c r="A11" s="7" t="str">
        <f>'Data Validation (Hide)'!B8</f>
        <v>Caseload 7</v>
      </c>
      <c r="B11" s="22" t="e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#N/A</v>
      </c>
      <c r="C11" s="33" t="e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#N/A</v>
      </c>
      <c r="E11" s="12" t="e" vm="2">
        <f t="shared" ca="1" si="94"/>
        <v>#VALUE!</v>
      </c>
      <c r="F11" s="7" t="e">
        <f t="shared" si="0"/>
        <v>#N/A</v>
      </c>
      <c r="G11" s="6" t="e">
        <f t="shared" si="1"/>
        <v>#N/A</v>
      </c>
      <c r="H11" s="7" t="e">
        <f t="shared" si="2"/>
        <v>#N/A</v>
      </c>
      <c r="I11" s="6" t="e">
        <f t="shared" si="3"/>
        <v>#N/A</v>
      </c>
      <c r="J11" s="5" t="e">
        <f t="shared" si="4"/>
        <v>#N/A</v>
      </c>
      <c r="K11" s="6" t="e">
        <f t="shared" si="5"/>
        <v>#N/A</v>
      </c>
      <c r="L11" s="7" t="e">
        <f t="shared" si="6"/>
        <v>#N/A</v>
      </c>
      <c r="M11" s="6" t="e">
        <f t="shared" si="7"/>
        <v>#N/A</v>
      </c>
      <c r="N11" s="7" t="e">
        <f t="shared" si="8"/>
        <v>#N/A</v>
      </c>
      <c r="O11" s="6" t="e">
        <f t="shared" si="9"/>
        <v>#N/A</v>
      </c>
      <c r="P11" s="5" t="e">
        <f t="shared" si="10"/>
        <v>#N/A</v>
      </c>
      <c r="Q11" s="6" t="e">
        <f t="shared" si="11"/>
        <v>#N/A</v>
      </c>
      <c r="R11" s="7" t="e">
        <f t="shared" si="12"/>
        <v>#N/A</v>
      </c>
      <c r="S11" s="6" t="e">
        <f t="shared" si="13"/>
        <v>#N/A</v>
      </c>
      <c r="T11" s="7" t="e">
        <f t="shared" si="14"/>
        <v>#N/A</v>
      </c>
      <c r="U11" s="6" t="e">
        <f t="shared" si="15"/>
        <v>#N/A</v>
      </c>
      <c r="V11" s="5" t="e">
        <f t="shared" si="16"/>
        <v>#N/A</v>
      </c>
      <c r="W11" s="6" t="e">
        <f t="shared" si="17"/>
        <v>#N/A</v>
      </c>
      <c r="X11" s="7" t="e">
        <f t="shared" si="18"/>
        <v>#N/A</v>
      </c>
      <c r="Y11" s="6" t="e">
        <f t="shared" si="19"/>
        <v>#N/A</v>
      </c>
      <c r="Z11" s="7" t="e">
        <f t="shared" si="20"/>
        <v>#N/A</v>
      </c>
      <c r="AA11" s="6" t="e">
        <f t="shared" si="21"/>
        <v>#N/A</v>
      </c>
      <c r="AB11" s="5" t="e">
        <f t="shared" si="22"/>
        <v>#N/A</v>
      </c>
      <c r="AC11" s="6" t="e">
        <f t="shared" si="23"/>
        <v>#N/A</v>
      </c>
      <c r="AD11" s="7" t="e">
        <f t="shared" si="24"/>
        <v>#N/A</v>
      </c>
      <c r="AE11" s="6" t="e">
        <f t="shared" si="25"/>
        <v>#N/A</v>
      </c>
      <c r="AF11" s="7" t="e">
        <f t="shared" si="26"/>
        <v>#N/A</v>
      </c>
      <c r="AG11" s="6" t="e">
        <f t="shared" si="27"/>
        <v>#N/A</v>
      </c>
      <c r="AH11" s="5" t="e">
        <f t="shared" si="28"/>
        <v>#N/A</v>
      </c>
      <c r="AI11" s="6" t="e">
        <f t="shared" si="29"/>
        <v>#N/A</v>
      </c>
      <c r="AJ11" s="7" t="e">
        <f t="shared" si="30"/>
        <v>#N/A</v>
      </c>
      <c r="AK11" s="6" t="e">
        <f t="shared" si="31"/>
        <v>#N/A</v>
      </c>
      <c r="AL11" s="7" t="e">
        <f t="shared" si="32"/>
        <v>#N/A</v>
      </c>
      <c r="AM11" s="6" t="e">
        <f t="shared" si="33"/>
        <v>#N/A</v>
      </c>
      <c r="AN11" s="5" t="e">
        <f t="shared" si="34"/>
        <v>#N/A</v>
      </c>
      <c r="AO11" s="6" t="e">
        <f t="shared" si="35"/>
        <v>#N/A</v>
      </c>
      <c r="AP11" s="7" t="e">
        <f t="shared" si="36"/>
        <v>#N/A</v>
      </c>
      <c r="AQ11" s="6" t="e">
        <f t="shared" si="37"/>
        <v>#N/A</v>
      </c>
      <c r="AR11" s="7" t="e">
        <f t="shared" si="38"/>
        <v>#N/A</v>
      </c>
      <c r="AS11" s="6" t="e">
        <f t="shared" si="39"/>
        <v>#N/A</v>
      </c>
      <c r="AT11" s="5" t="e">
        <f t="shared" si="40"/>
        <v>#N/A</v>
      </c>
      <c r="AU11" s="6" t="e">
        <f t="shared" si="41"/>
        <v>#N/A</v>
      </c>
      <c r="AV11" s="7" t="e">
        <f t="shared" si="42"/>
        <v>#N/A</v>
      </c>
      <c r="AW11" s="6" t="e">
        <f t="shared" si="43"/>
        <v>#N/A</v>
      </c>
      <c r="AX11" s="7" t="e">
        <f t="shared" si="44"/>
        <v>#N/A</v>
      </c>
      <c r="AY11" s="6" t="e">
        <f t="shared" si="45"/>
        <v>#N/A</v>
      </c>
      <c r="AZ11" s="5" t="e">
        <f t="shared" si="46"/>
        <v>#N/A</v>
      </c>
      <c r="BA11" s="6" t="e">
        <f t="shared" si="47"/>
        <v>#N/A</v>
      </c>
      <c r="BB11" s="7" t="e">
        <f t="shared" si="48"/>
        <v>#N/A</v>
      </c>
      <c r="BC11" s="6" t="e">
        <f t="shared" si="49"/>
        <v>#N/A</v>
      </c>
      <c r="BD11" s="7" t="e">
        <f t="shared" si="50"/>
        <v>#N/A</v>
      </c>
      <c r="BE11" s="6" t="e">
        <f t="shared" si="51"/>
        <v>#N/A</v>
      </c>
      <c r="BF11" s="5" t="e">
        <f t="shared" si="52"/>
        <v>#N/A</v>
      </c>
      <c r="BG11" s="6" t="e">
        <f t="shared" si="53"/>
        <v>#N/A</v>
      </c>
      <c r="BH11" s="7" t="e">
        <f t="shared" si="54"/>
        <v>#N/A</v>
      </c>
      <c r="BI11" s="6" t="e">
        <f t="shared" si="55"/>
        <v>#N/A</v>
      </c>
      <c r="BJ11" s="7" t="e">
        <f t="shared" si="56"/>
        <v>#N/A</v>
      </c>
      <c r="BK11" s="6" t="e">
        <f t="shared" si="57"/>
        <v>#N/A</v>
      </c>
      <c r="BL11" s="5" t="e">
        <f t="shared" si="58"/>
        <v>#N/A</v>
      </c>
      <c r="BM11" s="6" t="e">
        <f t="shared" si="59"/>
        <v>#N/A</v>
      </c>
      <c r="BN11" s="7" t="e">
        <f t="shared" si="60"/>
        <v>#N/A</v>
      </c>
      <c r="BO11" s="6" t="e">
        <f t="shared" si="61"/>
        <v>#N/A</v>
      </c>
      <c r="BP11" s="7" t="e">
        <f t="shared" si="62"/>
        <v>#N/A</v>
      </c>
      <c r="BQ11" s="6" t="e">
        <f t="shared" si="63"/>
        <v>#N/A</v>
      </c>
      <c r="BR11" s="5" t="e">
        <f t="shared" si="64"/>
        <v>#N/A</v>
      </c>
      <c r="BS11" s="6" t="e">
        <f t="shared" si="65"/>
        <v>#N/A</v>
      </c>
      <c r="BT11" s="7" t="e">
        <f t="shared" si="66"/>
        <v>#N/A</v>
      </c>
      <c r="BU11" s="6" t="e">
        <f t="shared" si="67"/>
        <v>#N/A</v>
      </c>
      <c r="BV11" s="7" t="e">
        <f t="shared" si="68"/>
        <v>#N/A</v>
      </c>
      <c r="BW11" s="6" t="e">
        <f t="shared" si="69"/>
        <v>#N/A</v>
      </c>
      <c r="BX11" s="5" t="e">
        <f t="shared" si="70"/>
        <v>#N/A</v>
      </c>
      <c r="BY11" s="6" t="e">
        <f t="shared" si="71"/>
        <v>#N/A</v>
      </c>
      <c r="BZ11" s="7" t="e">
        <f t="shared" si="72"/>
        <v>#N/A</v>
      </c>
      <c r="CA11" s="6" t="e">
        <f t="shared" si="73"/>
        <v>#N/A</v>
      </c>
      <c r="CB11" s="7" t="e">
        <f t="shared" si="74"/>
        <v>#N/A</v>
      </c>
      <c r="CC11" s="6" t="e">
        <f t="shared" si="75"/>
        <v>#N/A</v>
      </c>
      <c r="CD11" s="5" t="e">
        <f t="shared" si="76"/>
        <v>#N/A</v>
      </c>
      <c r="CE11" s="6" t="e">
        <f t="shared" si="77"/>
        <v>#N/A</v>
      </c>
      <c r="CF11" s="7" t="e">
        <f t="shared" si="78"/>
        <v>#N/A</v>
      </c>
      <c r="CG11" s="6" t="e">
        <f t="shared" si="79"/>
        <v>#N/A</v>
      </c>
      <c r="CH11" s="7" t="e">
        <f t="shared" si="80"/>
        <v>#N/A</v>
      </c>
      <c r="CI11" s="6" t="e">
        <f t="shared" si="81"/>
        <v>#N/A</v>
      </c>
      <c r="CJ11" s="5" t="e">
        <f t="shared" si="82"/>
        <v>#N/A</v>
      </c>
      <c r="CK11" s="6" t="e">
        <f t="shared" si="83"/>
        <v>#N/A</v>
      </c>
      <c r="CL11" s="7" t="e">
        <f t="shared" si="84"/>
        <v>#N/A</v>
      </c>
      <c r="CM11" s="6" t="e">
        <f t="shared" si="85"/>
        <v>#N/A</v>
      </c>
      <c r="CN11" s="7" t="e">
        <f t="shared" si="86"/>
        <v>#N/A</v>
      </c>
      <c r="CO11" s="6" t="e">
        <f t="shared" si="87"/>
        <v>#N/A</v>
      </c>
      <c r="CP11" s="5" t="e">
        <f t="shared" si="88"/>
        <v>#N/A</v>
      </c>
      <c r="CQ11" s="6" t="e">
        <f t="shared" si="89"/>
        <v>#N/A</v>
      </c>
      <c r="CR11" s="7" t="e">
        <f t="shared" si="90"/>
        <v>#N/A</v>
      </c>
      <c r="CS11" s="7" t="e">
        <f t="shared" si="90"/>
        <v>#N/A</v>
      </c>
      <c r="CT11" s="7" t="e">
        <f t="shared" si="90"/>
        <v>#N/A</v>
      </c>
      <c r="CU11" s="7" t="e">
        <f t="shared" si="90"/>
        <v>#N/A</v>
      </c>
      <c r="CV11" s="5" t="e">
        <f t="shared" si="91"/>
        <v>#N/A</v>
      </c>
      <c r="CW11" s="6" t="e">
        <f t="shared" si="92"/>
        <v>#N/A</v>
      </c>
      <c r="CY11" s="7" t="e">
        <v>#N/A</v>
      </c>
      <c r="CZ11" s="5" t="e">
        <f t="array" ref="CZ11">Summary_UpperBound</f>
        <v>#N/A</v>
      </c>
      <c r="DA11" s="6" t="e">
        <f t="shared" si="93"/>
        <v>#N/A</v>
      </c>
    </row>
    <row r="12" spans="1:105" x14ac:dyDescent="0.35">
      <c r="A12" s="7" t="str">
        <f>'Data Validation (Hide)'!B9</f>
        <v>Caseload 8</v>
      </c>
      <c r="B12" s="22" t="e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#N/A</v>
      </c>
      <c r="C12" s="33" t="e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#N/A</v>
      </c>
      <c r="E12" s="12" t="e" vm="2">
        <f t="shared" ca="1" si="94"/>
        <v>#VALUE!</v>
      </c>
      <c r="F12" s="7" t="e">
        <f t="shared" si="0"/>
        <v>#N/A</v>
      </c>
      <c r="G12" s="6" t="e">
        <f t="shared" si="1"/>
        <v>#N/A</v>
      </c>
      <c r="H12" s="7" t="e">
        <f t="shared" si="2"/>
        <v>#N/A</v>
      </c>
      <c r="I12" s="6" t="e">
        <f t="shared" si="3"/>
        <v>#N/A</v>
      </c>
      <c r="J12" s="5" t="e">
        <f t="shared" si="4"/>
        <v>#N/A</v>
      </c>
      <c r="K12" s="6" t="e">
        <f t="shared" si="5"/>
        <v>#N/A</v>
      </c>
      <c r="L12" s="7" t="e">
        <f t="shared" si="6"/>
        <v>#N/A</v>
      </c>
      <c r="M12" s="6" t="e">
        <f t="shared" si="7"/>
        <v>#N/A</v>
      </c>
      <c r="N12" s="7" t="e">
        <f t="shared" si="8"/>
        <v>#N/A</v>
      </c>
      <c r="O12" s="6" t="e">
        <f t="shared" si="9"/>
        <v>#N/A</v>
      </c>
      <c r="P12" s="5" t="e">
        <f t="shared" si="10"/>
        <v>#N/A</v>
      </c>
      <c r="Q12" s="6" t="e">
        <f t="shared" si="11"/>
        <v>#N/A</v>
      </c>
      <c r="R12" s="7" t="e">
        <f t="shared" si="12"/>
        <v>#N/A</v>
      </c>
      <c r="S12" s="6" t="e">
        <f t="shared" si="13"/>
        <v>#N/A</v>
      </c>
      <c r="T12" s="7" t="e">
        <f t="shared" si="14"/>
        <v>#N/A</v>
      </c>
      <c r="U12" s="6" t="e">
        <f t="shared" si="15"/>
        <v>#N/A</v>
      </c>
      <c r="V12" s="5" t="e">
        <f t="shared" si="16"/>
        <v>#N/A</v>
      </c>
      <c r="W12" s="6" t="e">
        <f t="shared" si="17"/>
        <v>#N/A</v>
      </c>
      <c r="X12" s="7" t="e">
        <f t="shared" si="18"/>
        <v>#N/A</v>
      </c>
      <c r="Y12" s="6" t="e">
        <f t="shared" si="19"/>
        <v>#N/A</v>
      </c>
      <c r="Z12" s="7" t="e">
        <f t="shared" si="20"/>
        <v>#N/A</v>
      </c>
      <c r="AA12" s="6" t="e">
        <f t="shared" si="21"/>
        <v>#N/A</v>
      </c>
      <c r="AB12" s="5" t="e">
        <f t="shared" si="22"/>
        <v>#N/A</v>
      </c>
      <c r="AC12" s="6" t="e">
        <f t="shared" si="23"/>
        <v>#N/A</v>
      </c>
      <c r="AD12" s="7" t="e">
        <f t="shared" si="24"/>
        <v>#N/A</v>
      </c>
      <c r="AE12" s="6" t="e">
        <f t="shared" si="25"/>
        <v>#N/A</v>
      </c>
      <c r="AF12" s="7" t="e">
        <f t="shared" si="26"/>
        <v>#N/A</v>
      </c>
      <c r="AG12" s="6" t="e">
        <f t="shared" si="27"/>
        <v>#N/A</v>
      </c>
      <c r="AH12" s="5" t="e">
        <f t="shared" si="28"/>
        <v>#N/A</v>
      </c>
      <c r="AI12" s="6" t="e">
        <f t="shared" si="29"/>
        <v>#N/A</v>
      </c>
      <c r="AJ12" s="7" t="e">
        <f t="shared" si="30"/>
        <v>#N/A</v>
      </c>
      <c r="AK12" s="6" t="e">
        <f t="shared" si="31"/>
        <v>#N/A</v>
      </c>
      <c r="AL12" s="7" t="e">
        <f t="shared" si="32"/>
        <v>#N/A</v>
      </c>
      <c r="AM12" s="6" t="e">
        <f t="shared" si="33"/>
        <v>#N/A</v>
      </c>
      <c r="AN12" s="5" t="e">
        <f t="shared" si="34"/>
        <v>#N/A</v>
      </c>
      <c r="AO12" s="6" t="e">
        <f t="shared" si="35"/>
        <v>#N/A</v>
      </c>
      <c r="AP12" s="7" t="e">
        <f t="shared" si="36"/>
        <v>#N/A</v>
      </c>
      <c r="AQ12" s="6" t="e">
        <f t="shared" si="37"/>
        <v>#N/A</v>
      </c>
      <c r="AR12" s="7" t="e">
        <f t="shared" si="38"/>
        <v>#N/A</v>
      </c>
      <c r="AS12" s="6" t="e">
        <f t="shared" si="39"/>
        <v>#N/A</v>
      </c>
      <c r="AT12" s="5" t="e">
        <f t="shared" si="40"/>
        <v>#N/A</v>
      </c>
      <c r="AU12" s="6" t="e">
        <f t="shared" si="41"/>
        <v>#N/A</v>
      </c>
      <c r="AV12" s="7" t="e">
        <f t="shared" si="42"/>
        <v>#N/A</v>
      </c>
      <c r="AW12" s="6" t="e">
        <f t="shared" si="43"/>
        <v>#N/A</v>
      </c>
      <c r="AX12" s="7" t="e">
        <f t="shared" si="44"/>
        <v>#N/A</v>
      </c>
      <c r="AY12" s="6" t="e">
        <f t="shared" si="45"/>
        <v>#N/A</v>
      </c>
      <c r="AZ12" s="5" t="e">
        <f t="shared" si="46"/>
        <v>#N/A</v>
      </c>
      <c r="BA12" s="6" t="e">
        <f t="shared" si="47"/>
        <v>#N/A</v>
      </c>
      <c r="BB12" s="7" t="e">
        <f t="shared" si="48"/>
        <v>#N/A</v>
      </c>
      <c r="BC12" s="6" t="e">
        <f t="shared" si="49"/>
        <v>#N/A</v>
      </c>
      <c r="BD12" s="7" t="e">
        <f t="shared" si="50"/>
        <v>#N/A</v>
      </c>
      <c r="BE12" s="6" t="e">
        <f t="shared" si="51"/>
        <v>#N/A</v>
      </c>
      <c r="BF12" s="5" t="e">
        <f t="shared" si="52"/>
        <v>#N/A</v>
      </c>
      <c r="BG12" s="6" t="e">
        <f t="shared" si="53"/>
        <v>#N/A</v>
      </c>
      <c r="BH12" s="7" t="e">
        <f t="shared" si="54"/>
        <v>#N/A</v>
      </c>
      <c r="BI12" s="6" t="e">
        <f t="shared" si="55"/>
        <v>#N/A</v>
      </c>
      <c r="BJ12" s="7" t="e">
        <f t="shared" si="56"/>
        <v>#N/A</v>
      </c>
      <c r="BK12" s="6" t="e">
        <f t="shared" si="57"/>
        <v>#N/A</v>
      </c>
      <c r="BL12" s="5" t="e">
        <f t="shared" si="58"/>
        <v>#N/A</v>
      </c>
      <c r="BM12" s="6" t="e">
        <f t="shared" si="59"/>
        <v>#N/A</v>
      </c>
      <c r="BN12" s="7" t="e">
        <f t="shared" si="60"/>
        <v>#N/A</v>
      </c>
      <c r="BO12" s="6" t="e">
        <f t="shared" si="61"/>
        <v>#N/A</v>
      </c>
      <c r="BP12" s="7" t="e">
        <f t="shared" si="62"/>
        <v>#N/A</v>
      </c>
      <c r="BQ12" s="6" t="e">
        <f t="shared" si="63"/>
        <v>#N/A</v>
      </c>
      <c r="BR12" s="5" t="e">
        <f t="shared" si="64"/>
        <v>#N/A</v>
      </c>
      <c r="BS12" s="6" t="e">
        <f t="shared" si="65"/>
        <v>#N/A</v>
      </c>
      <c r="BT12" s="7" t="e">
        <f t="shared" si="66"/>
        <v>#N/A</v>
      </c>
      <c r="BU12" s="6" t="e">
        <f t="shared" si="67"/>
        <v>#N/A</v>
      </c>
      <c r="BV12" s="7" t="e">
        <f t="shared" si="68"/>
        <v>#N/A</v>
      </c>
      <c r="BW12" s="6" t="e">
        <f t="shared" si="69"/>
        <v>#N/A</v>
      </c>
      <c r="BX12" s="5" t="e">
        <f t="shared" si="70"/>
        <v>#N/A</v>
      </c>
      <c r="BY12" s="6" t="e">
        <f t="shared" si="71"/>
        <v>#N/A</v>
      </c>
      <c r="BZ12" s="7" t="e">
        <f t="shared" si="72"/>
        <v>#N/A</v>
      </c>
      <c r="CA12" s="6" t="e">
        <f t="shared" si="73"/>
        <v>#N/A</v>
      </c>
      <c r="CB12" s="7" t="e">
        <f t="shared" si="74"/>
        <v>#N/A</v>
      </c>
      <c r="CC12" s="6" t="e">
        <f t="shared" si="75"/>
        <v>#N/A</v>
      </c>
      <c r="CD12" s="5" t="e">
        <f t="shared" si="76"/>
        <v>#N/A</v>
      </c>
      <c r="CE12" s="6" t="e">
        <f t="shared" si="77"/>
        <v>#N/A</v>
      </c>
      <c r="CF12" s="7" t="e">
        <f t="shared" si="78"/>
        <v>#N/A</v>
      </c>
      <c r="CG12" s="6" t="e">
        <f t="shared" si="79"/>
        <v>#N/A</v>
      </c>
      <c r="CH12" s="7" t="e">
        <f t="shared" si="80"/>
        <v>#N/A</v>
      </c>
      <c r="CI12" s="6" t="e">
        <f t="shared" si="81"/>
        <v>#N/A</v>
      </c>
      <c r="CJ12" s="5" t="e">
        <f t="shared" si="82"/>
        <v>#N/A</v>
      </c>
      <c r="CK12" s="6" t="e">
        <f t="shared" si="83"/>
        <v>#N/A</v>
      </c>
      <c r="CL12" s="7" t="e">
        <f t="shared" si="84"/>
        <v>#N/A</v>
      </c>
      <c r="CM12" s="6" t="e">
        <f t="shared" si="85"/>
        <v>#N/A</v>
      </c>
      <c r="CN12" s="7" t="e">
        <f t="shared" si="86"/>
        <v>#N/A</v>
      </c>
      <c r="CO12" s="6" t="e">
        <f t="shared" si="87"/>
        <v>#N/A</v>
      </c>
      <c r="CP12" s="5" t="e">
        <f t="shared" si="88"/>
        <v>#N/A</v>
      </c>
      <c r="CQ12" s="6" t="e">
        <f t="shared" si="89"/>
        <v>#N/A</v>
      </c>
      <c r="CR12" s="7" t="e">
        <f t="shared" si="90"/>
        <v>#N/A</v>
      </c>
      <c r="CS12" s="7" t="e">
        <f t="shared" si="90"/>
        <v>#N/A</v>
      </c>
      <c r="CT12" s="7" t="e">
        <f t="shared" si="90"/>
        <v>#N/A</v>
      </c>
      <c r="CU12" s="7" t="e">
        <f t="shared" si="90"/>
        <v>#N/A</v>
      </c>
      <c r="CV12" s="5" t="e">
        <f t="shared" si="91"/>
        <v>#N/A</v>
      </c>
      <c r="CW12" s="6" t="e">
        <f t="shared" si="92"/>
        <v>#N/A</v>
      </c>
      <c r="CY12" s="7" t="e">
        <v>#N/A</v>
      </c>
      <c r="CZ12" s="5" t="e">
        <f t="array" ref="CZ12">Summary_UpperBound</f>
        <v>#N/A</v>
      </c>
      <c r="DA12" s="6" t="e">
        <f t="shared" si="93"/>
        <v>#N/A</v>
      </c>
    </row>
    <row r="13" spans="1:105" x14ac:dyDescent="0.35">
      <c r="A13" s="7" t="str">
        <f>'Data Validation (Hide)'!B10</f>
        <v>Caseload 9</v>
      </c>
      <c r="B13" s="22" t="e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#N/A</v>
      </c>
      <c r="C13" s="33" t="e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#N/A</v>
      </c>
      <c r="E13" s="12" t="e" vm="2">
        <f t="shared" ca="1" si="94"/>
        <v>#VALUE!</v>
      </c>
      <c r="F13" s="7" t="e">
        <f t="shared" si="0"/>
        <v>#N/A</v>
      </c>
      <c r="G13" s="6" t="e">
        <f t="shared" si="1"/>
        <v>#N/A</v>
      </c>
      <c r="H13" s="7" t="e">
        <f t="shared" si="2"/>
        <v>#N/A</v>
      </c>
      <c r="I13" s="6" t="e">
        <f t="shared" si="3"/>
        <v>#N/A</v>
      </c>
      <c r="J13" s="5" t="e">
        <f t="shared" si="4"/>
        <v>#N/A</v>
      </c>
      <c r="K13" s="6" t="e">
        <f t="shared" si="5"/>
        <v>#N/A</v>
      </c>
      <c r="L13" s="7" t="e">
        <f t="shared" si="6"/>
        <v>#N/A</v>
      </c>
      <c r="M13" s="6" t="e">
        <f t="shared" si="7"/>
        <v>#N/A</v>
      </c>
      <c r="N13" s="7" t="e">
        <f t="shared" si="8"/>
        <v>#N/A</v>
      </c>
      <c r="O13" s="6" t="e">
        <f t="shared" si="9"/>
        <v>#N/A</v>
      </c>
      <c r="P13" s="5" t="e">
        <f t="shared" si="10"/>
        <v>#N/A</v>
      </c>
      <c r="Q13" s="6" t="e">
        <f t="shared" si="11"/>
        <v>#N/A</v>
      </c>
      <c r="R13" s="7" t="e">
        <f t="shared" si="12"/>
        <v>#N/A</v>
      </c>
      <c r="S13" s="6" t="e">
        <f t="shared" si="13"/>
        <v>#N/A</v>
      </c>
      <c r="T13" s="7" t="e">
        <f t="shared" si="14"/>
        <v>#N/A</v>
      </c>
      <c r="U13" s="6" t="e">
        <f t="shared" si="15"/>
        <v>#N/A</v>
      </c>
      <c r="V13" s="5" t="e">
        <f t="shared" si="16"/>
        <v>#N/A</v>
      </c>
      <c r="W13" s="6" t="e">
        <f t="shared" si="17"/>
        <v>#N/A</v>
      </c>
      <c r="X13" s="7" t="e">
        <f t="shared" si="18"/>
        <v>#N/A</v>
      </c>
      <c r="Y13" s="6" t="e">
        <f t="shared" si="19"/>
        <v>#N/A</v>
      </c>
      <c r="Z13" s="7" t="e">
        <f t="shared" si="20"/>
        <v>#N/A</v>
      </c>
      <c r="AA13" s="6" t="e">
        <f t="shared" si="21"/>
        <v>#N/A</v>
      </c>
      <c r="AB13" s="5" t="e">
        <f t="shared" si="22"/>
        <v>#N/A</v>
      </c>
      <c r="AC13" s="6" t="e">
        <f t="shared" si="23"/>
        <v>#N/A</v>
      </c>
      <c r="AD13" s="7" t="e">
        <f t="shared" si="24"/>
        <v>#N/A</v>
      </c>
      <c r="AE13" s="6" t="e">
        <f t="shared" si="25"/>
        <v>#N/A</v>
      </c>
      <c r="AF13" s="7" t="e">
        <f t="shared" si="26"/>
        <v>#N/A</v>
      </c>
      <c r="AG13" s="6" t="e">
        <f t="shared" si="27"/>
        <v>#N/A</v>
      </c>
      <c r="AH13" s="5" t="e">
        <f t="shared" si="28"/>
        <v>#N/A</v>
      </c>
      <c r="AI13" s="6" t="e">
        <f t="shared" si="29"/>
        <v>#N/A</v>
      </c>
      <c r="AJ13" s="7" t="e">
        <f t="shared" si="30"/>
        <v>#N/A</v>
      </c>
      <c r="AK13" s="6" t="e">
        <f t="shared" si="31"/>
        <v>#N/A</v>
      </c>
      <c r="AL13" s="7" t="e">
        <f t="shared" si="32"/>
        <v>#N/A</v>
      </c>
      <c r="AM13" s="6" t="e">
        <f t="shared" si="33"/>
        <v>#N/A</v>
      </c>
      <c r="AN13" s="5" t="e">
        <f t="shared" si="34"/>
        <v>#N/A</v>
      </c>
      <c r="AO13" s="6" t="e">
        <f t="shared" si="35"/>
        <v>#N/A</v>
      </c>
      <c r="AP13" s="7" t="e">
        <f t="shared" si="36"/>
        <v>#N/A</v>
      </c>
      <c r="AQ13" s="6" t="e">
        <f t="shared" si="37"/>
        <v>#N/A</v>
      </c>
      <c r="AR13" s="7" t="e">
        <f t="shared" si="38"/>
        <v>#N/A</v>
      </c>
      <c r="AS13" s="6" t="e">
        <f t="shared" si="39"/>
        <v>#N/A</v>
      </c>
      <c r="AT13" s="5" t="e">
        <f t="shared" si="40"/>
        <v>#N/A</v>
      </c>
      <c r="AU13" s="6" t="e">
        <f t="shared" si="41"/>
        <v>#N/A</v>
      </c>
      <c r="AV13" s="7" t="e">
        <f t="shared" si="42"/>
        <v>#N/A</v>
      </c>
      <c r="AW13" s="6" t="e">
        <f t="shared" si="43"/>
        <v>#N/A</v>
      </c>
      <c r="AX13" s="7" t="e">
        <f t="shared" si="44"/>
        <v>#N/A</v>
      </c>
      <c r="AY13" s="6" t="e">
        <f t="shared" si="45"/>
        <v>#N/A</v>
      </c>
      <c r="AZ13" s="5" t="e">
        <f t="shared" si="46"/>
        <v>#N/A</v>
      </c>
      <c r="BA13" s="6" t="e">
        <f t="shared" si="47"/>
        <v>#N/A</v>
      </c>
      <c r="BB13" s="7" t="e">
        <f t="shared" si="48"/>
        <v>#N/A</v>
      </c>
      <c r="BC13" s="6" t="e">
        <f t="shared" si="49"/>
        <v>#N/A</v>
      </c>
      <c r="BD13" s="7" t="e">
        <f t="shared" si="50"/>
        <v>#N/A</v>
      </c>
      <c r="BE13" s="6" t="e">
        <f t="shared" si="51"/>
        <v>#N/A</v>
      </c>
      <c r="BF13" s="5" t="e">
        <f t="shared" si="52"/>
        <v>#N/A</v>
      </c>
      <c r="BG13" s="6" t="e">
        <f t="shared" si="53"/>
        <v>#N/A</v>
      </c>
      <c r="BH13" s="7" t="e">
        <f t="shared" si="54"/>
        <v>#N/A</v>
      </c>
      <c r="BI13" s="6" t="e">
        <f t="shared" si="55"/>
        <v>#N/A</v>
      </c>
      <c r="BJ13" s="7" t="e">
        <f t="shared" si="56"/>
        <v>#N/A</v>
      </c>
      <c r="BK13" s="6" t="e">
        <f t="shared" si="57"/>
        <v>#N/A</v>
      </c>
      <c r="BL13" s="5" t="e">
        <f t="shared" si="58"/>
        <v>#N/A</v>
      </c>
      <c r="BM13" s="6" t="e">
        <f t="shared" si="59"/>
        <v>#N/A</v>
      </c>
      <c r="BN13" s="7" t="e">
        <f t="shared" si="60"/>
        <v>#N/A</v>
      </c>
      <c r="BO13" s="6" t="e">
        <f t="shared" si="61"/>
        <v>#N/A</v>
      </c>
      <c r="BP13" s="7" t="e">
        <f t="shared" si="62"/>
        <v>#N/A</v>
      </c>
      <c r="BQ13" s="6" t="e">
        <f t="shared" si="63"/>
        <v>#N/A</v>
      </c>
      <c r="BR13" s="5" t="e">
        <f t="shared" si="64"/>
        <v>#N/A</v>
      </c>
      <c r="BS13" s="6" t="e">
        <f t="shared" si="65"/>
        <v>#N/A</v>
      </c>
      <c r="BT13" s="7" t="e">
        <f t="shared" si="66"/>
        <v>#N/A</v>
      </c>
      <c r="BU13" s="6" t="e">
        <f t="shared" si="67"/>
        <v>#N/A</v>
      </c>
      <c r="BV13" s="7" t="e">
        <f t="shared" si="68"/>
        <v>#N/A</v>
      </c>
      <c r="BW13" s="6" t="e">
        <f t="shared" si="69"/>
        <v>#N/A</v>
      </c>
      <c r="BX13" s="5" t="e">
        <f t="shared" si="70"/>
        <v>#N/A</v>
      </c>
      <c r="BY13" s="6" t="e">
        <f t="shared" si="71"/>
        <v>#N/A</v>
      </c>
      <c r="BZ13" s="7" t="e">
        <f t="shared" si="72"/>
        <v>#N/A</v>
      </c>
      <c r="CA13" s="6" t="e">
        <f t="shared" si="73"/>
        <v>#N/A</v>
      </c>
      <c r="CB13" s="7" t="e">
        <f t="shared" si="74"/>
        <v>#N/A</v>
      </c>
      <c r="CC13" s="6" t="e">
        <f t="shared" si="75"/>
        <v>#N/A</v>
      </c>
      <c r="CD13" s="5" t="e">
        <f t="shared" si="76"/>
        <v>#N/A</v>
      </c>
      <c r="CE13" s="6" t="e">
        <f t="shared" si="77"/>
        <v>#N/A</v>
      </c>
      <c r="CF13" s="7" t="e">
        <f t="shared" si="78"/>
        <v>#N/A</v>
      </c>
      <c r="CG13" s="6" t="e">
        <f t="shared" si="79"/>
        <v>#N/A</v>
      </c>
      <c r="CH13" s="7" t="e">
        <f t="shared" si="80"/>
        <v>#N/A</v>
      </c>
      <c r="CI13" s="6" t="e">
        <f t="shared" si="81"/>
        <v>#N/A</v>
      </c>
      <c r="CJ13" s="5" t="e">
        <f t="shared" si="82"/>
        <v>#N/A</v>
      </c>
      <c r="CK13" s="6" t="e">
        <f t="shared" si="83"/>
        <v>#N/A</v>
      </c>
      <c r="CL13" s="7" t="e">
        <f t="shared" si="84"/>
        <v>#N/A</v>
      </c>
      <c r="CM13" s="6" t="e">
        <f t="shared" si="85"/>
        <v>#N/A</v>
      </c>
      <c r="CN13" s="7" t="e">
        <f t="shared" si="86"/>
        <v>#N/A</v>
      </c>
      <c r="CO13" s="6" t="e">
        <f t="shared" si="87"/>
        <v>#N/A</v>
      </c>
      <c r="CP13" s="5" t="e">
        <f t="shared" si="88"/>
        <v>#N/A</v>
      </c>
      <c r="CQ13" s="6" t="e">
        <f t="shared" si="89"/>
        <v>#N/A</v>
      </c>
      <c r="CR13" s="7" t="e">
        <f t="shared" si="90"/>
        <v>#N/A</v>
      </c>
      <c r="CS13" s="7" t="e">
        <f t="shared" si="90"/>
        <v>#N/A</v>
      </c>
      <c r="CT13" s="7" t="e">
        <f t="shared" si="90"/>
        <v>#N/A</v>
      </c>
      <c r="CU13" s="7" t="e">
        <f t="shared" si="90"/>
        <v>#N/A</v>
      </c>
      <c r="CV13" s="5" t="e">
        <f t="shared" si="91"/>
        <v>#N/A</v>
      </c>
      <c r="CW13" s="6" t="e">
        <f t="shared" si="92"/>
        <v>#N/A</v>
      </c>
      <c r="CY13" s="7" t="e">
        <v>#N/A</v>
      </c>
      <c r="CZ13" s="5" t="e">
        <f t="array" ref="CZ13">Summary_UpperBound</f>
        <v>#N/A</v>
      </c>
      <c r="DA13" s="6" t="e">
        <f t="shared" si="93"/>
        <v>#N/A</v>
      </c>
    </row>
    <row r="14" spans="1:105" x14ac:dyDescent="0.35">
      <c r="A14" s="7" t="str">
        <f>'Data Validation (Hide)'!B11</f>
        <v>Caseload 10</v>
      </c>
      <c r="B14" s="22" t="e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#N/A</v>
      </c>
      <c r="C14" s="33" t="e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#N/A</v>
      </c>
      <c r="E14" s="12" t="e" vm="2">
        <f t="shared" ca="1" si="94"/>
        <v>#VALUE!</v>
      </c>
      <c r="F14" s="7" t="e">
        <f t="shared" si="0"/>
        <v>#N/A</v>
      </c>
      <c r="G14" s="6" t="e">
        <f t="shared" si="1"/>
        <v>#N/A</v>
      </c>
      <c r="H14" s="7" t="e">
        <f t="shared" si="2"/>
        <v>#N/A</v>
      </c>
      <c r="I14" s="6" t="e">
        <f t="shared" si="3"/>
        <v>#N/A</v>
      </c>
      <c r="J14" s="5" t="e">
        <f t="shared" si="4"/>
        <v>#N/A</v>
      </c>
      <c r="K14" s="6" t="e">
        <f t="shared" si="5"/>
        <v>#N/A</v>
      </c>
      <c r="L14" s="7" t="e">
        <f t="shared" si="6"/>
        <v>#N/A</v>
      </c>
      <c r="M14" s="6" t="e">
        <f t="shared" si="7"/>
        <v>#N/A</v>
      </c>
      <c r="N14" s="7" t="e">
        <f t="shared" si="8"/>
        <v>#N/A</v>
      </c>
      <c r="O14" s="6" t="e">
        <f t="shared" si="9"/>
        <v>#N/A</v>
      </c>
      <c r="P14" s="5" t="e">
        <f t="shared" si="10"/>
        <v>#N/A</v>
      </c>
      <c r="Q14" s="6" t="e">
        <f t="shared" si="11"/>
        <v>#N/A</v>
      </c>
      <c r="R14" s="7" t="e">
        <f t="shared" si="12"/>
        <v>#N/A</v>
      </c>
      <c r="S14" s="6" t="e">
        <f t="shared" si="13"/>
        <v>#N/A</v>
      </c>
      <c r="T14" s="7" t="e">
        <f t="shared" si="14"/>
        <v>#N/A</v>
      </c>
      <c r="U14" s="6" t="e">
        <f t="shared" si="15"/>
        <v>#N/A</v>
      </c>
      <c r="V14" s="5" t="e">
        <f t="shared" si="16"/>
        <v>#N/A</v>
      </c>
      <c r="W14" s="6" t="e">
        <f t="shared" si="17"/>
        <v>#N/A</v>
      </c>
      <c r="X14" s="7" t="e">
        <f t="shared" si="18"/>
        <v>#N/A</v>
      </c>
      <c r="Y14" s="6" t="e">
        <f t="shared" si="19"/>
        <v>#N/A</v>
      </c>
      <c r="Z14" s="7" t="e">
        <f t="shared" si="20"/>
        <v>#N/A</v>
      </c>
      <c r="AA14" s="6" t="e">
        <f t="shared" si="21"/>
        <v>#N/A</v>
      </c>
      <c r="AB14" s="5" t="e">
        <f t="shared" si="22"/>
        <v>#N/A</v>
      </c>
      <c r="AC14" s="6" t="e">
        <f t="shared" si="23"/>
        <v>#N/A</v>
      </c>
      <c r="AD14" s="7" t="e">
        <f t="shared" si="24"/>
        <v>#N/A</v>
      </c>
      <c r="AE14" s="6" t="e">
        <f t="shared" si="25"/>
        <v>#N/A</v>
      </c>
      <c r="AF14" s="7" t="e">
        <f t="shared" si="26"/>
        <v>#N/A</v>
      </c>
      <c r="AG14" s="6" t="e">
        <f t="shared" si="27"/>
        <v>#N/A</v>
      </c>
      <c r="AH14" s="5" t="e">
        <f t="shared" si="28"/>
        <v>#N/A</v>
      </c>
      <c r="AI14" s="6" t="e">
        <f t="shared" si="29"/>
        <v>#N/A</v>
      </c>
      <c r="AJ14" s="7" t="e">
        <f t="shared" si="30"/>
        <v>#N/A</v>
      </c>
      <c r="AK14" s="6" t="e">
        <f t="shared" si="31"/>
        <v>#N/A</v>
      </c>
      <c r="AL14" s="7" t="e">
        <f t="shared" si="32"/>
        <v>#N/A</v>
      </c>
      <c r="AM14" s="6" t="e">
        <f t="shared" si="33"/>
        <v>#N/A</v>
      </c>
      <c r="AN14" s="5" t="e">
        <f t="shared" si="34"/>
        <v>#N/A</v>
      </c>
      <c r="AO14" s="6" t="e">
        <f t="shared" si="35"/>
        <v>#N/A</v>
      </c>
      <c r="AP14" s="7" t="e">
        <f t="shared" si="36"/>
        <v>#N/A</v>
      </c>
      <c r="AQ14" s="6" t="e">
        <f t="shared" si="37"/>
        <v>#N/A</v>
      </c>
      <c r="AR14" s="7" t="e">
        <f t="shared" si="38"/>
        <v>#N/A</v>
      </c>
      <c r="AS14" s="6" t="e">
        <f t="shared" si="39"/>
        <v>#N/A</v>
      </c>
      <c r="AT14" s="5" t="e">
        <f t="shared" si="40"/>
        <v>#N/A</v>
      </c>
      <c r="AU14" s="6" t="e">
        <f t="shared" si="41"/>
        <v>#N/A</v>
      </c>
      <c r="AV14" s="7" t="e">
        <f t="shared" si="42"/>
        <v>#N/A</v>
      </c>
      <c r="AW14" s="6" t="e">
        <f t="shared" si="43"/>
        <v>#N/A</v>
      </c>
      <c r="AX14" s="7" t="e">
        <f t="shared" si="44"/>
        <v>#N/A</v>
      </c>
      <c r="AY14" s="6" t="e">
        <f t="shared" si="45"/>
        <v>#N/A</v>
      </c>
      <c r="AZ14" s="5" t="e">
        <f t="shared" si="46"/>
        <v>#N/A</v>
      </c>
      <c r="BA14" s="6" t="e">
        <f t="shared" si="47"/>
        <v>#N/A</v>
      </c>
      <c r="BB14" s="7" t="e">
        <f t="shared" si="48"/>
        <v>#N/A</v>
      </c>
      <c r="BC14" s="6" t="e">
        <f t="shared" si="49"/>
        <v>#N/A</v>
      </c>
      <c r="BD14" s="7" t="e">
        <f t="shared" si="50"/>
        <v>#N/A</v>
      </c>
      <c r="BE14" s="6" t="e">
        <f t="shared" si="51"/>
        <v>#N/A</v>
      </c>
      <c r="BF14" s="5" t="e">
        <f t="shared" si="52"/>
        <v>#N/A</v>
      </c>
      <c r="BG14" s="6" t="e">
        <f t="shared" si="53"/>
        <v>#N/A</v>
      </c>
      <c r="BH14" s="7" t="e">
        <f t="shared" si="54"/>
        <v>#N/A</v>
      </c>
      <c r="BI14" s="6" t="e">
        <f t="shared" si="55"/>
        <v>#N/A</v>
      </c>
      <c r="BJ14" s="7" t="e">
        <f t="shared" si="56"/>
        <v>#N/A</v>
      </c>
      <c r="BK14" s="6" t="e">
        <f t="shared" si="57"/>
        <v>#N/A</v>
      </c>
      <c r="BL14" s="5" t="e">
        <f t="shared" si="58"/>
        <v>#N/A</v>
      </c>
      <c r="BM14" s="6" t="e">
        <f t="shared" si="59"/>
        <v>#N/A</v>
      </c>
      <c r="BN14" s="7" t="e">
        <f t="shared" si="60"/>
        <v>#N/A</v>
      </c>
      <c r="BO14" s="6" t="e">
        <f t="shared" si="61"/>
        <v>#N/A</v>
      </c>
      <c r="BP14" s="7" t="e">
        <f t="shared" si="62"/>
        <v>#N/A</v>
      </c>
      <c r="BQ14" s="6" t="e">
        <f t="shared" si="63"/>
        <v>#N/A</v>
      </c>
      <c r="BR14" s="5" t="e">
        <f t="shared" si="64"/>
        <v>#N/A</v>
      </c>
      <c r="BS14" s="6" t="e">
        <f t="shared" si="65"/>
        <v>#N/A</v>
      </c>
      <c r="BT14" s="7" t="e">
        <f t="shared" si="66"/>
        <v>#N/A</v>
      </c>
      <c r="BU14" s="6" t="e">
        <f t="shared" si="67"/>
        <v>#N/A</v>
      </c>
      <c r="BV14" s="7" t="e">
        <f t="shared" si="68"/>
        <v>#N/A</v>
      </c>
      <c r="BW14" s="6" t="e">
        <f t="shared" si="69"/>
        <v>#N/A</v>
      </c>
      <c r="BX14" s="5" t="e">
        <f t="shared" si="70"/>
        <v>#N/A</v>
      </c>
      <c r="BY14" s="6" t="e">
        <f t="shared" si="71"/>
        <v>#N/A</v>
      </c>
      <c r="BZ14" s="7" t="e">
        <f t="shared" si="72"/>
        <v>#N/A</v>
      </c>
      <c r="CA14" s="6" t="e">
        <f t="shared" si="73"/>
        <v>#N/A</v>
      </c>
      <c r="CB14" s="7" t="e">
        <f t="shared" si="74"/>
        <v>#N/A</v>
      </c>
      <c r="CC14" s="6" t="e">
        <f t="shared" si="75"/>
        <v>#N/A</v>
      </c>
      <c r="CD14" s="5" t="e">
        <f t="shared" si="76"/>
        <v>#N/A</v>
      </c>
      <c r="CE14" s="6" t="e">
        <f t="shared" si="77"/>
        <v>#N/A</v>
      </c>
      <c r="CF14" s="7" t="e">
        <f t="shared" si="78"/>
        <v>#N/A</v>
      </c>
      <c r="CG14" s="6" t="e">
        <f t="shared" si="79"/>
        <v>#N/A</v>
      </c>
      <c r="CH14" s="7" t="e">
        <f t="shared" si="80"/>
        <v>#N/A</v>
      </c>
      <c r="CI14" s="6" t="e">
        <f t="shared" si="81"/>
        <v>#N/A</v>
      </c>
      <c r="CJ14" s="5" t="e">
        <f t="shared" si="82"/>
        <v>#N/A</v>
      </c>
      <c r="CK14" s="6" t="e">
        <f t="shared" si="83"/>
        <v>#N/A</v>
      </c>
      <c r="CL14" s="7" t="e">
        <f t="shared" si="84"/>
        <v>#N/A</v>
      </c>
      <c r="CM14" s="6" t="e">
        <f t="shared" si="85"/>
        <v>#N/A</v>
      </c>
      <c r="CN14" s="7" t="e">
        <f t="shared" si="86"/>
        <v>#N/A</v>
      </c>
      <c r="CO14" s="6" t="e">
        <f t="shared" si="87"/>
        <v>#N/A</v>
      </c>
      <c r="CP14" s="5" t="e">
        <f t="shared" si="88"/>
        <v>#N/A</v>
      </c>
      <c r="CQ14" s="6" t="e">
        <f t="shared" si="89"/>
        <v>#N/A</v>
      </c>
      <c r="CR14" s="7" t="e">
        <f t="shared" si="90"/>
        <v>#N/A</v>
      </c>
      <c r="CS14" s="7" t="e">
        <f t="shared" si="90"/>
        <v>#N/A</v>
      </c>
      <c r="CT14" s="7" t="e">
        <f t="shared" si="90"/>
        <v>#N/A</v>
      </c>
      <c r="CU14" s="7" t="e">
        <f t="shared" si="90"/>
        <v>#N/A</v>
      </c>
      <c r="CV14" s="5" t="e">
        <f t="shared" si="91"/>
        <v>#N/A</v>
      </c>
      <c r="CW14" s="6" t="e">
        <f t="shared" si="92"/>
        <v>#N/A</v>
      </c>
      <c r="CY14" s="7" t="e">
        <v>#N/A</v>
      </c>
      <c r="CZ14" s="5" t="e">
        <f t="array" ref="CZ14">Summary_UpperBound</f>
        <v>#N/A</v>
      </c>
      <c r="DA14" s="6" t="e">
        <f t="shared" si="93"/>
        <v>#N/A</v>
      </c>
    </row>
    <row r="15" spans="1:105" x14ac:dyDescent="0.35">
      <c r="A15" s="7" t="str">
        <f>'Data Validation (Hide)'!B12</f>
        <v>Caseload 11</v>
      </c>
      <c r="B15" s="22" t="e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#N/A</v>
      </c>
      <c r="C15" s="33" t="e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#N/A</v>
      </c>
      <c r="E15" s="12" t="e" vm="2">
        <f t="shared" ca="1" si="94"/>
        <v>#VALUE!</v>
      </c>
      <c r="F15" s="7" t="e">
        <f t="shared" si="0"/>
        <v>#N/A</v>
      </c>
      <c r="G15" s="6" t="e">
        <f t="shared" si="1"/>
        <v>#N/A</v>
      </c>
      <c r="H15" s="7" t="e">
        <f t="shared" si="2"/>
        <v>#N/A</v>
      </c>
      <c r="I15" s="6" t="e">
        <f t="shared" si="3"/>
        <v>#N/A</v>
      </c>
      <c r="J15" s="5" t="e">
        <f t="shared" si="4"/>
        <v>#N/A</v>
      </c>
      <c r="K15" s="6" t="e">
        <f t="shared" si="5"/>
        <v>#N/A</v>
      </c>
      <c r="L15" s="7" t="e">
        <f t="shared" si="6"/>
        <v>#N/A</v>
      </c>
      <c r="M15" s="6" t="e">
        <f t="shared" si="7"/>
        <v>#N/A</v>
      </c>
      <c r="N15" s="7" t="e">
        <f t="shared" si="8"/>
        <v>#N/A</v>
      </c>
      <c r="O15" s="6" t="e">
        <f t="shared" si="9"/>
        <v>#N/A</v>
      </c>
      <c r="P15" s="5" t="e">
        <f t="shared" si="10"/>
        <v>#N/A</v>
      </c>
      <c r="Q15" s="6" t="e">
        <f t="shared" si="11"/>
        <v>#N/A</v>
      </c>
      <c r="R15" s="7" t="e">
        <f t="shared" si="12"/>
        <v>#N/A</v>
      </c>
      <c r="S15" s="6" t="e">
        <f t="shared" si="13"/>
        <v>#N/A</v>
      </c>
      <c r="T15" s="7" t="e">
        <f t="shared" si="14"/>
        <v>#N/A</v>
      </c>
      <c r="U15" s="6" t="e">
        <f t="shared" si="15"/>
        <v>#N/A</v>
      </c>
      <c r="V15" s="5" t="e">
        <f t="shared" si="16"/>
        <v>#N/A</v>
      </c>
      <c r="W15" s="6" t="e">
        <f t="shared" si="17"/>
        <v>#N/A</v>
      </c>
      <c r="X15" s="7" t="e">
        <f t="shared" si="18"/>
        <v>#N/A</v>
      </c>
      <c r="Y15" s="6" t="e">
        <f t="shared" si="19"/>
        <v>#N/A</v>
      </c>
      <c r="Z15" s="7" t="e">
        <f t="shared" si="20"/>
        <v>#N/A</v>
      </c>
      <c r="AA15" s="6" t="e">
        <f t="shared" si="21"/>
        <v>#N/A</v>
      </c>
      <c r="AB15" s="5" t="e">
        <f t="shared" si="22"/>
        <v>#N/A</v>
      </c>
      <c r="AC15" s="6" t="e">
        <f t="shared" si="23"/>
        <v>#N/A</v>
      </c>
      <c r="AD15" s="7" t="e">
        <f t="shared" si="24"/>
        <v>#N/A</v>
      </c>
      <c r="AE15" s="6" t="e">
        <f t="shared" si="25"/>
        <v>#N/A</v>
      </c>
      <c r="AF15" s="7" t="e">
        <f t="shared" si="26"/>
        <v>#N/A</v>
      </c>
      <c r="AG15" s="6" t="e">
        <f t="shared" si="27"/>
        <v>#N/A</v>
      </c>
      <c r="AH15" s="5" t="e">
        <f t="shared" si="28"/>
        <v>#N/A</v>
      </c>
      <c r="AI15" s="6" t="e">
        <f t="shared" si="29"/>
        <v>#N/A</v>
      </c>
      <c r="AJ15" s="7" t="e">
        <f t="shared" si="30"/>
        <v>#N/A</v>
      </c>
      <c r="AK15" s="6" t="e">
        <f t="shared" si="31"/>
        <v>#N/A</v>
      </c>
      <c r="AL15" s="7" t="e">
        <f t="shared" si="32"/>
        <v>#N/A</v>
      </c>
      <c r="AM15" s="6" t="e">
        <f t="shared" si="33"/>
        <v>#N/A</v>
      </c>
      <c r="AN15" s="5" t="e">
        <f t="shared" si="34"/>
        <v>#N/A</v>
      </c>
      <c r="AO15" s="6" t="e">
        <f t="shared" si="35"/>
        <v>#N/A</v>
      </c>
      <c r="AP15" s="7" t="e">
        <f t="shared" si="36"/>
        <v>#N/A</v>
      </c>
      <c r="AQ15" s="6" t="e">
        <f t="shared" si="37"/>
        <v>#N/A</v>
      </c>
      <c r="AR15" s="7" t="e">
        <f t="shared" si="38"/>
        <v>#N/A</v>
      </c>
      <c r="AS15" s="6" t="e">
        <f t="shared" si="39"/>
        <v>#N/A</v>
      </c>
      <c r="AT15" s="5" t="e">
        <f t="shared" si="40"/>
        <v>#N/A</v>
      </c>
      <c r="AU15" s="6" t="e">
        <f t="shared" si="41"/>
        <v>#N/A</v>
      </c>
      <c r="AV15" s="7" t="e">
        <f t="shared" si="42"/>
        <v>#N/A</v>
      </c>
      <c r="AW15" s="6" t="e">
        <f t="shared" si="43"/>
        <v>#N/A</v>
      </c>
      <c r="AX15" s="7" t="e">
        <f t="shared" si="44"/>
        <v>#N/A</v>
      </c>
      <c r="AY15" s="6" t="e">
        <f t="shared" si="45"/>
        <v>#N/A</v>
      </c>
      <c r="AZ15" s="5" t="e">
        <f t="shared" si="46"/>
        <v>#N/A</v>
      </c>
      <c r="BA15" s="6" t="e">
        <f t="shared" si="47"/>
        <v>#N/A</v>
      </c>
      <c r="BB15" s="7" t="e">
        <f t="shared" si="48"/>
        <v>#N/A</v>
      </c>
      <c r="BC15" s="6" t="e">
        <f t="shared" si="49"/>
        <v>#N/A</v>
      </c>
      <c r="BD15" s="7" t="e">
        <f t="shared" si="50"/>
        <v>#N/A</v>
      </c>
      <c r="BE15" s="6" t="e">
        <f t="shared" si="51"/>
        <v>#N/A</v>
      </c>
      <c r="BF15" s="5" t="e">
        <f t="shared" si="52"/>
        <v>#N/A</v>
      </c>
      <c r="BG15" s="6" t="e">
        <f t="shared" si="53"/>
        <v>#N/A</v>
      </c>
      <c r="BH15" s="7" t="e">
        <f t="shared" si="54"/>
        <v>#N/A</v>
      </c>
      <c r="BI15" s="6" t="e">
        <f t="shared" si="55"/>
        <v>#N/A</v>
      </c>
      <c r="BJ15" s="7" t="e">
        <f t="shared" si="56"/>
        <v>#N/A</v>
      </c>
      <c r="BK15" s="6" t="e">
        <f t="shared" si="57"/>
        <v>#N/A</v>
      </c>
      <c r="BL15" s="5" t="e">
        <f t="shared" si="58"/>
        <v>#N/A</v>
      </c>
      <c r="BM15" s="6" t="e">
        <f t="shared" si="59"/>
        <v>#N/A</v>
      </c>
      <c r="BN15" s="7" t="e">
        <f t="shared" si="60"/>
        <v>#N/A</v>
      </c>
      <c r="BO15" s="6" t="e">
        <f t="shared" si="61"/>
        <v>#N/A</v>
      </c>
      <c r="BP15" s="7" t="e">
        <f t="shared" si="62"/>
        <v>#N/A</v>
      </c>
      <c r="BQ15" s="6" t="e">
        <f t="shared" si="63"/>
        <v>#N/A</v>
      </c>
      <c r="BR15" s="5" t="e">
        <f t="shared" si="64"/>
        <v>#N/A</v>
      </c>
      <c r="BS15" s="6" t="e">
        <f t="shared" si="65"/>
        <v>#N/A</v>
      </c>
      <c r="BT15" s="7" t="e">
        <f t="shared" si="66"/>
        <v>#N/A</v>
      </c>
      <c r="BU15" s="6" t="e">
        <f t="shared" si="67"/>
        <v>#N/A</v>
      </c>
      <c r="BV15" s="7" t="e">
        <f t="shared" si="68"/>
        <v>#N/A</v>
      </c>
      <c r="BW15" s="6" t="e">
        <f t="shared" si="69"/>
        <v>#N/A</v>
      </c>
      <c r="BX15" s="5" t="e">
        <f t="shared" si="70"/>
        <v>#N/A</v>
      </c>
      <c r="BY15" s="6" t="e">
        <f t="shared" si="71"/>
        <v>#N/A</v>
      </c>
      <c r="BZ15" s="7" t="e">
        <f t="shared" si="72"/>
        <v>#N/A</v>
      </c>
      <c r="CA15" s="6" t="e">
        <f t="shared" si="73"/>
        <v>#N/A</v>
      </c>
      <c r="CB15" s="7" t="e">
        <f t="shared" si="74"/>
        <v>#N/A</v>
      </c>
      <c r="CC15" s="6" t="e">
        <f t="shared" si="75"/>
        <v>#N/A</v>
      </c>
      <c r="CD15" s="5" t="e">
        <f t="shared" si="76"/>
        <v>#N/A</v>
      </c>
      <c r="CE15" s="6" t="e">
        <f t="shared" si="77"/>
        <v>#N/A</v>
      </c>
      <c r="CF15" s="7" t="e">
        <f t="shared" si="78"/>
        <v>#N/A</v>
      </c>
      <c r="CG15" s="6" t="e">
        <f t="shared" si="79"/>
        <v>#N/A</v>
      </c>
      <c r="CH15" s="7" t="e">
        <f t="shared" si="80"/>
        <v>#N/A</v>
      </c>
      <c r="CI15" s="6" t="e">
        <f t="shared" si="81"/>
        <v>#N/A</v>
      </c>
      <c r="CJ15" s="5" t="e">
        <f t="shared" si="82"/>
        <v>#N/A</v>
      </c>
      <c r="CK15" s="6" t="e">
        <f t="shared" si="83"/>
        <v>#N/A</v>
      </c>
      <c r="CL15" s="7" t="e">
        <f t="shared" si="84"/>
        <v>#N/A</v>
      </c>
      <c r="CM15" s="6" t="e">
        <f t="shared" si="85"/>
        <v>#N/A</v>
      </c>
      <c r="CN15" s="7" t="e">
        <f t="shared" si="86"/>
        <v>#N/A</v>
      </c>
      <c r="CO15" s="6" t="e">
        <f t="shared" si="87"/>
        <v>#N/A</v>
      </c>
      <c r="CP15" s="5" t="e">
        <f t="shared" si="88"/>
        <v>#N/A</v>
      </c>
      <c r="CQ15" s="6" t="e">
        <f t="shared" si="89"/>
        <v>#N/A</v>
      </c>
      <c r="CR15" s="7" t="e">
        <f t="shared" si="90"/>
        <v>#N/A</v>
      </c>
      <c r="CS15" s="7" t="e">
        <f t="shared" si="90"/>
        <v>#N/A</v>
      </c>
      <c r="CT15" s="7" t="e">
        <f t="shared" si="90"/>
        <v>#N/A</v>
      </c>
      <c r="CU15" s="7" t="e">
        <f t="shared" si="90"/>
        <v>#N/A</v>
      </c>
      <c r="CV15" s="5" t="e">
        <f t="shared" si="91"/>
        <v>#N/A</v>
      </c>
      <c r="CW15" s="6" t="e">
        <f t="shared" si="92"/>
        <v>#N/A</v>
      </c>
      <c r="CY15" s="7" t="e">
        <v>#N/A</v>
      </c>
      <c r="CZ15" s="5" t="e">
        <f t="array" ref="CZ15">Summary_UpperBound</f>
        <v>#N/A</v>
      </c>
      <c r="DA15" s="6" t="e">
        <f t="shared" si="93"/>
        <v>#N/A</v>
      </c>
    </row>
    <row r="16" spans="1:105" x14ac:dyDescent="0.35">
      <c r="A16" s="7" t="str">
        <f>'Data Validation (Hide)'!B13</f>
        <v>Caseload 12</v>
      </c>
      <c r="B16" s="22" t="e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#N/A</v>
      </c>
      <c r="C16" s="33" t="e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#N/A</v>
      </c>
      <c r="E16" s="12" t="e" vm="2">
        <f t="shared" ca="1" si="94"/>
        <v>#VALUE!</v>
      </c>
      <c r="F16" s="7" t="e">
        <f t="shared" si="0"/>
        <v>#N/A</v>
      </c>
      <c r="G16" s="6" t="e">
        <f t="shared" si="1"/>
        <v>#N/A</v>
      </c>
      <c r="H16" s="7" t="e">
        <f t="shared" si="2"/>
        <v>#N/A</v>
      </c>
      <c r="I16" s="6" t="e">
        <f t="shared" si="3"/>
        <v>#N/A</v>
      </c>
      <c r="J16" s="5" t="e">
        <f t="shared" si="4"/>
        <v>#N/A</v>
      </c>
      <c r="K16" s="6" t="e">
        <f t="shared" si="5"/>
        <v>#N/A</v>
      </c>
      <c r="L16" s="7" t="e">
        <f t="shared" si="6"/>
        <v>#N/A</v>
      </c>
      <c r="M16" s="6" t="e">
        <f t="shared" si="7"/>
        <v>#N/A</v>
      </c>
      <c r="N16" s="7" t="e">
        <f t="shared" si="8"/>
        <v>#N/A</v>
      </c>
      <c r="O16" s="6" t="e">
        <f t="shared" si="9"/>
        <v>#N/A</v>
      </c>
      <c r="P16" s="5" t="e">
        <f t="shared" si="10"/>
        <v>#N/A</v>
      </c>
      <c r="Q16" s="6" t="e">
        <f t="shared" si="11"/>
        <v>#N/A</v>
      </c>
      <c r="R16" s="7" t="e">
        <f t="shared" si="12"/>
        <v>#N/A</v>
      </c>
      <c r="S16" s="6" t="e">
        <f t="shared" si="13"/>
        <v>#N/A</v>
      </c>
      <c r="T16" s="7" t="e">
        <f t="shared" si="14"/>
        <v>#N/A</v>
      </c>
      <c r="U16" s="6" t="e">
        <f t="shared" si="15"/>
        <v>#N/A</v>
      </c>
      <c r="V16" s="5" t="e">
        <f t="shared" si="16"/>
        <v>#N/A</v>
      </c>
      <c r="W16" s="6" t="e">
        <f t="shared" si="17"/>
        <v>#N/A</v>
      </c>
      <c r="X16" s="7" t="e">
        <f t="shared" si="18"/>
        <v>#N/A</v>
      </c>
      <c r="Y16" s="6" t="e">
        <f t="shared" si="19"/>
        <v>#N/A</v>
      </c>
      <c r="Z16" s="7" t="e">
        <f t="shared" si="20"/>
        <v>#N/A</v>
      </c>
      <c r="AA16" s="6" t="e">
        <f t="shared" si="21"/>
        <v>#N/A</v>
      </c>
      <c r="AB16" s="5" t="e">
        <f t="shared" si="22"/>
        <v>#N/A</v>
      </c>
      <c r="AC16" s="6" t="e">
        <f t="shared" si="23"/>
        <v>#N/A</v>
      </c>
      <c r="AD16" s="7" t="e">
        <f t="shared" si="24"/>
        <v>#N/A</v>
      </c>
      <c r="AE16" s="6" t="e">
        <f t="shared" si="25"/>
        <v>#N/A</v>
      </c>
      <c r="AF16" s="7" t="e">
        <f t="shared" si="26"/>
        <v>#N/A</v>
      </c>
      <c r="AG16" s="6" t="e">
        <f t="shared" si="27"/>
        <v>#N/A</v>
      </c>
      <c r="AH16" s="5" t="e">
        <f t="shared" si="28"/>
        <v>#N/A</v>
      </c>
      <c r="AI16" s="6" t="e">
        <f t="shared" si="29"/>
        <v>#N/A</v>
      </c>
      <c r="AJ16" s="7" t="e">
        <f t="shared" si="30"/>
        <v>#N/A</v>
      </c>
      <c r="AK16" s="6" t="e">
        <f t="shared" si="31"/>
        <v>#N/A</v>
      </c>
      <c r="AL16" s="7" t="e">
        <f t="shared" si="32"/>
        <v>#N/A</v>
      </c>
      <c r="AM16" s="6" t="e">
        <f t="shared" si="33"/>
        <v>#N/A</v>
      </c>
      <c r="AN16" s="5" t="e">
        <f t="shared" si="34"/>
        <v>#N/A</v>
      </c>
      <c r="AO16" s="6" t="e">
        <f t="shared" si="35"/>
        <v>#N/A</v>
      </c>
      <c r="AP16" s="7" t="e">
        <f t="shared" si="36"/>
        <v>#N/A</v>
      </c>
      <c r="AQ16" s="6" t="e">
        <f t="shared" si="37"/>
        <v>#N/A</v>
      </c>
      <c r="AR16" s="7" t="e">
        <f t="shared" si="38"/>
        <v>#N/A</v>
      </c>
      <c r="AS16" s="6" t="e">
        <f t="shared" si="39"/>
        <v>#N/A</v>
      </c>
      <c r="AT16" s="5" t="e">
        <f t="shared" si="40"/>
        <v>#N/A</v>
      </c>
      <c r="AU16" s="6" t="e">
        <f t="shared" si="41"/>
        <v>#N/A</v>
      </c>
      <c r="AV16" s="7" t="e">
        <f t="shared" si="42"/>
        <v>#N/A</v>
      </c>
      <c r="AW16" s="6" t="e">
        <f t="shared" si="43"/>
        <v>#N/A</v>
      </c>
      <c r="AX16" s="7" t="e">
        <f t="shared" si="44"/>
        <v>#N/A</v>
      </c>
      <c r="AY16" s="6" t="e">
        <f t="shared" si="45"/>
        <v>#N/A</v>
      </c>
      <c r="AZ16" s="5" t="e">
        <f t="shared" si="46"/>
        <v>#N/A</v>
      </c>
      <c r="BA16" s="6" t="e">
        <f t="shared" si="47"/>
        <v>#N/A</v>
      </c>
      <c r="BB16" s="7" t="e">
        <f t="shared" si="48"/>
        <v>#N/A</v>
      </c>
      <c r="BC16" s="6" t="e">
        <f t="shared" si="49"/>
        <v>#N/A</v>
      </c>
      <c r="BD16" s="7" t="e">
        <f t="shared" si="50"/>
        <v>#N/A</v>
      </c>
      <c r="BE16" s="6" t="e">
        <f t="shared" si="51"/>
        <v>#N/A</v>
      </c>
      <c r="BF16" s="5" t="e">
        <f t="shared" si="52"/>
        <v>#N/A</v>
      </c>
      <c r="BG16" s="6" t="e">
        <f t="shared" si="53"/>
        <v>#N/A</v>
      </c>
      <c r="BH16" s="7" t="e">
        <f t="shared" si="54"/>
        <v>#N/A</v>
      </c>
      <c r="BI16" s="6" t="e">
        <f t="shared" si="55"/>
        <v>#N/A</v>
      </c>
      <c r="BJ16" s="7" t="e">
        <f t="shared" si="56"/>
        <v>#N/A</v>
      </c>
      <c r="BK16" s="6" t="e">
        <f t="shared" si="57"/>
        <v>#N/A</v>
      </c>
      <c r="BL16" s="5" t="e">
        <f t="shared" si="58"/>
        <v>#N/A</v>
      </c>
      <c r="BM16" s="6" t="e">
        <f t="shared" si="59"/>
        <v>#N/A</v>
      </c>
      <c r="BN16" s="7" t="e">
        <f t="shared" si="60"/>
        <v>#N/A</v>
      </c>
      <c r="BO16" s="6" t="e">
        <f t="shared" si="61"/>
        <v>#N/A</v>
      </c>
      <c r="BP16" s="7" t="e">
        <f t="shared" si="62"/>
        <v>#N/A</v>
      </c>
      <c r="BQ16" s="6" t="e">
        <f t="shared" si="63"/>
        <v>#N/A</v>
      </c>
      <c r="BR16" s="5" t="e">
        <f t="shared" si="64"/>
        <v>#N/A</v>
      </c>
      <c r="BS16" s="6" t="e">
        <f t="shared" si="65"/>
        <v>#N/A</v>
      </c>
      <c r="BT16" s="7" t="e">
        <f t="shared" si="66"/>
        <v>#N/A</v>
      </c>
      <c r="BU16" s="6" t="e">
        <f t="shared" si="67"/>
        <v>#N/A</v>
      </c>
      <c r="BV16" s="7" t="e">
        <f t="shared" si="68"/>
        <v>#N/A</v>
      </c>
      <c r="BW16" s="6" t="e">
        <f t="shared" si="69"/>
        <v>#N/A</v>
      </c>
      <c r="BX16" s="5" t="e">
        <f t="shared" si="70"/>
        <v>#N/A</v>
      </c>
      <c r="BY16" s="6" t="e">
        <f t="shared" si="71"/>
        <v>#N/A</v>
      </c>
      <c r="BZ16" s="7" t="e">
        <f t="shared" si="72"/>
        <v>#N/A</v>
      </c>
      <c r="CA16" s="6" t="e">
        <f t="shared" si="73"/>
        <v>#N/A</v>
      </c>
      <c r="CB16" s="7" t="e">
        <f t="shared" si="74"/>
        <v>#N/A</v>
      </c>
      <c r="CC16" s="6" t="e">
        <f t="shared" si="75"/>
        <v>#N/A</v>
      </c>
      <c r="CD16" s="5" t="e">
        <f t="shared" si="76"/>
        <v>#N/A</v>
      </c>
      <c r="CE16" s="6" t="e">
        <f t="shared" si="77"/>
        <v>#N/A</v>
      </c>
      <c r="CF16" s="7" t="e">
        <f t="shared" si="78"/>
        <v>#N/A</v>
      </c>
      <c r="CG16" s="6" t="e">
        <f t="shared" si="79"/>
        <v>#N/A</v>
      </c>
      <c r="CH16" s="7" t="e">
        <f t="shared" si="80"/>
        <v>#N/A</v>
      </c>
      <c r="CI16" s="6" t="e">
        <f t="shared" si="81"/>
        <v>#N/A</v>
      </c>
      <c r="CJ16" s="5" t="e">
        <f t="shared" si="82"/>
        <v>#N/A</v>
      </c>
      <c r="CK16" s="6" t="e">
        <f t="shared" si="83"/>
        <v>#N/A</v>
      </c>
      <c r="CL16" s="7" t="e">
        <f t="shared" si="84"/>
        <v>#N/A</v>
      </c>
      <c r="CM16" s="6" t="e">
        <f t="shared" si="85"/>
        <v>#N/A</v>
      </c>
      <c r="CN16" s="7" t="e">
        <f t="shared" si="86"/>
        <v>#N/A</v>
      </c>
      <c r="CO16" s="6" t="e">
        <f t="shared" si="87"/>
        <v>#N/A</v>
      </c>
      <c r="CP16" s="5" t="e">
        <f t="shared" si="88"/>
        <v>#N/A</v>
      </c>
      <c r="CQ16" s="6" t="e">
        <f t="shared" si="89"/>
        <v>#N/A</v>
      </c>
      <c r="CR16" s="7" t="e">
        <f t="shared" si="90"/>
        <v>#N/A</v>
      </c>
      <c r="CS16" s="7" t="e">
        <f t="shared" si="90"/>
        <v>#N/A</v>
      </c>
      <c r="CT16" s="7" t="e">
        <f t="shared" si="90"/>
        <v>#N/A</v>
      </c>
      <c r="CU16" s="7" t="e">
        <f t="shared" si="90"/>
        <v>#N/A</v>
      </c>
      <c r="CV16" s="5" t="e">
        <f t="shared" si="91"/>
        <v>#N/A</v>
      </c>
      <c r="CW16" s="6" t="e">
        <f t="shared" si="92"/>
        <v>#N/A</v>
      </c>
      <c r="CY16" s="7" t="e">
        <v>#N/A</v>
      </c>
      <c r="CZ16" s="5" t="e">
        <f t="array" ref="CZ16">Summary_UpperBound</f>
        <v>#N/A</v>
      </c>
      <c r="DA16" s="6" t="e">
        <f t="shared" si="93"/>
        <v>#N/A</v>
      </c>
    </row>
    <row r="17" spans="1:105" x14ac:dyDescent="0.35">
      <c r="A17" s="7" t="str">
        <f>'Data Validation (Hide)'!B14</f>
        <v>Caseload 13</v>
      </c>
      <c r="B17" s="22" t="e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#N/A</v>
      </c>
      <c r="C17" s="33" t="e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#N/A</v>
      </c>
      <c r="E17" s="12" t="e" vm="2">
        <f t="shared" ca="1" si="94"/>
        <v>#VALUE!</v>
      </c>
      <c r="F17" s="7" t="e">
        <f t="shared" si="0"/>
        <v>#N/A</v>
      </c>
      <c r="G17" s="6" t="e">
        <f t="shared" si="1"/>
        <v>#N/A</v>
      </c>
      <c r="H17" s="7" t="e">
        <f t="shared" si="2"/>
        <v>#N/A</v>
      </c>
      <c r="I17" s="6" t="e">
        <f t="shared" si="3"/>
        <v>#N/A</v>
      </c>
      <c r="J17" s="5" t="e">
        <f t="shared" si="4"/>
        <v>#N/A</v>
      </c>
      <c r="K17" s="6" t="e">
        <f t="shared" si="5"/>
        <v>#N/A</v>
      </c>
      <c r="L17" s="7" t="e">
        <f t="shared" si="6"/>
        <v>#N/A</v>
      </c>
      <c r="M17" s="6" t="e">
        <f t="shared" si="7"/>
        <v>#N/A</v>
      </c>
      <c r="N17" s="7" t="e">
        <f t="shared" si="8"/>
        <v>#N/A</v>
      </c>
      <c r="O17" s="6" t="e">
        <f t="shared" si="9"/>
        <v>#N/A</v>
      </c>
      <c r="P17" s="5" t="e">
        <f t="shared" si="10"/>
        <v>#N/A</v>
      </c>
      <c r="Q17" s="6" t="e">
        <f t="shared" si="11"/>
        <v>#N/A</v>
      </c>
      <c r="R17" s="7" t="e">
        <f t="shared" si="12"/>
        <v>#N/A</v>
      </c>
      <c r="S17" s="6" t="e">
        <f t="shared" si="13"/>
        <v>#N/A</v>
      </c>
      <c r="T17" s="7" t="e">
        <f t="shared" si="14"/>
        <v>#N/A</v>
      </c>
      <c r="U17" s="6" t="e">
        <f t="shared" si="15"/>
        <v>#N/A</v>
      </c>
      <c r="V17" s="5" t="e">
        <f t="shared" si="16"/>
        <v>#N/A</v>
      </c>
      <c r="W17" s="6" t="e">
        <f t="shared" si="17"/>
        <v>#N/A</v>
      </c>
      <c r="X17" s="7" t="e">
        <f t="shared" si="18"/>
        <v>#N/A</v>
      </c>
      <c r="Y17" s="6" t="e">
        <f t="shared" si="19"/>
        <v>#N/A</v>
      </c>
      <c r="Z17" s="7" t="e">
        <f t="shared" si="20"/>
        <v>#N/A</v>
      </c>
      <c r="AA17" s="6" t="e">
        <f t="shared" si="21"/>
        <v>#N/A</v>
      </c>
      <c r="AB17" s="5" t="e">
        <f t="shared" si="22"/>
        <v>#N/A</v>
      </c>
      <c r="AC17" s="6" t="e">
        <f t="shared" si="23"/>
        <v>#N/A</v>
      </c>
      <c r="AD17" s="7" t="e">
        <f t="shared" si="24"/>
        <v>#N/A</v>
      </c>
      <c r="AE17" s="6" t="e">
        <f t="shared" si="25"/>
        <v>#N/A</v>
      </c>
      <c r="AF17" s="7" t="e">
        <f t="shared" si="26"/>
        <v>#N/A</v>
      </c>
      <c r="AG17" s="6" t="e">
        <f t="shared" si="27"/>
        <v>#N/A</v>
      </c>
      <c r="AH17" s="5" t="e">
        <f t="shared" si="28"/>
        <v>#N/A</v>
      </c>
      <c r="AI17" s="6" t="e">
        <f t="shared" si="29"/>
        <v>#N/A</v>
      </c>
      <c r="AJ17" s="7" t="e">
        <f t="shared" si="30"/>
        <v>#N/A</v>
      </c>
      <c r="AK17" s="6" t="e">
        <f t="shared" si="31"/>
        <v>#N/A</v>
      </c>
      <c r="AL17" s="7" t="e">
        <f t="shared" si="32"/>
        <v>#N/A</v>
      </c>
      <c r="AM17" s="6" t="e">
        <f t="shared" si="33"/>
        <v>#N/A</v>
      </c>
      <c r="AN17" s="5" t="e">
        <f t="shared" si="34"/>
        <v>#N/A</v>
      </c>
      <c r="AO17" s="6" t="e">
        <f t="shared" si="35"/>
        <v>#N/A</v>
      </c>
      <c r="AP17" s="7" t="e">
        <f t="shared" si="36"/>
        <v>#N/A</v>
      </c>
      <c r="AQ17" s="6" t="e">
        <f t="shared" si="37"/>
        <v>#N/A</v>
      </c>
      <c r="AR17" s="7" t="e">
        <f t="shared" si="38"/>
        <v>#N/A</v>
      </c>
      <c r="AS17" s="6" t="e">
        <f t="shared" si="39"/>
        <v>#N/A</v>
      </c>
      <c r="AT17" s="5" t="e">
        <f t="shared" si="40"/>
        <v>#N/A</v>
      </c>
      <c r="AU17" s="6" t="e">
        <f t="shared" si="41"/>
        <v>#N/A</v>
      </c>
      <c r="AV17" s="7" t="e">
        <f t="shared" si="42"/>
        <v>#N/A</v>
      </c>
      <c r="AW17" s="6" t="e">
        <f t="shared" si="43"/>
        <v>#N/A</v>
      </c>
      <c r="AX17" s="7" t="e">
        <f t="shared" si="44"/>
        <v>#N/A</v>
      </c>
      <c r="AY17" s="6" t="e">
        <f t="shared" si="45"/>
        <v>#N/A</v>
      </c>
      <c r="AZ17" s="5" t="e">
        <f t="shared" si="46"/>
        <v>#N/A</v>
      </c>
      <c r="BA17" s="6" t="e">
        <f t="shared" si="47"/>
        <v>#N/A</v>
      </c>
      <c r="BB17" s="7" t="e">
        <f t="shared" si="48"/>
        <v>#N/A</v>
      </c>
      <c r="BC17" s="6" t="e">
        <f t="shared" si="49"/>
        <v>#N/A</v>
      </c>
      <c r="BD17" s="7" t="e">
        <f t="shared" si="50"/>
        <v>#N/A</v>
      </c>
      <c r="BE17" s="6" t="e">
        <f t="shared" si="51"/>
        <v>#N/A</v>
      </c>
      <c r="BF17" s="5" t="e">
        <f t="shared" si="52"/>
        <v>#N/A</v>
      </c>
      <c r="BG17" s="6" t="e">
        <f t="shared" si="53"/>
        <v>#N/A</v>
      </c>
      <c r="BH17" s="7" t="e">
        <f t="shared" si="54"/>
        <v>#N/A</v>
      </c>
      <c r="BI17" s="6" t="e">
        <f t="shared" si="55"/>
        <v>#N/A</v>
      </c>
      <c r="BJ17" s="7" t="e">
        <f t="shared" si="56"/>
        <v>#N/A</v>
      </c>
      <c r="BK17" s="6" t="e">
        <f t="shared" si="57"/>
        <v>#N/A</v>
      </c>
      <c r="BL17" s="5" t="e">
        <f t="shared" si="58"/>
        <v>#N/A</v>
      </c>
      <c r="BM17" s="6" t="e">
        <f t="shared" si="59"/>
        <v>#N/A</v>
      </c>
      <c r="BN17" s="7" t="e">
        <f t="shared" si="60"/>
        <v>#N/A</v>
      </c>
      <c r="BO17" s="6" t="e">
        <f t="shared" si="61"/>
        <v>#N/A</v>
      </c>
      <c r="BP17" s="7" t="e">
        <f t="shared" si="62"/>
        <v>#N/A</v>
      </c>
      <c r="BQ17" s="6" t="e">
        <f t="shared" si="63"/>
        <v>#N/A</v>
      </c>
      <c r="BR17" s="5" t="e">
        <f t="shared" si="64"/>
        <v>#N/A</v>
      </c>
      <c r="BS17" s="6" t="e">
        <f t="shared" si="65"/>
        <v>#N/A</v>
      </c>
      <c r="BT17" s="7" t="e">
        <f t="shared" si="66"/>
        <v>#N/A</v>
      </c>
      <c r="BU17" s="6" t="e">
        <f t="shared" si="67"/>
        <v>#N/A</v>
      </c>
      <c r="BV17" s="7" t="e">
        <f t="shared" si="68"/>
        <v>#N/A</v>
      </c>
      <c r="BW17" s="6" t="e">
        <f t="shared" si="69"/>
        <v>#N/A</v>
      </c>
      <c r="BX17" s="5" t="e">
        <f t="shared" si="70"/>
        <v>#N/A</v>
      </c>
      <c r="BY17" s="6" t="e">
        <f t="shared" si="71"/>
        <v>#N/A</v>
      </c>
      <c r="BZ17" s="7" t="e">
        <f t="shared" si="72"/>
        <v>#N/A</v>
      </c>
      <c r="CA17" s="6" t="e">
        <f t="shared" si="73"/>
        <v>#N/A</v>
      </c>
      <c r="CB17" s="7" t="e">
        <f t="shared" si="74"/>
        <v>#N/A</v>
      </c>
      <c r="CC17" s="6" t="e">
        <f t="shared" si="75"/>
        <v>#N/A</v>
      </c>
      <c r="CD17" s="5" t="e">
        <f t="shared" si="76"/>
        <v>#N/A</v>
      </c>
      <c r="CE17" s="6" t="e">
        <f t="shared" si="77"/>
        <v>#N/A</v>
      </c>
      <c r="CF17" s="7" t="e">
        <f t="shared" si="78"/>
        <v>#N/A</v>
      </c>
      <c r="CG17" s="6" t="e">
        <f t="shared" si="79"/>
        <v>#N/A</v>
      </c>
      <c r="CH17" s="7" t="e">
        <f t="shared" si="80"/>
        <v>#N/A</v>
      </c>
      <c r="CI17" s="6" t="e">
        <f t="shared" si="81"/>
        <v>#N/A</v>
      </c>
      <c r="CJ17" s="5" t="e">
        <f t="shared" si="82"/>
        <v>#N/A</v>
      </c>
      <c r="CK17" s="6" t="e">
        <f t="shared" si="83"/>
        <v>#N/A</v>
      </c>
      <c r="CL17" s="7" t="e">
        <f t="shared" si="84"/>
        <v>#N/A</v>
      </c>
      <c r="CM17" s="6" t="e">
        <f t="shared" si="85"/>
        <v>#N/A</v>
      </c>
      <c r="CN17" s="7" t="e">
        <f t="shared" si="86"/>
        <v>#N/A</v>
      </c>
      <c r="CO17" s="6" t="e">
        <f t="shared" si="87"/>
        <v>#N/A</v>
      </c>
      <c r="CP17" s="5" t="e">
        <f t="shared" si="88"/>
        <v>#N/A</v>
      </c>
      <c r="CQ17" s="6" t="e">
        <f t="shared" si="89"/>
        <v>#N/A</v>
      </c>
      <c r="CR17" s="7" t="e">
        <f t="shared" si="90"/>
        <v>#N/A</v>
      </c>
      <c r="CS17" s="7" t="e">
        <f t="shared" si="90"/>
        <v>#N/A</v>
      </c>
      <c r="CT17" s="7" t="e">
        <f t="shared" si="90"/>
        <v>#N/A</v>
      </c>
      <c r="CU17" s="7" t="e">
        <f t="shared" si="90"/>
        <v>#N/A</v>
      </c>
      <c r="CV17" s="5" t="e">
        <f t="shared" si="91"/>
        <v>#N/A</v>
      </c>
      <c r="CW17" s="6" t="e">
        <f t="shared" si="92"/>
        <v>#N/A</v>
      </c>
      <c r="CY17" s="7" t="e">
        <v>#N/A</v>
      </c>
      <c r="CZ17" s="5" t="e">
        <f t="array" ref="CZ17">Summary_UpperBound</f>
        <v>#N/A</v>
      </c>
      <c r="DA17" s="6" t="e">
        <f t="shared" si="93"/>
        <v>#N/A</v>
      </c>
    </row>
    <row r="18" spans="1:105" x14ac:dyDescent="0.35">
      <c r="A18" s="7" t="str">
        <f>'Data Validation (Hide)'!B15</f>
        <v>Caseload 14</v>
      </c>
      <c r="B18" s="22" t="e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#N/A</v>
      </c>
      <c r="C18" s="33" t="e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#N/A</v>
      </c>
      <c r="E18" s="12" t="e" vm="2">
        <f t="shared" ca="1" si="94"/>
        <v>#VALUE!</v>
      </c>
      <c r="F18" s="7" t="e">
        <f t="shared" si="0"/>
        <v>#N/A</v>
      </c>
      <c r="G18" s="6" t="e">
        <f t="shared" si="1"/>
        <v>#N/A</v>
      </c>
      <c r="H18" s="7" t="e">
        <f t="shared" si="2"/>
        <v>#N/A</v>
      </c>
      <c r="I18" s="6" t="e">
        <f t="shared" si="3"/>
        <v>#N/A</v>
      </c>
      <c r="J18" s="5" t="e">
        <f t="shared" si="4"/>
        <v>#N/A</v>
      </c>
      <c r="K18" s="6" t="e">
        <f t="shared" si="5"/>
        <v>#N/A</v>
      </c>
      <c r="L18" s="7" t="e">
        <f t="shared" si="6"/>
        <v>#N/A</v>
      </c>
      <c r="M18" s="6" t="e">
        <f t="shared" si="7"/>
        <v>#N/A</v>
      </c>
      <c r="N18" s="7" t="e">
        <f t="shared" si="8"/>
        <v>#N/A</v>
      </c>
      <c r="O18" s="6" t="e">
        <f t="shared" si="9"/>
        <v>#N/A</v>
      </c>
      <c r="P18" s="5" t="e">
        <f t="shared" si="10"/>
        <v>#N/A</v>
      </c>
      <c r="Q18" s="6" t="e">
        <f t="shared" si="11"/>
        <v>#N/A</v>
      </c>
      <c r="R18" s="7" t="e">
        <f t="shared" si="12"/>
        <v>#N/A</v>
      </c>
      <c r="S18" s="6" t="e">
        <f t="shared" si="13"/>
        <v>#N/A</v>
      </c>
      <c r="T18" s="7" t="e">
        <f t="shared" si="14"/>
        <v>#N/A</v>
      </c>
      <c r="U18" s="6" t="e">
        <f t="shared" si="15"/>
        <v>#N/A</v>
      </c>
      <c r="V18" s="5" t="e">
        <f t="shared" si="16"/>
        <v>#N/A</v>
      </c>
      <c r="W18" s="6" t="e">
        <f t="shared" si="17"/>
        <v>#N/A</v>
      </c>
      <c r="X18" s="7" t="e">
        <f t="shared" si="18"/>
        <v>#N/A</v>
      </c>
      <c r="Y18" s="6" t="e">
        <f t="shared" si="19"/>
        <v>#N/A</v>
      </c>
      <c r="Z18" s="7" t="e">
        <f t="shared" si="20"/>
        <v>#N/A</v>
      </c>
      <c r="AA18" s="6" t="e">
        <f t="shared" si="21"/>
        <v>#N/A</v>
      </c>
      <c r="AB18" s="5" t="e">
        <f t="shared" si="22"/>
        <v>#N/A</v>
      </c>
      <c r="AC18" s="6" t="e">
        <f t="shared" si="23"/>
        <v>#N/A</v>
      </c>
      <c r="AD18" s="7" t="e">
        <f t="shared" si="24"/>
        <v>#N/A</v>
      </c>
      <c r="AE18" s="6" t="e">
        <f t="shared" si="25"/>
        <v>#N/A</v>
      </c>
      <c r="AF18" s="7" t="e">
        <f t="shared" si="26"/>
        <v>#N/A</v>
      </c>
      <c r="AG18" s="6" t="e">
        <f t="shared" si="27"/>
        <v>#N/A</v>
      </c>
      <c r="AH18" s="5" t="e">
        <f t="shared" si="28"/>
        <v>#N/A</v>
      </c>
      <c r="AI18" s="6" t="e">
        <f t="shared" si="29"/>
        <v>#N/A</v>
      </c>
      <c r="AJ18" s="7" t="e">
        <f t="shared" si="30"/>
        <v>#N/A</v>
      </c>
      <c r="AK18" s="6" t="e">
        <f t="shared" si="31"/>
        <v>#N/A</v>
      </c>
      <c r="AL18" s="7" t="e">
        <f t="shared" si="32"/>
        <v>#N/A</v>
      </c>
      <c r="AM18" s="6" t="e">
        <f t="shared" si="33"/>
        <v>#N/A</v>
      </c>
      <c r="AN18" s="5" t="e">
        <f t="shared" si="34"/>
        <v>#N/A</v>
      </c>
      <c r="AO18" s="6" t="e">
        <f t="shared" si="35"/>
        <v>#N/A</v>
      </c>
      <c r="AP18" s="7" t="e">
        <f t="shared" si="36"/>
        <v>#N/A</v>
      </c>
      <c r="AQ18" s="6" t="e">
        <f t="shared" si="37"/>
        <v>#N/A</v>
      </c>
      <c r="AR18" s="7" t="e">
        <f t="shared" si="38"/>
        <v>#N/A</v>
      </c>
      <c r="AS18" s="6" t="e">
        <f t="shared" si="39"/>
        <v>#N/A</v>
      </c>
      <c r="AT18" s="5" t="e">
        <f t="shared" si="40"/>
        <v>#N/A</v>
      </c>
      <c r="AU18" s="6" t="e">
        <f t="shared" si="41"/>
        <v>#N/A</v>
      </c>
      <c r="AV18" s="7" t="e">
        <f t="shared" si="42"/>
        <v>#N/A</v>
      </c>
      <c r="AW18" s="6" t="e">
        <f t="shared" si="43"/>
        <v>#N/A</v>
      </c>
      <c r="AX18" s="7" t="e">
        <f t="shared" si="44"/>
        <v>#N/A</v>
      </c>
      <c r="AY18" s="6" t="e">
        <f t="shared" si="45"/>
        <v>#N/A</v>
      </c>
      <c r="AZ18" s="5" t="e">
        <f t="shared" si="46"/>
        <v>#N/A</v>
      </c>
      <c r="BA18" s="6" t="e">
        <f t="shared" si="47"/>
        <v>#N/A</v>
      </c>
      <c r="BB18" s="7" t="e">
        <f t="shared" si="48"/>
        <v>#N/A</v>
      </c>
      <c r="BC18" s="6" t="e">
        <f t="shared" si="49"/>
        <v>#N/A</v>
      </c>
      <c r="BD18" s="7" t="e">
        <f t="shared" si="50"/>
        <v>#N/A</v>
      </c>
      <c r="BE18" s="6" t="e">
        <f t="shared" si="51"/>
        <v>#N/A</v>
      </c>
      <c r="BF18" s="5" t="e">
        <f t="shared" si="52"/>
        <v>#N/A</v>
      </c>
      <c r="BG18" s="6" t="e">
        <f t="shared" si="53"/>
        <v>#N/A</v>
      </c>
      <c r="BH18" s="7" t="e">
        <f t="shared" si="54"/>
        <v>#N/A</v>
      </c>
      <c r="BI18" s="6" t="e">
        <f t="shared" si="55"/>
        <v>#N/A</v>
      </c>
      <c r="BJ18" s="7" t="e">
        <f t="shared" si="56"/>
        <v>#N/A</v>
      </c>
      <c r="BK18" s="6" t="e">
        <f t="shared" si="57"/>
        <v>#N/A</v>
      </c>
      <c r="BL18" s="5" t="e">
        <f t="shared" si="58"/>
        <v>#N/A</v>
      </c>
      <c r="BM18" s="6" t="e">
        <f t="shared" si="59"/>
        <v>#N/A</v>
      </c>
      <c r="BN18" s="7" t="e">
        <f t="shared" si="60"/>
        <v>#N/A</v>
      </c>
      <c r="BO18" s="6" t="e">
        <f t="shared" si="61"/>
        <v>#N/A</v>
      </c>
      <c r="BP18" s="7" t="e">
        <f t="shared" si="62"/>
        <v>#N/A</v>
      </c>
      <c r="BQ18" s="6" t="e">
        <f t="shared" si="63"/>
        <v>#N/A</v>
      </c>
      <c r="BR18" s="5" t="e">
        <f t="shared" si="64"/>
        <v>#N/A</v>
      </c>
      <c r="BS18" s="6" t="e">
        <f t="shared" si="65"/>
        <v>#N/A</v>
      </c>
      <c r="BT18" s="7" t="e">
        <f t="shared" si="66"/>
        <v>#N/A</v>
      </c>
      <c r="BU18" s="6" t="e">
        <f t="shared" si="67"/>
        <v>#N/A</v>
      </c>
      <c r="BV18" s="7" t="e">
        <f t="shared" si="68"/>
        <v>#N/A</v>
      </c>
      <c r="BW18" s="6" t="e">
        <f t="shared" si="69"/>
        <v>#N/A</v>
      </c>
      <c r="BX18" s="5" t="e">
        <f t="shared" si="70"/>
        <v>#N/A</v>
      </c>
      <c r="BY18" s="6" t="e">
        <f t="shared" si="71"/>
        <v>#N/A</v>
      </c>
      <c r="BZ18" s="7" t="e">
        <f t="shared" si="72"/>
        <v>#N/A</v>
      </c>
      <c r="CA18" s="6" t="e">
        <f t="shared" si="73"/>
        <v>#N/A</v>
      </c>
      <c r="CB18" s="7" t="e">
        <f t="shared" si="74"/>
        <v>#N/A</v>
      </c>
      <c r="CC18" s="6" t="e">
        <f t="shared" si="75"/>
        <v>#N/A</v>
      </c>
      <c r="CD18" s="5" t="e">
        <f t="shared" si="76"/>
        <v>#N/A</v>
      </c>
      <c r="CE18" s="6" t="e">
        <f t="shared" si="77"/>
        <v>#N/A</v>
      </c>
      <c r="CF18" s="7" t="e">
        <f t="shared" si="78"/>
        <v>#N/A</v>
      </c>
      <c r="CG18" s="6" t="e">
        <f t="shared" si="79"/>
        <v>#N/A</v>
      </c>
      <c r="CH18" s="7" t="e">
        <f t="shared" si="80"/>
        <v>#N/A</v>
      </c>
      <c r="CI18" s="6" t="e">
        <f t="shared" si="81"/>
        <v>#N/A</v>
      </c>
      <c r="CJ18" s="5" t="e">
        <f t="shared" si="82"/>
        <v>#N/A</v>
      </c>
      <c r="CK18" s="6" t="e">
        <f t="shared" si="83"/>
        <v>#N/A</v>
      </c>
      <c r="CL18" s="7" t="e">
        <f t="shared" si="84"/>
        <v>#N/A</v>
      </c>
      <c r="CM18" s="6" t="e">
        <f t="shared" si="85"/>
        <v>#N/A</v>
      </c>
      <c r="CN18" s="7" t="e">
        <f t="shared" si="86"/>
        <v>#N/A</v>
      </c>
      <c r="CO18" s="6" t="e">
        <f t="shared" si="87"/>
        <v>#N/A</v>
      </c>
      <c r="CP18" s="5" t="e">
        <f t="shared" si="88"/>
        <v>#N/A</v>
      </c>
      <c r="CQ18" s="6" t="e">
        <f t="shared" si="89"/>
        <v>#N/A</v>
      </c>
      <c r="CR18" s="7" t="e">
        <f t="shared" si="90"/>
        <v>#N/A</v>
      </c>
      <c r="CS18" s="7" t="e">
        <f t="shared" si="90"/>
        <v>#N/A</v>
      </c>
      <c r="CT18" s="7" t="e">
        <f t="shared" si="90"/>
        <v>#N/A</v>
      </c>
      <c r="CU18" s="7" t="e">
        <f t="shared" si="90"/>
        <v>#N/A</v>
      </c>
      <c r="CV18" s="5" t="e">
        <f t="shared" si="91"/>
        <v>#N/A</v>
      </c>
      <c r="CW18" s="6" t="e">
        <f t="shared" si="92"/>
        <v>#N/A</v>
      </c>
      <c r="CY18" s="7" t="e">
        <v>#N/A</v>
      </c>
      <c r="CZ18" s="5" t="e">
        <f t="array" ref="CZ18">Summary_UpperBound</f>
        <v>#N/A</v>
      </c>
      <c r="DA18" s="6" t="e">
        <f t="shared" si="93"/>
        <v>#N/A</v>
      </c>
    </row>
    <row r="19" spans="1:105" ht="15" thickBot="1" x14ac:dyDescent="0.4">
      <c r="A19" s="8" t="str">
        <f>'Data Validation (Hide)'!B16</f>
        <v>Caseload 15</v>
      </c>
      <c r="B19" s="34" t="e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#N/A</v>
      </c>
      <c r="C19" s="35" t="e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#N/A</v>
      </c>
      <c r="E19" s="12" t="e" vm="2">
        <f t="shared" ca="1" si="94"/>
        <v>#VALUE!</v>
      </c>
      <c r="F19" s="7" t="e">
        <f t="shared" si="0"/>
        <v>#N/A</v>
      </c>
      <c r="G19" s="6" t="e">
        <f t="shared" si="1"/>
        <v>#N/A</v>
      </c>
      <c r="H19" s="7" t="e">
        <f t="shared" si="2"/>
        <v>#N/A</v>
      </c>
      <c r="I19" s="6" t="e">
        <f t="shared" si="3"/>
        <v>#N/A</v>
      </c>
      <c r="J19" s="5" t="e">
        <f t="shared" si="4"/>
        <v>#N/A</v>
      </c>
      <c r="K19" s="6" t="e">
        <f t="shared" si="5"/>
        <v>#N/A</v>
      </c>
      <c r="L19" s="7" t="e">
        <f t="shared" si="6"/>
        <v>#N/A</v>
      </c>
      <c r="M19" s="6" t="e">
        <f t="shared" si="7"/>
        <v>#N/A</v>
      </c>
      <c r="N19" s="7" t="e">
        <f t="shared" si="8"/>
        <v>#N/A</v>
      </c>
      <c r="O19" s="6" t="e">
        <f t="shared" si="9"/>
        <v>#N/A</v>
      </c>
      <c r="P19" s="5" t="e">
        <f t="shared" si="10"/>
        <v>#N/A</v>
      </c>
      <c r="Q19" s="6" t="e">
        <f t="shared" si="11"/>
        <v>#N/A</v>
      </c>
      <c r="R19" s="7" t="e">
        <f t="shared" si="12"/>
        <v>#N/A</v>
      </c>
      <c r="S19" s="6" t="e">
        <f t="shared" si="13"/>
        <v>#N/A</v>
      </c>
      <c r="T19" s="7" t="e">
        <f t="shared" si="14"/>
        <v>#N/A</v>
      </c>
      <c r="U19" s="6" t="e">
        <f t="shared" si="15"/>
        <v>#N/A</v>
      </c>
      <c r="V19" s="5" t="e">
        <f t="shared" si="16"/>
        <v>#N/A</v>
      </c>
      <c r="W19" s="6" t="e">
        <f t="shared" si="17"/>
        <v>#N/A</v>
      </c>
      <c r="X19" s="7" t="e">
        <f t="shared" si="18"/>
        <v>#N/A</v>
      </c>
      <c r="Y19" s="6" t="e">
        <f t="shared" si="19"/>
        <v>#N/A</v>
      </c>
      <c r="Z19" s="7" t="e">
        <f t="shared" si="20"/>
        <v>#N/A</v>
      </c>
      <c r="AA19" s="6" t="e">
        <f t="shared" si="21"/>
        <v>#N/A</v>
      </c>
      <c r="AB19" s="5" t="e">
        <f t="shared" si="22"/>
        <v>#N/A</v>
      </c>
      <c r="AC19" s="6" t="e">
        <f t="shared" si="23"/>
        <v>#N/A</v>
      </c>
      <c r="AD19" s="7" t="e">
        <f t="shared" si="24"/>
        <v>#N/A</v>
      </c>
      <c r="AE19" s="6" t="e">
        <f t="shared" si="25"/>
        <v>#N/A</v>
      </c>
      <c r="AF19" s="7" t="e">
        <f t="shared" si="26"/>
        <v>#N/A</v>
      </c>
      <c r="AG19" s="6" t="e">
        <f t="shared" si="27"/>
        <v>#N/A</v>
      </c>
      <c r="AH19" s="5" t="e">
        <f t="shared" si="28"/>
        <v>#N/A</v>
      </c>
      <c r="AI19" s="6" t="e">
        <f t="shared" si="29"/>
        <v>#N/A</v>
      </c>
      <c r="AJ19" s="7" t="e">
        <f t="shared" si="30"/>
        <v>#N/A</v>
      </c>
      <c r="AK19" s="6" t="e">
        <f t="shared" si="31"/>
        <v>#N/A</v>
      </c>
      <c r="AL19" s="7" t="e">
        <f t="shared" si="32"/>
        <v>#N/A</v>
      </c>
      <c r="AM19" s="6" t="e">
        <f t="shared" si="33"/>
        <v>#N/A</v>
      </c>
      <c r="AN19" s="5" t="e">
        <f t="shared" si="34"/>
        <v>#N/A</v>
      </c>
      <c r="AO19" s="6" t="e">
        <f t="shared" si="35"/>
        <v>#N/A</v>
      </c>
      <c r="AP19" s="7" t="e">
        <f t="shared" si="36"/>
        <v>#N/A</v>
      </c>
      <c r="AQ19" s="6" t="e">
        <f t="shared" si="37"/>
        <v>#N/A</v>
      </c>
      <c r="AR19" s="7" t="e">
        <f t="shared" si="38"/>
        <v>#N/A</v>
      </c>
      <c r="AS19" s="6" t="e">
        <f t="shared" si="39"/>
        <v>#N/A</v>
      </c>
      <c r="AT19" s="5" t="e">
        <f t="shared" si="40"/>
        <v>#N/A</v>
      </c>
      <c r="AU19" s="6" t="e">
        <f t="shared" si="41"/>
        <v>#N/A</v>
      </c>
      <c r="AV19" s="7" t="e">
        <f t="shared" si="42"/>
        <v>#N/A</v>
      </c>
      <c r="AW19" s="6" t="e">
        <f t="shared" si="43"/>
        <v>#N/A</v>
      </c>
      <c r="AX19" s="7" t="e">
        <f t="shared" si="44"/>
        <v>#N/A</v>
      </c>
      <c r="AY19" s="6" t="e">
        <f t="shared" si="45"/>
        <v>#N/A</v>
      </c>
      <c r="AZ19" s="5" t="e">
        <f t="shared" si="46"/>
        <v>#N/A</v>
      </c>
      <c r="BA19" s="6" t="e">
        <f t="shared" si="47"/>
        <v>#N/A</v>
      </c>
      <c r="BB19" s="7" t="e">
        <f t="shared" si="48"/>
        <v>#N/A</v>
      </c>
      <c r="BC19" s="6" t="e">
        <f t="shared" si="49"/>
        <v>#N/A</v>
      </c>
      <c r="BD19" s="7" t="e">
        <f t="shared" si="50"/>
        <v>#N/A</v>
      </c>
      <c r="BE19" s="6" t="e">
        <f t="shared" si="51"/>
        <v>#N/A</v>
      </c>
      <c r="BF19" s="5" t="e">
        <f t="shared" si="52"/>
        <v>#N/A</v>
      </c>
      <c r="BG19" s="6" t="e">
        <f t="shared" si="53"/>
        <v>#N/A</v>
      </c>
      <c r="BH19" s="7" t="e">
        <f t="shared" si="54"/>
        <v>#N/A</v>
      </c>
      <c r="BI19" s="6" t="e">
        <f t="shared" si="55"/>
        <v>#N/A</v>
      </c>
      <c r="BJ19" s="7" t="e">
        <f t="shared" si="56"/>
        <v>#N/A</v>
      </c>
      <c r="BK19" s="6" t="e">
        <f t="shared" si="57"/>
        <v>#N/A</v>
      </c>
      <c r="BL19" s="5" t="e">
        <f t="shared" si="58"/>
        <v>#N/A</v>
      </c>
      <c r="BM19" s="6" t="e">
        <f t="shared" si="59"/>
        <v>#N/A</v>
      </c>
      <c r="BN19" s="7" t="e">
        <f t="shared" si="60"/>
        <v>#N/A</v>
      </c>
      <c r="BO19" s="6" t="e">
        <f t="shared" si="61"/>
        <v>#N/A</v>
      </c>
      <c r="BP19" s="7" t="e">
        <f t="shared" si="62"/>
        <v>#N/A</v>
      </c>
      <c r="BQ19" s="6" t="e">
        <f t="shared" si="63"/>
        <v>#N/A</v>
      </c>
      <c r="BR19" s="5" t="e">
        <f t="shared" si="64"/>
        <v>#N/A</v>
      </c>
      <c r="BS19" s="6" t="e">
        <f t="shared" si="65"/>
        <v>#N/A</v>
      </c>
      <c r="BT19" s="7" t="e">
        <f t="shared" si="66"/>
        <v>#N/A</v>
      </c>
      <c r="BU19" s="6" t="e">
        <f t="shared" si="67"/>
        <v>#N/A</v>
      </c>
      <c r="BV19" s="7" t="e">
        <f t="shared" si="68"/>
        <v>#N/A</v>
      </c>
      <c r="BW19" s="6" t="e">
        <f t="shared" si="69"/>
        <v>#N/A</v>
      </c>
      <c r="BX19" s="5" t="e">
        <f t="shared" si="70"/>
        <v>#N/A</v>
      </c>
      <c r="BY19" s="6" t="e">
        <f t="shared" si="71"/>
        <v>#N/A</v>
      </c>
      <c r="BZ19" s="7" t="e">
        <f t="shared" si="72"/>
        <v>#N/A</v>
      </c>
      <c r="CA19" s="6" t="e">
        <f t="shared" si="73"/>
        <v>#N/A</v>
      </c>
      <c r="CB19" s="7" t="e">
        <f t="shared" si="74"/>
        <v>#N/A</v>
      </c>
      <c r="CC19" s="6" t="e">
        <f t="shared" si="75"/>
        <v>#N/A</v>
      </c>
      <c r="CD19" s="5" t="e">
        <f t="shared" si="76"/>
        <v>#N/A</v>
      </c>
      <c r="CE19" s="6" t="e">
        <f t="shared" si="77"/>
        <v>#N/A</v>
      </c>
      <c r="CF19" s="7" t="e">
        <f t="shared" si="78"/>
        <v>#N/A</v>
      </c>
      <c r="CG19" s="6" t="e">
        <f t="shared" si="79"/>
        <v>#N/A</v>
      </c>
      <c r="CH19" s="7" t="e">
        <f t="shared" si="80"/>
        <v>#N/A</v>
      </c>
      <c r="CI19" s="6" t="e">
        <f t="shared" si="81"/>
        <v>#N/A</v>
      </c>
      <c r="CJ19" s="5" t="e">
        <f t="shared" si="82"/>
        <v>#N/A</v>
      </c>
      <c r="CK19" s="6" t="e">
        <f t="shared" si="83"/>
        <v>#N/A</v>
      </c>
      <c r="CL19" s="7" t="e">
        <f t="shared" si="84"/>
        <v>#N/A</v>
      </c>
      <c r="CM19" s="6" t="e">
        <f t="shared" si="85"/>
        <v>#N/A</v>
      </c>
      <c r="CN19" s="7" t="e">
        <f t="shared" si="86"/>
        <v>#N/A</v>
      </c>
      <c r="CO19" s="6" t="e">
        <f t="shared" si="87"/>
        <v>#N/A</v>
      </c>
      <c r="CP19" s="5" t="e">
        <f t="shared" si="88"/>
        <v>#N/A</v>
      </c>
      <c r="CQ19" s="6" t="e">
        <f t="shared" si="89"/>
        <v>#N/A</v>
      </c>
      <c r="CR19" s="7" t="e">
        <f t="shared" si="90"/>
        <v>#N/A</v>
      </c>
      <c r="CS19" s="7" t="e">
        <f t="shared" si="90"/>
        <v>#N/A</v>
      </c>
      <c r="CT19" s="7" t="e">
        <f t="shared" si="90"/>
        <v>#N/A</v>
      </c>
      <c r="CU19" s="7" t="e">
        <f t="shared" si="90"/>
        <v>#N/A</v>
      </c>
      <c r="CV19" s="5" t="e">
        <f t="shared" si="91"/>
        <v>#N/A</v>
      </c>
      <c r="CW19" s="6" t="e">
        <f t="shared" si="92"/>
        <v>#N/A</v>
      </c>
      <c r="CY19" s="7" t="e">
        <v>#N/A</v>
      </c>
      <c r="CZ19" s="5" t="e">
        <f t="array" ref="CZ19">Summary_UpperBound</f>
        <v>#N/A</v>
      </c>
      <c r="DA19" s="6" t="e">
        <f t="shared" si="93"/>
        <v>#N/A</v>
      </c>
    </row>
    <row r="20" spans="1:105" x14ac:dyDescent="0.35">
      <c r="B20" s="14"/>
      <c r="E20" s="12" t="e" vm="2">
        <f t="shared" ca="1" si="94"/>
        <v>#VALUE!</v>
      </c>
      <c r="F20" s="7" t="e">
        <f t="shared" si="0"/>
        <v>#N/A</v>
      </c>
      <c r="G20" s="6" t="e">
        <f t="shared" si="1"/>
        <v>#N/A</v>
      </c>
      <c r="H20" s="7" t="e">
        <f t="shared" si="2"/>
        <v>#N/A</v>
      </c>
      <c r="I20" s="6" t="e">
        <f t="shared" si="3"/>
        <v>#N/A</v>
      </c>
      <c r="J20" s="5" t="e">
        <f t="shared" si="4"/>
        <v>#N/A</v>
      </c>
      <c r="K20" s="6" t="e">
        <f t="shared" si="5"/>
        <v>#N/A</v>
      </c>
      <c r="L20" s="7" t="e">
        <f t="shared" si="6"/>
        <v>#N/A</v>
      </c>
      <c r="M20" s="6" t="e">
        <f t="shared" si="7"/>
        <v>#N/A</v>
      </c>
      <c r="N20" s="7" t="e">
        <f t="shared" si="8"/>
        <v>#N/A</v>
      </c>
      <c r="O20" s="6" t="e">
        <f t="shared" si="9"/>
        <v>#N/A</v>
      </c>
      <c r="P20" s="5" t="e">
        <f t="shared" si="10"/>
        <v>#N/A</v>
      </c>
      <c r="Q20" s="6" t="e">
        <f t="shared" si="11"/>
        <v>#N/A</v>
      </c>
      <c r="R20" s="7" t="e">
        <f t="shared" si="12"/>
        <v>#N/A</v>
      </c>
      <c r="S20" s="6" t="e">
        <f t="shared" si="13"/>
        <v>#N/A</v>
      </c>
      <c r="T20" s="7" t="e">
        <f t="shared" si="14"/>
        <v>#N/A</v>
      </c>
      <c r="U20" s="6" t="e">
        <f t="shared" si="15"/>
        <v>#N/A</v>
      </c>
      <c r="V20" s="5" t="e">
        <f t="shared" si="16"/>
        <v>#N/A</v>
      </c>
      <c r="W20" s="6" t="e">
        <f t="shared" si="17"/>
        <v>#N/A</v>
      </c>
      <c r="X20" s="7" t="e">
        <f t="shared" si="18"/>
        <v>#N/A</v>
      </c>
      <c r="Y20" s="6" t="e">
        <f t="shared" si="19"/>
        <v>#N/A</v>
      </c>
      <c r="Z20" s="7" t="e">
        <f t="shared" si="20"/>
        <v>#N/A</v>
      </c>
      <c r="AA20" s="6" t="e">
        <f t="shared" si="21"/>
        <v>#N/A</v>
      </c>
      <c r="AB20" s="5" t="e">
        <f t="shared" si="22"/>
        <v>#N/A</v>
      </c>
      <c r="AC20" s="6" t="e">
        <f t="shared" si="23"/>
        <v>#N/A</v>
      </c>
      <c r="AD20" s="7" t="e">
        <f t="shared" si="24"/>
        <v>#N/A</v>
      </c>
      <c r="AE20" s="6" t="e">
        <f t="shared" si="25"/>
        <v>#N/A</v>
      </c>
      <c r="AF20" s="7" t="e">
        <f t="shared" si="26"/>
        <v>#N/A</v>
      </c>
      <c r="AG20" s="6" t="e">
        <f t="shared" si="27"/>
        <v>#N/A</v>
      </c>
      <c r="AH20" s="5" t="e">
        <f t="shared" si="28"/>
        <v>#N/A</v>
      </c>
      <c r="AI20" s="6" t="e">
        <f t="shared" si="29"/>
        <v>#N/A</v>
      </c>
      <c r="AJ20" s="7" t="e">
        <f t="shared" si="30"/>
        <v>#N/A</v>
      </c>
      <c r="AK20" s="6" t="e">
        <f t="shared" si="31"/>
        <v>#N/A</v>
      </c>
      <c r="AL20" s="7" t="e">
        <f t="shared" si="32"/>
        <v>#N/A</v>
      </c>
      <c r="AM20" s="6" t="e">
        <f t="shared" si="33"/>
        <v>#N/A</v>
      </c>
      <c r="AN20" s="5" t="e">
        <f t="shared" si="34"/>
        <v>#N/A</v>
      </c>
      <c r="AO20" s="6" t="e">
        <f t="shared" si="35"/>
        <v>#N/A</v>
      </c>
      <c r="AP20" s="7" t="e">
        <f t="shared" si="36"/>
        <v>#N/A</v>
      </c>
      <c r="AQ20" s="6" t="e">
        <f t="shared" si="37"/>
        <v>#N/A</v>
      </c>
      <c r="AR20" s="7" t="e">
        <f t="shared" si="38"/>
        <v>#N/A</v>
      </c>
      <c r="AS20" s="6" t="e">
        <f t="shared" si="39"/>
        <v>#N/A</v>
      </c>
      <c r="AT20" s="5" t="e">
        <f t="shared" si="40"/>
        <v>#N/A</v>
      </c>
      <c r="AU20" s="6" t="e">
        <f t="shared" si="41"/>
        <v>#N/A</v>
      </c>
      <c r="AV20" s="7" t="e">
        <f t="shared" si="42"/>
        <v>#N/A</v>
      </c>
      <c r="AW20" s="6" t="e">
        <f t="shared" si="43"/>
        <v>#N/A</v>
      </c>
      <c r="AX20" s="7" t="e">
        <f t="shared" si="44"/>
        <v>#N/A</v>
      </c>
      <c r="AY20" s="6" t="e">
        <f t="shared" si="45"/>
        <v>#N/A</v>
      </c>
      <c r="AZ20" s="5" t="e">
        <f t="shared" si="46"/>
        <v>#N/A</v>
      </c>
      <c r="BA20" s="6" t="e">
        <f t="shared" si="47"/>
        <v>#N/A</v>
      </c>
      <c r="BB20" s="7" t="e">
        <f t="shared" si="48"/>
        <v>#N/A</v>
      </c>
      <c r="BC20" s="6" t="e">
        <f t="shared" si="49"/>
        <v>#N/A</v>
      </c>
      <c r="BD20" s="7" t="e">
        <f t="shared" si="50"/>
        <v>#N/A</v>
      </c>
      <c r="BE20" s="6" t="e">
        <f t="shared" si="51"/>
        <v>#N/A</v>
      </c>
      <c r="BF20" s="5" t="e">
        <f t="shared" si="52"/>
        <v>#N/A</v>
      </c>
      <c r="BG20" s="6" t="e">
        <f t="shared" si="53"/>
        <v>#N/A</v>
      </c>
      <c r="BH20" s="7" t="e">
        <f t="shared" si="54"/>
        <v>#N/A</v>
      </c>
      <c r="BI20" s="6" t="e">
        <f t="shared" si="55"/>
        <v>#N/A</v>
      </c>
      <c r="BJ20" s="7" t="e">
        <f t="shared" si="56"/>
        <v>#N/A</v>
      </c>
      <c r="BK20" s="6" t="e">
        <f t="shared" si="57"/>
        <v>#N/A</v>
      </c>
      <c r="BL20" s="5" t="e">
        <f t="shared" si="58"/>
        <v>#N/A</v>
      </c>
      <c r="BM20" s="6" t="e">
        <f t="shared" si="59"/>
        <v>#N/A</v>
      </c>
      <c r="BN20" s="7" t="e">
        <f t="shared" si="60"/>
        <v>#N/A</v>
      </c>
      <c r="BO20" s="6" t="e">
        <f t="shared" si="61"/>
        <v>#N/A</v>
      </c>
      <c r="BP20" s="7" t="e">
        <f t="shared" si="62"/>
        <v>#N/A</v>
      </c>
      <c r="BQ20" s="6" t="e">
        <f t="shared" si="63"/>
        <v>#N/A</v>
      </c>
      <c r="BR20" s="5" t="e">
        <f t="shared" si="64"/>
        <v>#N/A</v>
      </c>
      <c r="BS20" s="6" t="e">
        <f t="shared" si="65"/>
        <v>#N/A</v>
      </c>
      <c r="BT20" s="7" t="e">
        <f t="shared" si="66"/>
        <v>#N/A</v>
      </c>
      <c r="BU20" s="6" t="e">
        <f t="shared" si="67"/>
        <v>#N/A</v>
      </c>
      <c r="BV20" s="7" t="e">
        <f t="shared" si="68"/>
        <v>#N/A</v>
      </c>
      <c r="BW20" s="6" t="e">
        <f t="shared" si="69"/>
        <v>#N/A</v>
      </c>
      <c r="BX20" s="5" t="e">
        <f t="shared" si="70"/>
        <v>#N/A</v>
      </c>
      <c r="BY20" s="6" t="e">
        <f t="shared" si="71"/>
        <v>#N/A</v>
      </c>
      <c r="BZ20" s="7" t="e">
        <f t="shared" si="72"/>
        <v>#N/A</v>
      </c>
      <c r="CA20" s="6" t="e">
        <f t="shared" si="73"/>
        <v>#N/A</v>
      </c>
      <c r="CB20" s="7" t="e">
        <f t="shared" si="74"/>
        <v>#N/A</v>
      </c>
      <c r="CC20" s="6" t="e">
        <f t="shared" si="75"/>
        <v>#N/A</v>
      </c>
      <c r="CD20" s="5" t="e">
        <f t="shared" si="76"/>
        <v>#N/A</v>
      </c>
      <c r="CE20" s="6" t="e">
        <f t="shared" si="77"/>
        <v>#N/A</v>
      </c>
      <c r="CF20" s="7" t="e">
        <f t="shared" si="78"/>
        <v>#N/A</v>
      </c>
      <c r="CG20" s="6" t="e">
        <f t="shared" si="79"/>
        <v>#N/A</v>
      </c>
      <c r="CH20" s="7" t="e">
        <f t="shared" si="80"/>
        <v>#N/A</v>
      </c>
      <c r="CI20" s="6" t="e">
        <f t="shared" si="81"/>
        <v>#N/A</v>
      </c>
      <c r="CJ20" s="5" t="e">
        <f t="shared" si="82"/>
        <v>#N/A</v>
      </c>
      <c r="CK20" s="6" t="e">
        <f t="shared" si="83"/>
        <v>#N/A</v>
      </c>
      <c r="CL20" s="7" t="e">
        <f t="shared" si="84"/>
        <v>#N/A</v>
      </c>
      <c r="CM20" s="6" t="e">
        <f t="shared" si="85"/>
        <v>#N/A</v>
      </c>
      <c r="CN20" s="7" t="e">
        <f t="shared" si="86"/>
        <v>#N/A</v>
      </c>
      <c r="CO20" s="6" t="e">
        <f t="shared" si="87"/>
        <v>#N/A</v>
      </c>
      <c r="CP20" s="5" t="e">
        <f t="shared" si="88"/>
        <v>#N/A</v>
      </c>
      <c r="CQ20" s="6" t="e">
        <f t="shared" si="89"/>
        <v>#N/A</v>
      </c>
      <c r="CR20" s="7" t="e">
        <f t="shared" si="90"/>
        <v>#N/A</v>
      </c>
      <c r="CS20" s="7" t="e">
        <f t="shared" si="90"/>
        <v>#N/A</v>
      </c>
      <c r="CT20" s="7" t="e">
        <f t="shared" si="90"/>
        <v>#N/A</v>
      </c>
      <c r="CU20" s="7" t="e">
        <f t="shared" si="90"/>
        <v>#N/A</v>
      </c>
      <c r="CV20" s="5" t="e">
        <f t="shared" si="91"/>
        <v>#N/A</v>
      </c>
      <c r="CW20" s="6" t="e">
        <f t="shared" si="92"/>
        <v>#N/A</v>
      </c>
      <c r="CY20" s="7" t="e">
        <v>#N/A</v>
      </c>
      <c r="CZ20" s="5" t="e">
        <f t="array" ref="CZ20">Summary_UpperBound</f>
        <v>#N/A</v>
      </c>
      <c r="DA20" s="6" t="e">
        <f t="shared" si="93"/>
        <v>#N/A</v>
      </c>
    </row>
    <row r="21" spans="1:105" x14ac:dyDescent="0.35">
      <c r="B21" s="14"/>
      <c r="E21" s="12" t="e" vm="2">
        <f t="shared" ca="1" si="94"/>
        <v>#VALUE!</v>
      </c>
      <c r="F21" s="7" t="e">
        <f t="shared" si="0"/>
        <v>#N/A</v>
      </c>
      <c r="G21" s="6" t="e">
        <f t="shared" si="1"/>
        <v>#N/A</v>
      </c>
      <c r="H21" s="7" t="e">
        <f t="shared" si="2"/>
        <v>#N/A</v>
      </c>
      <c r="I21" s="6" t="e">
        <f t="shared" si="3"/>
        <v>#N/A</v>
      </c>
      <c r="J21" s="5" t="e">
        <f t="shared" si="4"/>
        <v>#N/A</v>
      </c>
      <c r="K21" s="6" t="e">
        <f t="shared" si="5"/>
        <v>#N/A</v>
      </c>
      <c r="L21" s="7" t="e">
        <f t="shared" si="6"/>
        <v>#N/A</v>
      </c>
      <c r="M21" s="6" t="e">
        <f t="shared" si="7"/>
        <v>#N/A</v>
      </c>
      <c r="N21" s="7" t="e">
        <f t="shared" si="8"/>
        <v>#N/A</v>
      </c>
      <c r="O21" s="6" t="e">
        <f t="shared" si="9"/>
        <v>#N/A</v>
      </c>
      <c r="P21" s="5" t="e">
        <f t="shared" si="10"/>
        <v>#N/A</v>
      </c>
      <c r="Q21" s="6" t="e">
        <f t="shared" si="11"/>
        <v>#N/A</v>
      </c>
      <c r="R21" s="7" t="e">
        <f t="shared" si="12"/>
        <v>#N/A</v>
      </c>
      <c r="S21" s="6" t="e">
        <f t="shared" si="13"/>
        <v>#N/A</v>
      </c>
      <c r="T21" s="7" t="e">
        <f t="shared" si="14"/>
        <v>#N/A</v>
      </c>
      <c r="U21" s="6" t="e">
        <f t="shared" si="15"/>
        <v>#N/A</v>
      </c>
      <c r="V21" s="5" t="e">
        <f t="shared" si="16"/>
        <v>#N/A</v>
      </c>
      <c r="W21" s="6" t="e">
        <f t="shared" si="17"/>
        <v>#N/A</v>
      </c>
      <c r="X21" s="7" t="e">
        <f t="shared" si="18"/>
        <v>#N/A</v>
      </c>
      <c r="Y21" s="6" t="e">
        <f t="shared" si="19"/>
        <v>#N/A</v>
      </c>
      <c r="Z21" s="7" t="e">
        <f t="shared" si="20"/>
        <v>#N/A</v>
      </c>
      <c r="AA21" s="6" t="e">
        <f t="shared" si="21"/>
        <v>#N/A</v>
      </c>
      <c r="AB21" s="5" t="e">
        <f t="shared" si="22"/>
        <v>#N/A</v>
      </c>
      <c r="AC21" s="6" t="e">
        <f t="shared" si="23"/>
        <v>#N/A</v>
      </c>
      <c r="AD21" s="7" t="e">
        <f t="shared" si="24"/>
        <v>#N/A</v>
      </c>
      <c r="AE21" s="6" t="e">
        <f t="shared" si="25"/>
        <v>#N/A</v>
      </c>
      <c r="AF21" s="7" t="e">
        <f t="shared" si="26"/>
        <v>#N/A</v>
      </c>
      <c r="AG21" s="6" t="e">
        <f t="shared" si="27"/>
        <v>#N/A</v>
      </c>
      <c r="AH21" s="5" t="e">
        <f t="shared" si="28"/>
        <v>#N/A</v>
      </c>
      <c r="AI21" s="6" t="e">
        <f t="shared" si="29"/>
        <v>#N/A</v>
      </c>
      <c r="AJ21" s="7" t="e">
        <f t="shared" si="30"/>
        <v>#N/A</v>
      </c>
      <c r="AK21" s="6" t="e">
        <f t="shared" si="31"/>
        <v>#N/A</v>
      </c>
      <c r="AL21" s="7" t="e">
        <f t="shared" si="32"/>
        <v>#N/A</v>
      </c>
      <c r="AM21" s="6" t="e">
        <f t="shared" si="33"/>
        <v>#N/A</v>
      </c>
      <c r="AN21" s="5" t="e">
        <f t="shared" si="34"/>
        <v>#N/A</v>
      </c>
      <c r="AO21" s="6" t="e">
        <f t="shared" si="35"/>
        <v>#N/A</v>
      </c>
      <c r="AP21" s="7" t="e">
        <f t="shared" si="36"/>
        <v>#N/A</v>
      </c>
      <c r="AQ21" s="6" t="e">
        <f t="shared" si="37"/>
        <v>#N/A</v>
      </c>
      <c r="AR21" s="7" t="e">
        <f t="shared" si="38"/>
        <v>#N/A</v>
      </c>
      <c r="AS21" s="6" t="e">
        <f t="shared" si="39"/>
        <v>#N/A</v>
      </c>
      <c r="AT21" s="5" t="e">
        <f t="shared" si="40"/>
        <v>#N/A</v>
      </c>
      <c r="AU21" s="6" t="e">
        <f t="shared" si="41"/>
        <v>#N/A</v>
      </c>
      <c r="AV21" s="7" t="e">
        <f t="shared" si="42"/>
        <v>#N/A</v>
      </c>
      <c r="AW21" s="6" t="e">
        <f t="shared" si="43"/>
        <v>#N/A</v>
      </c>
      <c r="AX21" s="7" t="e">
        <f t="shared" si="44"/>
        <v>#N/A</v>
      </c>
      <c r="AY21" s="6" t="e">
        <f t="shared" si="45"/>
        <v>#N/A</v>
      </c>
      <c r="AZ21" s="5" t="e">
        <f t="shared" si="46"/>
        <v>#N/A</v>
      </c>
      <c r="BA21" s="6" t="e">
        <f t="shared" si="47"/>
        <v>#N/A</v>
      </c>
      <c r="BB21" s="7" t="e">
        <f t="shared" si="48"/>
        <v>#N/A</v>
      </c>
      <c r="BC21" s="6" t="e">
        <f t="shared" si="49"/>
        <v>#N/A</v>
      </c>
      <c r="BD21" s="7" t="e">
        <f t="shared" si="50"/>
        <v>#N/A</v>
      </c>
      <c r="BE21" s="6" t="e">
        <f t="shared" si="51"/>
        <v>#N/A</v>
      </c>
      <c r="BF21" s="5" t="e">
        <f t="shared" si="52"/>
        <v>#N/A</v>
      </c>
      <c r="BG21" s="6" t="e">
        <f t="shared" si="53"/>
        <v>#N/A</v>
      </c>
      <c r="BH21" s="7" t="e">
        <f t="shared" si="54"/>
        <v>#N/A</v>
      </c>
      <c r="BI21" s="6" t="e">
        <f t="shared" si="55"/>
        <v>#N/A</v>
      </c>
      <c r="BJ21" s="7" t="e">
        <f t="shared" si="56"/>
        <v>#N/A</v>
      </c>
      <c r="BK21" s="6" t="e">
        <f t="shared" si="57"/>
        <v>#N/A</v>
      </c>
      <c r="BL21" s="5" t="e">
        <f t="shared" si="58"/>
        <v>#N/A</v>
      </c>
      <c r="BM21" s="6" t="e">
        <f t="shared" si="59"/>
        <v>#N/A</v>
      </c>
      <c r="BN21" s="7" t="e">
        <f t="shared" si="60"/>
        <v>#N/A</v>
      </c>
      <c r="BO21" s="6" t="e">
        <f t="shared" si="61"/>
        <v>#N/A</v>
      </c>
      <c r="BP21" s="7" t="e">
        <f t="shared" si="62"/>
        <v>#N/A</v>
      </c>
      <c r="BQ21" s="6" t="e">
        <f t="shared" si="63"/>
        <v>#N/A</v>
      </c>
      <c r="BR21" s="5" t="e">
        <f t="shared" si="64"/>
        <v>#N/A</v>
      </c>
      <c r="BS21" s="6" t="e">
        <f t="shared" si="65"/>
        <v>#N/A</v>
      </c>
      <c r="BT21" s="7" t="e">
        <f t="shared" si="66"/>
        <v>#N/A</v>
      </c>
      <c r="BU21" s="6" t="e">
        <f t="shared" si="67"/>
        <v>#N/A</v>
      </c>
      <c r="BV21" s="7" t="e">
        <f t="shared" si="68"/>
        <v>#N/A</v>
      </c>
      <c r="BW21" s="6" t="e">
        <f t="shared" si="69"/>
        <v>#N/A</v>
      </c>
      <c r="BX21" s="5" t="e">
        <f t="shared" si="70"/>
        <v>#N/A</v>
      </c>
      <c r="BY21" s="6" t="e">
        <f t="shared" si="71"/>
        <v>#N/A</v>
      </c>
      <c r="BZ21" s="7" t="e">
        <f t="shared" si="72"/>
        <v>#N/A</v>
      </c>
      <c r="CA21" s="6" t="e">
        <f t="shared" si="73"/>
        <v>#N/A</v>
      </c>
      <c r="CB21" s="7" t="e">
        <f t="shared" si="74"/>
        <v>#N/A</v>
      </c>
      <c r="CC21" s="6" t="e">
        <f t="shared" si="75"/>
        <v>#N/A</v>
      </c>
      <c r="CD21" s="5" t="e">
        <f t="shared" si="76"/>
        <v>#N/A</v>
      </c>
      <c r="CE21" s="6" t="e">
        <f t="shared" si="77"/>
        <v>#N/A</v>
      </c>
      <c r="CF21" s="7" t="e">
        <f t="shared" si="78"/>
        <v>#N/A</v>
      </c>
      <c r="CG21" s="6" t="e">
        <f t="shared" si="79"/>
        <v>#N/A</v>
      </c>
      <c r="CH21" s="7" t="e">
        <f t="shared" si="80"/>
        <v>#N/A</v>
      </c>
      <c r="CI21" s="6" t="e">
        <f t="shared" si="81"/>
        <v>#N/A</v>
      </c>
      <c r="CJ21" s="5" t="e">
        <f t="shared" si="82"/>
        <v>#N/A</v>
      </c>
      <c r="CK21" s="6" t="e">
        <f t="shared" si="83"/>
        <v>#N/A</v>
      </c>
      <c r="CL21" s="7" t="e">
        <f t="shared" si="84"/>
        <v>#N/A</v>
      </c>
      <c r="CM21" s="6" t="e">
        <f t="shared" si="85"/>
        <v>#N/A</v>
      </c>
      <c r="CN21" s="7" t="e">
        <f t="shared" si="86"/>
        <v>#N/A</v>
      </c>
      <c r="CO21" s="6" t="e">
        <f t="shared" si="87"/>
        <v>#N/A</v>
      </c>
      <c r="CP21" s="5" t="e">
        <f t="shared" si="88"/>
        <v>#N/A</v>
      </c>
      <c r="CQ21" s="6" t="e">
        <f t="shared" si="89"/>
        <v>#N/A</v>
      </c>
      <c r="CR21" s="7" t="e">
        <f t="shared" si="90"/>
        <v>#N/A</v>
      </c>
      <c r="CS21" s="7" t="e">
        <f t="shared" si="90"/>
        <v>#N/A</v>
      </c>
      <c r="CT21" s="7" t="e">
        <f t="shared" si="90"/>
        <v>#N/A</v>
      </c>
      <c r="CU21" s="7" t="e">
        <f t="shared" si="90"/>
        <v>#N/A</v>
      </c>
      <c r="CV21" s="5" t="e">
        <f t="shared" si="91"/>
        <v>#N/A</v>
      </c>
      <c r="CW21" s="6" t="e">
        <f t="shared" si="92"/>
        <v>#N/A</v>
      </c>
      <c r="CY21" s="7" t="e">
        <v>#N/A</v>
      </c>
      <c r="CZ21" s="5" t="e">
        <f t="array" ref="CZ21">Summary_UpperBound</f>
        <v>#N/A</v>
      </c>
      <c r="DA21" s="6" t="e">
        <f t="shared" si="93"/>
        <v>#N/A</v>
      </c>
    </row>
    <row r="22" spans="1:105" x14ac:dyDescent="0.35">
      <c r="B22" s="14"/>
      <c r="E22" s="12" t="e" vm="2">
        <f t="shared" ca="1" si="94"/>
        <v>#VALUE!</v>
      </c>
      <c r="F22" s="7" t="e">
        <f t="shared" si="0"/>
        <v>#N/A</v>
      </c>
      <c r="G22" s="6" t="e">
        <f t="shared" si="1"/>
        <v>#N/A</v>
      </c>
      <c r="H22" s="7" t="e">
        <f t="shared" si="2"/>
        <v>#N/A</v>
      </c>
      <c r="I22" s="6" t="e">
        <f t="shared" si="3"/>
        <v>#N/A</v>
      </c>
      <c r="J22" s="5" t="e">
        <f t="shared" si="4"/>
        <v>#N/A</v>
      </c>
      <c r="K22" s="6" t="e">
        <f t="shared" si="5"/>
        <v>#N/A</v>
      </c>
      <c r="L22" s="7" t="e">
        <f t="shared" si="6"/>
        <v>#N/A</v>
      </c>
      <c r="M22" s="6" t="e">
        <f t="shared" si="7"/>
        <v>#N/A</v>
      </c>
      <c r="N22" s="7" t="e">
        <f t="shared" si="8"/>
        <v>#N/A</v>
      </c>
      <c r="O22" s="6" t="e">
        <f t="shared" si="9"/>
        <v>#N/A</v>
      </c>
      <c r="P22" s="5" t="e">
        <f t="shared" si="10"/>
        <v>#N/A</v>
      </c>
      <c r="Q22" s="6" t="e">
        <f t="shared" si="11"/>
        <v>#N/A</v>
      </c>
      <c r="R22" s="7" t="e">
        <f t="shared" si="12"/>
        <v>#N/A</v>
      </c>
      <c r="S22" s="6" t="e">
        <f t="shared" si="13"/>
        <v>#N/A</v>
      </c>
      <c r="T22" s="7" t="e">
        <f t="shared" si="14"/>
        <v>#N/A</v>
      </c>
      <c r="U22" s="6" t="e">
        <f t="shared" si="15"/>
        <v>#N/A</v>
      </c>
      <c r="V22" s="5" t="e">
        <f t="shared" si="16"/>
        <v>#N/A</v>
      </c>
      <c r="W22" s="6" t="e">
        <f t="shared" si="17"/>
        <v>#N/A</v>
      </c>
      <c r="X22" s="7" t="e">
        <f t="shared" si="18"/>
        <v>#N/A</v>
      </c>
      <c r="Y22" s="6" t="e">
        <f t="shared" si="19"/>
        <v>#N/A</v>
      </c>
      <c r="Z22" s="7" t="e">
        <f t="shared" si="20"/>
        <v>#N/A</v>
      </c>
      <c r="AA22" s="6" t="e">
        <f t="shared" si="21"/>
        <v>#N/A</v>
      </c>
      <c r="AB22" s="5" t="e">
        <f t="shared" si="22"/>
        <v>#N/A</v>
      </c>
      <c r="AC22" s="6" t="e">
        <f t="shared" si="23"/>
        <v>#N/A</v>
      </c>
      <c r="AD22" s="7" t="e">
        <f t="shared" si="24"/>
        <v>#N/A</v>
      </c>
      <c r="AE22" s="6" t="e">
        <f t="shared" si="25"/>
        <v>#N/A</v>
      </c>
      <c r="AF22" s="7" t="e">
        <f t="shared" si="26"/>
        <v>#N/A</v>
      </c>
      <c r="AG22" s="6" t="e">
        <f t="shared" si="27"/>
        <v>#N/A</v>
      </c>
      <c r="AH22" s="5" t="e">
        <f t="shared" si="28"/>
        <v>#N/A</v>
      </c>
      <c r="AI22" s="6" t="e">
        <f t="shared" si="29"/>
        <v>#N/A</v>
      </c>
      <c r="AJ22" s="7" t="e">
        <f t="shared" si="30"/>
        <v>#N/A</v>
      </c>
      <c r="AK22" s="6" t="e">
        <f t="shared" si="31"/>
        <v>#N/A</v>
      </c>
      <c r="AL22" s="7" t="e">
        <f t="shared" si="32"/>
        <v>#N/A</v>
      </c>
      <c r="AM22" s="6" t="e">
        <f t="shared" si="33"/>
        <v>#N/A</v>
      </c>
      <c r="AN22" s="5" t="e">
        <f t="shared" si="34"/>
        <v>#N/A</v>
      </c>
      <c r="AO22" s="6" t="e">
        <f t="shared" si="35"/>
        <v>#N/A</v>
      </c>
      <c r="AP22" s="7" t="e">
        <f t="shared" si="36"/>
        <v>#N/A</v>
      </c>
      <c r="AQ22" s="6" t="e">
        <f t="shared" si="37"/>
        <v>#N/A</v>
      </c>
      <c r="AR22" s="7" t="e">
        <f t="shared" si="38"/>
        <v>#N/A</v>
      </c>
      <c r="AS22" s="6" t="e">
        <f t="shared" si="39"/>
        <v>#N/A</v>
      </c>
      <c r="AT22" s="5" t="e">
        <f t="shared" si="40"/>
        <v>#N/A</v>
      </c>
      <c r="AU22" s="6" t="e">
        <f t="shared" si="41"/>
        <v>#N/A</v>
      </c>
      <c r="AV22" s="7" t="e">
        <f t="shared" si="42"/>
        <v>#N/A</v>
      </c>
      <c r="AW22" s="6" t="e">
        <f t="shared" si="43"/>
        <v>#N/A</v>
      </c>
      <c r="AX22" s="7" t="e">
        <f t="shared" si="44"/>
        <v>#N/A</v>
      </c>
      <c r="AY22" s="6" t="e">
        <f t="shared" si="45"/>
        <v>#N/A</v>
      </c>
      <c r="AZ22" s="5" t="e">
        <f t="shared" si="46"/>
        <v>#N/A</v>
      </c>
      <c r="BA22" s="6" t="e">
        <f t="shared" si="47"/>
        <v>#N/A</v>
      </c>
      <c r="BB22" s="7" t="e">
        <f t="shared" si="48"/>
        <v>#N/A</v>
      </c>
      <c r="BC22" s="6" t="e">
        <f t="shared" si="49"/>
        <v>#N/A</v>
      </c>
      <c r="BD22" s="7" t="e">
        <f t="shared" si="50"/>
        <v>#N/A</v>
      </c>
      <c r="BE22" s="6" t="e">
        <f t="shared" si="51"/>
        <v>#N/A</v>
      </c>
      <c r="BF22" s="5" t="e">
        <f t="shared" si="52"/>
        <v>#N/A</v>
      </c>
      <c r="BG22" s="6" t="e">
        <f t="shared" si="53"/>
        <v>#N/A</v>
      </c>
      <c r="BH22" s="7" t="e">
        <f t="shared" si="54"/>
        <v>#N/A</v>
      </c>
      <c r="BI22" s="6" t="e">
        <f t="shared" si="55"/>
        <v>#N/A</v>
      </c>
      <c r="BJ22" s="7" t="e">
        <f t="shared" si="56"/>
        <v>#N/A</v>
      </c>
      <c r="BK22" s="6" t="e">
        <f t="shared" si="57"/>
        <v>#N/A</v>
      </c>
      <c r="BL22" s="5" t="e">
        <f t="shared" si="58"/>
        <v>#N/A</v>
      </c>
      <c r="BM22" s="6" t="e">
        <f t="shared" si="59"/>
        <v>#N/A</v>
      </c>
      <c r="BN22" s="7" t="e">
        <f t="shared" si="60"/>
        <v>#N/A</v>
      </c>
      <c r="BO22" s="6" t="e">
        <f t="shared" si="61"/>
        <v>#N/A</v>
      </c>
      <c r="BP22" s="7" t="e">
        <f t="shared" si="62"/>
        <v>#N/A</v>
      </c>
      <c r="BQ22" s="6" t="e">
        <f t="shared" si="63"/>
        <v>#N/A</v>
      </c>
      <c r="BR22" s="5" t="e">
        <f t="shared" si="64"/>
        <v>#N/A</v>
      </c>
      <c r="BS22" s="6" t="e">
        <f t="shared" si="65"/>
        <v>#N/A</v>
      </c>
      <c r="BT22" s="7" t="e">
        <f t="shared" si="66"/>
        <v>#N/A</v>
      </c>
      <c r="BU22" s="6" t="e">
        <f t="shared" si="67"/>
        <v>#N/A</v>
      </c>
      <c r="BV22" s="7" t="e">
        <f t="shared" si="68"/>
        <v>#N/A</v>
      </c>
      <c r="BW22" s="6" t="e">
        <f t="shared" si="69"/>
        <v>#N/A</v>
      </c>
      <c r="BX22" s="5" t="e">
        <f t="shared" si="70"/>
        <v>#N/A</v>
      </c>
      <c r="BY22" s="6" t="e">
        <f t="shared" si="71"/>
        <v>#N/A</v>
      </c>
      <c r="BZ22" s="7" t="e">
        <f t="shared" si="72"/>
        <v>#N/A</v>
      </c>
      <c r="CA22" s="6" t="e">
        <f t="shared" si="73"/>
        <v>#N/A</v>
      </c>
      <c r="CB22" s="7" t="e">
        <f t="shared" si="74"/>
        <v>#N/A</v>
      </c>
      <c r="CC22" s="6" t="e">
        <f t="shared" si="75"/>
        <v>#N/A</v>
      </c>
      <c r="CD22" s="5" t="e">
        <f t="shared" si="76"/>
        <v>#N/A</v>
      </c>
      <c r="CE22" s="6" t="e">
        <f t="shared" si="77"/>
        <v>#N/A</v>
      </c>
      <c r="CF22" s="7" t="e">
        <f t="shared" si="78"/>
        <v>#N/A</v>
      </c>
      <c r="CG22" s="6" t="e">
        <f t="shared" si="79"/>
        <v>#N/A</v>
      </c>
      <c r="CH22" s="7" t="e">
        <f t="shared" si="80"/>
        <v>#N/A</v>
      </c>
      <c r="CI22" s="6" t="e">
        <f t="shared" si="81"/>
        <v>#N/A</v>
      </c>
      <c r="CJ22" s="5" t="e">
        <f t="shared" si="82"/>
        <v>#N/A</v>
      </c>
      <c r="CK22" s="6" t="e">
        <f t="shared" si="83"/>
        <v>#N/A</v>
      </c>
      <c r="CL22" s="7" t="e">
        <f t="shared" si="84"/>
        <v>#N/A</v>
      </c>
      <c r="CM22" s="6" t="e">
        <f t="shared" si="85"/>
        <v>#N/A</v>
      </c>
      <c r="CN22" s="7" t="e">
        <f t="shared" si="86"/>
        <v>#N/A</v>
      </c>
      <c r="CO22" s="6" t="e">
        <f t="shared" si="87"/>
        <v>#N/A</v>
      </c>
      <c r="CP22" s="5" t="e">
        <f t="shared" si="88"/>
        <v>#N/A</v>
      </c>
      <c r="CQ22" s="6" t="e">
        <f t="shared" si="89"/>
        <v>#N/A</v>
      </c>
      <c r="CR22" s="7" t="e">
        <f t="shared" si="90"/>
        <v>#N/A</v>
      </c>
      <c r="CS22" s="7" t="e">
        <f t="shared" si="90"/>
        <v>#N/A</v>
      </c>
      <c r="CT22" s="7" t="e">
        <f t="shared" si="90"/>
        <v>#N/A</v>
      </c>
      <c r="CU22" s="7" t="e">
        <f t="shared" si="90"/>
        <v>#N/A</v>
      </c>
      <c r="CV22" s="5" t="e">
        <f t="shared" si="91"/>
        <v>#N/A</v>
      </c>
      <c r="CW22" s="6" t="e">
        <f t="shared" si="92"/>
        <v>#N/A</v>
      </c>
      <c r="CY22" s="7" t="e">
        <v>#N/A</v>
      </c>
      <c r="CZ22" s="5" t="e">
        <f t="array" ref="CZ22">Summary_UpperBound</f>
        <v>#N/A</v>
      </c>
      <c r="DA22" s="6" t="e">
        <f t="shared" si="93"/>
        <v>#N/A</v>
      </c>
    </row>
    <row r="23" spans="1:105" x14ac:dyDescent="0.35">
      <c r="B23" s="14"/>
      <c r="E23" s="12" t="e" vm="2">
        <f t="shared" ca="1" si="94"/>
        <v>#VALUE!</v>
      </c>
      <c r="F23" s="7" t="e">
        <f t="shared" si="0"/>
        <v>#N/A</v>
      </c>
      <c r="G23" s="6" t="e">
        <f t="shared" si="1"/>
        <v>#N/A</v>
      </c>
      <c r="H23" s="7" t="e">
        <f t="shared" si="2"/>
        <v>#N/A</v>
      </c>
      <c r="I23" s="6" t="e">
        <f t="shared" si="3"/>
        <v>#N/A</v>
      </c>
      <c r="J23" s="5" t="e">
        <f t="shared" si="4"/>
        <v>#N/A</v>
      </c>
      <c r="K23" s="6" t="e">
        <f t="shared" si="5"/>
        <v>#N/A</v>
      </c>
      <c r="L23" s="7" t="e">
        <f t="shared" si="6"/>
        <v>#N/A</v>
      </c>
      <c r="M23" s="6" t="e">
        <f t="shared" si="7"/>
        <v>#N/A</v>
      </c>
      <c r="N23" s="7" t="e">
        <f t="shared" si="8"/>
        <v>#N/A</v>
      </c>
      <c r="O23" s="6" t="e">
        <f t="shared" si="9"/>
        <v>#N/A</v>
      </c>
      <c r="P23" s="5" t="e">
        <f t="shared" si="10"/>
        <v>#N/A</v>
      </c>
      <c r="Q23" s="6" t="e">
        <f t="shared" si="11"/>
        <v>#N/A</v>
      </c>
      <c r="R23" s="7" t="e">
        <f t="shared" si="12"/>
        <v>#N/A</v>
      </c>
      <c r="S23" s="6" t="e">
        <f t="shared" si="13"/>
        <v>#N/A</v>
      </c>
      <c r="T23" s="7" t="e">
        <f t="shared" si="14"/>
        <v>#N/A</v>
      </c>
      <c r="U23" s="6" t="e">
        <f t="shared" si="15"/>
        <v>#N/A</v>
      </c>
      <c r="V23" s="5" t="e">
        <f t="shared" si="16"/>
        <v>#N/A</v>
      </c>
      <c r="W23" s="6" t="e">
        <f t="shared" si="17"/>
        <v>#N/A</v>
      </c>
      <c r="X23" s="7" t="e">
        <f t="shared" si="18"/>
        <v>#N/A</v>
      </c>
      <c r="Y23" s="6" t="e">
        <f t="shared" si="19"/>
        <v>#N/A</v>
      </c>
      <c r="Z23" s="7" t="e">
        <f t="shared" si="20"/>
        <v>#N/A</v>
      </c>
      <c r="AA23" s="6" t="e">
        <f t="shared" si="21"/>
        <v>#N/A</v>
      </c>
      <c r="AB23" s="5" t="e">
        <f t="shared" si="22"/>
        <v>#N/A</v>
      </c>
      <c r="AC23" s="6" t="e">
        <f t="shared" si="23"/>
        <v>#N/A</v>
      </c>
      <c r="AD23" s="7" t="e">
        <f t="shared" si="24"/>
        <v>#N/A</v>
      </c>
      <c r="AE23" s="6" t="e">
        <f t="shared" si="25"/>
        <v>#N/A</v>
      </c>
      <c r="AF23" s="7" t="e">
        <f t="shared" si="26"/>
        <v>#N/A</v>
      </c>
      <c r="AG23" s="6" t="e">
        <f t="shared" si="27"/>
        <v>#N/A</v>
      </c>
      <c r="AH23" s="5" t="e">
        <f t="shared" si="28"/>
        <v>#N/A</v>
      </c>
      <c r="AI23" s="6" t="e">
        <f t="shared" si="29"/>
        <v>#N/A</v>
      </c>
      <c r="AJ23" s="7" t="e">
        <f t="shared" si="30"/>
        <v>#N/A</v>
      </c>
      <c r="AK23" s="6" t="e">
        <f t="shared" si="31"/>
        <v>#N/A</v>
      </c>
      <c r="AL23" s="7" t="e">
        <f t="shared" si="32"/>
        <v>#N/A</v>
      </c>
      <c r="AM23" s="6" t="e">
        <f t="shared" si="33"/>
        <v>#N/A</v>
      </c>
      <c r="AN23" s="5" t="e">
        <f t="shared" si="34"/>
        <v>#N/A</v>
      </c>
      <c r="AO23" s="6" t="e">
        <f t="shared" si="35"/>
        <v>#N/A</v>
      </c>
      <c r="AP23" s="7" t="e">
        <f t="shared" si="36"/>
        <v>#N/A</v>
      </c>
      <c r="AQ23" s="6" t="e">
        <f t="shared" si="37"/>
        <v>#N/A</v>
      </c>
      <c r="AR23" s="7" t="e">
        <f t="shared" si="38"/>
        <v>#N/A</v>
      </c>
      <c r="AS23" s="6" t="e">
        <f t="shared" si="39"/>
        <v>#N/A</v>
      </c>
      <c r="AT23" s="5" t="e">
        <f t="shared" si="40"/>
        <v>#N/A</v>
      </c>
      <c r="AU23" s="6" t="e">
        <f t="shared" si="41"/>
        <v>#N/A</v>
      </c>
      <c r="AV23" s="7" t="e">
        <f t="shared" si="42"/>
        <v>#N/A</v>
      </c>
      <c r="AW23" s="6" t="e">
        <f t="shared" si="43"/>
        <v>#N/A</v>
      </c>
      <c r="AX23" s="7" t="e">
        <f t="shared" si="44"/>
        <v>#N/A</v>
      </c>
      <c r="AY23" s="6" t="e">
        <f t="shared" si="45"/>
        <v>#N/A</v>
      </c>
      <c r="AZ23" s="5" t="e">
        <f t="shared" si="46"/>
        <v>#N/A</v>
      </c>
      <c r="BA23" s="6" t="e">
        <f t="shared" si="47"/>
        <v>#N/A</v>
      </c>
      <c r="BB23" s="7" t="e">
        <f t="shared" si="48"/>
        <v>#N/A</v>
      </c>
      <c r="BC23" s="6" t="e">
        <f t="shared" si="49"/>
        <v>#N/A</v>
      </c>
      <c r="BD23" s="7" t="e">
        <f t="shared" si="50"/>
        <v>#N/A</v>
      </c>
      <c r="BE23" s="6" t="e">
        <f t="shared" si="51"/>
        <v>#N/A</v>
      </c>
      <c r="BF23" s="5" t="e">
        <f t="shared" si="52"/>
        <v>#N/A</v>
      </c>
      <c r="BG23" s="6" t="e">
        <f t="shared" si="53"/>
        <v>#N/A</v>
      </c>
      <c r="BH23" s="7" t="e">
        <f t="shared" si="54"/>
        <v>#N/A</v>
      </c>
      <c r="BI23" s="6" t="e">
        <f t="shared" si="55"/>
        <v>#N/A</v>
      </c>
      <c r="BJ23" s="7" t="e">
        <f t="shared" si="56"/>
        <v>#N/A</v>
      </c>
      <c r="BK23" s="6" t="e">
        <f t="shared" si="57"/>
        <v>#N/A</v>
      </c>
      <c r="BL23" s="5" t="e">
        <f t="shared" si="58"/>
        <v>#N/A</v>
      </c>
      <c r="BM23" s="6" t="e">
        <f t="shared" si="59"/>
        <v>#N/A</v>
      </c>
      <c r="BN23" s="7" t="e">
        <f t="shared" si="60"/>
        <v>#N/A</v>
      </c>
      <c r="BO23" s="6" t="e">
        <f t="shared" si="61"/>
        <v>#N/A</v>
      </c>
      <c r="BP23" s="7" t="e">
        <f t="shared" si="62"/>
        <v>#N/A</v>
      </c>
      <c r="BQ23" s="6" t="e">
        <f t="shared" si="63"/>
        <v>#N/A</v>
      </c>
      <c r="BR23" s="5" t="e">
        <f t="shared" si="64"/>
        <v>#N/A</v>
      </c>
      <c r="BS23" s="6" t="e">
        <f t="shared" si="65"/>
        <v>#N/A</v>
      </c>
      <c r="BT23" s="7" t="e">
        <f t="shared" si="66"/>
        <v>#N/A</v>
      </c>
      <c r="BU23" s="6" t="e">
        <f t="shared" si="67"/>
        <v>#N/A</v>
      </c>
      <c r="BV23" s="7" t="e">
        <f t="shared" si="68"/>
        <v>#N/A</v>
      </c>
      <c r="BW23" s="6" t="e">
        <f t="shared" si="69"/>
        <v>#N/A</v>
      </c>
      <c r="BX23" s="5" t="e">
        <f t="shared" si="70"/>
        <v>#N/A</v>
      </c>
      <c r="BY23" s="6" t="e">
        <f t="shared" si="71"/>
        <v>#N/A</v>
      </c>
      <c r="BZ23" s="7" t="e">
        <f t="shared" si="72"/>
        <v>#N/A</v>
      </c>
      <c r="CA23" s="6" t="e">
        <f t="shared" si="73"/>
        <v>#N/A</v>
      </c>
      <c r="CB23" s="7" t="e">
        <f t="shared" si="74"/>
        <v>#N/A</v>
      </c>
      <c r="CC23" s="6" t="e">
        <f t="shared" si="75"/>
        <v>#N/A</v>
      </c>
      <c r="CD23" s="5" t="e">
        <f t="shared" si="76"/>
        <v>#N/A</v>
      </c>
      <c r="CE23" s="6" t="e">
        <f t="shared" si="77"/>
        <v>#N/A</v>
      </c>
      <c r="CF23" s="7" t="e">
        <f t="shared" si="78"/>
        <v>#N/A</v>
      </c>
      <c r="CG23" s="6" t="e">
        <f t="shared" si="79"/>
        <v>#N/A</v>
      </c>
      <c r="CH23" s="7" t="e">
        <f t="shared" si="80"/>
        <v>#N/A</v>
      </c>
      <c r="CI23" s="6" t="e">
        <f t="shared" si="81"/>
        <v>#N/A</v>
      </c>
      <c r="CJ23" s="5" t="e">
        <f t="shared" si="82"/>
        <v>#N/A</v>
      </c>
      <c r="CK23" s="6" t="e">
        <f t="shared" si="83"/>
        <v>#N/A</v>
      </c>
      <c r="CL23" s="7" t="e">
        <f t="shared" si="84"/>
        <v>#N/A</v>
      </c>
      <c r="CM23" s="6" t="e">
        <f t="shared" si="85"/>
        <v>#N/A</v>
      </c>
      <c r="CN23" s="7" t="e">
        <f t="shared" si="86"/>
        <v>#N/A</v>
      </c>
      <c r="CO23" s="6" t="e">
        <f t="shared" si="87"/>
        <v>#N/A</v>
      </c>
      <c r="CP23" s="5" t="e">
        <f t="shared" si="88"/>
        <v>#N/A</v>
      </c>
      <c r="CQ23" s="6" t="e">
        <f t="shared" si="89"/>
        <v>#N/A</v>
      </c>
      <c r="CR23" s="7" t="e">
        <f t="shared" si="90"/>
        <v>#N/A</v>
      </c>
      <c r="CS23" s="7" t="e">
        <f t="shared" si="90"/>
        <v>#N/A</v>
      </c>
      <c r="CT23" s="7" t="e">
        <f t="shared" si="90"/>
        <v>#N/A</v>
      </c>
      <c r="CU23" s="7" t="e">
        <f t="shared" si="90"/>
        <v>#N/A</v>
      </c>
      <c r="CV23" s="5" t="e">
        <f t="shared" si="91"/>
        <v>#N/A</v>
      </c>
      <c r="CW23" s="6" t="e">
        <f t="shared" si="92"/>
        <v>#N/A</v>
      </c>
      <c r="CY23" s="7" t="e">
        <v>#N/A</v>
      </c>
      <c r="CZ23" s="5" t="e">
        <f t="array" ref="CZ23">Summary_UpperBound</f>
        <v>#N/A</v>
      </c>
      <c r="DA23" s="6" t="e">
        <f t="shared" si="93"/>
        <v>#N/A</v>
      </c>
    </row>
    <row r="24" spans="1:105" x14ac:dyDescent="0.35">
      <c r="B24" s="14"/>
      <c r="E24" s="12" t="e" vm="2">
        <f t="shared" ca="1" si="94"/>
        <v>#VALUE!</v>
      </c>
      <c r="F24" s="7" t="e">
        <f t="shared" si="0"/>
        <v>#N/A</v>
      </c>
      <c r="G24" s="6" t="e">
        <f t="shared" si="1"/>
        <v>#N/A</v>
      </c>
      <c r="H24" s="7" t="e">
        <f t="shared" si="2"/>
        <v>#N/A</v>
      </c>
      <c r="I24" s="6" t="e">
        <f t="shared" si="3"/>
        <v>#N/A</v>
      </c>
      <c r="J24" s="5" t="e">
        <f t="shared" si="4"/>
        <v>#N/A</v>
      </c>
      <c r="K24" s="6" t="e">
        <f t="shared" si="5"/>
        <v>#N/A</v>
      </c>
      <c r="L24" s="7" t="e">
        <f t="shared" si="6"/>
        <v>#N/A</v>
      </c>
      <c r="M24" s="6" t="e">
        <f t="shared" si="7"/>
        <v>#N/A</v>
      </c>
      <c r="N24" s="7" t="e">
        <f t="shared" si="8"/>
        <v>#N/A</v>
      </c>
      <c r="O24" s="6" t="e">
        <f t="shared" si="9"/>
        <v>#N/A</v>
      </c>
      <c r="P24" s="5" t="e">
        <f t="shared" si="10"/>
        <v>#N/A</v>
      </c>
      <c r="Q24" s="6" t="e">
        <f t="shared" si="11"/>
        <v>#N/A</v>
      </c>
      <c r="R24" s="7" t="e">
        <f t="shared" si="12"/>
        <v>#N/A</v>
      </c>
      <c r="S24" s="6" t="e">
        <f t="shared" si="13"/>
        <v>#N/A</v>
      </c>
      <c r="T24" s="7" t="e">
        <f t="shared" si="14"/>
        <v>#N/A</v>
      </c>
      <c r="U24" s="6" t="e">
        <f t="shared" si="15"/>
        <v>#N/A</v>
      </c>
      <c r="V24" s="5" t="e">
        <f t="shared" si="16"/>
        <v>#N/A</v>
      </c>
      <c r="W24" s="6" t="e">
        <f t="shared" si="17"/>
        <v>#N/A</v>
      </c>
      <c r="X24" s="7" t="e">
        <f t="shared" si="18"/>
        <v>#N/A</v>
      </c>
      <c r="Y24" s="6" t="e">
        <f t="shared" si="19"/>
        <v>#N/A</v>
      </c>
      <c r="Z24" s="7" t="e">
        <f t="shared" si="20"/>
        <v>#N/A</v>
      </c>
      <c r="AA24" s="6" t="e">
        <f t="shared" si="21"/>
        <v>#N/A</v>
      </c>
      <c r="AB24" s="5" t="e">
        <f t="shared" si="22"/>
        <v>#N/A</v>
      </c>
      <c r="AC24" s="6" t="e">
        <f t="shared" si="23"/>
        <v>#N/A</v>
      </c>
      <c r="AD24" s="7" t="e">
        <f t="shared" si="24"/>
        <v>#N/A</v>
      </c>
      <c r="AE24" s="6" t="e">
        <f t="shared" si="25"/>
        <v>#N/A</v>
      </c>
      <c r="AF24" s="7" t="e">
        <f t="shared" si="26"/>
        <v>#N/A</v>
      </c>
      <c r="AG24" s="6" t="e">
        <f t="shared" si="27"/>
        <v>#N/A</v>
      </c>
      <c r="AH24" s="5" t="e">
        <f t="shared" si="28"/>
        <v>#N/A</v>
      </c>
      <c r="AI24" s="6" t="e">
        <f t="shared" si="29"/>
        <v>#N/A</v>
      </c>
      <c r="AJ24" s="7" t="e">
        <f t="shared" si="30"/>
        <v>#N/A</v>
      </c>
      <c r="AK24" s="6" t="e">
        <f t="shared" si="31"/>
        <v>#N/A</v>
      </c>
      <c r="AL24" s="7" t="e">
        <f t="shared" si="32"/>
        <v>#N/A</v>
      </c>
      <c r="AM24" s="6" t="e">
        <f t="shared" si="33"/>
        <v>#N/A</v>
      </c>
      <c r="AN24" s="5" t="e">
        <f t="shared" si="34"/>
        <v>#N/A</v>
      </c>
      <c r="AO24" s="6" t="e">
        <f t="shared" si="35"/>
        <v>#N/A</v>
      </c>
      <c r="AP24" s="7" t="e">
        <f t="shared" si="36"/>
        <v>#N/A</v>
      </c>
      <c r="AQ24" s="6" t="e">
        <f t="shared" si="37"/>
        <v>#N/A</v>
      </c>
      <c r="AR24" s="7" t="e">
        <f t="shared" si="38"/>
        <v>#N/A</v>
      </c>
      <c r="AS24" s="6" t="e">
        <f t="shared" si="39"/>
        <v>#N/A</v>
      </c>
      <c r="AT24" s="5" t="e">
        <f t="shared" si="40"/>
        <v>#N/A</v>
      </c>
      <c r="AU24" s="6" t="e">
        <f t="shared" si="41"/>
        <v>#N/A</v>
      </c>
      <c r="AV24" s="7" t="e">
        <f t="shared" si="42"/>
        <v>#N/A</v>
      </c>
      <c r="AW24" s="6" t="e">
        <f t="shared" si="43"/>
        <v>#N/A</v>
      </c>
      <c r="AX24" s="7" t="e">
        <f t="shared" si="44"/>
        <v>#N/A</v>
      </c>
      <c r="AY24" s="6" t="e">
        <f t="shared" si="45"/>
        <v>#N/A</v>
      </c>
      <c r="AZ24" s="5" t="e">
        <f t="shared" si="46"/>
        <v>#N/A</v>
      </c>
      <c r="BA24" s="6" t="e">
        <f t="shared" si="47"/>
        <v>#N/A</v>
      </c>
      <c r="BB24" s="7" t="e">
        <f t="shared" si="48"/>
        <v>#N/A</v>
      </c>
      <c r="BC24" s="6" t="e">
        <f t="shared" si="49"/>
        <v>#N/A</v>
      </c>
      <c r="BD24" s="7" t="e">
        <f t="shared" si="50"/>
        <v>#N/A</v>
      </c>
      <c r="BE24" s="6" t="e">
        <f t="shared" si="51"/>
        <v>#N/A</v>
      </c>
      <c r="BF24" s="5" t="e">
        <f t="shared" si="52"/>
        <v>#N/A</v>
      </c>
      <c r="BG24" s="6" t="e">
        <f t="shared" si="53"/>
        <v>#N/A</v>
      </c>
      <c r="BH24" s="7" t="e">
        <f t="shared" si="54"/>
        <v>#N/A</v>
      </c>
      <c r="BI24" s="6" t="e">
        <f t="shared" si="55"/>
        <v>#N/A</v>
      </c>
      <c r="BJ24" s="7" t="e">
        <f t="shared" si="56"/>
        <v>#N/A</v>
      </c>
      <c r="BK24" s="6" t="e">
        <f t="shared" si="57"/>
        <v>#N/A</v>
      </c>
      <c r="BL24" s="5" t="e">
        <f t="shared" si="58"/>
        <v>#N/A</v>
      </c>
      <c r="BM24" s="6" t="e">
        <f t="shared" si="59"/>
        <v>#N/A</v>
      </c>
      <c r="BN24" s="7" t="e">
        <f t="shared" si="60"/>
        <v>#N/A</v>
      </c>
      <c r="BO24" s="6" t="e">
        <f t="shared" si="61"/>
        <v>#N/A</v>
      </c>
      <c r="BP24" s="7" t="e">
        <f t="shared" si="62"/>
        <v>#N/A</v>
      </c>
      <c r="BQ24" s="6" t="e">
        <f t="shared" si="63"/>
        <v>#N/A</v>
      </c>
      <c r="BR24" s="5" t="e">
        <f t="shared" si="64"/>
        <v>#N/A</v>
      </c>
      <c r="BS24" s="6" t="e">
        <f t="shared" si="65"/>
        <v>#N/A</v>
      </c>
      <c r="BT24" s="7" t="e">
        <f t="shared" si="66"/>
        <v>#N/A</v>
      </c>
      <c r="BU24" s="6" t="e">
        <f t="shared" si="67"/>
        <v>#N/A</v>
      </c>
      <c r="BV24" s="7" t="e">
        <f t="shared" si="68"/>
        <v>#N/A</v>
      </c>
      <c r="BW24" s="6" t="e">
        <f t="shared" si="69"/>
        <v>#N/A</v>
      </c>
      <c r="BX24" s="5" t="e">
        <f t="shared" si="70"/>
        <v>#N/A</v>
      </c>
      <c r="BY24" s="6" t="e">
        <f t="shared" si="71"/>
        <v>#N/A</v>
      </c>
      <c r="BZ24" s="7" t="e">
        <f t="shared" si="72"/>
        <v>#N/A</v>
      </c>
      <c r="CA24" s="6" t="e">
        <f t="shared" si="73"/>
        <v>#N/A</v>
      </c>
      <c r="CB24" s="7" t="e">
        <f t="shared" si="74"/>
        <v>#N/A</v>
      </c>
      <c r="CC24" s="6" t="e">
        <f t="shared" si="75"/>
        <v>#N/A</v>
      </c>
      <c r="CD24" s="5" t="e">
        <f t="shared" si="76"/>
        <v>#N/A</v>
      </c>
      <c r="CE24" s="6" t="e">
        <f t="shared" si="77"/>
        <v>#N/A</v>
      </c>
      <c r="CF24" s="7" t="e">
        <f t="shared" si="78"/>
        <v>#N/A</v>
      </c>
      <c r="CG24" s="6" t="e">
        <f t="shared" si="79"/>
        <v>#N/A</v>
      </c>
      <c r="CH24" s="7" t="e">
        <f t="shared" si="80"/>
        <v>#N/A</v>
      </c>
      <c r="CI24" s="6" t="e">
        <f t="shared" si="81"/>
        <v>#N/A</v>
      </c>
      <c r="CJ24" s="5" t="e">
        <f t="shared" si="82"/>
        <v>#N/A</v>
      </c>
      <c r="CK24" s="6" t="e">
        <f t="shared" si="83"/>
        <v>#N/A</v>
      </c>
      <c r="CL24" s="7" t="e">
        <f t="shared" si="84"/>
        <v>#N/A</v>
      </c>
      <c r="CM24" s="6" t="e">
        <f t="shared" si="85"/>
        <v>#N/A</v>
      </c>
      <c r="CN24" s="7" t="e">
        <f t="shared" si="86"/>
        <v>#N/A</v>
      </c>
      <c r="CO24" s="6" t="e">
        <f t="shared" si="87"/>
        <v>#N/A</v>
      </c>
      <c r="CP24" s="5" t="e">
        <f t="shared" si="88"/>
        <v>#N/A</v>
      </c>
      <c r="CQ24" s="6" t="e">
        <f t="shared" si="89"/>
        <v>#N/A</v>
      </c>
      <c r="CR24" s="7" t="e">
        <f t="shared" si="90"/>
        <v>#N/A</v>
      </c>
      <c r="CS24" s="7" t="e">
        <f t="shared" si="90"/>
        <v>#N/A</v>
      </c>
      <c r="CT24" s="7" t="e">
        <f t="shared" si="90"/>
        <v>#N/A</v>
      </c>
      <c r="CU24" s="7" t="e">
        <f t="shared" si="90"/>
        <v>#N/A</v>
      </c>
      <c r="CV24" s="5" t="e">
        <f t="shared" si="91"/>
        <v>#N/A</v>
      </c>
      <c r="CW24" s="6" t="e">
        <f t="shared" si="92"/>
        <v>#N/A</v>
      </c>
      <c r="CY24" s="7" t="e">
        <v>#N/A</v>
      </c>
      <c r="CZ24" s="5" t="e">
        <f t="array" ref="CZ24">Summary_UpperBound</f>
        <v>#N/A</v>
      </c>
      <c r="DA24" s="6" t="e">
        <f t="shared" si="93"/>
        <v>#N/A</v>
      </c>
    </row>
    <row r="25" spans="1:105" x14ac:dyDescent="0.35">
      <c r="B25" s="14"/>
      <c r="E25" s="12" t="e" vm="2">
        <f t="shared" ca="1" si="94"/>
        <v>#VALUE!</v>
      </c>
      <c r="F25" s="7" t="e">
        <f t="shared" si="0"/>
        <v>#N/A</v>
      </c>
      <c r="G25" s="6" t="e">
        <f t="shared" si="1"/>
        <v>#N/A</v>
      </c>
      <c r="H25" s="7" t="e">
        <f t="shared" si="2"/>
        <v>#N/A</v>
      </c>
      <c r="I25" s="6" t="e">
        <f t="shared" si="3"/>
        <v>#N/A</v>
      </c>
      <c r="J25" s="5" t="e">
        <f t="shared" si="4"/>
        <v>#N/A</v>
      </c>
      <c r="K25" s="6" t="e">
        <f t="shared" si="5"/>
        <v>#N/A</v>
      </c>
      <c r="L25" s="7" t="e">
        <f t="shared" si="6"/>
        <v>#N/A</v>
      </c>
      <c r="M25" s="6" t="e">
        <f t="shared" si="7"/>
        <v>#N/A</v>
      </c>
      <c r="N25" s="7" t="e">
        <f t="shared" si="8"/>
        <v>#N/A</v>
      </c>
      <c r="O25" s="6" t="e">
        <f t="shared" si="9"/>
        <v>#N/A</v>
      </c>
      <c r="P25" s="5" t="e">
        <f t="shared" si="10"/>
        <v>#N/A</v>
      </c>
      <c r="Q25" s="6" t="e">
        <f t="shared" si="11"/>
        <v>#N/A</v>
      </c>
      <c r="R25" s="7" t="e">
        <f t="shared" si="12"/>
        <v>#N/A</v>
      </c>
      <c r="S25" s="6" t="e">
        <f t="shared" si="13"/>
        <v>#N/A</v>
      </c>
      <c r="T25" s="7" t="e">
        <f t="shared" si="14"/>
        <v>#N/A</v>
      </c>
      <c r="U25" s="6" t="e">
        <f t="shared" si="15"/>
        <v>#N/A</v>
      </c>
      <c r="V25" s="5" t="e">
        <f t="shared" si="16"/>
        <v>#N/A</v>
      </c>
      <c r="W25" s="6" t="e">
        <f t="shared" si="17"/>
        <v>#N/A</v>
      </c>
      <c r="X25" s="7" t="e">
        <f t="shared" si="18"/>
        <v>#N/A</v>
      </c>
      <c r="Y25" s="6" t="e">
        <f t="shared" si="19"/>
        <v>#N/A</v>
      </c>
      <c r="Z25" s="7" t="e">
        <f t="shared" si="20"/>
        <v>#N/A</v>
      </c>
      <c r="AA25" s="6" t="e">
        <f t="shared" si="21"/>
        <v>#N/A</v>
      </c>
      <c r="AB25" s="5" t="e">
        <f t="shared" si="22"/>
        <v>#N/A</v>
      </c>
      <c r="AC25" s="6" t="e">
        <f t="shared" si="23"/>
        <v>#N/A</v>
      </c>
      <c r="AD25" s="7" t="e">
        <f t="shared" si="24"/>
        <v>#N/A</v>
      </c>
      <c r="AE25" s="6" t="e">
        <f t="shared" si="25"/>
        <v>#N/A</v>
      </c>
      <c r="AF25" s="7" t="e">
        <f t="shared" si="26"/>
        <v>#N/A</v>
      </c>
      <c r="AG25" s="6" t="e">
        <f t="shared" si="27"/>
        <v>#N/A</v>
      </c>
      <c r="AH25" s="5" t="e">
        <f t="shared" si="28"/>
        <v>#N/A</v>
      </c>
      <c r="AI25" s="6" t="e">
        <f t="shared" si="29"/>
        <v>#N/A</v>
      </c>
      <c r="AJ25" s="7" t="e">
        <f t="shared" si="30"/>
        <v>#N/A</v>
      </c>
      <c r="AK25" s="6" t="e">
        <f t="shared" si="31"/>
        <v>#N/A</v>
      </c>
      <c r="AL25" s="7" t="e">
        <f t="shared" si="32"/>
        <v>#N/A</v>
      </c>
      <c r="AM25" s="6" t="e">
        <f t="shared" si="33"/>
        <v>#N/A</v>
      </c>
      <c r="AN25" s="5" t="e">
        <f t="shared" si="34"/>
        <v>#N/A</v>
      </c>
      <c r="AO25" s="6" t="e">
        <f t="shared" si="35"/>
        <v>#N/A</v>
      </c>
      <c r="AP25" s="7" t="e">
        <f t="shared" si="36"/>
        <v>#N/A</v>
      </c>
      <c r="AQ25" s="6" t="e">
        <f t="shared" si="37"/>
        <v>#N/A</v>
      </c>
      <c r="AR25" s="7" t="e">
        <f t="shared" si="38"/>
        <v>#N/A</v>
      </c>
      <c r="AS25" s="6" t="e">
        <f t="shared" si="39"/>
        <v>#N/A</v>
      </c>
      <c r="AT25" s="5" t="e">
        <f t="shared" si="40"/>
        <v>#N/A</v>
      </c>
      <c r="AU25" s="6" t="e">
        <f t="shared" si="41"/>
        <v>#N/A</v>
      </c>
      <c r="AV25" s="7" t="e">
        <f t="shared" si="42"/>
        <v>#N/A</v>
      </c>
      <c r="AW25" s="6" t="e">
        <f t="shared" si="43"/>
        <v>#N/A</v>
      </c>
      <c r="AX25" s="7" t="e">
        <f t="shared" si="44"/>
        <v>#N/A</v>
      </c>
      <c r="AY25" s="6" t="e">
        <f t="shared" si="45"/>
        <v>#N/A</v>
      </c>
      <c r="AZ25" s="5" t="e">
        <f t="shared" si="46"/>
        <v>#N/A</v>
      </c>
      <c r="BA25" s="6" t="e">
        <f t="shared" si="47"/>
        <v>#N/A</v>
      </c>
      <c r="BB25" s="7" t="e">
        <f t="shared" si="48"/>
        <v>#N/A</v>
      </c>
      <c r="BC25" s="6" t="e">
        <f t="shared" si="49"/>
        <v>#N/A</v>
      </c>
      <c r="BD25" s="7" t="e">
        <f t="shared" si="50"/>
        <v>#N/A</v>
      </c>
      <c r="BE25" s="6" t="e">
        <f t="shared" si="51"/>
        <v>#N/A</v>
      </c>
      <c r="BF25" s="5" t="e">
        <f t="shared" si="52"/>
        <v>#N/A</v>
      </c>
      <c r="BG25" s="6" t="e">
        <f t="shared" si="53"/>
        <v>#N/A</v>
      </c>
      <c r="BH25" s="7" t="e">
        <f t="shared" si="54"/>
        <v>#N/A</v>
      </c>
      <c r="BI25" s="6" t="e">
        <f t="shared" si="55"/>
        <v>#N/A</v>
      </c>
      <c r="BJ25" s="7" t="e">
        <f t="shared" si="56"/>
        <v>#N/A</v>
      </c>
      <c r="BK25" s="6" t="e">
        <f t="shared" si="57"/>
        <v>#N/A</v>
      </c>
      <c r="BL25" s="5" t="e">
        <f t="shared" si="58"/>
        <v>#N/A</v>
      </c>
      <c r="BM25" s="6" t="e">
        <f t="shared" si="59"/>
        <v>#N/A</v>
      </c>
      <c r="BN25" s="7" t="e">
        <f t="shared" si="60"/>
        <v>#N/A</v>
      </c>
      <c r="BO25" s="6" t="e">
        <f t="shared" si="61"/>
        <v>#N/A</v>
      </c>
      <c r="BP25" s="7" t="e">
        <f t="shared" si="62"/>
        <v>#N/A</v>
      </c>
      <c r="BQ25" s="6" t="e">
        <f t="shared" si="63"/>
        <v>#N/A</v>
      </c>
      <c r="BR25" s="5" t="e">
        <f t="shared" si="64"/>
        <v>#N/A</v>
      </c>
      <c r="BS25" s="6" t="e">
        <f t="shared" si="65"/>
        <v>#N/A</v>
      </c>
      <c r="BT25" s="7" t="e">
        <f t="shared" si="66"/>
        <v>#N/A</v>
      </c>
      <c r="BU25" s="6" t="e">
        <f t="shared" si="67"/>
        <v>#N/A</v>
      </c>
      <c r="BV25" s="7" t="e">
        <f t="shared" si="68"/>
        <v>#N/A</v>
      </c>
      <c r="BW25" s="6" t="e">
        <f t="shared" si="69"/>
        <v>#N/A</v>
      </c>
      <c r="BX25" s="5" t="e">
        <f t="shared" si="70"/>
        <v>#N/A</v>
      </c>
      <c r="BY25" s="6" t="e">
        <f t="shared" si="71"/>
        <v>#N/A</v>
      </c>
      <c r="BZ25" s="7" t="e">
        <f t="shared" si="72"/>
        <v>#N/A</v>
      </c>
      <c r="CA25" s="6" t="e">
        <f t="shared" si="73"/>
        <v>#N/A</v>
      </c>
      <c r="CB25" s="7" t="e">
        <f t="shared" si="74"/>
        <v>#N/A</v>
      </c>
      <c r="CC25" s="6" t="e">
        <f t="shared" si="75"/>
        <v>#N/A</v>
      </c>
      <c r="CD25" s="5" t="e">
        <f t="shared" si="76"/>
        <v>#N/A</v>
      </c>
      <c r="CE25" s="6" t="e">
        <f t="shared" si="77"/>
        <v>#N/A</v>
      </c>
      <c r="CF25" s="7" t="e">
        <f t="shared" si="78"/>
        <v>#N/A</v>
      </c>
      <c r="CG25" s="6" t="e">
        <f t="shared" si="79"/>
        <v>#N/A</v>
      </c>
      <c r="CH25" s="7" t="e">
        <f t="shared" si="80"/>
        <v>#N/A</v>
      </c>
      <c r="CI25" s="6" t="e">
        <f t="shared" si="81"/>
        <v>#N/A</v>
      </c>
      <c r="CJ25" s="5" t="e">
        <f t="shared" si="82"/>
        <v>#N/A</v>
      </c>
      <c r="CK25" s="6" t="e">
        <f t="shared" si="83"/>
        <v>#N/A</v>
      </c>
      <c r="CL25" s="7" t="e">
        <f t="shared" si="84"/>
        <v>#N/A</v>
      </c>
      <c r="CM25" s="6" t="e">
        <f t="shared" si="85"/>
        <v>#N/A</v>
      </c>
      <c r="CN25" s="7" t="e">
        <f t="shared" si="86"/>
        <v>#N/A</v>
      </c>
      <c r="CO25" s="6" t="e">
        <f t="shared" si="87"/>
        <v>#N/A</v>
      </c>
      <c r="CP25" s="5" t="e">
        <f t="shared" si="88"/>
        <v>#N/A</v>
      </c>
      <c r="CQ25" s="6" t="e">
        <f t="shared" si="89"/>
        <v>#N/A</v>
      </c>
      <c r="CR25" s="7" t="e">
        <f t="shared" si="90"/>
        <v>#N/A</v>
      </c>
      <c r="CS25" s="7" t="e">
        <f t="shared" si="90"/>
        <v>#N/A</v>
      </c>
      <c r="CT25" s="7" t="e">
        <f t="shared" si="90"/>
        <v>#N/A</v>
      </c>
      <c r="CU25" s="7" t="e">
        <f t="shared" si="90"/>
        <v>#N/A</v>
      </c>
      <c r="CV25" s="5" t="e">
        <f t="shared" si="91"/>
        <v>#N/A</v>
      </c>
      <c r="CW25" s="6" t="e">
        <f t="shared" si="92"/>
        <v>#N/A</v>
      </c>
      <c r="CY25" s="7" t="e">
        <v>#N/A</v>
      </c>
      <c r="CZ25" s="5" t="e">
        <f t="array" ref="CZ25">Summary_UpperBound</f>
        <v>#N/A</v>
      </c>
      <c r="DA25" s="6" t="e">
        <f t="shared" si="93"/>
        <v>#N/A</v>
      </c>
    </row>
    <row r="26" spans="1:105" x14ac:dyDescent="0.35">
      <c r="B26" s="14"/>
      <c r="E26" s="12" t="e" vm="2">
        <f t="shared" ca="1" si="94"/>
        <v>#VALUE!</v>
      </c>
      <c r="F26" s="7" t="e">
        <f t="shared" si="0"/>
        <v>#N/A</v>
      </c>
      <c r="G26" s="6" t="e">
        <f t="shared" si="1"/>
        <v>#N/A</v>
      </c>
      <c r="H26" s="7" t="e">
        <f t="shared" si="2"/>
        <v>#N/A</v>
      </c>
      <c r="I26" s="6" t="e">
        <f t="shared" si="3"/>
        <v>#N/A</v>
      </c>
      <c r="J26" s="5" t="e">
        <f t="shared" si="4"/>
        <v>#N/A</v>
      </c>
      <c r="K26" s="6" t="e">
        <f t="shared" si="5"/>
        <v>#N/A</v>
      </c>
      <c r="L26" s="7" t="e">
        <f t="shared" si="6"/>
        <v>#N/A</v>
      </c>
      <c r="M26" s="6" t="e">
        <f t="shared" si="7"/>
        <v>#N/A</v>
      </c>
      <c r="N26" s="7" t="e">
        <f t="shared" si="8"/>
        <v>#N/A</v>
      </c>
      <c r="O26" s="6" t="e">
        <f t="shared" si="9"/>
        <v>#N/A</v>
      </c>
      <c r="P26" s="5" t="e">
        <f t="shared" si="10"/>
        <v>#N/A</v>
      </c>
      <c r="Q26" s="6" t="e">
        <f t="shared" si="11"/>
        <v>#N/A</v>
      </c>
      <c r="R26" s="7" t="e">
        <f t="shared" si="12"/>
        <v>#N/A</v>
      </c>
      <c r="S26" s="6" t="e">
        <f t="shared" si="13"/>
        <v>#N/A</v>
      </c>
      <c r="T26" s="7" t="e">
        <f t="shared" si="14"/>
        <v>#N/A</v>
      </c>
      <c r="U26" s="6" t="e">
        <f t="shared" si="15"/>
        <v>#N/A</v>
      </c>
      <c r="V26" s="5" t="e">
        <f t="shared" si="16"/>
        <v>#N/A</v>
      </c>
      <c r="W26" s="6" t="e">
        <f t="shared" si="17"/>
        <v>#N/A</v>
      </c>
      <c r="X26" s="7" t="e">
        <f t="shared" si="18"/>
        <v>#N/A</v>
      </c>
      <c r="Y26" s="6" t="e">
        <f t="shared" si="19"/>
        <v>#N/A</v>
      </c>
      <c r="Z26" s="7" t="e">
        <f t="shared" si="20"/>
        <v>#N/A</v>
      </c>
      <c r="AA26" s="6" t="e">
        <f t="shared" si="21"/>
        <v>#N/A</v>
      </c>
      <c r="AB26" s="5" t="e">
        <f t="shared" si="22"/>
        <v>#N/A</v>
      </c>
      <c r="AC26" s="6" t="e">
        <f t="shared" si="23"/>
        <v>#N/A</v>
      </c>
      <c r="AD26" s="7" t="e">
        <f t="shared" si="24"/>
        <v>#N/A</v>
      </c>
      <c r="AE26" s="6" t="e">
        <f t="shared" si="25"/>
        <v>#N/A</v>
      </c>
      <c r="AF26" s="7" t="e">
        <f t="shared" si="26"/>
        <v>#N/A</v>
      </c>
      <c r="AG26" s="6" t="e">
        <f t="shared" si="27"/>
        <v>#N/A</v>
      </c>
      <c r="AH26" s="5" t="e">
        <f t="shared" si="28"/>
        <v>#N/A</v>
      </c>
      <c r="AI26" s="6" t="e">
        <f t="shared" si="29"/>
        <v>#N/A</v>
      </c>
      <c r="AJ26" s="7" t="e">
        <f t="shared" si="30"/>
        <v>#N/A</v>
      </c>
      <c r="AK26" s="6" t="e">
        <f t="shared" si="31"/>
        <v>#N/A</v>
      </c>
      <c r="AL26" s="7" t="e">
        <f t="shared" si="32"/>
        <v>#N/A</v>
      </c>
      <c r="AM26" s="6" t="e">
        <f t="shared" si="33"/>
        <v>#N/A</v>
      </c>
      <c r="AN26" s="5" t="e">
        <f t="shared" si="34"/>
        <v>#N/A</v>
      </c>
      <c r="AO26" s="6" t="e">
        <f t="shared" si="35"/>
        <v>#N/A</v>
      </c>
      <c r="AP26" s="7" t="e">
        <f t="shared" si="36"/>
        <v>#N/A</v>
      </c>
      <c r="AQ26" s="6" t="e">
        <f t="shared" si="37"/>
        <v>#N/A</v>
      </c>
      <c r="AR26" s="7" t="e">
        <f t="shared" si="38"/>
        <v>#N/A</v>
      </c>
      <c r="AS26" s="6" t="e">
        <f t="shared" si="39"/>
        <v>#N/A</v>
      </c>
      <c r="AT26" s="5" t="e">
        <f t="shared" si="40"/>
        <v>#N/A</v>
      </c>
      <c r="AU26" s="6" t="e">
        <f t="shared" si="41"/>
        <v>#N/A</v>
      </c>
      <c r="AV26" s="7" t="e">
        <f t="shared" si="42"/>
        <v>#N/A</v>
      </c>
      <c r="AW26" s="6" t="e">
        <f t="shared" si="43"/>
        <v>#N/A</v>
      </c>
      <c r="AX26" s="7" t="e">
        <f t="shared" si="44"/>
        <v>#N/A</v>
      </c>
      <c r="AY26" s="6" t="e">
        <f t="shared" si="45"/>
        <v>#N/A</v>
      </c>
      <c r="AZ26" s="5" t="e">
        <f t="shared" si="46"/>
        <v>#N/A</v>
      </c>
      <c r="BA26" s="6" t="e">
        <f t="shared" si="47"/>
        <v>#N/A</v>
      </c>
      <c r="BB26" s="7" t="e">
        <f t="shared" si="48"/>
        <v>#N/A</v>
      </c>
      <c r="BC26" s="6" t="e">
        <f t="shared" si="49"/>
        <v>#N/A</v>
      </c>
      <c r="BD26" s="7" t="e">
        <f t="shared" si="50"/>
        <v>#N/A</v>
      </c>
      <c r="BE26" s="6" t="e">
        <f t="shared" si="51"/>
        <v>#N/A</v>
      </c>
      <c r="BF26" s="5" t="e">
        <f t="shared" si="52"/>
        <v>#N/A</v>
      </c>
      <c r="BG26" s="6" t="e">
        <f t="shared" si="53"/>
        <v>#N/A</v>
      </c>
      <c r="BH26" s="7" t="e">
        <f t="shared" si="54"/>
        <v>#N/A</v>
      </c>
      <c r="BI26" s="6" t="e">
        <f t="shared" si="55"/>
        <v>#N/A</v>
      </c>
      <c r="BJ26" s="7" t="e">
        <f t="shared" si="56"/>
        <v>#N/A</v>
      </c>
      <c r="BK26" s="6" t="e">
        <f t="shared" si="57"/>
        <v>#N/A</v>
      </c>
      <c r="BL26" s="5" t="e">
        <f t="shared" si="58"/>
        <v>#N/A</v>
      </c>
      <c r="BM26" s="6" t="e">
        <f t="shared" si="59"/>
        <v>#N/A</v>
      </c>
      <c r="BN26" s="7" t="e">
        <f t="shared" si="60"/>
        <v>#N/A</v>
      </c>
      <c r="BO26" s="6" t="e">
        <f t="shared" si="61"/>
        <v>#N/A</v>
      </c>
      <c r="BP26" s="7" t="e">
        <f t="shared" si="62"/>
        <v>#N/A</v>
      </c>
      <c r="BQ26" s="6" t="e">
        <f t="shared" si="63"/>
        <v>#N/A</v>
      </c>
      <c r="BR26" s="5" t="e">
        <f t="shared" si="64"/>
        <v>#N/A</v>
      </c>
      <c r="BS26" s="6" t="e">
        <f t="shared" si="65"/>
        <v>#N/A</v>
      </c>
      <c r="BT26" s="7" t="e">
        <f t="shared" si="66"/>
        <v>#N/A</v>
      </c>
      <c r="BU26" s="6" t="e">
        <f t="shared" si="67"/>
        <v>#N/A</v>
      </c>
      <c r="BV26" s="7" t="e">
        <f t="shared" si="68"/>
        <v>#N/A</v>
      </c>
      <c r="BW26" s="6" t="e">
        <f t="shared" si="69"/>
        <v>#N/A</v>
      </c>
      <c r="BX26" s="5" t="e">
        <f t="shared" si="70"/>
        <v>#N/A</v>
      </c>
      <c r="BY26" s="6" t="e">
        <f t="shared" si="71"/>
        <v>#N/A</v>
      </c>
      <c r="BZ26" s="7" t="e">
        <f t="shared" si="72"/>
        <v>#N/A</v>
      </c>
      <c r="CA26" s="6" t="e">
        <f t="shared" si="73"/>
        <v>#N/A</v>
      </c>
      <c r="CB26" s="7" t="e">
        <f t="shared" si="74"/>
        <v>#N/A</v>
      </c>
      <c r="CC26" s="6" t="e">
        <f t="shared" si="75"/>
        <v>#N/A</v>
      </c>
      <c r="CD26" s="5" t="e">
        <f t="shared" si="76"/>
        <v>#N/A</v>
      </c>
      <c r="CE26" s="6" t="e">
        <f t="shared" si="77"/>
        <v>#N/A</v>
      </c>
      <c r="CF26" s="7" t="e">
        <f t="shared" si="78"/>
        <v>#N/A</v>
      </c>
      <c r="CG26" s="6" t="e">
        <f t="shared" si="79"/>
        <v>#N/A</v>
      </c>
      <c r="CH26" s="7" t="e">
        <f t="shared" si="80"/>
        <v>#N/A</v>
      </c>
      <c r="CI26" s="6" t="e">
        <f t="shared" si="81"/>
        <v>#N/A</v>
      </c>
      <c r="CJ26" s="5" t="e">
        <f t="shared" si="82"/>
        <v>#N/A</v>
      </c>
      <c r="CK26" s="6" t="e">
        <f t="shared" si="83"/>
        <v>#N/A</v>
      </c>
      <c r="CL26" s="7" t="e">
        <f t="shared" si="84"/>
        <v>#N/A</v>
      </c>
      <c r="CM26" s="6" t="e">
        <f t="shared" si="85"/>
        <v>#N/A</v>
      </c>
      <c r="CN26" s="7" t="e">
        <f t="shared" si="86"/>
        <v>#N/A</v>
      </c>
      <c r="CO26" s="6" t="e">
        <f t="shared" si="87"/>
        <v>#N/A</v>
      </c>
      <c r="CP26" s="5" t="e">
        <f t="shared" si="88"/>
        <v>#N/A</v>
      </c>
      <c r="CQ26" s="6" t="e">
        <f t="shared" si="89"/>
        <v>#N/A</v>
      </c>
      <c r="CR26" s="7" t="e">
        <f t="shared" si="90"/>
        <v>#N/A</v>
      </c>
      <c r="CS26" s="7" t="e">
        <f t="shared" si="90"/>
        <v>#N/A</v>
      </c>
      <c r="CT26" s="7" t="e">
        <f t="shared" si="90"/>
        <v>#N/A</v>
      </c>
      <c r="CU26" s="7" t="e">
        <f t="shared" si="90"/>
        <v>#N/A</v>
      </c>
      <c r="CV26" s="5" t="e">
        <f t="shared" si="91"/>
        <v>#N/A</v>
      </c>
      <c r="CW26" s="6" t="e">
        <f t="shared" si="92"/>
        <v>#N/A</v>
      </c>
      <c r="CY26" s="7" t="e">
        <v>#N/A</v>
      </c>
      <c r="CZ26" s="5" t="e">
        <f t="array" ref="CZ26">Summary_UpperBound</f>
        <v>#N/A</v>
      </c>
      <c r="DA26" s="6" t="e">
        <f t="shared" si="93"/>
        <v>#N/A</v>
      </c>
    </row>
    <row r="27" spans="1:105" x14ac:dyDescent="0.35">
      <c r="B27" s="14"/>
      <c r="E27" s="12" t="e" vm="2">
        <f t="shared" ca="1" si="94"/>
        <v>#VALUE!</v>
      </c>
      <c r="F27" s="7" t="e">
        <f t="shared" si="0"/>
        <v>#N/A</v>
      </c>
      <c r="G27" s="6" t="e">
        <f t="shared" si="1"/>
        <v>#N/A</v>
      </c>
      <c r="H27" s="7" t="e">
        <f t="shared" si="2"/>
        <v>#N/A</v>
      </c>
      <c r="I27" s="6" t="e">
        <f t="shared" si="3"/>
        <v>#N/A</v>
      </c>
      <c r="J27" s="5" t="e">
        <f t="shared" si="4"/>
        <v>#N/A</v>
      </c>
      <c r="K27" s="6" t="e">
        <f t="shared" si="5"/>
        <v>#N/A</v>
      </c>
      <c r="L27" s="7" t="e">
        <f t="shared" si="6"/>
        <v>#N/A</v>
      </c>
      <c r="M27" s="6" t="e">
        <f t="shared" si="7"/>
        <v>#N/A</v>
      </c>
      <c r="N27" s="7" t="e">
        <f t="shared" si="8"/>
        <v>#N/A</v>
      </c>
      <c r="O27" s="6" t="e">
        <f t="shared" si="9"/>
        <v>#N/A</v>
      </c>
      <c r="P27" s="5" t="e">
        <f t="shared" si="10"/>
        <v>#N/A</v>
      </c>
      <c r="Q27" s="6" t="e">
        <f t="shared" si="11"/>
        <v>#N/A</v>
      </c>
      <c r="R27" s="7" t="e">
        <f t="shared" si="12"/>
        <v>#N/A</v>
      </c>
      <c r="S27" s="6" t="e">
        <f t="shared" si="13"/>
        <v>#N/A</v>
      </c>
      <c r="T27" s="7" t="e">
        <f t="shared" si="14"/>
        <v>#N/A</v>
      </c>
      <c r="U27" s="6" t="e">
        <f t="shared" si="15"/>
        <v>#N/A</v>
      </c>
      <c r="V27" s="5" t="e">
        <f t="shared" si="16"/>
        <v>#N/A</v>
      </c>
      <c r="W27" s="6" t="e">
        <f t="shared" si="17"/>
        <v>#N/A</v>
      </c>
      <c r="X27" s="7" t="e">
        <f t="shared" si="18"/>
        <v>#N/A</v>
      </c>
      <c r="Y27" s="6" t="e">
        <f t="shared" si="19"/>
        <v>#N/A</v>
      </c>
      <c r="Z27" s="7" t="e">
        <f t="shared" si="20"/>
        <v>#N/A</v>
      </c>
      <c r="AA27" s="6" t="e">
        <f t="shared" si="21"/>
        <v>#N/A</v>
      </c>
      <c r="AB27" s="5" t="e">
        <f t="shared" si="22"/>
        <v>#N/A</v>
      </c>
      <c r="AC27" s="6" t="e">
        <f t="shared" si="23"/>
        <v>#N/A</v>
      </c>
      <c r="AD27" s="7" t="e">
        <f t="shared" si="24"/>
        <v>#N/A</v>
      </c>
      <c r="AE27" s="6" t="e">
        <f t="shared" si="25"/>
        <v>#N/A</v>
      </c>
      <c r="AF27" s="7" t="e">
        <f t="shared" si="26"/>
        <v>#N/A</v>
      </c>
      <c r="AG27" s="6" t="e">
        <f t="shared" si="27"/>
        <v>#N/A</v>
      </c>
      <c r="AH27" s="5" t="e">
        <f t="shared" si="28"/>
        <v>#N/A</v>
      </c>
      <c r="AI27" s="6" t="e">
        <f t="shared" si="29"/>
        <v>#N/A</v>
      </c>
      <c r="AJ27" s="7" t="e">
        <f t="shared" si="30"/>
        <v>#N/A</v>
      </c>
      <c r="AK27" s="6" t="e">
        <f t="shared" si="31"/>
        <v>#N/A</v>
      </c>
      <c r="AL27" s="7" t="e">
        <f t="shared" si="32"/>
        <v>#N/A</v>
      </c>
      <c r="AM27" s="6" t="e">
        <f t="shared" si="33"/>
        <v>#N/A</v>
      </c>
      <c r="AN27" s="5" t="e">
        <f t="shared" si="34"/>
        <v>#N/A</v>
      </c>
      <c r="AO27" s="6" t="e">
        <f t="shared" si="35"/>
        <v>#N/A</v>
      </c>
      <c r="AP27" s="7" t="e">
        <f t="shared" si="36"/>
        <v>#N/A</v>
      </c>
      <c r="AQ27" s="6" t="e">
        <f t="shared" si="37"/>
        <v>#N/A</v>
      </c>
      <c r="AR27" s="7" t="e">
        <f t="shared" si="38"/>
        <v>#N/A</v>
      </c>
      <c r="AS27" s="6" t="e">
        <f t="shared" si="39"/>
        <v>#N/A</v>
      </c>
      <c r="AT27" s="5" t="e">
        <f t="shared" si="40"/>
        <v>#N/A</v>
      </c>
      <c r="AU27" s="6" t="e">
        <f t="shared" si="41"/>
        <v>#N/A</v>
      </c>
      <c r="AV27" s="7" t="e">
        <f t="shared" si="42"/>
        <v>#N/A</v>
      </c>
      <c r="AW27" s="6" t="e">
        <f t="shared" si="43"/>
        <v>#N/A</v>
      </c>
      <c r="AX27" s="7" t="e">
        <f t="shared" si="44"/>
        <v>#N/A</v>
      </c>
      <c r="AY27" s="6" t="e">
        <f t="shared" si="45"/>
        <v>#N/A</v>
      </c>
      <c r="AZ27" s="5" t="e">
        <f t="shared" si="46"/>
        <v>#N/A</v>
      </c>
      <c r="BA27" s="6" t="e">
        <f t="shared" si="47"/>
        <v>#N/A</v>
      </c>
      <c r="BB27" s="7" t="e">
        <f t="shared" si="48"/>
        <v>#N/A</v>
      </c>
      <c r="BC27" s="6" t="e">
        <f t="shared" si="49"/>
        <v>#N/A</v>
      </c>
      <c r="BD27" s="7" t="e">
        <f t="shared" si="50"/>
        <v>#N/A</v>
      </c>
      <c r="BE27" s="6" t="e">
        <f t="shared" si="51"/>
        <v>#N/A</v>
      </c>
      <c r="BF27" s="5" t="e">
        <f t="shared" si="52"/>
        <v>#N/A</v>
      </c>
      <c r="BG27" s="6" t="e">
        <f t="shared" si="53"/>
        <v>#N/A</v>
      </c>
      <c r="BH27" s="7" t="e">
        <f t="shared" si="54"/>
        <v>#N/A</v>
      </c>
      <c r="BI27" s="6" t="e">
        <f t="shared" si="55"/>
        <v>#N/A</v>
      </c>
      <c r="BJ27" s="7" t="e">
        <f t="shared" si="56"/>
        <v>#N/A</v>
      </c>
      <c r="BK27" s="6" t="e">
        <f t="shared" si="57"/>
        <v>#N/A</v>
      </c>
      <c r="BL27" s="5" t="e">
        <f t="shared" si="58"/>
        <v>#N/A</v>
      </c>
      <c r="BM27" s="6" t="e">
        <f t="shared" si="59"/>
        <v>#N/A</v>
      </c>
      <c r="BN27" s="7" t="e">
        <f t="shared" si="60"/>
        <v>#N/A</v>
      </c>
      <c r="BO27" s="6" t="e">
        <f t="shared" si="61"/>
        <v>#N/A</v>
      </c>
      <c r="BP27" s="7" t="e">
        <f t="shared" si="62"/>
        <v>#N/A</v>
      </c>
      <c r="BQ27" s="6" t="e">
        <f t="shared" si="63"/>
        <v>#N/A</v>
      </c>
      <c r="BR27" s="5" t="e">
        <f t="shared" si="64"/>
        <v>#N/A</v>
      </c>
      <c r="BS27" s="6" t="e">
        <f t="shared" si="65"/>
        <v>#N/A</v>
      </c>
      <c r="BT27" s="7" t="e">
        <f t="shared" si="66"/>
        <v>#N/A</v>
      </c>
      <c r="BU27" s="6" t="e">
        <f t="shared" si="67"/>
        <v>#N/A</v>
      </c>
      <c r="BV27" s="7" t="e">
        <f t="shared" si="68"/>
        <v>#N/A</v>
      </c>
      <c r="BW27" s="6" t="e">
        <f t="shared" si="69"/>
        <v>#N/A</v>
      </c>
      <c r="BX27" s="5" t="e">
        <f t="shared" si="70"/>
        <v>#N/A</v>
      </c>
      <c r="BY27" s="6" t="e">
        <f t="shared" si="71"/>
        <v>#N/A</v>
      </c>
      <c r="BZ27" s="7" t="e">
        <f t="shared" si="72"/>
        <v>#N/A</v>
      </c>
      <c r="CA27" s="6" t="e">
        <f t="shared" si="73"/>
        <v>#N/A</v>
      </c>
      <c r="CB27" s="7" t="e">
        <f t="shared" si="74"/>
        <v>#N/A</v>
      </c>
      <c r="CC27" s="6" t="e">
        <f t="shared" si="75"/>
        <v>#N/A</v>
      </c>
      <c r="CD27" s="5" t="e">
        <f t="shared" si="76"/>
        <v>#N/A</v>
      </c>
      <c r="CE27" s="6" t="e">
        <f t="shared" si="77"/>
        <v>#N/A</v>
      </c>
      <c r="CF27" s="7" t="e">
        <f t="shared" si="78"/>
        <v>#N/A</v>
      </c>
      <c r="CG27" s="6" t="e">
        <f t="shared" si="79"/>
        <v>#N/A</v>
      </c>
      <c r="CH27" s="7" t="e">
        <f t="shared" si="80"/>
        <v>#N/A</v>
      </c>
      <c r="CI27" s="6" t="e">
        <f t="shared" si="81"/>
        <v>#N/A</v>
      </c>
      <c r="CJ27" s="5" t="e">
        <f t="shared" si="82"/>
        <v>#N/A</v>
      </c>
      <c r="CK27" s="6" t="e">
        <f t="shared" si="83"/>
        <v>#N/A</v>
      </c>
      <c r="CL27" s="7" t="e">
        <f t="shared" si="84"/>
        <v>#N/A</v>
      </c>
      <c r="CM27" s="6" t="e">
        <f t="shared" si="85"/>
        <v>#N/A</v>
      </c>
      <c r="CN27" s="7" t="e">
        <f t="shared" si="86"/>
        <v>#N/A</v>
      </c>
      <c r="CO27" s="6" t="e">
        <f t="shared" si="87"/>
        <v>#N/A</v>
      </c>
      <c r="CP27" s="5" t="e">
        <f t="shared" si="88"/>
        <v>#N/A</v>
      </c>
      <c r="CQ27" s="6" t="e">
        <f t="shared" si="89"/>
        <v>#N/A</v>
      </c>
      <c r="CR27" s="7" t="e">
        <f t="shared" si="90"/>
        <v>#N/A</v>
      </c>
      <c r="CS27" s="7" t="e">
        <f t="shared" si="90"/>
        <v>#N/A</v>
      </c>
      <c r="CT27" s="7" t="e">
        <f t="shared" si="90"/>
        <v>#N/A</v>
      </c>
      <c r="CU27" s="7" t="e">
        <f t="shared" si="90"/>
        <v>#N/A</v>
      </c>
      <c r="CV27" s="5" t="e">
        <f t="shared" si="91"/>
        <v>#N/A</v>
      </c>
      <c r="CW27" s="6" t="e">
        <f t="shared" si="92"/>
        <v>#N/A</v>
      </c>
      <c r="CY27" s="7" t="e">
        <v>#N/A</v>
      </c>
      <c r="CZ27" s="5" t="e">
        <f t="array" ref="CZ27">Summary_UpperBound</f>
        <v>#N/A</v>
      </c>
      <c r="DA27" s="6" t="e">
        <f t="shared" si="93"/>
        <v>#N/A</v>
      </c>
    </row>
    <row r="28" spans="1:105" x14ac:dyDescent="0.35">
      <c r="B28" s="14"/>
      <c r="E28" s="12" t="e" vm="2">
        <f t="shared" ca="1" si="94"/>
        <v>#VALUE!</v>
      </c>
      <c r="F28" s="7" t="e">
        <f t="shared" si="0"/>
        <v>#N/A</v>
      </c>
      <c r="G28" s="6" t="e">
        <f t="shared" si="1"/>
        <v>#N/A</v>
      </c>
      <c r="H28" s="7" t="e">
        <f t="shared" si="2"/>
        <v>#N/A</v>
      </c>
      <c r="I28" s="6" t="e">
        <f t="shared" si="3"/>
        <v>#N/A</v>
      </c>
      <c r="J28" s="5" t="e">
        <f t="shared" si="4"/>
        <v>#N/A</v>
      </c>
      <c r="K28" s="6" t="e">
        <f t="shared" si="5"/>
        <v>#N/A</v>
      </c>
      <c r="L28" s="7" t="e">
        <f t="shared" si="6"/>
        <v>#N/A</v>
      </c>
      <c r="M28" s="6" t="e">
        <f t="shared" si="7"/>
        <v>#N/A</v>
      </c>
      <c r="N28" s="7" t="e">
        <f t="shared" si="8"/>
        <v>#N/A</v>
      </c>
      <c r="O28" s="6" t="e">
        <f t="shared" si="9"/>
        <v>#N/A</v>
      </c>
      <c r="P28" s="5" t="e">
        <f t="shared" si="10"/>
        <v>#N/A</v>
      </c>
      <c r="Q28" s="6" t="e">
        <f t="shared" si="11"/>
        <v>#N/A</v>
      </c>
      <c r="R28" s="7" t="e">
        <f t="shared" si="12"/>
        <v>#N/A</v>
      </c>
      <c r="S28" s="6" t="e">
        <f t="shared" si="13"/>
        <v>#N/A</v>
      </c>
      <c r="T28" s="7" t="e">
        <f t="shared" si="14"/>
        <v>#N/A</v>
      </c>
      <c r="U28" s="6" t="e">
        <f t="shared" si="15"/>
        <v>#N/A</v>
      </c>
      <c r="V28" s="5" t="e">
        <f t="shared" si="16"/>
        <v>#N/A</v>
      </c>
      <c r="W28" s="6" t="e">
        <f t="shared" si="17"/>
        <v>#N/A</v>
      </c>
      <c r="X28" s="7" t="e">
        <f t="shared" si="18"/>
        <v>#N/A</v>
      </c>
      <c r="Y28" s="6" t="e">
        <f t="shared" si="19"/>
        <v>#N/A</v>
      </c>
      <c r="Z28" s="7" t="e">
        <f t="shared" si="20"/>
        <v>#N/A</v>
      </c>
      <c r="AA28" s="6" t="e">
        <f t="shared" si="21"/>
        <v>#N/A</v>
      </c>
      <c r="AB28" s="5" t="e">
        <f t="shared" si="22"/>
        <v>#N/A</v>
      </c>
      <c r="AC28" s="6" t="e">
        <f t="shared" si="23"/>
        <v>#N/A</v>
      </c>
      <c r="AD28" s="7" t="e">
        <f t="shared" si="24"/>
        <v>#N/A</v>
      </c>
      <c r="AE28" s="6" t="e">
        <f t="shared" si="25"/>
        <v>#N/A</v>
      </c>
      <c r="AF28" s="7" t="e">
        <f t="shared" si="26"/>
        <v>#N/A</v>
      </c>
      <c r="AG28" s="6" t="e">
        <f t="shared" si="27"/>
        <v>#N/A</v>
      </c>
      <c r="AH28" s="5" t="e">
        <f t="shared" si="28"/>
        <v>#N/A</v>
      </c>
      <c r="AI28" s="6" t="e">
        <f t="shared" si="29"/>
        <v>#N/A</v>
      </c>
      <c r="AJ28" s="7" t="e">
        <f t="shared" si="30"/>
        <v>#N/A</v>
      </c>
      <c r="AK28" s="6" t="e">
        <f t="shared" si="31"/>
        <v>#N/A</v>
      </c>
      <c r="AL28" s="7" t="e">
        <f t="shared" si="32"/>
        <v>#N/A</v>
      </c>
      <c r="AM28" s="6" t="e">
        <f t="shared" si="33"/>
        <v>#N/A</v>
      </c>
      <c r="AN28" s="5" t="e">
        <f t="shared" si="34"/>
        <v>#N/A</v>
      </c>
      <c r="AO28" s="6" t="e">
        <f t="shared" si="35"/>
        <v>#N/A</v>
      </c>
      <c r="AP28" s="7" t="e">
        <f t="shared" si="36"/>
        <v>#N/A</v>
      </c>
      <c r="AQ28" s="6" t="e">
        <f t="shared" si="37"/>
        <v>#N/A</v>
      </c>
      <c r="AR28" s="7" t="e">
        <f t="shared" si="38"/>
        <v>#N/A</v>
      </c>
      <c r="AS28" s="6" t="e">
        <f t="shared" si="39"/>
        <v>#N/A</v>
      </c>
      <c r="AT28" s="5" t="e">
        <f t="shared" si="40"/>
        <v>#N/A</v>
      </c>
      <c r="AU28" s="6" t="e">
        <f t="shared" si="41"/>
        <v>#N/A</v>
      </c>
      <c r="AV28" s="7" t="e">
        <f t="shared" si="42"/>
        <v>#N/A</v>
      </c>
      <c r="AW28" s="6" t="e">
        <f t="shared" si="43"/>
        <v>#N/A</v>
      </c>
      <c r="AX28" s="7" t="e">
        <f t="shared" si="44"/>
        <v>#N/A</v>
      </c>
      <c r="AY28" s="6" t="e">
        <f t="shared" si="45"/>
        <v>#N/A</v>
      </c>
      <c r="AZ28" s="5" t="e">
        <f t="shared" si="46"/>
        <v>#N/A</v>
      </c>
      <c r="BA28" s="6" t="e">
        <f t="shared" si="47"/>
        <v>#N/A</v>
      </c>
      <c r="BB28" s="7" t="e">
        <f t="shared" si="48"/>
        <v>#N/A</v>
      </c>
      <c r="BC28" s="6" t="e">
        <f t="shared" si="49"/>
        <v>#N/A</v>
      </c>
      <c r="BD28" s="7" t="e">
        <f t="shared" si="50"/>
        <v>#N/A</v>
      </c>
      <c r="BE28" s="6" t="e">
        <f t="shared" si="51"/>
        <v>#N/A</v>
      </c>
      <c r="BF28" s="5" t="e">
        <f t="shared" si="52"/>
        <v>#N/A</v>
      </c>
      <c r="BG28" s="6" t="e">
        <f t="shared" si="53"/>
        <v>#N/A</v>
      </c>
      <c r="BH28" s="7" t="e">
        <f t="shared" si="54"/>
        <v>#N/A</v>
      </c>
      <c r="BI28" s="6" t="e">
        <f t="shared" si="55"/>
        <v>#N/A</v>
      </c>
      <c r="BJ28" s="7" t="e">
        <f t="shared" si="56"/>
        <v>#N/A</v>
      </c>
      <c r="BK28" s="6" t="e">
        <f t="shared" si="57"/>
        <v>#N/A</v>
      </c>
      <c r="BL28" s="5" t="e">
        <f t="shared" si="58"/>
        <v>#N/A</v>
      </c>
      <c r="BM28" s="6" t="e">
        <f t="shared" si="59"/>
        <v>#N/A</v>
      </c>
      <c r="BN28" s="7" t="e">
        <f t="shared" si="60"/>
        <v>#N/A</v>
      </c>
      <c r="BO28" s="6" t="e">
        <f t="shared" si="61"/>
        <v>#N/A</v>
      </c>
      <c r="BP28" s="7" t="e">
        <f t="shared" si="62"/>
        <v>#N/A</v>
      </c>
      <c r="BQ28" s="6" t="e">
        <f t="shared" si="63"/>
        <v>#N/A</v>
      </c>
      <c r="BR28" s="5" t="e">
        <f t="shared" si="64"/>
        <v>#N/A</v>
      </c>
      <c r="BS28" s="6" t="e">
        <f t="shared" si="65"/>
        <v>#N/A</v>
      </c>
      <c r="BT28" s="7" t="e">
        <f t="shared" si="66"/>
        <v>#N/A</v>
      </c>
      <c r="BU28" s="6" t="e">
        <f t="shared" si="67"/>
        <v>#N/A</v>
      </c>
      <c r="BV28" s="7" t="e">
        <f t="shared" si="68"/>
        <v>#N/A</v>
      </c>
      <c r="BW28" s="6" t="e">
        <f t="shared" si="69"/>
        <v>#N/A</v>
      </c>
      <c r="BX28" s="5" t="e">
        <f t="shared" si="70"/>
        <v>#N/A</v>
      </c>
      <c r="BY28" s="6" t="e">
        <f t="shared" si="71"/>
        <v>#N/A</v>
      </c>
      <c r="BZ28" s="7" t="e">
        <f t="shared" si="72"/>
        <v>#N/A</v>
      </c>
      <c r="CA28" s="6" t="e">
        <f t="shared" si="73"/>
        <v>#N/A</v>
      </c>
      <c r="CB28" s="7" t="e">
        <f t="shared" si="74"/>
        <v>#N/A</v>
      </c>
      <c r="CC28" s="6" t="e">
        <f t="shared" si="75"/>
        <v>#N/A</v>
      </c>
      <c r="CD28" s="5" t="e">
        <f t="shared" si="76"/>
        <v>#N/A</v>
      </c>
      <c r="CE28" s="6" t="e">
        <f t="shared" si="77"/>
        <v>#N/A</v>
      </c>
      <c r="CF28" s="7" t="e">
        <f t="shared" si="78"/>
        <v>#N/A</v>
      </c>
      <c r="CG28" s="6" t="e">
        <f t="shared" si="79"/>
        <v>#N/A</v>
      </c>
      <c r="CH28" s="7" t="e">
        <f t="shared" si="80"/>
        <v>#N/A</v>
      </c>
      <c r="CI28" s="6" t="e">
        <f t="shared" si="81"/>
        <v>#N/A</v>
      </c>
      <c r="CJ28" s="5" t="e">
        <f t="shared" si="82"/>
        <v>#N/A</v>
      </c>
      <c r="CK28" s="6" t="e">
        <f t="shared" si="83"/>
        <v>#N/A</v>
      </c>
      <c r="CL28" s="7" t="e">
        <f t="shared" si="84"/>
        <v>#N/A</v>
      </c>
      <c r="CM28" s="6" t="e">
        <f t="shared" si="85"/>
        <v>#N/A</v>
      </c>
      <c r="CN28" s="7" t="e">
        <f t="shared" si="86"/>
        <v>#N/A</v>
      </c>
      <c r="CO28" s="6" t="e">
        <f t="shared" si="87"/>
        <v>#N/A</v>
      </c>
      <c r="CP28" s="5" t="e">
        <f t="shared" si="88"/>
        <v>#N/A</v>
      </c>
      <c r="CQ28" s="6" t="e">
        <f t="shared" si="89"/>
        <v>#N/A</v>
      </c>
      <c r="CR28" s="7" t="e">
        <f t="shared" si="90"/>
        <v>#N/A</v>
      </c>
      <c r="CS28" s="7" t="e">
        <f t="shared" si="90"/>
        <v>#N/A</v>
      </c>
      <c r="CT28" s="7" t="e">
        <f t="shared" si="90"/>
        <v>#N/A</v>
      </c>
      <c r="CU28" s="7" t="e">
        <f t="shared" si="90"/>
        <v>#N/A</v>
      </c>
      <c r="CV28" s="5" t="e">
        <f t="shared" si="91"/>
        <v>#N/A</v>
      </c>
      <c r="CW28" s="6" t="e">
        <f t="shared" si="92"/>
        <v>#N/A</v>
      </c>
      <c r="CY28" s="7" t="e">
        <v>#N/A</v>
      </c>
      <c r="CZ28" s="5" t="e">
        <f t="array" ref="CZ28">Summary_UpperBound</f>
        <v>#N/A</v>
      </c>
      <c r="DA28" s="6" t="e">
        <f t="shared" si="93"/>
        <v>#N/A</v>
      </c>
    </row>
    <row r="29" spans="1:105" x14ac:dyDescent="0.35">
      <c r="B29" s="14"/>
      <c r="E29" s="12" t="e" vm="2">
        <f t="shared" ca="1" si="94"/>
        <v>#VALUE!</v>
      </c>
      <c r="F29" s="7" t="e">
        <f t="shared" si="0"/>
        <v>#N/A</v>
      </c>
      <c r="G29" s="6" t="e">
        <f t="shared" si="1"/>
        <v>#N/A</v>
      </c>
      <c r="H29" s="7" t="e">
        <f t="shared" si="2"/>
        <v>#N/A</v>
      </c>
      <c r="I29" s="6" t="e">
        <f t="shared" si="3"/>
        <v>#N/A</v>
      </c>
      <c r="J29" s="5" t="e">
        <f t="shared" si="4"/>
        <v>#N/A</v>
      </c>
      <c r="K29" s="6" t="e">
        <f t="shared" si="5"/>
        <v>#N/A</v>
      </c>
      <c r="L29" s="7" t="e">
        <f t="shared" si="6"/>
        <v>#N/A</v>
      </c>
      <c r="M29" s="6" t="e">
        <f t="shared" si="7"/>
        <v>#N/A</v>
      </c>
      <c r="N29" s="7" t="e">
        <f t="shared" si="8"/>
        <v>#N/A</v>
      </c>
      <c r="O29" s="6" t="e">
        <f t="shared" si="9"/>
        <v>#N/A</v>
      </c>
      <c r="P29" s="5" t="e">
        <f t="shared" si="10"/>
        <v>#N/A</v>
      </c>
      <c r="Q29" s="6" t="e">
        <f t="shared" si="11"/>
        <v>#N/A</v>
      </c>
      <c r="R29" s="7" t="e">
        <f t="shared" si="12"/>
        <v>#N/A</v>
      </c>
      <c r="S29" s="6" t="e">
        <f t="shared" si="13"/>
        <v>#N/A</v>
      </c>
      <c r="T29" s="7" t="e">
        <f t="shared" si="14"/>
        <v>#N/A</v>
      </c>
      <c r="U29" s="6" t="e">
        <f t="shared" si="15"/>
        <v>#N/A</v>
      </c>
      <c r="V29" s="5" t="e">
        <f t="shared" si="16"/>
        <v>#N/A</v>
      </c>
      <c r="W29" s="6" t="e">
        <f t="shared" si="17"/>
        <v>#N/A</v>
      </c>
      <c r="X29" s="7" t="e">
        <f t="shared" si="18"/>
        <v>#N/A</v>
      </c>
      <c r="Y29" s="6" t="e">
        <f t="shared" si="19"/>
        <v>#N/A</v>
      </c>
      <c r="Z29" s="7" t="e">
        <f t="shared" si="20"/>
        <v>#N/A</v>
      </c>
      <c r="AA29" s="6" t="e">
        <f t="shared" si="21"/>
        <v>#N/A</v>
      </c>
      <c r="AB29" s="5" t="e">
        <f t="shared" si="22"/>
        <v>#N/A</v>
      </c>
      <c r="AC29" s="6" t="e">
        <f t="shared" si="23"/>
        <v>#N/A</v>
      </c>
      <c r="AD29" s="7" t="e">
        <f t="shared" si="24"/>
        <v>#N/A</v>
      </c>
      <c r="AE29" s="6" t="e">
        <f t="shared" si="25"/>
        <v>#N/A</v>
      </c>
      <c r="AF29" s="7" t="e">
        <f t="shared" si="26"/>
        <v>#N/A</v>
      </c>
      <c r="AG29" s="6" t="e">
        <f t="shared" si="27"/>
        <v>#N/A</v>
      </c>
      <c r="AH29" s="5" t="e">
        <f t="shared" si="28"/>
        <v>#N/A</v>
      </c>
      <c r="AI29" s="6" t="e">
        <f t="shared" si="29"/>
        <v>#N/A</v>
      </c>
      <c r="AJ29" s="7" t="e">
        <f t="shared" si="30"/>
        <v>#N/A</v>
      </c>
      <c r="AK29" s="6" t="e">
        <f t="shared" si="31"/>
        <v>#N/A</v>
      </c>
      <c r="AL29" s="7" t="e">
        <f t="shared" si="32"/>
        <v>#N/A</v>
      </c>
      <c r="AM29" s="6" t="e">
        <f t="shared" si="33"/>
        <v>#N/A</v>
      </c>
      <c r="AN29" s="5" t="e">
        <f t="shared" si="34"/>
        <v>#N/A</v>
      </c>
      <c r="AO29" s="6" t="e">
        <f t="shared" si="35"/>
        <v>#N/A</v>
      </c>
      <c r="AP29" s="7" t="e">
        <f t="shared" si="36"/>
        <v>#N/A</v>
      </c>
      <c r="AQ29" s="6" t="e">
        <f t="shared" si="37"/>
        <v>#N/A</v>
      </c>
      <c r="AR29" s="7" t="e">
        <f t="shared" si="38"/>
        <v>#N/A</v>
      </c>
      <c r="AS29" s="6" t="e">
        <f t="shared" si="39"/>
        <v>#N/A</v>
      </c>
      <c r="AT29" s="5" t="e">
        <f t="shared" si="40"/>
        <v>#N/A</v>
      </c>
      <c r="AU29" s="6" t="e">
        <f t="shared" si="41"/>
        <v>#N/A</v>
      </c>
      <c r="AV29" s="7" t="e">
        <f t="shared" si="42"/>
        <v>#N/A</v>
      </c>
      <c r="AW29" s="6" t="e">
        <f t="shared" si="43"/>
        <v>#N/A</v>
      </c>
      <c r="AX29" s="7" t="e">
        <f t="shared" si="44"/>
        <v>#N/A</v>
      </c>
      <c r="AY29" s="6" t="e">
        <f t="shared" si="45"/>
        <v>#N/A</v>
      </c>
      <c r="AZ29" s="5" t="e">
        <f t="shared" si="46"/>
        <v>#N/A</v>
      </c>
      <c r="BA29" s="6" t="e">
        <f t="shared" si="47"/>
        <v>#N/A</v>
      </c>
      <c r="BB29" s="7" t="e">
        <f t="shared" si="48"/>
        <v>#N/A</v>
      </c>
      <c r="BC29" s="6" t="e">
        <f t="shared" si="49"/>
        <v>#N/A</v>
      </c>
      <c r="BD29" s="7" t="e">
        <f t="shared" si="50"/>
        <v>#N/A</v>
      </c>
      <c r="BE29" s="6" t="e">
        <f t="shared" si="51"/>
        <v>#N/A</v>
      </c>
      <c r="BF29" s="5" t="e">
        <f t="shared" si="52"/>
        <v>#N/A</v>
      </c>
      <c r="BG29" s="6" t="e">
        <f t="shared" si="53"/>
        <v>#N/A</v>
      </c>
      <c r="BH29" s="7" t="e">
        <f t="shared" si="54"/>
        <v>#N/A</v>
      </c>
      <c r="BI29" s="6" t="e">
        <f t="shared" si="55"/>
        <v>#N/A</v>
      </c>
      <c r="BJ29" s="7" t="e">
        <f t="shared" si="56"/>
        <v>#N/A</v>
      </c>
      <c r="BK29" s="6" t="e">
        <f t="shared" si="57"/>
        <v>#N/A</v>
      </c>
      <c r="BL29" s="5" t="e">
        <f t="shared" si="58"/>
        <v>#N/A</v>
      </c>
      <c r="BM29" s="6" t="e">
        <f t="shared" si="59"/>
        <v>#N/A</v>
      </c>
      <c r="BN29" s="7" t="e">
        <f t="shared" si="60"/>
        <v>#N/A</v>
      </c>
      <c r="BO29" s="6" t="e">
        <f t="shared" si="61"/>
        <v>#N/A</v>
      </c>
      <c r="BP29" s="7" t="e">
        <f t="shared" si="62"/>
        <v>#N/A</v>
      </c>
      <c r="BQ29" s="6" t="e">
        <f t="shared" si="63"/>
        <v>#N/A</v>
      </c>
      <c r="BR29" s="5" t="e">
        <f t="shared" si="64"/>
        <v>#N/A</v>
      </c>
      <c r="BS29" s="6" t="e">
        <f t="shared" si="65"/>
        <v>#N/A</v>
      </c>
      <c r="BT29" s="7" t="e">
        <f t="shared" si="66"/>
        <v>#N/A</v>
      </c>
      <c r="BU29" s="6" t="e">
        <f t="shared" si="67"/>
        <v>#N/A</v>
      </c>
      <c r="BV29" s="7" t="e">
        <f t="shared" si="68"/>
        <v>#N/A</v>
      </c>
      <c r="BW29" s="6" t="e">
        <f t="shared" si="69"/>
        <v>#N/A</v>
      </c>
      <c r="BX29" s="5" t="e">
        <f t="shared" si="70"/>
        <v>#N/A</v>
      </c>
      <c r="BY29" s="6" t="e">
        <f t="shared" si="71"/>
        <v>#N/A</v>
      </c>
      <c r="BZ29" s="7" t="e">
        <f t="shared" si="72"/>
        <v>#N/A</v>
      </c>
      <c r="CA29" s="6" t="e">
        <f t="shared" si="73"/>
        <v>#N/A</v>
      </c>
      <c r="CB29" s="7" t="e">
        <f t="shared" si="74"/>
        <v>#N/A</v>
      </c>
      <c r="CC29" s="6" t="e">
        <f t="shared" si="75"/>
        <v>#N/A</v>
      </c>
      <c r="CD29" s="5" t="e">
        <f t="shared" si="76"/>
        <v>#N/A</v>
      </c>
      <c r="CE29" s="6" t="e">
        <f t="shared" si="77"/>
        <v>#N/A</v>
      </c>
      <c r="CF29" s="7" t="e">
        <f t="shared" si="78"/>
        <v>#N/A</v>
      </c>
      <c r="CG29" s="6" t="e">
        <f t="shared" si="79"/>
        <v>#N/A</v>
      </c>
      <c r="CH29" s="7" t="e">
        <f t="shared" si="80"/>
        <v>#N/A</v>
      </c>
      <c r="CI29" s="6" t="e">
        <f t="shared" si="81"/>
        <v>#N/A</v>
      </c>
      <c r="CJ29" s="5" t="e">
        <f t="shared" si="82"/>
        <v>#N/A</v>
      </c>
      <c r="CK29" s="6" t="e">
        <f t="shared" si="83"/>
        <v>#N/A</v>
      </c>
      <c r="CL29" s="7" t="e">
        <f t="shared" si="84"/>
        <v>#N/A</v>
      </c>
      <c r="CM29" s="6" t="e">
        <f t="shared" si="85"/>
        <v>#N/A</v>
      </c>
      <c r="CN29" s="7" t="e">
        <f t="shared" si="86"/>
        <v>#N/A</v>
      </c>
      <c r="CO29" s="6" t="e">
        <f t="shared" si="87"/>
        <v>#N/A</v>
      </c>
      <c r="CP29" s="5" t="e">
        <f t="shared" si="88"/>
        <v>#N/A</v>
      </c>
      <c r="CQ29" s="6" t="e">
        <f t="shared" si="89"/>
        <v>#N/A</v>
      </c>
      <c r="CR29" s="7" t="e">
        <f t="shared" si="90"/>
        <v>#N/A</v>
      </c>
      <c r="CS29" s="7" t="e">
        <f t="shared" si="90"/>
        <v>#N/A</v>
      </c>
      <c r="CT29" s="7" t="e">
        <f t="shared" si="90"/>
        <v>#N/A</v>
      </c>
      <c r="CU29" s="7" t="e">
        <f t="shared" si="90"/>
        <v>#N/A</v>
      </c>
      <c r="CV29" s="5" t="e">
        <f t="shared" si="91"/>
        <v>#N/A</v>
      </c>
      <c r="CW29" s="6" t="e">
        <f t="shared" si="92"/>
        <v>#N/A</v>
      </c>
      <c r="CY29" s="7" t="e">
        <v>#N/A</v>
      </c>
      <c r="CZ29" s="5" t="e">
        <f t="array" ref="CZ29">Summary_UpperBound</f>
        <v>#N/A</v>
      </c>
      <c r="DA29" s="6" t="e">
        <f t="shared" si="93"/>
        <v>#N/A</v>
      </c>
    </row>
    <row r="30" spans="1:105" x14ac:dyDescent="0.35">
      <c r="B30" s="14"/>
      <c r="E30" s="12" t="e" vm="2">
        <f t="shared" ca="1" si="94"/>
        <v>#VALUE!</v>
      </c>
      <c r="F30" s="7" t="e">
        <f t="shared" si="0"/>
        <v>#N/A</v>
      </c>
      <c r="G30" s="6" t="e">
        <f t="shared" si="1"/>
        <v>#N/A</v>
      </c>
      <c r="H30" s="7" t="e">
        <f t="shared" si="2"/>
        <v>#N/A</v>
      </c>
      <c r="I30" s="6" t="e">
        <f t="shared" si="3"/>
        <v>#N/A</v>
      </c>
      <c r="J30" s="5" t="e">
        <f t="shared" si="4"/>
        <v>#N/A</v>
      </c>
      <c r="K30" s="6" t="e">
        <f t="shared" si="5"/>
        <v>#N/A</v>
      </c>
      <c r="L30" s="7" t="e">
        <f t="shared" si="6"/>
        <v>#N/A</v>
      </c>
      <c r="M30" s="6" t="e">
        <f t="shared" si="7"/>
        <v>#N/A</v>
      </c>
      <c r="N30" s="7" t="e">
        <f t="shared" si="8"/>
        <v>#N/A</v>
      </c>
      <c r="O30" s="6" t="e">
        <f t="shared" si="9"/>
        <v>#N/A</v>
      </c>
      <c r="P30" s="5" t="e">
        <f t="shared" si="10"/>
        <v>#N/A</v>
      </c>
      <c r="Q30" s="6" t="e">
        <f t="shared" si="11"/>
        <v>#N/A</v>
      </c>
      <c r="R30" s="7" t="e">
        <f t="shared" si="12"/>
        <v>#N/A</v>
      </c>
      <c r="S30" s="6" t="e">
        <f t="shared" si="13"/>
        <v>#N/A</v>
      </c>
      <c r="T30" s="7" t="e">
        <f t="shared" si="14"/>
        <v>#N/A</v>
      </c>
      <c r="U30" s="6" t="e">
        <f t="shared" si="15"/>
        <v>#N/A</v>
      </c>
      <c r="V30" s="5" t="e">
        <f t="shared" si="16"/>
        <v>#N/A</v>
      </c>
      <c r="W30" s="6" t="e">
        <f t="shared" si="17"/>
        <v>#N/A</v>
      </c>
      <c r="X30" s="7" t="e">
        <f t="shared" si="18"/>
        <v>#N/A</v>
      </c>
      <c r="Y30" s="6" t="e">
        <f t="shared" si="19"/>
        <v>#N/A</v>
      </c>
      <c r="Z30" s="7" t="e">
        <f t="shared" si="20"/>
        <v>#N/A</v>
      </c>
      <c r="AA30" s="6" t="e">
        <f t="shared" si="21"/>
        <v>#N/A</v>
      </c>
      <c r="AB30" s="5" t="e">
        <f t="shared" si="22"/>
        <v>#N/A</v>
      </c>
      <c r="AC30" s="6" t="e">
        <f t="shared" si="23"/>
        <v>#N/A</v>
      </c>
      <c r="AD30" s="7" t="e">
        <f t="shared" si="24"/>
        <v>#N/A</v>
      </c>
      <c r="AE30" s="6" t="e">
        <f t="shared" si="25"/>
        <v>#N/A</v>
      </c>
      <c r="AF30" s="7" t="e">
        <f t="shared" si="26"/>
        <v>#N/A</v>
      </c>
      <c r="AG30" s="6" t="e">
        <f t="shared" si="27"/>
        <v>#N/A</v>
      </c>
      <c r="AH30" s="5" t="e">
        <f t="shared" si="28"/>
        <v>#N/A</v>
      </c>
      <c r="AI30" s="6" t="e">
        <f t="shared" si="29"/>
        <v>#N/A</v>
      </c>
      <c r="AJ30" s="7" t="e">
        <f t="shared" si="30"/>
        <v>#N/A</v>
      </c>
      <c r="AK30" s="6" t="e">
        <f t="shared" si="31"/>
        <v>#N/A</v>
      </c>
      <c r="AL30" s="7" t="e">
        <f t="shared" si="32"/>
        <v>#N/A</v>
      </c>
      <c r="AM30" s="6" t="e">
        <f t="shared" si="33"/>
        <v>#N/A</v>
      </c>
      <c r="AN30" s="5" t="e">
        <f t="shared" si="34"/>
        <v>#N/A</v>
      </c>
      <c r="AO30" s="6" t="e">
        <f t="shared" si="35"/>
        <v>#N/A</v>
      </c>
      <c r="AP30" s="7" t="e">
        <f t="shared" si="36"/>
        <v>#N/A</v>
      </c>
      <c r="AQ30" s="6" t="e">
        <f t="shared" si="37"/>
        <v>#N/A</v>
      </c>
      <c r="AR30" s="7" t="e">
        <f t="shared" si="38"/>
        <v>#N/A</v>
      </c>
      <c r="AS30" s="6" t="e">
        <f t="shared" si="39"/>
        <v>#N/A</v>
      </c>
      <c r="AT30" s="5" t="e">
        <f t="shared" si="40"/>
        <v>#N/A</v>
      </c>
      <c r="AU30" s="6" t="e">
        <f t="shared" si="41"/>
        <v>#N/A</v>
      </c>
      <c r="AV30" s="7" t="e">
        <f t="shared" si="42"/>
        <v>#N/A</v>
      </c>
      <c r="AW30" s="6" t="e">
        <f t="shared" si="43"/>
        <v>#N/A</v>
      </c>
      <c r="AX30" s="7" t="e">
        <f t="shared" si="44"/>
        <v>#N/A</v>
      </c>
      <c r="AY30" s="6" t="e">
        <f t="shared" si="45"/>
        <v>#N/A</v>
      </c>
      <c r="AZ30" s="5" t="e">
        <f t="shared" si="46"/>
        <v>#N/A</v>
      </c>
      <c r="BA30" s="6" t="e">
        <f t="shared" si="47"/>
        <v>#N/A</v>
      </c>
      <c r="BB30" s="7" t="e">
        <f t="shared" si="48"/>
        <v>#N/A</v>
      </c>
      <c r="BC30" s="6" t="e">
        <f t="shared" si="49"/>
        <v>#N/A</v>
      </c>
      <c r="BD30" s="7" t="e">
        <f t="shared" si="50"/>
        <v>#N/A</v>
      </c>
      <c r="BE30" s="6" t="e">
        <f t="shared" si="51"/>
        <v>#N/A</v>
      </c>
      <c r="BF30" s="5" t="e">
        <f t="shared" si="52"/>
        <v>#N/A</v>
      </c>
      <c r="BG30" s="6" t="e">
        <f t="shared" si="53"/>
        <v>#N/A</v>
      </c>
      <c r="BH30" s="7" t="e">
        <f t="shared" si="54"/>
        <v>#N/A</v>
      </c>
      <c r="BI30" s="6" t="e">
        <f t="shared" si="55"/>
        <v>#N/A</v>
      </c>
      <c r="BJ30" s="7" t="e">
        <f t="shared" si="56"/>
        <v>#N/A</v>
      </c>
      <c r="BK30" s="6" t="e">
        <f t="shared" si="57"/>
        <v>#N/A</v>
      </c>
      <c r="BL30" s="5" t="e">
        <f t="shared" si="58"/>
        <v>#N/A</v>
      </c>
      <c r="BM30" s="6" t="e">
        <f t="shared" si="59"/>
        <v>#N/A</v>
      </c>
      <c r="BN30" s="7" t="e">
        <f t="shared" si="60"/>
        <v>#N/A</v>
      </c>
      <c r="BO30" s="6" t="e">
        <f t="shared" si="61"/>
        <v>#N/A</v>
      </c>
      <c r="BP30" s="7" t="e">
        <f t="shared" si="62"/>
        <v>#N/A</v>
      </c>
      <c r="BQ30" s="6" t="e">
        <f t="shared" si="63"/>
        <v>#N/A</v>
      </c>
      <c r="BR30" s="5" t="e">
        <f t="shared" si="64"/>
        <v>#N/A</v>
      </c>
      <c r="BS30" s="6" t="e">
        <f t="shared" si="65"/>
        <v>#N/A</v>
      </c>
      <c r="BT30" s="7" t="e">
        <f t="shared" si="66"/>
        <v>#N/A</v>
      </c>
      <c r="BU30" s="6" t="e">
        <f t="shared" si="67"/>
        <v>#N/A</v>
      </c>
      <c r="BV30" s="7" t="e">
        <f t="shared" si="68"/>
        <v>#N/A</v>
      </c>
      <c r="BW30" s="6" t="e">
        <f t="shared" si="69"/>
        <v>#N/A</v>
      </c>
      <c r="BX30" s="5" t="e">
        <f t="shared" si="70"/>
        <v>#N/A</v>
      </c>
      <c r="BY30" s="6" t="e">
        <f t="shared" si="71"/>
        <v>#N/A</v>
      </c>
      <c r="BZ30" s="7" t="e">
        <f t="shared" si="72"/>
        <v>#N/A</v>
      </c>
      <c r="CA30" s="6" t="e">
        <f t="shared" si="73"/>
        <v>#N/A</v>
      </c>
      <c r="CB30" s="7" t="e">
        <f t="shared" si="74"/>
        <v>#N/A</v>
      </c>
      <c r="CC30" s="6" t="e">
        <f t="shared" si="75"/>
        <v>#N/A</v>
      </c>
      <c r="CD30" s="5" t="e">
        <f t="shared" si="76"/>
        <v>#N/A</v>
      </c>
      <c r="CE30" s="6" t="e">
        <f t="shared" si="77"/>
        <v>#N/A</v>
      </c>
      <c r="CF30" s="7" t="e">
        <f t="shared" si="78"/>
        <v>#N/A</v>
      </c>
      <c r="CG30" s="6" t="e">
        <f t="shared" si="79"/>
        <v>#N/A</v>
      </c>
      <c r="CH30" s="7" t="e">
        <f t="shared" si="80"/>
        <v>#N/A</v>
      </c>
      <c r="CI30" s="6" t="e">
        <f t="shared" si="81"/>
        <v>#N/A</v>
      </c>
      <c r="CJ30" s="5" t="e">
        <f t="shared" si="82"/>
        <v>#N/A</v>
      </c>
      <c r="CK30" s="6" t="e">
        <f t="shared" si="83"/>
        <v>#N/A</v>
      </c>
      <c r="CL30" s="7" t="e">
        <f t="shared" si="84"/>
        <v>#N/A</v>
      </c>
      <c r="CM30" s="6" t="e">
        <f t="shared" si="85"/>
        <v>#N/A</v>
      </c>
      <c r="CN30" s="7" t="e">
        <f t="shared" si="86"/>
        <v>#N/A</v>
      </c>
      <c r="CO30" s="6" t="e">
        <f t="shared" si="87"/>
        <v>#N/A</v>
      </c>
      <c r="CP30" s="5" t="e">
        <f t="shared" si="88"/>
        <v>#N/A</v>
      </c>
      <c r="CQ30" s="6" t="e">
        <f t="shared" si="89"/>
        <v>#N/A</v>
      </c>
      <c r="CR30" s="7" t="e">
        <f t="shared" si="90"/>
        <v>#N/A</v>
      </c>
      <c r="CS30" s="7" t="e">
        <f t="shared" si="90"/>
        <v>#N/A</v>
      </c>
      <c r="CT30" s="7" t="e">
        <f t="shared" si="90"/>
        <v>#N/A</v>
      </c>
      <c r="CU30" s="7" t="e">
        <f t="shared" si="90"/>
        <v>#N/A</v>
      </c>
      <c r="CV30" s="5" t="e">
        <f t="shared" si="91"/>
        <v>#N/A</v>
      </c>
      <c r="CW30" s="6" t="e">
        <f t="shared" si="92"/>
        <v>#N/A</v>
      </c>
      <c r="CY30" s="7" t="e">
        <v>#N/A</v>
      </c>
      <c r="CZ30" s="5" t="e">
        <f t="array" ref="CZ30">Summary_UpperBound</f>
        <v>#N/A</v>
      </c>
      <c r="DA30" s="6" t="e">
        <f t="shared" si="93"/>
        <v>#N/A</v>
      </c>
    </row>
    <row r="31" spans="1:105" x14ac:dyDescent="0.35">
      <c r="B31" s="14"/>
      <c r="E31" s="12" t="e" vm="2">
        <f t="shared" ca="1" si="94"/>
        <v>#VALUE!</v>
      </c>
      <c r="F31" s="7" t="e">
        <f t="shared" si="0"/>
        <v>#N/A</v>
      </c>
      <c r="G31" s="6" t="e">
        <f t="shared" si="1"/>
        <v>#N/A</v>
      </c>
      <c r="H31" s="7" t="e">
        <f t="shared" si="2"/>
        <v>#N/A</v>
      </c>
      <c r="I31" s="6" t="e">
        <f t="shared" si="3"/>
        <v>#N/A</v>
      </c>
      <c r="J31" s="5" t="e">
        <f t="shared" si="4"/>
        <v>#N/A</v>
      </c>
      <c r="K31" s="6" t="e">
        <f t="shared" si="5"/>
        <v>#N/A</v>
      </c>
      <c r="L31" s="7" t="e">
        <f t="shared" si="6"/>
        <v>#N/A</v>
      </c>
      <c r="M31" s="6" t="e">
        <f t="shared" si="7"/>
        <v>#N/A</v>
      </c>
      <c r="N31" s="7" t="e">
        <f t="shared" si="8"/>
        <v>#N/A</v>
      </c>
      <c r="O31" s="6" t="e">
        <f t="shared" si="9"/>
        <v>#N/A</v>
      </c>
      <c r="P31" s="5" t="e">
        <f t="shared" si="10"/>
        <v>#N/A</v>
      </c>
      <c r="Q31" s="6" t="e">
        <f t="shared" si="11"/>
        <v>#N/A</v>
      </c>
      <c r="R31" s="7" t="e">
        <f t="shared" si="12"/>
        <v>#N/A</v>
      </c>
      <c r="S31" s="6" t="e">
        <f t="shared" si="13"/>
        <v>#N/A</v>
      </c>
      <c r="T31" s="7" t="e">
        <f t="shared" si="14"/>
        <v>#N/A</v>
      </c>
      <c r="U31" s="6" t="e">
        <f t="shared" si="15"/>
        <v>#N/A</v>
      </c>
      <c r="V31" s="5" t="e">
        <f t="shared" si="16"/>
        <v>#N/A</v>
      </c>
      <c r="W31" s="6" t="e">
        <f t="shared" si="17"/>
        <v>#N/A</v>
      </c>
      <c r="X31" s="7" t="e">
        <f t="shared" si="18"/>
        <v>#N/A</v>
      </c>
      <c r="Y31" s="6" t="e">
        <f t="shared" si="19"/>
        <v>#N/A</v>
      </c>
      <c r="Z31" s="7" t="e">
        <f t="shared" si="20"/>
        <v>#N/A</v>
      </c>
      <c r="AA31" s="6" t="e">
        <f t="shared" si="21"/>
        <v>#N/A</v>
      </c>
      <c r="AB31" s="5" t="e">
        <f t="shared" si="22"/>
        <v>#N/A</v>
      </c>
      <c r="AC31" s="6" t="e">
        <f t="shared" si="23"/>
        <v>#N/A</v>
      </c>
      <c r="AD31" s="7" t="e">
        <f t="shared" si="24"/>
        <v>#N/A</v>
      </c>
      <c r="AE31" s="6" t="e">
        <f t="shared" si="25"/>
        <v>#N/A</v>
      </c>
      <c r="AF31" s="7" t="e">
        <f t="shared" si="26"/>
        <v>#N/A</v>
      </c>
      <c r="AG31" s="6" t="e">
        <f t="shared" si="27"/>
        <v>#N/A</v>
      </c>
      <c r="AH31" s="5" t="e">
        <f t="shared" si="28"/>
        <v>#N/A</v>
      </c>
      <c r="AI31" s="6" t="e">
        <f t="shared" si="29"/>
        <v>#N/A</v>
      </c>
      <c r="AJ31" s="7" t="e">
        <f t="shared" si="30"/>
        <v>#N/A</v>
      </c>
      <c r="AK31" s="6" t="e">
        <f t="shared" si="31"/>
        <v>#N/A</v>
      </c>
      <c r="AL31" s="7" t="e">
        <f t="shared" si="32"/>
        <v>#N/A</v>
      </c>
      <c r="AM31" s="6" t="e">
        <f t="shared" si="33"/>
        <v>#N/A</v>
      </c>
      <c r="AN31" s="5" t="e">
        <f t="shared" si="34"/>
        <v>#N/A</v>
      </c>
      <c r="AO31" s="6" t="e">
        <f t="shared" si="35"/>
        <v>#N/A</v>
      </c>
      <c r="AP31" s="7" t="e">
        <f t="shared" si="36"/>
        <v>#N/A</v>
      </c>
      <c r="AQ31" s="6" t="e">
        <f t="shared" si="37"/>
        <v>#N/A</v>
      </c>
      <c r="AR31" s="7" t="e">
        <f t="shared" si="38"/>
        <v>#N/A</v>
      </c>
      <c r="AS31" s="6" t="e">
        <f t="shared" si="39"/>
        <v>#N/A</v>
      </c>
      <c r="AT31" s="5" t="e">
        <f t="shared" si="40"/>
        <v>#N/A</v>
      </c>
      <c r="AU31" s="6" t="e">
        <f t="shared" si="41"/>
        <v>#N/A</v>
      </c>
      <c r="AV31" s="7" t="e">
        <f t="shared" si="42"/>
        <v>#N/A</v>
      </c>
      <c r="AW31" s="6" t="e">
        <f t="shared" si="43"/>
        <v>#N/A</v>
      </c>
      <c r="AX31" s="7" t="e">
        <f t="shared" si="44"/>
        <v>#N/A</v>
      </c>
      <c r="AY31" s="6" t="e">
        <f t="shared" si="45"/>
        <v>#N/A</v>
      </c>
      <c r="AZ31" s="5" t="e">
        <f t="shared" si="46"/>
        <v>#N/A</v>
      </c>
      <c r="BA31" s="6" t="e">
        <f t="shared" si="47"/>
        <v>#N/A</v>
      </c>
      <c r="BB31" s="7" t="e">
        <f t="shared" si="48"/>
        <v>#N/A</v>
      </c>
      <c r="BC31" s="6" t="e">
        <f t="shared" si="49"/>
        <v>#N/A</v>
      </c>
      <c r="BD31" s="7" t="e">
        <f t="shared" si="50"/>
        <v>#N/A</v>
      </c>
      <c r="BE31" s="6" t="e">
        <f t="shared" si="51"/>
        <v>#N/A</v>
      </c>
      <c r="BF31" s="5" t="e">
        <f t="shared" si="52"/>
        <v>#N/A</v>
      </c>
      <c r="BG31" s="6" t="e">
        <f t="shared" si="53"/>
        <v>#N/A</v>
      </c>
      <c r="BH31" s="7" t="e">
        <f t="shared" si="54"/>
        <v>#N/A</v>
      </c>
      <c r="BI31" s="6" t="e">
        <f t="shared" si="55"/>
        <v>#N/A</v>
      </c>
      <c r="BJ31" s="7" t="e">
        <f t="shared" si="56"/>
        <v>#N/A</v>
      </c>
      <c r="BK31" s="6" t="e">
        <f t="shared" si="57"/>
        <v>#N/A</v>
      </c>
      <c r="BL31" s="5" t="e">
        <f t="shared" si="58"/>
        <v>#N/A</v>
      </c>
      <c r="BM31" s="6" t="e">
        <f t="shared" si="59"/>
        <v>#N/A</v>
      </c>
      <c r="BN31" s="7" t="e">
        <f t="shared" si="60"/>
        <v>#N/A</v>
      </c>
      <c r="BO31" s="6" t="e">
        <f t="shared" si="61"/>
        <v>#N/A</v>
      </c>
      <c r="BP31" s="7" t="e">
        <f t="shared" si="62"/>
        <v>#N/A</v>
      </c>
      <c r="BQ31" s="6" t="e">
        <f t="shared" si="63"/>
        <v>#N/A</v>
      </c>
      <c r="BR31" s="5" t="e">
        <f t="shared" si="64"/>
        <v>#N/A</v>
      </c>
      <c r="BS31" s="6" t="e">
        <f t="shared" si="65"/>
        <v>#N/A</v>
      </c>
      <c r="BT31" s="7" t="e">
        <f t="shared" si="66"/>
        <v>#N/A</v>
      </c>
      <c r="BU31" s="6" t="e">
        <f t="shared" si="67"/>
        <v>#N/A</v>
      </c>
      <c r="BV31" s="7" t="e">
        <f t="shared" si="68"/>
        <v>#N/A</v>
      </c>
      <c r="BW31" s="6" t="e">
        <f t="shared" si="69"/>
        <v>#N/A</v>
      </c>
      <c r="BX31" s="5" t="e">
        <f t="shared" si="70"/>
        <v>#N/A</v>
      </c>
      <c r="BY31" s="6" t="e">
        <f t="shared" si="71"/>
        <v>#N/A</v>
      </c>
      <c r="BZ31" s="7" t="e">
        <f t="shared" si="72"/>
        <v>#N/A</v>
      </c>
      <c r="CA31" s="6" t="e">
        <f t="shared" si="73"/>
        <v>#N/A</v>
      </c>
      <c r="CB31" s="7" t="e">
        <f t="shared" si="74"/>
        <v>#N/A</v>
      </c>
      <c r="CC31" s="6" t="e">
        <f t="shared" si="75"/>
        <v>#N/A</v>
      </c>
      <c r="CD31" s="5" t="e">
        <f t="shared" si="76"/>
        <v>#N/A</v>
      </c>
      <c r="CE31" s="6" t="e">
        <f t="shared" si="77"/>
        <v>#N/A</v>
      </c>
      <c r="CF31" s="7" t="e">
        <f t="shared" si="78"/>
        <v>#N/A</v>
      </c>
      <c r="CG31" s="6" t="e">
        <f t="shared" si="79"/>
        <v>#N/A</v>
      </c>
      <c r="CH31" s="7" t="e">
        <f t="shared" si="80"/>
        <v>#N/A</v>
      </c>
      <c r="CI31" s="6" t="e">
        <f t="shared" si="81"/>
        <v>#N/A</v>
      </c>
      <c r="CJ31" s="5" t="e">
        <f t="shared" si="82"/>
        <v>#N/A</v>
      </c>
      <c r="CK31" s="6" t="e">
        <f t="shared" si="83"/>
        <v>#N/A</v>
      </c>
      <c r="CL31" s="7" t="e">
        <f t="shared" si="84"/>
        <v>#N/A</v>
      </c>
      <c r="CM31" s="6" t="e">
        <f t="shared" si="85"/>
        <v>#N/A</v>
      </c>
      <c r="CN31" s="7" t="e">
        <f t="shared" si="86"/>
        <v>#N/A</v>
      </c>
      <c r="CO31" s="6" t="e">
        <f t="shared" si="87"/>
        <v>#N/A</v>
      </c>
      <c r="CP31" s="5" t="e">
        <f t="shared" si="88"/>
        <v>#N/A</v>
      </c>
      <c r="CQ31" s="6" t="e">
        <f t="shared" si="89"/>
        <v>#N/A</v>
      </c>
      <c r="CR31" s="7" t="e">
        <f t="shared" si="90"/>
        <v>#N/A</v>
      </c>
      <c r="CS31" s="7" t="e">
        <f t="shared" si="90"/>
        <v>#N/A</v>
      </c>
      <c r="CT31" s="7" t="e">
        <f t="shared" si="90"/>
        <v>#N/A</v>
      </c>
      <c r="CU31" s="7" t="e">
        <f t="shared" si="90"/>
        <v>#N/A</v>
      </c>
      <c r="CV31" s="5" t="e">
        <f t="shared" si="91"/>
        <v>#N/A</v>
      </c>
      <c r="CW31" s="6" t="e">
        <f t="shared" si="92"/>
        <v>#N/A</v>
      </c>
      <c r="CY31" s="7" t="e">
        <v>#N/A</v>
      </c>
      <c r="CZ31" s="5" t="e">
        <f t="array" ref="CZ31">Summary_UpperBound</f>
        <v>#N/A</v>
      </c>
      <c r="DA31" s="6" t="e">
        <f t="shared" si="93"/>
        <v>#N/A</v>
      </c>
    </row>
    <row r="32" spans="1:105" x14ac:dyDescent="0.35">
      <c r="B32" s="14"/>
      <c r="E32" s="12" t="e" vm="2">
        <f t="shared" ca="1" si="94"/>
        <v>#VALUE!</v>
      </c>
      <c r="F32" s="7" t="e">
        <f t="shared" si="0"/>
        <v>#N/A</v>
      </c>
      <c r="G32" s="6" t="e">
        <f t="shared" si="1"/>
        <v>#N/A</v>
      </c>
      <c r="H32" s="7" t="e">
        <f t="shared" si="2"/>
        <v>#N/A</v>
      </c>
      <c r="I32" s="6" t="e">
        <f t="shared" si="3"/>
        <v>#N/A</v>
      </c>
      <c r="J32" s="5" t="e">
        <f t="shared" si="4"/>
        <v>#N/A</v>
      </c>
      <c r="K32" s="6" t="e">
        <f t="shared" si="5"/>
        <v>#N/A</v>
      </c>
      <c r="L32" s="7" t="e">
        <f t="shared" si="6"/>
        <v>#N/A</v>
      </c>
      <c r="M32" s="6" t="e">
        <f t="shared" si="7"/>
        <v>#N/A</v>
      </c>
      <c r="N32" s="7" t="e">
        <f t="shared" si="8"/>
        <v>#N/A</v>
      </c>
      <c r="O32" s="6" t="e">
        <f t="shared" si="9"/>
        <v>#N/A</v>
      </c>
      <c r="P32" s="5" t="e">
        <f t="shared" si="10"/>
        <v>#N/A</v>
      </c>
      <c r="Q32" s="6" t="e">
        <f t="shared" si="11"/>
        <v>#N/A</v>
      </c>
      <c r="R32" s="7" t="e">
        <f t="shared" si="12"/>
        <v>#N/A</v>
      </c>
      <c r="S32" s="6" t="e">
        <f t="shared" si="13"/>
        <v>#N/A</v>
      </c>
      <c r="T32" s="7" t="e">
        <f t="shared" si="14"/>
        <v>#N/A</v>
      </c>
      <c r="U32" s="6" t="e">
        <f t="shared" si="15"/>
        <v>#N/A</v>
      </c>
      <c r="V32" s="5" t="e">
        <f t="shared" si="16"/>
        <v>#N/A</v>
      </c>
      <c r="W32" s="6" t="e">
        <f t="shared" si="17"/>
        <v>#N/A</v>
      </c>
      <c r="X32" s="7" t="e">
        <f t="shared" si="18"/>
        <v>#N/A</v>
      </c>
      <c r="Y32" s="6" t="e">
        <f t="shared" si="19"/>
        <v>#N/A</v>
      </c>
      <c r="Z32" s="7" t="e">
        <f t="shared" si="20"/>
        <v>#N/A</v>
      </c>
      <c r="AA32" s="6" t="e">
        <f t="shared" si="21"/>
        <v>#N/A</v>
      </c>
      <c r="AB32" s="5" t="e">
        <f t="shared" si="22"/>
        <v>#N/A</v>
      </c>
      <c r="AC32" s="6" t="e">
        <f t="shared" si="23"/>
        <v>#N/A</v>
      </c>
      <c r="AD32" s="7" t="e">
        <f t="shared" si="24"/>
        <v>#N/A</v>
      </c>
      <c r="AE32" s="6" t="e">
        <f t="shared" si="25"/>
        <v>#N/A</v>
      </c>
      <c r="AF32" s="7" t="e">
        <f t="shared" si="26"/>
        <v>#N/A</v>
      </c>
      <c r="AG32" s="6" t="e">
        <f t="shared" si="27"/>
        <v>#N/A</v>
      </c>
      <c r="AH32" s="5" t="e">
        <f t="shared" si="28"/>
        <v>#N/A</v>
      </c>
      <c r="AI32" s="6" t="e">
        <f t="shared" si="29"/>
        <v>#N/A</v>
      </c>
      <c r="AJ32" s="7" t="e">
        <f t="shared" si="30"/>
        <v>#N/A</v>
      </c>
      <c r="AK32" s="6" t="e">
        <f t="shared" si="31"/>
        <v>#N/A</v>
      </c>
      <c r="AL32" s="7" t="e">
        <f t="shared" si="32"/>
        <v>#N/A</v>
      </c>
      <c r="AM32" s="6" t="e">
        <f t="shared" si="33"/>
        <v>#N/A</v>
      </c>
      <c r="AN32" s="5" t="e">
        <f t="shared" si="34"/>
        <v>#N/A</v>
      </c>
      <c r="AO32" s="6" t="e">
        <f t="shared" si="35"/>
        <v>#N/A</v>
      </c>
      <c r="AP32" s="7" t="e">
        <f t="shared" si="36"/>
        <v>#N/A</v>
      </c>
      <c r="AQ32" s="6" t="e">
        <f t="shared" si="37"/>
        <v>#N/A</v>
      </c>
      <c r="AR32" s="7" t="e">
        <f t="shared" si="38"/>
        <v>#N/A</v>
      </c>
      <c r="AS32" s="6" t="e">
        <f t="shared" si="39"/>
        <v>#N/A</v>
      </c>
      <c r="AT32" s="5" t="e">
        <f t="shared" si="40"/>
        <v>#N/A</v>
      </c>
      <c r="AU32" s="6" t="e">
        <f t="shared" si="41"/>
        <v>#N/A</v>
      </c>
      <c r="AV32" s="7" t="e">
        <f t="shared" si="42"/>
        <v>#N/A</v>
      </c>
      <c r="AW32" s="6" t="e">
        <f t="shared" si="43"/>
        <v>#N/A</v>
      </c>
      <c r="AX32" s="7" t="e">
        <f t="shared" si="44"/>
        <v>#N/A</v>
      </c>
      <c r="AY32" s="6" t="e">
        <f t="shared" si="45"/>
        <v>#N/A</v>
      </c>
      <c r="AZ32" s="5" t="e">
        <f t="shared" si="46"/>
        <v>#N/A</v>
      </c>
      <c r="BA32" s="6" t="e">
        <f t="shared" si="47"/>
        <v>#N/A</v>
      </c>
      <c r="BB32" s="7" t="e">
        <f t="shared" si="48"/>
        <v>#N/A</v>
      </c>
      <c r="BC32" s="6" t="e">
        <f t="shared" si="49"/>
        <v>#N/A</v>
      </c>
      <c r="BD32" s="7" t="e">
        <f t="shared" si="50"/>
        <v>#N/A</v>
      </c>
      <c r="BE32" s="6" t="e">
        <f t="shared" si="51"/>
        <v>#N/A</v>
      </c>
      <c r="BF32" s="5" t="e">
        <f t="shared" si="52"/>
        <v>#N/A</v>
      </c>
      <c r="BG32" s="6" t="e">
        <f t="shared" si="53"/>
        <v>#N/A</v>
      </c>
      <c r="BH32" s="7" t="e">
        <f t="shared" si="54"/>
        <v>#N/A</v>
      </c>
      <c r="BI32" s="6" t="e">
        <f t="shared" si="55"/>
        <v>#N/A</v>
      </c>
      <c r="BJ32" s="7" t="e">
        <f t="shared" si="56"/>
        <v>#N/A</v>
      </c>
      <c r="BK32" s="6" t="e">
        <f t="shared" si="57"/>
        <v>#N/A</v>
      </c>
      <c r="BL32" s="5" t="e">
        <f t="shared" si="58"/>
        <v>#N/A</v>
      </c>
      <c r="BM32" s="6" t="e">
        <f t="shared" si="59"/>
        <v>#N/A</v>
      </c>
      <c r="BN32" s="7" t="e">
        <f t="shared" si="60"/>
        <v>#N/A</v>
      </c>
      <c r="BO32" s="6" t="e">
        <f t="shared" si="61"/>
        <v>#N/A</v>
      </c>
      <c r="BP32" s="7" t="e">
        <f t="shared" si="62"/>
        <v>#N/A</v>
      </c>
      <c r="BQ32" s="6" t="e">
        <f t="shared" si="63"/>
        <v>#N/A</v>
      </c>
      <c r="BR32" s="5" t="e">
        <f t="shared" si="64"/>
        <v>#N/A</v>
      </c>
      <c r="BS32" s="6" t="e">
        <f t="shared" si="65"/>
        <v>#N/A</v>
      </c>
      <c r="BT32" s="7" t="e">
        <f t="shared" si="66"/>
        <v>#N/A</v>
      </c>
      <c r="BU32" s="6" t="e">
        <f t="shared" si="67"/>
        <v>#N/A</v>
      </c>
      <c r="BV32" s="7" t="e">
        <f t="shared" si="68"/>
        <v>#N/A</v>
      </c>
      <c r="BW32" s="6" t="e">
        <f t="shared" si="69"/>
        <v>#N/A</v>
      </c>
      <c r="BX32" s="5" t="e">
        <f t="shared" si="70"/>
        <v>#N/A</v>
      </c>
      <c r="BY32" s="6" t="e">
        <f t="shared" si="71"/>
        <v>#N/A</v>
      </c>
      <c r="BZ32" s="7" t="e">
        <f t="shared" si="72"/>
        <v>#N/A</v>
      </c>
      <c r="CA32" s="6" t="e">
        <f t="shared" si="73"/>
        <v>#N/A</v>
      </c>
      <c r="CB32" s="7" t="e">
        <f t="shared" si="74"/>
        <v>#N/A</v>
      </c>
      <c r="CC32" s="6" t="e">
        <f t="shared" si="75"/>
        <v>#N/A</v>
      </c>
      <c r="CD32" s="5" t="e">
        <f t="shared" si="76"/>
        <v>#N/A</v>
      </c>
      <c r="CE32" s="6" t="e">
        <f t="shared" si="77"/>
        <v>#N/A</v>
      </c>
      <c r="CF32" s="7" t="e">
        <f t="shared" si="78"/>
        <v>#N/A</v>
      </c>
      <c r="CG32" s="6" t="e">
        <f t="shared" si="79"/>
        <v>#N/A</v>
      </c>
      <c r="CH32" s="7" t="e">
        <f t="shared" si="80"/>
        <v>#N/A</v>
      </c>
      <c r="CI32" s="6" t="e">
        <f t="shared" si="81"/>
        <v>#N/A</v>
      </c>
      <c r="CJ32" s="5" t="e">
        <f t="shared" si="82"/>
        <v>#N/A</v>
      </c>
      <c r="CK32" s="6" t="e">
        <f t="shared" si="83"/>
        <v>#N/A</v>
      </c>
      <c r="CL32" s="7" t="e">
        <f t="shared" si="84"/>
        <v>#N/A</v>
      </c>
      <c r="CM32" s="6" t="e">
        <f t="shared" si="85"/>
        <v>#N/A</v>
      </c>
      <c r="CN32" s="7" t="e">
        <f t="shared" si="86"/>
        <v>#N/A</v>
      </c>
      <c r="CO32" s="6" t="e">
        <f t="shared" si="87"/>
        <v>#N/A</v>
      </c>
      <c r="CP32" s="5" t="e">
        <f t="shared" si="88"/>
        <v>#N/A</v>
      </c>
      <c r="CQ32" s="6" t="e">
        <f t="shared" si="89"/>
        <v>#N/A</v>
      </c>
      <c r="CR32" s="7" t="e">
        <f t="shared" si="90"/>
        <v>#N/A</v>
      </c>
      <c r="CS32" s="7" t="e">
        <f t="shared" si="90"/>
        <v>#N/A</v>
      </c>
      <c r="CT32" s="7" t="e">
        <f t="shared" si="90"/>
        <v>#N/A</v>
      </c>
      <c r="CU32" s="7" t="e">
        <f t="shared" si="90"/>
        <v>#N/A</v>
      </c>
      <c r="CV32" s="5" t="e">
        <f t="shared" si="91"/>
        <v>#N/A</v>
      </c>
      <c r="CW32" s="6" t="e">
        <f t="shared" si="92"/>
        <v>#N/A</v>
      </c>
      <c r="CY32" s="7" t="e">
        <v>#N/A</v>
      </c>
      <c r="CZ32" s="5" t="e">
        <f t="array" ref="CZ32">Summary_UpperBound</f>
        <v>#N/A</v>
      </c>
      <c r="DA32" s="6" t="e">
        <f t="shared" si="93"/>
        <v>#N/A</v>
      </c>
    </row>
    <row r="33" spans="2:105" x14ac:dyDescent="0.35">
      <c r="B33" s="14"/>
      <c r="E33" s="12" t="e" vm="2">
        <f t="shared" ca="1" si="94"/>
        <v>#VALUE!</v>
      </c>
      <c r="F33" s="7" t="e">
        <f t="shared" si="0"/>
        <v>#N/A</v>
      </c>
      <c r="G33" s="6" t="e">
        <f t="shared" si="1"/>
        <v>#N/A</v>
      </c>
      <c r="H33" s="7" t="e">
        <f t="shared" si="2"/>
        <v>#N/A</v>
      </c>
      <c r="I33" s="6" t="e">
        <f t="shared" si="3"/>
        <v>#N/A</v>
      </c>
      <c r="J33" s="5" t="e">
        <f t="shared" si="4"/>
        <v>#N/A</v>
      </c>
      <c r="K33" s="6" t="e">
        <f t="shared" si="5"/>
        <v>#N/A</v>
      </c>
      <c r="L33" s="7" t="e">
        <f t="shared" si="6"/>
        <v>#N/A</v>
      </c>
      <c r="M33" s="6" t="e">
        <f t="shared" si="7"/>
        <v>#N/A</v>
      </c>
      <c r="N33" s="7" t="e">
        <f t="shared" si="8"/>
        <v>#N/A</v>
      </c>
      <c r="O33" s="6" t="e">
        <f t="shared" si="9"/>
        <v>#N/A</v>
      </c>
      <c r="P33" s="5" t="e">
        <f t="shared" si="10"/>
        <v>#N/A</v>
      </c>
      <c r="Q33" s="6" t="e">
        <f t="shared" si="11"/>
        <v>#N/A</v>
      </c>
      <c r="R33" s="7" t="e">
        <f t="shared" si="12"/>
        <v>#N/A</v>
      </c>
      <c r="S33" s="6" t="e">
        <f t="shared" si="13"/>
        <v>#N/A</v>
      </c>
      <c r="T33" s="7" t="e">
        <f t="shared" si="14"/>
        <v>#N/A</v>
      </c>
      <c r="U33" s="6" t="e">
        <f t="shared" si="15"/>
        <v>#N/A</v>
      </c>
      <c r="V33" s="5" t="e">
        <f t="shared" si="16"/>
        <v>#N/A</v>
      </c>
      <c r="W33" s="6" t="e">
        <f t="shared" si="17"/>
        <v>#N/A</v>
      </c>
      <c r="X33" s="7" t="e">
        <f t="shared" si="18"/>
        <v>#N/A</v>
      </c>
      <c r="Y33" s="6" t="e">
        <f t="shared" si="19"/>
        <v>#N/A</v>
      </c>
      <c r="Z33" s="7" t="e">
        <f t="shared" si="20"/>
        <v>#N/A</v>
      </c>
      <c r="AA33" s="6" t="e">
        <f t="shared" si="21"/>
        <v>#N/A</v>
      </c>
      <c r="AB33" s="5" t="e">
        <f t="shared" si="22"/>
        <v>#N/A</v>
      </c>
      <c r="AC33" s="6" t="e">
        <f t="shared" si="23"/>
        <v>#N/A</v>
      </c>
      <c r="AD33" s="7" t="e">
        <f t="shared" si="24"/>
        <v>#N/A</v>
      </c>
      <c r="AE33" s="6" t="e">
        <f t="shared" si="25"/>
        <v>#N/A</v>
      </c>
      <c r="AF33" s="7" t="e">
        <f t="shared" si="26"/>
        <v>#N/A</v>
      </c>
      <c r="AG33" s="6" t="e">
        <f t="shared" si="27"/>
        <v>#N/A</v>
      </c>
      <c r="AH33" s="5" t="e">
        <f t="shared" si="28"/>
        <v>#N/A</v>
      </c>
      <c r="AI33" s="6" t="e">
        <f t="shared" si="29"/>
        <v>#N/A</v>
      </c>
      <c r="AJ33" s="7" t="e">
        <f t="shared" si="30"/>
        <v>#N/A</v>
      </c>
      <c r="AK33" s="6" t="e">
        <f t="shared" si="31"/>
        <v>#N/A</v>
      </c>
      <c r="AL33" s="7" t="e">
        <f t="shared" si="32"/>
        <v>#N/A</v>
      </c>
      <c r="AM33" s="6" t="e">
        <f t="shared" si="33"/>
        <v>#N/A</v>
      </c>
      <c r="AN33" s="5" t="e">
        <f t="shared" si="34"/>
        <v>#N/A</v>
      </c>
      <c r="AO33" s="6" t="e">
        <f t="shared" si="35"/>
        <v>#N/A</v>
      </c>
      <c r="AP33" s="7" t="e">
        <f t="shared" si="36"/>
        <v>#N/A</v>
      </c>
      <c r="AQ33" s="6" t="e">
        <f t="shared" si="37"/>
        <v>#N/A</v>
      </c>
      <c r="AR33" s="7" t="e">
        <f t="shared" si="38"/>
        <v>#N/A</v>
      </c>
      <c r="AS33" s="6" t="e">
        <f t="shared" si="39"/>
        <v>#N/A</v>
      </c>
      <c r="AT33" s="5" t="e">
        <f t="shared" si="40"/>
        <v>#N/A</v>
      </c>
      <c r="AU33" s="6" t="e">
        <f t="shared" si="41"/>
        <v>#N/A</v>
      </c>
      <c r="AV33" s="7" t="e">
        <f t="shared" si="42"/>
        <v>#N/A</v>
      </c>
      <c r="AW33" s="6" t="e">
        <f t="shared" si="43"/>
        <v>#N/A</v>
      </c>
      <c r="AX33" s="7" t="e">
        <f t="shared" si="44"/>
        <v>#N/A</v>
      </c>
      <c r="AY33" s="6" t="e">
        <f t="shared" si="45"/>
        <v>#N/A</v>
      </c>
      <c r="AZ33" s="5" t="e">
        <f t="shared" si="46"/>
        <v>#N/A</v>
      </c>
      <c r="BA33" s="6" t="e">
        <f t="shared" si="47"/>
        <v>#N/A</v>
      </c>
      <c r="BB33" s="7" t="e">
        <f t="shared" si="48"/>
        <v>#N/A</v>
      </c>
      <c r="BC33" s="6" t="e">
        <f t="shared" si="49"/>
        <v>#N/A</v>
      </c>
      <c r="BD33" s="7" t="e">
        <f t="shared" si="50"/>
        <v>#N/A</v>
      </c>
      <c r="BE33" s="6" t="e">
        <f t="shared" si="51"/>
        <v>#N/A</v>
      </c>
      <c r="BF33" s="5" t="e">
        <f t="shared" si="52"/>
        <v>#N/A</v>
      </c>
      <c r="BG33" s="6" t="e">
        <f t="shared" si="53"/>
        <v>#N/A</v>
      </c>
      <c r="BH33" s="7" t="e">
        <f t="shared" si="54"/>
        <v>#N/A</v>
      </c>
      <c r="BI33" s="6" t="e">
        <f t="shared" si="55"/>
        <v>#N/A</v>
      </c>
      <c r="BJ33" s="7" t="e">
        <f t="shared" si="56"/>
        <v>#N/A</v>
      </c>
      <c r="BK33" s="6" t="e">
        <f t="shared" si="57"/>
        <v>#N/A</v>
      </c>
      <c r="BL33" s="5" t="e">
        <f t="shared" si="58"/>
        <v>#N/A</v>
      </c>
      <c r="BM33" s="6" t="e">
        <f t="shared" si="59"/>
        <v>#N/A</v>
      </c>
      <c r="BN33" s="7" t="e">
        <f t="shared" si="60"/>
        <v>#N/A</v>
      </c>
      <c r="BO33" s="6" t="e">
        <f t="shared" si="61"/>
        <v>#N/A</v>
      </c>
      <c r="BP33" s="7" t="e">
        <f t="shared" si="62"/>
        <v>#N/A</v>
      </c>
      <c r="BQ33" s="6" t="e">
        <f t="shared" si="63"/>
        <v>#N/A</v>
      </c>
      <c r="BR33" s="5" t="e">
        <f t="shared" si="64"/>
        <v>#N/A</v>
      </c>
      <c r="BS33" s="6" t="e">
        <f t="shared" si="65"/>
        <v>#N/A</v>
      </c>
      <c r="BT33" s="7" t="e">
        <f t="shared" si="66"/>
        <v>#N/A</v>
      </c>
      <c r="BU33" s="6" t="e">
        <f t="shared" si="67"/>
        <v>#N/A</v>
      </c>
      <c r="BV33" s="7" t="e">
        <f t="shared" si="68"/>
        <v>#N/A</v>
      </c>
      <c r="BW33" s="6" t="e">
        <f t="shared" si="69"/>
        <v>#N/A</v>
      </c>
      <c r="BX33" s="5" t="e">
        <f t="shared" si="70"/>
        <v>#N/A</v>
      </c>
      <c r="BY33" s="6" t="e">
        <f t="shared" si="71"/>
        <v>#N/A</v>
      </c>
      <c r="BZ33" s="7" t="e">
        <f t="shared" si="72"/>
        <v>#N/A</v>
      </c>
      <c r="CA33" s="6" t="e">
        <f t="shared" si="73"/>
        <v>#N/A</v>
      </c>
      <c r="CB33" s="7" t="e">
        <f t="shared" si="74"/>
        <v>#N/A</v>
      </c>
      <c r="CC33" s="6" t="e">
        <f t="shared" si="75"/>
        <v>#N/A</v>
      </c>
      <c r="CD33" s="5" t="e">
        <f t="shared" si="76"/>
        <v>#N/A</v>
      </c>
      <c r="CE33" s="6" t="e">
        <f t="shared" si="77"/>
        <v>#N/A</v>
      </c>
      <c r="CF33" s="7" t="e">
        <f t="shared" si="78"/>
        <v>#N/A</v>
      </c>
      <c r="CG33" s="6" t="e">
        <f t="shared" si="79"/>
        <v>#N/A</v>
      </c>
      <c r="CH33" s="7" t="e">
        <f t="shared" si="80"/>
        <v>#N/A</v>
      </c>
      <c r="CI33" s="6" t="e">
        <f t="shared" si="81"/>
        <v>#N/A</v>
      </c>
      <c r="CJ33" s="5" t="e">
        <f t="shared" si="82"/>
        <v>#N/A</v>
      </c>
      <c r="CK33" s="6" t="e">
        <f t="shared" si="83"/>
        <v>#N/A</v>
      </c>
      <c r="CL33" s="7" t="e">
        <f t="shared" si="84"/>
        <v>#N/A</v>
      </c>
      <c r="CM33" s="6" t="e">
        <f t="shared" si="85"/>
        <v>#N/A</v>
      </c>
      <c r="CN33" s="7" t="e">
        <f t="shared" si="86"/>
        <v>#N/A</v>
      </c>
      <c r="CO33" s="6" t="e">
        <f t="shared" si="87"/>
        <v>#N/A</v>
      </c>
      <c r="CP33" s="5" t="e">
        <f t="shared" si="88"/>
        <v>#N/A</v>
      </c>
      <c r="CQ33" s="6" t="e">
        <f t="shared" si="89"/>
        <v>#N/A</v>
      </c>
      <c r="CR33" s="7" t="e">
        <f t="shared" si="90"/>
        <v>#N/A</v>
      </c>
      <c r="CS33" s="7" t="e">
        <f t="shared" si="90"/>
        <v>#N/A</v>
      </c>
      <c r="CT33" s="7" t="e">
        <f t="shared" si="90"/>
        <v>#N/A</v>
      </c>
      <c r="CU33" s="7" t="e">
        <f t="shared" si="90"/>
        <v>#N/A</v>
      </c>
      <c r="CV33" s="5" t="e">
        <f t="shared" si="91"/>
        <v>#N/A</v>
      </c>
      <c r="CW33" s="6" t="e">
        <f t="shared" si="92"/>
        <v>#N/A</v>
      </c>
      <c r="CY33" s="7" t="e">
        <v>#N/A</v>
      </c>
      <c r="CZ33" s="5" t="e">
        <f t="array" ref="CZ33">Summary_UpperBound</f>
        <v>#N/A</v>
      </c>
      <c r="DA33" s="6" t="e">
        <f t="shared" si="93"/>
        <v>#N/A</v>
      </c>
    </row>
    <row r="34" spans="2:105" x14ac:dyDescent="0.35">
      <c r="B34" s="14"/>
      <c r="E34" s="12" t="e" vm="2">
        <f t="shared" ca="1" si="94"/>
        <v>#VALUE!</v>
      </c>
      <c r="F34" s="7" t="e">
        <f t="shared" si="0"/>
        <v>#N/A</v>
      </c>
      <c r="G34" s="6" t="e">
        <f t="shared" si="1"/>
        <v>#N/A</v>
      </c>
      <c r="H34" s="7" t="e">
        <f t="shared" si="2"/>
        <v>#N/A</v>
      </c>
      <c r="I34" s="6" t="e">
        <f t="shared" si="3"/>
        <v>#N/A</v>
      </c>
      <c r="J34" s="5" t="e">
        <f t="shared" si="4"/>
        <v>#N/A</v>
      </c>
      <c r="K34" s="6" t="e">
        <f t="shared" si="5"/>
        <v>#N/A</v>
      </c>
      <c r="L34" s="7" t="e">
        <f t="shared" si="6"/>
        <v>#N/A</v>
      </c>
      <c r="M34" s="6" t="e">
        <f t="shared" si="7"/>
        <v>#N/A</v>
      </c>
      <c r="N34" s="7" t="e">
        <f t="shared" si="8"/>
        <v>#N/A</v>
      </c>
      <c r="O34" s="6" t="e">
        <f t="shared" si="9"/>
        <v>#N/A</v>
      </c>
      <c r="P34" s="5" t="e">
        <f t="shared" si="10"/>
        <v>#N/A</v>
      </c>
      <c r="Q34" s="6" t="e">
        <f t="shared" si="11"/>
        <v>#N/A</v>
      </c>
      <c r="R34" s="7" t="e">
        <f t="shared" si="12"/>
        <v>#N/A</v>
      </c>
      <c r="S34" s="6" t="e">
        <f t="shared" si="13"/>
        <v>#N/A</v>
      </c>
      <c r="T34" s="7" t="e">
        <f t="shared" si="14"/>
        <v>#N/A</v>
      </c>
      <c r="U34" s="6" t="e">
        <f t="shared" si="15"/>
        <v>#N/A</v>
      </c>
      <c r="V34" s="5" t="e">
        <f t="shared" si="16"/>
        <v>#N/A</v>
      </c>
      <c r="W34" s="6" t="e">
        <f t="shared" si="17"/>
        <v>#N/A</v>
      </c>
      <c r="X34" s="7" t="e">
        <f t="shared" si="18"/>
        <v>#N/A</v>
      </c>
      <c r="Y34" s="6" t="e">
        <f t="shared" si="19"/>
        <v>#N/A</v>
      </c>
      <c r="Z34" s="7" t="e">
        <f t="shared" si="20"/>
        <v>#N/A</v>
      </c>
      <c r="AA34" s="6" t="e">
        <f t="shared" si="21"/>
        <v>#N/A</v>
      </c>
      <c r="AB34" s="5" t="e">
        <f t="shared" si="22"/>
        <v>#N/A</v>
      </c>
      <c r="AC34" s="6" t="e">
        <f t="shared" si="23"/>
        <v>#N/A</v>
      </c>
      <c r="AD34" s="7" t="e">
        <f t="shared" si="24"/>
        <v>#N/A</v>
      </c>
      <c r="AE34" s="6" t="e">
        <f t="shared" si="25"/>
        <v>#N/A</v>
      </c>
      <c r="AF34" s="7" t="e">
        <f t="shared" si="26"/>
        <v>#N/A</v>
      </c>
      <c r="AG34" s="6" t="e">
        <f t="shared" si="27"/>
        <v>#N/A</v>
      </c>
      <c r="AH34" s="5" t="e">
        <f t="shared" si="28"/>
        <v>#N/A</v>
      </c>
      <c r="AI34" s="6" t="e">
        <f t="shared" si="29"/>
        <v>#N/A</v>
      </c>
      <c r="AJ34" s="7" t="e">
        <f t="shared" si="30"/>
        <v>#N/A</v>
      </c>
      <c r="AK34" s="6" t="e">
        <f t="shared" si="31"/>
        <v>#N/A</v>
      </c>
      <c r="AL34" s="7" t="e">
        <f t="shared" si="32"/>
        <v>#N/A</v>
      </c>
      <c r="AM34" s="6" t="e">
        <f t="shared" si="33"/>
        <v>#N/A</v>
      </c>
      <c r="AN34" s="5" t="e">
        <f t="shared" si="34"/>
        <v>#N/A</v>
      </c>
      <c r="AO34" s="6" t="e">
        <f t="shared" si="35"/>
        <v>#N/A</v>
      </c>
      <c r="AP34" s="7" t="e">
        <f t="shared" si="36"/>
        <v>#N/A</v>
      </c>
      <c r="AQ34" s="6" t="e">
        <f t="shared" si="37"/>
        <v>#N/A</v>
      </c>
      <c r="AR34" s="7" t="e">
        <f t="shared" si="38"/>
        <v>#N/A</v>
      </c>
      <c r="AS34" s="6" t="e">
        <f t="shared" si="39"/>
        <v>#N/A</v>
      </c>
      <c r="AT34" s="5" t="e">
        <f t="shared" si="40"/>
        <v>#N/A</v>
      </c>
      <c r="AU34" s="6" t="e">
        <f t="shared" si="41"/>
        <v>#N/A</v>
      </c>
      <c r="AV34" s="7" t="e">
        <f t="shared" si="42"/>
        <v>#N/A</v>
      </c>
      <c r="AW34" s="6" t="e">
        <f t="shared" si="43"/>
        <v>#N/A</v>
      </c>
      <c r="AX34" s="7" t="e">
        <f t="shared" si="44"/>
        <v>#N/A</v>
      </c>
      <c r="AY34" s="6" t="e">
        <f t="shared" si="45"/>
        <v>#N/A</v>
      </c>
      <c r="AZ34" s="5" t="e">
        <f t="shared" si="46"/>
        <v>#N/A</v>
      </c>
      <c r="BA34" s="6" t="e">
        <f t="shared" si="47"/>
        <v>#N/A</v>
      </c>
      <c r="BB34" s="7" t="e">
        <f t="shared" si="48"/>
        <v>#N/A</v>
      </c>
      <c r="BC34" s="6" t="e">
        <f t="shared" si="49"/>
        <v>#N/A</v>
      </c>
      <c r="BD34" s="7" t="e">
        <f t="shared" si="50"/>
        <v>#N/A</v>
      </c>
      <c r="BE34" s="6" t="e">
        <f t="shared" si="51"/>
        <v>#N/A</v>
      </c>
      <c r="BF34" s="5" t="e">
        <f t="shared" si="52"/>
        <v>#N/A</v>
      </c>
      <c r="BG34" s="6" t="e">
        <f t="shared" si="53"/>
        <v>#N/A</v>
      </c>
      <c r="BH34" s="7" t="e">
        <f t="shared" si="54"/>
        <v>#N/A</v>
      </c>
      <c r="BI34" s="6" t="e">
        <f t="shared" si="55"/>
        <v>#N/A</v>
      </c>
      <c r="BJ34" s="7" t="e">
        <f t="shared" si="56"/>
        <v>#N/A</v>
      </c>
      <c r="BK34" s="6" t="e">
        <f t="shared" si="57"/>
        <v>#N/A</v>
      </c>
      <c r="BL34" s="5" t="e">
        <f t="shared" si="58"/>
        <v>#N/A</v>
      </c>
      <c r="BM34" s="6" t="e">
        <f t="shared" si="59"/>
        <v>#N/A</v>
      </c>
      <c r="BN34" s="7" t="e">
        <f t="shared" si="60"/>
        <v>#N/A</v>
      </c>
      <c r="BO34" s="6" t="e">
        <f t="shared" si="61"/>
        <v>#N/A</v>
      </c>
      <c r="BP34" s="7" t="e">
        <f t="shared" si="62"/>
        <v>#N/A</v>
      </c>
      <c r="BQ34" s="6" t="e">
        <f t="shared" si="63"/>
        <v>#N/A</v>
      </c>
      <c r="BR34" s="5" t="e">
        <f t="shared" si="64"/>
        <v>#N/A</v>
      </c>
      <c r="BS34" s="6" t="e">
        <f t="shared" si="65"/>
        <v>#N/A</v>
      </c>
      <c r="BT34" s="7" t="e">
        <f t="shared" si="66"/>
        <v>#N/A</v>
      </c>
      <c r="BU34" s="6" t="e">
        <f t="shared" si="67"/>
        <v>#N/A</v>
      </c>
      <c r="BV34" s="7" t="e">
        <f t="shared" si="68"/>
        <v>#N/A</v>
      </c>
      <c r="BW34" s="6" t="e">
        <f t="shared" si="69"/>
        <v>#N/A</v>
      </c>
      <c r="BX34" s="5" t="e">
        <f t="shared" si="70"/>
        <v>#N/A</v>
      </c>
      <c r="BY34" s="6" t="e">
        <f t="shared" si="71"/>
        <v>#N/A</v>
      </c>
      <c r="BZ34" s="7" t="e">
        <f t="shared" si="72"/>
        <v>#N/A</v>
      </c>
      <c r="CA34" s="6" t="e">
        <f t="shared" si="73"/>
        <v>#N/A</v>
      </c>
      <c r="CB34" s="7" t="e">
        <f t="shared" si="74"/>
        <v>#N/A</v>
      </c>
      <c r="CC34" s="6" t="e">
        <f t="shared" si="75"/>
        <v>#N/A</v>
      </c>
      <c r="CD34" s="5" t="e">
        <f t="shared" si="76"/>
        <v>#N/A</v>
      </c>
      <c r="CE34" s="6" t="e">
        <f t="shared" si="77"/>
        <v>#N/A</v>
      </c>
      <c r="CF34" s="7" t="e">
        <f t="shared" si="78"/>
        <v>#N/A</v>
      </c>
      <c r="CG34" s="6" t="e">
        <f t="shared" si="79"/>
        <v>#N/A</v>
      </c>
      <c r="CH34" s="7" t="e">
        <f t="shared" si="80"/>
        <v>#N/A</v>
      </c>
      <c r="CI34" s="6" t="e">
        <f t="shared" si="81"/>
        <v>#N/A</v>
      </c>
      <c r="CJ34" s="5" t="e">
        <f t="shared" si="82"/>
        <v>#N/A</v>
      </c>
      <c r="CK34" s="6" t="e">
        <f t="shared" si="83"/>
        <v>#N/A</v>
      </c>
      <c r="CL34" s="7" t="e">
        <f t="shared" si="84"/>
        <v>#N/A</v>
      </c>
      <c r="CM34" s="6" t="e">
        <f t="shared" si="85"/>
        <v>#N/A</v>
      </c>
      <c r="CN34" s="7" t="e">
        <f t="shared" si="86"/>
        <v>#N/A</v>
      </c>
      <c r="CO34" s="6" t="e">
        <f t="shared" si="87"/>
        <v>#N/A</v>
      </c>
      <c r="CP34" s="5" t="e">
        <f t="shared" si="88"/>
        <v>#N/A</v>
      </c>
      <c r="CQ34" s="6" t="e">
        <f t="shared" si="89"/>
        <v>#N/A</v>
      </c>
      <c r="CR34" s="7" t="e">
        <f t="shared" si="90"/>
        <v>#N/A</v>
      </c>
      <c r="CS34" s="7" t="e">
        <f t="shared" si="90"/>
        <v>#N/A</v>
      </c>
      <c r="CT34" s="7" t="e">
        <f t="shared" si="90"/>
        <v>#N/A</v>
      </c>
      <c r="CU34" s="7" t="e">
        <f t="shared" si="90"/>
        <v>#N/A</v>
      </c>
      <c r="CV34" s="5" t="e">
        <f t="shared" si="91"/>
        <v>#N/A</v>
      </c>
      <c r="CW34" s="6" t="e">
        <f t="shared" si="92"/>
        <v>#N/A</v>
      </c>
      <c r="CY34" s="7" t="e">
        <v>#N/A</v>
      </c>
      <c r="CZ34" s="5" t="e">
        <f t="array" ref="CZ34">Summary_UpperBound</f>
        <v>#N/A</v>
      </c>
      <c r="DA34" s="6" t="e">
        <f t="shared" si="93"/>
        <v>#N/A</v>
      </c>
    </row>
    <row r="35" spans="2:105" x14ac:dyDescent="0.35">
      <c r="B35" s="14"/>
      <c r="E35" s="12" t="e" vm="2">
        <f t="shared" ca="1" si="94"/>
        <v>#VALUE!</v>
      </c>
      <c r="F35" s="7" t="e">
        <f t="shared" si="0"/>
        <v>#N/A</v>
      </c>
      <c r="G35" s="6" t="e">
        <f t="shared" si="1"/>
        <v>#N/A</v>
      </c>
      <c r="H35" s="7" t="e">
        <f t="shared" si="2"/>
        <v>#N/A</v>
      </c>
      <c r="I35" s="6" t="e">
        <f t="shared" si="3"/>
        <v>#N/A</v>
      </c>
      <c r="J35" s="5" t="e">
        <f t="shared" si="4"/>
        <v>#N/A</v>
      </c>
      <c r="K35" s="6" t="e">
        <f t="shared" si="5"/>
        <v>#N/A</v>
      </c>
      <c r="L35" s="7" t="e">
        <f t="shared" si="6"/>
        <v>#N/A</v>
      </c>
      <c r="M35" s="6" t="e">
        <f t="shared" si="7"/>
        <v>#N/A</v>
      </c>
      <c r="N35" s="7" t="e">
        <f t="shared" si="8"/>
        <v>#N/A</v>
      </c>
      <c r="O35" s="6" t="e">
        <f t="shared" si="9"/>
        <v>#N/A</v>
      </c>
      <c r="P35" s="5" t="e">
        <f t="shared" si="10"/>
        <v>#N/A</v>
      </c>
      <c r="Q35" s="6" t="e">
        <f t="shared" si="11"/>
        <v>#N/A</v>
      </c>
      <c r="R35" s="7" t="e">
        <f t="shared" si="12"/>
        <v>#N/A</v>
      </c>
      <c r="S35" s="6" t="e">
        <f t="shared" si="13"/>
        <v>#N/A</v>
      </c>
      <c r="T35" s="7" t="e">
        <f t="shared" si="14"/>
        <v>#N/A</v>
      </c>
      <c r="U35" s="6" t="e">
        <f t="shared" si="15"/>
        <v>#N/A</v>
      </c>
      <c r="V35" s="5" t="e">
        <f t="shared" si="16"/>
        <v>#N/A</v>
      </c>
      <c r="W35" s="6" t="e">
        <f t="shared" si="17"/>
        <v>#N/A</v>
      </c>
      <c r="X35" s="7" t="e">
        <f t="shared" si="18"/>
        <v>#N/A</v>
      </c>
      <c r="Y35" s="6" t="e">
        <f t="shared" si="19"/>
        <v>#N/A</v>
      </c>
      <c r="Z35" s="7" t="e">
        <f t="shared" si="20"/>
        <v>#N/A</v>
      </c>
      <c r="AA35" s="6" t="e">
        <f t="shared" si="21"/>
        <v>#N/A</v>
      </c>
      <c r="AB35" s="5" t="e">
        <f t="shared" si="22"/>
        <v>#N/A</v>
      </c>
      <c r="AC35" s="6" t="e">
        <f t="shared" si="23"/>
        <v>#N/A</v>
      </c>
      <c r="AD35" s="7" t="e">
        <f t="shared" si="24"/>
        <v>#N/A</v>
      </c>
      <c r="AE35" s="6" t="e">
        <f t="shared" si="25"/>
        <v>#N/A</v>
      </c>
      <c r="AF35" s="7" t="e">
        <f t="shared" si="26"/>
        <v>#N/A</v>
      </c>
      <c r="AG35" s="6" t="e">
        <f t="shared" si="27"/>
        <v>#N/A</v>
      </c>
      <c r="AH35" s="5" t="e">
        <f t="shared" si="28"/>
        <v>#N/A</v>
      </c>
      <c r="AI35" s="6" t="e">
        <f t="shared" si="29"/>
        <v>#N/A</v>
      </c>
      <c r="AJ35" s="7" t="e">
        <f t="shared" si="30"/>
        <v>#N/A</v>
      </c>
      <c r="AK35" s="6" t="e">
        <f t="shared" si="31"/>
        <v>#N/A</v>
      </c>
      <c r="AL35" s="7" t="e">
        <f t="shared" si="32"/>
        <v>#N/A</v>
      </c>
      <c r="AM35" s="6" t="e">
        <f t="shared" si="33"/>
        <v>#N/A</v>
      </c>
      <c r="AN35" s="5" t="e">
        <f t="shared" si="34"/>
        <v>#N/A</v>
      </c>
      <c r="AO35" s="6" t="e">
        <f t="shared" si="35"/>
        <v>#N/A</v>
      </c>
      <c r="AP35" s="7" t="e">
        <f t="shared" si="36"/>
        <v>#N/A</v>
      </c>
      <c r="AQ35" s="6" t="e">
        <f t="shared" si="37"/>
        <v>#N/A</v>
      </c>
      <c r="AR35" s="7" t="e">
        <f t="shared" si="38"/>
        <v>#N/A</v>
      </c>
      <c r="AS35" s="6" t="e">
        <f t="shared" si="39"/>
        <v>#N/A</v>
      </c>
      <c r="AT35" s="5" t="e">
        <f t="shared" si="40"/>
        <v>#N/A</v>
      </c>
      <c r="AU35" s="6" t="e">
        <f t="shared" si="41"/>
        <v>#N/A</v>
      </c>
      <c r="AV35" s="7" t="e">
        <f t="shared" si="42"/>
        <v>#N/A</v>
      </c>
      <c r="AW35" s="6" t="e">
        <f t="shared" si="43"/>
        <v>#N/A</v>
      </c>
      <c r="AX35" s="7" t="e">
        <f t="shared" si="44"/>
        <v>#N/A</v>
      </c>
      <c r="AY35" s="6" t="e">
        <f t="shared" si="45"/>
        <v>#N/A</v>
      </c>
      <c r="AZ35" s="5" t="e">
        <f t="shared" si="46"/>
        <v>#N/A</v>
      </c>
      <c r="BA35" s="6" t="e">
        <f t="shared" si="47"/>
        <v>#N/A</v>
      </c>
      <c r="BB35" s="7" t="e">
        <f t="shared" si="48"/>
        <v>#N/A</v>
      </c>
      <c r="BC35" s="6" t="e">
        <f t="shared" si="49"/>
        <v>#N/A</v>
      </c>
      <c r="BD35" s="7" t="e">
        <f t="shared" si="50"/>
        <v>#N/A</v>
      </c>
      <c r="BE35" s="6" t="e">
        <f t="shared" si="51"/>
        <v>#N/A</v>
      </c>
      <c r="BF35" s="5" t="e">
        <f t="shared" si="52"/>
        <v>#N/A</v>
      </c>
      <c r="BG35" s="6" t="e">
        <f t="shared" si="53"/>
        <v>#N/A</v>
      </c>
      <c r="BH35" s="7" t="e">
        <f t="shared" si="54"/>
        <v>#N/A</v>
      </c>
      <c r="BI35" s="6" t="e">
        <f t="shared" si="55"/>
        <v>#N/A</v>
      </c>
      <c r="BJ35" s="7" t="e">
        <f t="shared" si="56"/>
        <v>#N/A</v>
      </c>
      <c r="BK35" s="6" t="e">
        <f t="shared" si="57"/>
        <v>#N/A</v>
      </c>
      <c r="BL35" s="5" t="e">
        <f t="shared" si="58"/>
        <v>#N/A</v>
      </c>
      <c r="BM35" s="6" t="e">
        <f t="shared" si="59"/>
        <v>#N/A</v>
      </c>
      <c r="BN35" s="7" t="e">
        <f t="shared" si="60"/>
        <v>#N/A</v>
      </c>
      <c r="BO35" s="6" t="e">
        <f t="shared" si="61"/>
        <v>#N/A</v>
      </c>
      <c r="BP35" s="7" t="e">
        <f t="shared" si="62"/>
        <v>#N/A</v>
      </c>
      <c r="BQ35" s="6" t="e">
        <f t="shared" si="63"/>
        <v>#N/A</v>
      </c>
      <c r="BR35" s="5" t="e">
        <f t="shared" si="64"/>
        <v>#N/A</v>
      </c>
      <c r="BS35" s="6" t="e">
        <f t="shared" si="65"/>
        <v>#N/A</v>
      </c>
      <c r="BT35" s="7" t="e">
        <f t="shared" si="66"/>
        <v>#N/A</v>
      </c>
      <c r="BU35" s="6" t="e">
        <f t="shared" si="67"/>
        <v>#N/A</v>
      </c>
      <c r="BV35" s="7" t="e">
        <f t="shared" si="68"/>
        <v>#N/A</v>
      </c>
      <c r="BW35" s="6" t="e">
        <f t="shared" si="69"/>
        <v>#N/A</v>
      </c>
      <c r="BX35" s="5" t="e">
        <f t="shared" si="70"/>
        <v>#N/A</v>
      </c>
      <c r="BY35" s="6" t="e">
        <f t="shared" si="71"/>
        <v>#N/A</v>
      </c>
      <c r="BZ35" s="7" t="e">
        <f t="shared" si="72"/>
        <v>#N/A</v>
      </c>
      <c r="CA35" s="6" t="e">
        <f t="shared" si="73"/>
        <v>#N/A</v>
      </c>
      <c r="CB35" s="7" t="e">
        <f t="shared" si="74"/>
        <v>#N/A</v>
      </c>
      <c r="CC35" s="6" t="e">
        <f t="shared" si="75"/>
        <v>#N/A</v>
      </c>
      <c r="CD35" s="5" t="e">
        <f t="shared" si="76"/>
        <v>#N/A</v>
      </c>
      <c r="CE35" s="6" t="e">
        <f t="shared" si="77"/>
        <v>#N/A</v>
      </c>
      <c r="CF35" s="7" t="e">
        <f t="shared" si="78"/>
        <v>#N/A</v>
      </c>
      <c r="CG35" s="6" t="e">
        <f t="shared" si="79"/>
        <v>#N/A</v>
      </c>
      <c r="CH35" s="7" t="e">
        <f t="shared" si="80"/>
        <v>#N/A</v>
      </c>
      <c r="CI35" s="6" t="e">
        <f t="shared" si="81"/>
        <v>#N/A</v>
      </c>
      <c r="CJ35" s="5" t="e">
        <f t="shared" si="82"/>
        <v>#N/A</v>
      </c>
      <c r="CK35" s="6" t="e">
        <f t="shared" si="83"/>
        <v>#N/A</v>
      </c>
      <c r="CL35" s="7" t="e">
        <f t="shared" si="84"/>
        <v>#N/A</v>
      </c>
      <c r="CM35" s="6" t="e">
        <f t="shared" si="85"/>
        <v>#N/A</v>
      </c>
      <c r="CN35" s="7" t="e">
        <f t="shared" si="86"/>
        <v>#N/A</v>
      </c>
      <c r="CO35" s="6" t="e">
        <f t="shared" si="87"/>
        <v>#N/A</v>
      </c>
      <c r="CP35" s="5" t="e">
        <f t="shared" si="88"/>
        <v>#N/A</v>
      </c>
      <c r="CQ35" s="6" t="e">
        <f t="shared" si="89"/>
        <v>#N/A</v>
      </c>
      <c r="CR35" s="7" t="e">
        <f t="shared" si="90"/>
        <v>#N/A</v>
      </c>
      <c r="CS35" s="7" t="e">
        <f t="shared" si="90"/>
        <v>#N/A</v>
      </c>
      <c r="CT35" s="7" t="e">
        <f t="shared" si="90"/>
        <v>#N/A</v>
      </c>
      <c r="CU35" s="7" t="e">
        <f t="shared" si="90"/>
        <v>#N/A</v>
      </c>
      <c r="CV35" s="5" t="e">
        <f t="shared" si="91"/>
        <v>#N/A</v>
      </c>
      <c r="CW35" s="6" t="e">
        <f t="shared" si="92"/>
        <v>#N/A</v>
      </c>
      <c r="CY35" s="7" t="e">
        <v>#N/A</v>
      </c>
      <c r="CZ35" s="5" t="e">
        <f t="array" ref="CZ35">Summary_UpperBound</f>
        <v>#N/A</v>
      </c>
      <c r="DA35" s="6" t="e">
        <f t="shared" si="93"/>
        <v>#N/A</v>
      </c>
    </row>
    <row r="36" spans="2:105" x14ac:dyDescent="0.35">
      <c r="B36" s="14"/>
      <c r="E36" s="12" t="e" vm="2">
        <f t="shared" ca="1" si="94"/>
        <v>#VALUE!</v>
      </c>
      <c r="F36" s="7" t="e">
        <f t="shared" si="0"/>
        <v>#N/A</v>
      </c>
      <c r="G36" s="6" t="e">
        <f t="shared" si="1"/>
        <v>#N/A</v>
      </c>
      <c r="H36" s="7" t="e">
        <f t="shared" si="2"/>
        <v>#N/A</v>
      </c>
      <c r="I36" s="6" t="e">
        <f t="shared" si="3"/>
        <v>#N/A</v>
      </c>
      <c r="J36" s="5" t="e">
        <f t="shared" si="4"/>
        <v>#N/A</v>
      </c>
      <c r="K36" s="6" t="e">
        <f t="shared" si="5"/>
        <v>#N/A</v>
      </c>
      <c r="L36" s="7" t="e">
        <f t="shared" si="6"/>
        <v>#N/A</v>
      </c>
      <c r="M36" s="6" t="e">
        <f t="shared" si="7"/>
        <v>#N/A</v>
      </c>
      <c r="N36" s="7" t="e">
        <f t="shared" si="8"/>
        <v>#N/A</v>
      </c>
      <c r="O36" s="6" t="e">
        <f t="shared" si="9"/>
        <v>#N/A</v>
      </c>
      <c r="P36" s="5" t="e">
        <f t="shared" si="10"/>
        <v>#N/A</v>
      </c>
      <c r="Q36" s="6" t="e">
        <f t="shared" si="11"/>
        <v>#N/A</v>
      </c>
      <c r="R36" s="7" t="e">
        <f t="shared" si="12"/>
        <v>#N/A</v>
      </c>
      <c r="S36" s="6" t="e">
        <f t="shared" si="13"/>
        <v>#N/A</v>
      </c>
      <c r="T36" s="7" t="e">
        <f t="shared" si="14"/>
        <v>#N/A</v>
      </c>
      <c r="U36" s="6" t="e">
        <f t="shared" si="15"/>
        <v>#N/A</v>
      </c>
      <c r="V36" s="5" t="e">
        <f t="shared" si="16"/>
        <v>#N/A</v>
      </c>
      <c r="W36" s="6" t="e">
        <f t="shared" si="17"/>
        <v>#N/A</v>
      </c>
      <c r="X36" s="7" t="e">
        <f t="shared" si="18"/>
        <v>#N/A</v>
      </c>
      <c r="Y36" s="6" t="e">
        <f t="shared" si="19"/>
        <v>#N/A</v>
      </c>
      <c r="Z36" s="7" t="e">
        <f t="shared" si="20"/>
        <v>#N/A</v>
      </c>
      <c r="AA36" s="6" t="e">
        <f t="shared" si="21"/>
        <v>#N/A</v>
      </c>
      <c r="AB36" s="5" t="e">
        <f t="shared" si="22"/>
        <v>#N/A</v>
      </c>
      <c r="AC36" s="6" t="e">
        <f t="shared" si="23"/>
        <v>#N/A</v>
      </c>
      <c r="AD36" s="7" t="e">
        <f t="shared" si="24"/>
        <v>#N/A</v>
      </c>
      <c r="AE36" s="6" t="e">
        <f t="shared" si="25"/>
        <v>#N/A</v>
      </c>
      <c r="AF36" s="7" t="e">
        <f t="shared" si="26"/>
        <v>#N/A</v>
      </c>
      <c r="AG36" s="6" t="e">
        <f t="shared" si="27"/>
        <v>#N/A</v>
      </c>
      <c r="AH36" s="5" t="e">
        <f t="shared" si="28"/>
        <v>#N/A</v>
      </c>
      <c r="AI36" s="6" t="e">
        <f t="shared" si="29"/>
        <v>#N/A</v>
      </c>
      <c r="AJ36" s="7" t="e">
        <f t="shared" si="30"/>
        <v>#N/A</v>
      </c>
      <c r="AK36" s="6" t="e">
        <f t="shared" si="31"/>
        <v>#N/A</v>
      </c>
      <c r="AL36" s="7" t="e">
        <f t="shared" si="32"/>
        <v>#N/A</v>
      </c>
      <c r="AM36" s="6" t="e">
        <f t="shared" si="33"/>
        <v>#N/A</v>
      </c>
      <c r="AN36" s="5" t="e">
        <f t="shared" si="34"/>
        <v>#N/A</v>
      </c>
      <c r="AO36" s="6" t="e">
        <f t="shared" si="35"/>
        <v>#N/A</v>
      </c>
      <c r="AP36" s="7" t="e">
        <f t="shared" si="36"/>
        <v>#N/A</v>
      </c>
      <c r="AQ36" s="6" t="e">
        <f t="shared" si="37"/>
        <v>#N/A</v>
      </c>
      <c r="AR36" s="7" t="e">
        <f t="shared" si="38"/>
        <v>#N/A</v>
      </c>
      <c r="AS36" s="6" t="e">
        <f t="shared" si="39"/>
        <v>#N/A</v>
      </c>
      <c r="AT36" s="5" t="e">
        <f t="shared" si="40"/>
        <v>#N/A</v>
      </c>
      <c r="AU36" s="6" t="e">
        <f t="shared" si="41"/>
        <v>#N/A</v>
      </c>
      <c r="AV36" s="7" t="e">
        <f t="shared" si="42"/>
        <v>#N/A</v>
      </c>
      <c r="AW36" s="6" t="e">
        <f t="shared" si="43"/>
        <v>#N/A</v>
      </c>
      <c r="AX36" s="7" t="e">
        <f t="shared" si="44"/>
        <v>#N/A</v>
      </c>
      <c r="AY36" s="6" t="e">
        <f t="shared" si="45"/>
        <v>#N/A</v>
      </c>
      <c r="AZ36" s="5" t="e">
        <f t="shared" si="46"/>
        <v>#N/A</v>
      </c>
      <c r="BA36" s="6" t="e">
        <f t="shared" si="47"/>
        <v>#N/A</v>
      </c>
      <c r="BB36" s="7" t="e">
        <f t="shared" si="48"/>
        <v>#N/A</v>
      </c>
      <c r="BC36" s="6" t="e">
        <f t="shared" si="49"/>
        <v>#N/A</v>
      </c>
      <c r="BD36" s="7" t="e">
        <f t="shared" si="50"/>
        <v>#N/A</v>
      </c>
      <c r="BE36" s="6" t="e">
        <f t="shared" si="51"/>
        <v>#N/A</v>
      </c>
      <c r="BF36" s="5" t="e">
        <f t="shared" si="52"/>
        <v>#N/A</v>
      </c>
      <c r="BG36" s="6" t="e">
        <f t="shared" si="53"/>
        <v>#N/A</v>
      </c>
      <c r="BH36" s="7" t="e">
        <f t="shared" si="54"/>
        <v>#N/A</v>
      </c>
      <c r="BI36" s="6" t="e">
        <f t="shared" si="55"/>
        <v>#N/A</v>
      </c>
      <c r="BJ36" s="7" t="e">
        <f t="shared" si="56"/>
        <v>#N/A</v>
      </c>
      <c r="BK36" s="6" t="e">
        <f t="shared" si="57"/>
        <v>#N/A</v>
      </c>
      <c r="BL36" s="5" t="e">
        <f t="shared" si="58"/>
        <v>#N/A</v>
      </c>
      <c r="BM36" s="6" t="e">
        <f t="shared" si="59"/>
        <v>#N/A</v>
      </c>
      <c r="BN36" s="7" t="e">
        <f t="shared" si="60"/>
        <v>#N/A</v>
      </c>
      <c r="BO36" s="6" t="e">
        <f t="shared" si="61"/>
        <v>#N/A</v>
      </c>
      <c r="BP36" s="7" t="e">
        <f t="shared" si="62"/>
        <v>#N/A</v>
      </c>
      <c r="BQ36" s="6" t="e">
        <f t="shared" si="63"/>
        <v>#N/A</v>
      </c>
      <c r="BR36" s="5" t="e">
        <f t="shared" si="64"/>
        <v>#N/A</v>
      </c>
      <c r="BS36" s="6" t="e">
        <f t="shared" si="65"/>
        <v>#N/A</v>
      </c>
      <c r="BT36" s="7" t="e">
        <f t="shared" si="66"/>
        <v>#N/A</v>
      </c>
      <c r="BU36" s="6" t="e">
        <f t="shared" si="67"/>
        <v>#N/A</v>
      </c>
      <c r="BV36" s="7" t="e">
        <f t="shared" si="68"/>
        <v>#N/A</v>
      </c>
      <c r="BW36" s="6" t="e">
        <f t="shared" si="69"/>
        <v>#N/A</v>
      </c>
      <c r="BX36" s="5" t="e">
        <f t="shared" si="70"/>
        <v>#N/A</v>
      </c>
      <c r="BY36" s="6" t="e">
        <f t="shared" si="71"/>
        <v>#N/A</v>
      </c>
      <c r="BZ36" s="7" t="e">
        <f t="shared" si="72"/>
        <v>#N/A</v>
      </c>
      <c r="CA36" s="6" t="e">
        <f t="shared" si="73"/>
        <v>#N/A</v>
      </c>
      <c r="CB36" s="7" t="e">
        <f t="shared" si="74"/>
        <v>#N/A</v>
      </c>
      <c r="CC36" s="6" t="e">
        <f t="shared" si="75"/>
        <v>#N/A</v>
      </c>
      <c r="CD36" s="5" t="e">
        <f t="shared" si="76"/>
        <v>#N/A</v>
      </c>
      <c r="CE36" s="6" t="e">
        <f t="shared" si="77"/>
        <v>#N/A</v>
      </c>
      <c r="CF36" s="7" t="e">
        <f t="shared" si="78"/>
        <v>#N/A</v>
      </c>
      <c r="CG36" s="6" t="e">
        <f t="shared" si="79"/>
        <v>#N/A</v>
      </c>
      <c r="CH36" s="7" t="e">
        <f t="shared" si="80"/>
        <v>#N/A</v>
      </c>
      <c r="CI36" s="6" t="e">
        <f t="shared" si="81"/>
        <v>#N/A</v>
      </c>
      <c r="CJ36" s="5" t="e">
        <f t="shared" si="82"/>
        <v>#N/A</v>
      </c>
      <c r="CK36" s="6" t="e">
        <f t="shared" si="83"/>
        <v>#N/A</v>
      </c>
      <c r="CL36" s="7" t="e">
        <f t="shared" si="84"/>
        <v>#N/A</v>
      </c>
      <c r="CM36" s="6" t="e">
        <f t="shared" si="85"/>
        <v>#N/A</v>
      </c>
      <c r="CN36" s="7" t="e">
        <f t="shared" si="86"/>
        <v>#N/A</v>
      </c>
      <c r="CO36" s="6" t="e">
        <f t="shared" si="87"/>
        <v>#N/A</v>
      </c>
      <c r="CP36" s="5" t="e">
        <f t="shared" si="88"/>
        <v>#N/A</v>
      </c>
      <c r="CQ36" s="6" t="e">
        <f t="shared" si="89"/>
        <v>#N/A</v>
      </c>
      <c r="CR36" s="7" t="e">
        <f t="shared" si="90"/>
        <v>#N/A</v>
      </c>
      <c r="CS36" s="7" t="e">
        <f t="shared" si="90"/>
        <v>#N/A</v>
      </c>
      <c r="CT36" s="7" t="e">
        <f t="shared" si="90"/>
        <v>#N/A</v>
      </c>
      <c r="CU36" s="7" t="e">
        <f t="shared" si="90"/>
        <v>#N/A</v>
      </c>
      <c r="CV36" s="5" t="e">
        <f t="shared" si="91"/>
        <v>#N/A</v>
      </c>
      <c r="CW36" s="6" t="e">
        <f t="shared" si="92"/>
        <v>#N/A</v>
      </c>
      <c r="CY36" s="7" t="e">
        <v>#N/A</v>
      </c>
      <c r="CZ36" s="5" t="e">
        <f t="array" ref="CZ36">Summary_UpperBound</f>
        <v>#N/A</v>
      </c>
      <c r="DA36" s="6" t="e">
        <f t="shared" si="93"/>
        <v>#N/A</v>
      </c>
    </row>
    <row r="37" spans="2:105" x14ac:dyDescent="0.35">
      <c r="B37" s="14"/>
      <c r="E37" s="12" t="e" vm="2">
        <f t="shared" ca="1" si="94"/>
        <v>#VALUE!</v>
      </c>
      <c r="F37" s="7" t="e">
        <f t="shared" si="0"/>
        <v>#N/A</v>
      </c>
      <c r="G37" s="6" t="e">
        <f t="shared" si="1"/>
        <v>#N/A</v>
      </c>
      <c r="H37" s="7" t="e">
        <f t="shared" si="2"/>
        <v>#N/A</v>
      </c>
      <c r="I37" s="6" t="e">
        <f t="shared" si="3"/>
        <v>#N/A</v>
      </c>
      <c r="J37" s="5" t="e">
        <f t="shared" si="4"/>
        <v>#N/A</v>
      </c>
      <c r="K37" s="6" t="e">
        <f t="shared" si="5"/>
        <v>#N/A</v>
      </c>
      <c r="L37" s="7" t="e">
        <f t="shared" si="6"/>
        <v>#N/A</v>
      </c>
      <c r="M37" s="6" t="e">
        <f t="shared" si="7"/>
        <v>#N/A</v>
      </c>
      <c r="N37" s="7" t="e">
        <f t="shared" si="8"/>
        <v>#N/A</v>
      </c>
      <c r="O37" s="6" t="e">
        <f t="shared" si="9"/>
        <v>#N/A</v>
      </c>
      <c r="P37" s="5" t="e">
        <f t="shared" si="10"/>
        <v>#N/A</v>
      </c>
      <c r="Q37" s="6" t="e">
        <f t="shared" si="11"/>
        <v>#N/A</v>
      </c>
      <c r="R37" s="7" t="e">
        <f t="shared" si="12"/>
        <v>#N/A</v>
      </c>
      <c r="S37" s="6" t="e">
        <f t="shared" si="13"/>
        <v>#N/A</v>
      </c>
      <c r="T37" s="7" t="e">
        <f t="shared" si="14"/>
        <v>#N/A</v>
      </c>
      <c r="U37" s="6" t="e">
        <f t="shared" si="15"/>
        <v>#N/A</v>
      </c>
      <c r="V37" s="5" t="e">
        <f t="shared" si="16"/>
        <v>#N/A</v>
      </c>
      <c r="W37" s="6" t="e">
        <f t="shared" si="17"/>
        <v>#N/A</v>
      </c>
      <c r="X37" s="7" t="e">
        <f t="shared" si="18"/>
        <v>#N/A</v>
      </c>
      <c r="Y37" s="6" t="e">
        <f t="shared" si="19"/>
        <v>#N/A</v>
      </c>
      <c r="Z37" s="7" t="e">
        <f t="shared" si="20"/>
        <v>#N/A</v>
      </c>
      <c r="AA37" s="6" t="e">
        <f t="shared" si="21"/>
        <v>#N/A</v>
      </c>
      <c r="AB37" s="5" t="e">
        <f t="shared" si="22"/>
        <v>#N/A</v>
      </c>
      <c r="AC37" s="6" t="e">
        <f t="shared" si="23"/>
        <v>#N/A</v>
      </c>
      <c r="AD37" s="7" t="e">
        <f t="shared" si="24"/>
        <v>#N/A</v>
      </c>
      <c r="AE37" s="6" t="e">
        <f t="shared" si="25"/>
        <v>#N/A</v>
      </c>
      <c r="AF37" s="7" t="e">
        <f t="shared" si="26"/>
        <v>#N/A</v>
      </c>
      <c r="AG37" s="6" t="e">
        <f t="shared" si="27"/>
        <v>#N/A</v>
      </c>
      <c r="AH37" s="5" t="e">
        <f t="shared" si="28"/>
        <v>#N/A</v>
      </c>
      <c r="AI37" s="6" t="e">
        <f t="shared" si="29"/>
        <v>#N/A</v>
      </c>
      <c r="AJ37" s="7" t="e">
        <f t="shared" si="30"/>
        <v>#N/A</v>
      </c>
      <c r="AK37" s="6" t="e">
        <f t="shared" si="31"/>
        <v>#N/A</v>
      </c>
      <c r="AL37" s="7" t="e">
        <f t="shared" si="32"/>
        <v>#N/A</v>
      </c>
      <c r="AM37" s="6" t="e">
        <f t="shared" si="33"/>
        <v>#N/A</v>
      </c>
      <c r="AN37" s="5" t="e">
        <f t="shared" si="34"/>
        <v>#N/A</v>
      </c>
      <c r="AO37" s="6" t="e">
        <f t="shared" si="35"/>
        <v>#N/A</v>
      </c>
      <c r="AP37" s="7" t="e">
        <f t="shared" si="36"/>
        <v>#N/A</v>
      </c>
      <c r="AQ37" s="6" t="e">
        <f t="shared" si="37"/>
        <v>#N/A</v>
      </c>
      <c r="AR37" s="7" t="e">
        <f t="shared" si="38"/>
        <v>#N/A</v>
      </c>
      <c r="AS37" s="6" t="e">
        <f t="shared" si="39"/>
        <v>#N/A</v>
      </c>
      <c r="AT37" s="5" t="e">
        <f t="shared" si="40"/>
        <v>#N/A</v>
      </c>
      <c r="AU37" s="6" t="e">
        <f t="shared" si="41"/>
        <v>#N/A</v>
      </c>
      <c r="AV37" s="7" t="e">
        <f t="shared" si="42"/>
        <v>#N/A</v>
      </c>
      <c r="AW37" s="6" t="e">
        <f t="shared" si="43"/>
        <v>#N/A</v>
      </c>
      <c r="AX37" s="7" t="e">
        <f t="shared" si="44"/>
        <v>#N/A</v>
      </c>
      <c r="AY37" s="6" t="e">
        <f t="shared" si="45"/>
        <v>#N/A</v>
      </c>
      <c r="AZ37" s="5" t="e">
        <f t="shared" si="46"/>
        <v>#N/A</v>
      </c>
      <c r="BA37" s="6" t="e">
        <f t="shared" si="47"/>
        <v>#N/A</v>
      </c>
      <c r="BB37" s="7" t="e">
        <f t="shared" si="48"/>
        <v>#N/A</v>
      </c>
      <c r="BC37" s="6" t="e">
        <f t="shared" si="49"/>
        <v>#N/A</v>
      </c>
      <c r="BD37" s="7" t="e">
        <f t="shared" si="50"/>
        <v>#N/A</v>
      </c>
      <c r="BE37" s="6" t="e">
        <f t="shared" si="51"/>
        <v>#N/A</v>
      </c>
      <c r="BF37" s="5" t="e">
        <f t="shared" si="52"/>
        <v>#N/A</v>
      </c>
      <c r="BG37" s="6" t="e">
        <f t="shared" si="53"/>
        <v>#N/A</v>
      </c>
      <c r="BH37" s="7" t="e">
        <f t="shared" si="54"/>
        <v>#N/A</v>
      </c>
      <c r="BI37" s="6" t="e">
        <f t="shared" si="55"/>
        <v>#N/A</v>
      </c>
      <c r="BJ37" s="7" t="e">
        <f t="shared" si="56"/>
        <v>#N/A</v>
      </c>
      <c r="BK37" s="6" t="e">
        <f t="shared" si="57"/>
        <v>#N/A</v>
      </c>
      <c r="BL37" s="5" t="e">
        <f t="shared" si="58"/>
        <v>#N/A</v>
      </c>
      <c r="BM37" s="6" t="e">
        <f t="shared" si="59"/>
        <v>#N/A</v>
      </c>
      <c r="BN37" s="7" t="e">
        <f t="shared" si="60"/>
        <v>#N/A</v>
      </c>
      <c r="BO37" s="6" t="e">
        <f t="shared" si="61"/>
        <v>#N/A</v>
      </c>
      <c r="BP37" s="7" t="e">
        <f t="shared" si="62"/>
        <v>#N/A</v>
      </c>
      <c r="BQ37" s="6" t="e">
        <f t="shared" si="63"/>
        <v>#N/A</v>
      </c>
      <c r="BR37" s="5" t="e">
        <f t="shared" si="64"/>
        <v>#N/A</v>
      </c>
      <c r="BS37" s="6" t="e">
        <f t="shared" si="65"/>
        <v>#N/A</v>
      </c>
      <c r="BT37" s="7" t="e">
        <f t="shared" si="66"/>
        <v>#N/A</v>
      </c>
      <c r="BU37" s="6" t="e">
        <f t="shared" si="67"/>
        <v>#N/A</v>
      </c>
      <c r="BV37" s="7" t="e">
        <f t="shared" si="68"/>
        <v>#N/A</v>
      </c>
      <c r="BW37" s="6" t="e">
        <f t="shared" si="69"/>
        <v>#N/A</v>
      </c>
      <c r="BX37" s="5" t="e">
        <f t="shared" si="70"/>
        <v>#N/A</v>
      </c>
      <c r="BY37" s="6" t="e">
        <f t="shared" si="71"/>
        <v>#N/A</v>
      </c>
      <c r="BZ37" s="7" t="e">
        <f t="shared" si="72"/>
        <v>#N/A</v>
      </c>
      <c r="CA37" s="6" t="e">
        <f t="shared" si="73"/>
        <v>#N/A</v>
      </c>
      <c r="CB37" s="7" t="e">
        <f t="shared" si="74"/>
        <v>#N/A</v>
      </c>
      <c r="CC37" s="6" t="e">
        <f t="shared" si="75"/>
        <v>#N/A</v>
      </c>
      <c r="CD37" s="5" t="e">
        <f t="shared" si="76"/>
        <v>#N/A</v>
      </c>
      <c r="CE37" s="6" t="e">
        <f t="shared" si="77"/>
        <v>#N/A</v>
      </c>
      <c r="CF37" s="7" t="e">
        <f t="shared" si="78"/>
        <v>#N/A</v>
      </c>
      <c r="CG37" s="6" t="e">
        <f t="shared" si="79"/>
        <v>#N/A</v>
      </c>
      <c r="CH37" s="7" t="e">
        <f t="shared" si="80"/>
        <v>#N/A</v>
      </c>
      <c r="CI37" s="6" t="e">
        <f t="shared" si="81"/>
        <v>#N/A</v>
      </c>
      <c r="CJ37" s="5" t="e">
        <f t="shared" si="82"/>
        <v>#N/A</v>
      </c>
      <c r="CK37" s="6" t="e">
        <f t="shared" si="83"/>
        <v>#N/A</v>
      </c>
      <c r="CL37" s="7" t="e">
        <f t="shared" si="84"/>
        <v>#N/A</v>
      </c>
      <c r="CM37" s="6" t="e">
        <f t="shared" si="85"/>
        <v>#N/A</v>
      </c>
      <c r="CN37" s="7" t="e">
        <f t="shared" si="86"/>
        <v>#N/A</v>
      </c>
      <c r="CO37" s="6" t="e">
        <f t="shared" si="87"/>
        <v>#N/A</v>
      </c>
      <c r="CP37" s="5" t="e">
        <f t="shared" si="88"/>
        <v>#N/A</v>
      </c>
      <c r="CQ37" s="6" t="e">
        <f t="shared" si="89"/>
        <v>#N/A</v>
      </c>
      <c r="CR37" s="7" t="e">
        <f t="shared" si="90"/>
        <v>#N/A</v>
      </c>
      <c r="CS37" s="7" t="e">
        <f t="shared" si="90"/>
        <v>#N/A</v>
      </c>
      <c r="CT37" s="7" t="e">
        <f t="shared" si="90"/>
        <v>#N/A</v>
      </c>
      <c r="CU37" s="7" t="e">
        <f t="shared" si="90"/>
        <v>#N/A</v>
      </c>
      <c r="CV37" s="5" t="e">
        <f t="shared" si="91"/>
        <v>#N/A</v>
      </c>
      <c r="CW37" s="6" t="e">
        <f t="shared" si="92"/>
        <v>#N/A</v>
      </c>
      <c r="CY37" s="7" t="e">
        <v>#N/A</v>
      </c>
      <c r="CZ37" s="5" t="e">
        <f t="array" ref="CZ37">Summary_UpperBound</f>
        <v>#N/A</v>
      </c>
      <c r="DA37" s="6" t="e">
        <f t="shared" si="93"/>
        <v>#N/A</v>
      </c>
    </row>
    <row r="38" spans="2:105" x14ac:dyDescent="0.35">
      <c r="B38" s="14"/>
      <c r="E38" s="12" t="e" vm="2">
        <f t="shared" ca="1" si="94"/>
        <v>#VALUE!</v>
      </c>
      <c r="F38" s="7" t="e">
        <f t="shared" si="0"/>
        <v>#N/A</v>
      </c>
      <c r="G38" s="6" t="e">
        <f t="shared" si="1"/>
        <v>#N/A</v>
      </c>
      <c r="H38" s="7" t="e">
        <f t="shared" si="2"/>
        <v>#N/A</v>
      </c>
      <c r="I38" s="6" t="e">
        <f t="shared" si="3"/>
        <v>#N/A</v>
      </c>
      <c r="J38" s="5" t="e">
        <f t="shared" si="4"/>
        <v>#N/A</v>
      </c>
      <c r="K38" s="6" t="e">
        <f t="shared" si="5"/>
        <v>#N/A</v>
      </c>
      <c r="L38" s="7" t="e">
        <f t="shared" si="6"/>
        <v>#N/A</v>
      </c>
      <c r="M38" s="6" t="e">
        <f t="shared" si="7"/>
        <v>#N/A</v>
      </c>
      <c r="N38" s="7" t="e">
        <f t="shared" si="8"/>
        <v>#N/A</v>
      </c>
      <c r="O38" s="6" t="e">
        <f t="shared" si="9"/>
        <v>#N/A</v>
      </c>
      <c r="P38" s="5" t="e">
        <f t="shared" si="10"/>
        <v>#N/A</v>
      </c>
      <c r="Q38" s="6" t="e">
        <f t="shared" si="11"/>
        <v>#N/A</v>
      </c>
      <c r="R38" s="7" t="e">
        <f t="shared" si="12"/>
        <v>#N/A</v>
      </c>
      <c r="S38" s="6" t="e">
        <f t="shared" si="13"/>
        <v>#N/A</v>
      </c>
      <c r="T38" s="7" t="e">
        <f t="shared" si="14"/>
        <v>#N/A</v>
      </c>
      <c r="U38" s="6" t="e">
        <f t="shared" si="15"/>
        <v>#N/A</v>
      </c>
      <c r="V38" s="5" t="e">
        <f t="shared" si="16"/>
        <v>#N/A</v>
      </c>
      <c r="W38" s="6" t="e">
        <f t="shared" si="17"/>
        <v>#N/A</v>
      </c>
      <c r="X38" s="7" t="e">
        <f t="shared" si="18"/>
        <v>#N/A</v>
      </c>
      <c r="Y38" s="6" t="e">
        <f t="shared" si="19"/>
        <v>#N/A</v>
      </c>
      <c r="Z38" s="7" t="e">
        <f t="shared" si="20"/>
        <v>#N/A</v>
      </c>
      <c r="AA38" s="6" t="e">
        <f t="shared" si="21"/>
        <v>#N/A</v>
      </c>
      <c r="AB38" s="5" t="e">
        <f t="shared" si="22"/>
        <v>#N/A</v>
      </c>
      <c r="AC38" s="6" t="e">
        <f t="shared" si="23"/>
        <v>#N/A</v>
      </c>
      <c r="AD38" s="7" t="e">
        <f t="shared" si="24"/>
        <v>#N/A</v>
      </c>
      <c r="AE38" s="6" t="e">
        <f t="shared" si="25"/>
        <v>#N/A</v>
      </c>
      <c r="AF38" s="7" t="e">
        <f t="shared" si="26"/>
        <v>#N/A</v>
      </c>
      <c r="AG38" s="6" t="e">
        <f t="shared" si="27"/>
        <v>#N/A</v>
      </c>
      <c r="AH38" s="5" t="e">
        <f t="shared" si="28"/>
        <v>#N/A</v>
      </c>
      <c r="AI38" s="6" t="e">
        <f t="shared" si="29"/>
        <v>#N/A</v>
      </c>
      <c r="AJ38" s="7" t="e">
        <f t="shared" si="30"/>
        <v>#N/A</v>
      </c>
      <c r="AK38" s="6" t="e">
        <f t="shared" si="31"/>
        <v>#N/A</v>
      </c>
      <c r="AL38" s="7" t="e">
        <f t="shared" si="32"/>
        <v>#N/A</v>
      </c>
      <c r="AM38" s="6" t="e">
        <f t="shared" si="33"/>
        <v>#N/A</v>
      </c>
      <c r="AN38" s="5" t="e">
        <f t="shared" si="34"/>
        <v>#N/A</v>
      </c>
      <c r="AO38" s="6" t="e">
        <f t="shared" si="35"/>
        <v>#N/A</v>
      </c>
      <c r="AP38" s="7" t="e">
        <f t="shared" si="36"/>
        <v>#N/A</v>
      </c>
      <c r="AQ38" s="6" t="e">
        <f t="shared" si="37"/>
        <v>#N/A</v>
      </c>
      <c r="AR38" s="7" t="e">
        <f t="shared" si="38"/>
        <v>#N/A</v>
      </c>
      <c r="AS38" s="6" t="e">
        <f t="shared" si="39"/>
        <v>#N/A</v>
      </c>
      <c r="AT38" s="5" t="e">
        <f t="shared" si="40"/>
        <v>#N/A</v>
      </c>
      <c r="AU38" s="6" t="e">
        <f t="shared" si="41"/>
        <v>#N/A</v>
      </c>
      <c r="AV38" s="7" t="e">
        <f t="shared" si="42"/>
        <v>#N/A</v>
      </c>
      <c r="AW38" s="6" t="e">
        <f t="shared" si="43"/>
        <v>#N/A</v>
      </c>
      <c r="AX38" s="7" t="e">
        <f t="shared" si="44"/>
        <v>#N/A</v>
      </c>
      <c r="AY38" s="6" t="e">
        <f t="shared" si="45"/>
        <v>#N/A</v>
      </c>
      <c r="AZ38" s="5" t="e">
        <f t="shared" si="46"/>
        <v>#N/A</v>
      </c>
      <c r="BA38" s="6" t="e">
        <f t="shared" si="47"/>
        <v>#N/A</v>
      </c>
      <c r="BB38" s="7" t="e">
        <f t="shared" si="48"/>
        <v>#N/A</v>
      </c>
      <c r="BC38" s="6" t="e">
        <f t="shared" si="49"/>
        <v>#N/A</v>
      </c>
      <c r="BD38" s="7" t="e">
        <f t="shared" si="50"/>
        <v>#N/A</v>
      </c>
      <c r="BE38" s="6" t="e">
        <f t="shared" si="51"/>
        <v>#N/A</v>
      </c>
      <c r="BF38" s="5" t="e">
        <f t="shared" si="52"/>
        <v>#N/A</v>
      </c>
      <c r="BG38" s="6" t="e">
        <f t="shared" si="53"/>
        <v>#N/A</v>
      </c>
      <c r="BH38" s="7" t="e">
        <f t="shared" si="54"/>
        <v>#N/A</v>
      </c>
      <c r="BI38" s="6" t="e">
        <f t="shared" si="55"/>
        <v>#N/A</v>
      </c>
      <c r="BJ38" s="7" t="e">
        <f t="shared" si="56"/>
        <v>#N/A</v>
      </c>
      <c r="BK38" s="6" t="e">
        <f t="shared" si="57"/>
        <v>#N/A</v>
      </c>
      <c r="BL38" s="5" t="e">
        <f t="shared" si="58"/>
        <v>#N/A</v>
      </c>
      <c r="BM38" s="6" t="e">
        <f t="shared" si="59"/>
        <v>#N/A</v>
      </c>
      <c r="BN38" s="7" t="e">
        <f t="shared" si="60"/>
        <v>#N/A</v>
      </c>
      <c r="BO38" s="6" t="e">
        <f t="shared" si="61"/>
        <v>#N/A</v>
      </c>
      <c r="BP38" s="7" t="e">
        <f t="shared" si="62"/>
        <v>#N/A</v>
      </c>
      <c r="BQ38" s="6" t="e">
        <f t="shared" si="63"/>
        <v>#N/A</v>
      </c>
      <c r="BR38" s="5" t="e">
        <f t="shared" si="64"/>
        <v>#N/A</v>
      </c>
      <c r="BS38" s="6" t="e">
        <f t="shared" si="65"/>
        <v>#N/A</v>
      </c>
      <c r="BT38" s="7" t="e">
        <f t="shared" si="66"/>
        <v>#N/A</v>
      </c>
      <c r="BU38" s="6" t="e">
        <f t="shared" si="67"/>
        <v>#N/A</v>
      </c>
      <c r="BV38" s="7" t="e">
        <f t="shared" si="68"/>
        <v>#N/A</v>
      </c>
      <c r="BW38" s="6" t="e">
        <f t="shared" si="69"/>
        <v>#N/A</v>
      </c>
      <c r="BX38" s="5" t="e">
        <f t="shared" si="70"/>
        <v>#N/A</v>
      </c>
      <c r="BY38" s="6" t="e">
        <f t="shared" si="71"/>
        <v>#N/A</v>
      </c>
      <c r="BZ38" s="7" t="e">
        <f t="shared" si="72"/>
        <v>#N/A</v>
      </c>
      <c r="CA38" s="6" t="e">
        <f t="shared" si="73"/>
        <v>#N/A</v>
      </c>
      <c r="CB38" s="7" t="e">
        <f t="shared" si="74"/>
        <v>#N/A</v>
      </c>
      <c r="CC38" s="6" t="e">
        <f t="shared" si="75"/>
        <v>#N/A</v>
      </c>
      <c r="CD38" s="5" t="e">
        <f t="shared" si="76"/>
        <v>#N/A</v>
      </c>
      <c r="CE38" s="6" t="e">
        <f t="shared" si="77"/>
        <v>#N/A</v>
      </c>
      <c r="CF38" s="7" t="e">
        <f t="shared" si="78"/>
        <v>#N/A</v>
      </c>
      <c r="CG38" s="6" t="e">
        <f t="shared" si="79"/>
        <v>#N/A</v>
      </c>
      <c r="CH38" s="7" t="e">
        <f t="shared" si="80"/>
        <v>#N/A</v>
      </c>
      <c r="CI38" s="6" t="e">
        <f t="shared" si="81"/>
        <v>#N/A</v>
      </c>
      <c r="CJ38" s="5" t="e">
        <f t="shared" si="82"/>
        <v>#N/A</v>
      </c>
      <c r="CK38" s="6" t="e">
        <f t="shared" si="83"/>
        <v>#N/A</v>
      </c>
      <c r="CL38" s="7" t="e">
        <f t="shared" si="84"/>
        <v>#N/A</v>
      </c>
      <c r="CM38" s="6" t="e">
        <f t="shared" si="85"/>
        <v>#N/A</v>
      </c>
      <c r="CN38" s="7" t="e">
        <f t="shared" si="86"/>
        <v>#N/A</v>
      </c>
      <c r="CO38" s="6" t="e">
        <f t="shared" si="87"/>
        <v>#N/A</v>
      </c>
      <c r="CP38" s="5" t="e">
        <f t="shared" si="88"/>
        <v>#N/A</v>
      </c>
      <c r="CQ38" s="6" t="e">
        <f t="shared" si="89"/>
        <v>#N/A</v>
      </c>
      <c r="CR38" s="7" t="e">
        <f t="shared" si="90"/>
        <v>#N/A</v>
      </c>
      <c r="CS38" s="7" t="e">
        <f t="shared" si="90"/>
        <v>#N/A</v>
      </c>
      <c r="CT38" s="7" t="e">
        <f t="shared" si="90"/>
        <v>#N/A</v>
      </c>
      <c r="CU38" s="7" t="e">
        <f t="shared" si="90"/>
        <v>#N/A</v>
      </c>
      <c r="CV38" s="5" t="e">
        <f t="shared" si="91"/>
        <v>#N/A</v>
      </c>
      <c r="CW38" s="6" t="e">
        <f t="shared" si="92"/>
        <v>#N/A</v>
      </c>
      <c r="CY38" s="7" t="e">
        <v>#N/A</v>
      </c>
      <c r="CZ38" s="5" t="e">
        <f t="array" ref="CZ38">Summary_UpperBound</f>
        <v>#N/A</v>
      </c>
      <c r="DA38" s="6" t="e">
        <f t="shared" si="93"/>
        <v>#N/A</v>
      </c>
    </row>
    <row r="39" spans="2:105" x14ac:dyDescent="0.35">
      <c r="B39" s="14"/>
      <c r="E39" s="12" t="e" vm="2">
        <f t="shared" ca="1" si="94"/>
        <v>#VALUE!</v>
      </c>
      <c r="F39" s="7" t="e">
        <f t="shared" si="0"/>
        <v>#N/A</v>
      </c>
      <c r="G39" s="6" t="e">
        <f t="shared" si="1"/>
        <v>#N/A</v>
      </c>
      <c r="H39" s="7" t="e">
        <f t="shared" si="2"/>
        <v>#N/A</v>
      </c>
      <c r="I39" s="6" t="e">
        <f t="shared" si="3"/>
        <v>#N/A</v>
      </c>
      <c r="J39" s="5" t="e">
        <f t="shared" si="4"/>
        <v>#N/A</v>
      </c>
      <c r="K39" s="6" t="e">
        <f t="shared" si="5"/>
        <v>#N/A</v>
      </c>
      <c r="L39" s="7" t="e">
        <f t="shared" si="6"/>
        <v>#N/A</v>
      </c>
      <c r="M39" s="6" t="e">
        <f t="shared" si="7"/>
        <v>#N/A</v>
      </c>
      <c r="N39" s="7" t="e">
        <f t="shared" si="8"/>
        <v>#N/A</v>
      </c>
      <c r="O39" s="6" t="e">
        <f t="shared" si="9"/>
        <v>#N/A</v>
      </c>
      <c r="P39" s="5" t="e">
        <f t="shared" si="10"/>
        <v>#N/A</v>
      </c>
      <c r="Q39" s="6" t="e">
        <f t="shared" si="11"/>
        <v>#N/A</v>
      </c>
      <c r="R39" s="7" t="e">
        <f t="shared" si="12"/>
        <v>#N/A</v>
      </c>
      <c r="S39" s="6" t="e">
        <f t="shared" si="13"/>
        <v>#N/A</v>
      </c>
      <c r="T39" s="7" t="e">
        <f t="shared" si="14"/>
        <v>#N/A</v>
      </c>
      <c r="U39" s="6" t="e">
        <f t="shared" si="15"/>
        <v>#N/A</v>
      </c>
      <c r="V39" s="5" t="e">
        <f t="shared" si="16"/>
        <v>#N/A</v>
      </c>
      <c r="W39" s="6" t="e">
        <f t="shared" si="17"/>
        <v>#N/A</v>
      </c>
      <c r="X39" s="7" t="e">
        <f t="shared" si="18"/>
        <v>#N/A</v>
      </c>
      <c r="Y39" s="6" t="e">
        <f t="shared" si="19"/>
        <v>#N/A</v>
      </c>
      <c r="Z39" s="7" t="e">
        <f t="shared" si="20"/>
        <v>#N/A</v>
      </c>
      <c r="AA39" s="6" t="e">
        <f t="shared" si="21"/>
        <v>#N/A</v>
      </c>
      <c r="AB39" s="5" t="e">
        <f t="shared" si="22"/>
        <v>#N/A</v>
      </c>
      <c r="AC39" s="6" t="e">
        <f t="shared" si="23"/>
        <v>#N/A</v>
      </c>
      <c r="AD39" s="7" t="e">
        <f t="shared" si="24"/>
        <v>#N/A</v>
      </c>
      <c r="AE39" s="6" t="e">
        <f t="shared" si="25"/>
        <v>#N/A</v>
      </c>
      <c r="AF39" s="7" t="e">
        <f t="shared" si="26"/>
        <v>#N/A</v>
      </c>
      <c r="AG39" s="6" t="e">
        <f t="shared" si="27"/>
        <v>#N/A</v>
      </c>
      <c r="AH39" s="5" t="e">
        <f t="shared" si="28"/>
        <v>#N/A</v>
      </c>
      <c r="AI39" s="6" t="e">
        <f t="shared" si="29"/>
        <v>#N/A</v>
      </c>
      <c r="AJ39" s="7" t="e">
        <f t="shared" si="30"/>
        <v>#N/A</v>
      </c>
      <c r="AK39" s="6" t="e">
        <f t="shared" si="31"/>
        <v>#N/A</v>
      </c>
      <c r="AL39" s="7" t="e">
        <f t="shared" si="32"/>
        <v>#N/A</v>
      </c>
      <c r="AM39" s="6" t="e">
        <f t="shared" si="33"/>
        <v>#N/A</v>
      </c>
      <c r="AN39" s="5" t="e">
        <f t="shared" si="34"/>
        <v>#N/A</v>
      </c>
      <c r="AO39" s="6" t="e">
        <f t="shared" si="35"/>
        <v>#N/A</v>
      </c>
      <c r="AP39" s="7" t="e">
        <f t="shared" si="36"/>
        <v>#N/A</v>
      </c>
      <c r="AQ39" s="6" t="e">
        <f t="shared" si="37"/>
        <v>#N/A</v>
      </c>
      <c r="AR39" s="7" t="e">
        <f t="shared" si="38"/>
        <v>#N/A</v>
      </c>
      <c r="AS39" s="6" t="e">
        <f t="shared" si="39"/>
        <v>#N/A</v>
      </c>
      <c r="AT39" s="5" t="e">
        <f t="shared" si="40"/>
        <v>#N/A</v>
      </c>
      <c r="AU39" s="6" t="e">
        <f t="shared" si="41"/>
        <v>#N/A</v>
      </c>
      <c r="AV39" s="7" t="e">
        <f t="shared" si="42"/>
        <v>#N/A</v>
      </c>
      <c r="AW39" s="6" t="e">
        <f t="shared" si="43"/>
        <v>#N/A</v>
      </c>
      <c r="AX39" s="7" t="e">
        <f t="shared" si="44"/>
        <v>#N/A</v>
      </c>
      <c r="AY39" s="6" t="e">
        <f t="shared" si="45"/>
        <v>#N/A</v>
      </c>
      <c r="AZ39" s="5" t="e">
        <f t="shared" si="46"/>
        <v>#N/A</v>
      </c>
      <c r="BA39" s="6" t="e">
        <f t="shared" si="47"/>
        <v>#N/A</v>
      </c>
      <c r="BB39" s="7" t="e">
        <f t="shared" si="48"/>
        <v>#N/A</v>
      </c>
      <c r="BC39" s="6" t="e">
        <f t="shared" si="49"/>
        <v>#N/A</v>
      </c>
      <c r="BD39" s="7" t="e">
        <f t="shared" si="50"/>
        <v>#N/A</v>
      </c>
      <c r="BE39" s="6" t="e">
        <f t="shared" si="51"/>
        <v>#N/A</v>
      </c>
      <c r="BF39" s="5" t="e">
        <f t="shared" si="52"/>
        <v>#N/A</v>
      </c>
      <c r="BG39" s="6" t="e">
        <f t="shared" si="53"/>
        <v>#N/A</v>
      </c>
      <c r="BH39" s="7" t="e">
        <f t="shared" si="54"/>
        <v>#N/A</v>
      </c>
      <c r="BI39" s="6" t="e">
        <f t="shared" si="55"/>
        <v>#N/A</v>
      </c>
      <c r="BJ39" s="7" t="e">
        <f t="shared" si="56"/>
        <v>#N/A</v>
      </c>
      <c r="BK39" s="6" t="e">
        <f t="shared" si="57"/>
        <v>#N/A</v>
      </c>
      <c r="BL39" s="5" t="e">
        <f t="shared" si="58"/>
        <v>#N/A</v>
      </c>
      <c r="BM39" s="6" t="e">
        <f t="shared" si="59"/>
        <v>#N/A</v>
      </c>
      <c r="BN39" s="7" t="e">
        <f t="shared" si="60"/>
        <v>#N/A</v>
      </c>
      <c r="BO39" s="6" t="e">
        <f t="shared" si="61"/>
        <v>#N/A</v>
      </c>
      <c r="BP39" s="7" t="e">
        <f t="shared" si="62"/>
        <v>#N/A</v>
      </c>
      <c r="BQ39" s="6" t="e">
        <f t="shared" si="63"/>
        <v>#N/A</v>
      </c>
      <c r="BR39" s="5" t="e">
        <f t="shared" si="64"/>
        <v>#N/A</v>
      </c>
      <c r="BS39" s="6" t="e">
        <f t="shared" si="65"/>
        <v>#N/A</v>
      </c>
      <c r="BT39" s="7" t="e">
        <f t="shared" si="66"/>
        <v>#N/A</v>
      </c>
      <c r="BU39" s="6" t="e">
        <f t="shared" si="67"/>
        <v>#N/A</v>
      </c>
      <c r="BV39" s="7" t="e">
        <f t="shared" si="68"/>
        <v>#N/A</v>
      </c>
      <c r="BW39" s="6" t="e">
        <f t="shared" si="69"/>
        <v>#N/A</v>
      </c>
      <c r="BX39" s="5" t="e">
        <f t="shared" si="70"/>
        <v>#N/A</v>
      </c>
      <c r="BY39" s="6" t="e">
        <f t="shared" si="71"/>
        <v>#N/A</v>
      </c>
      <c r="BZ39" s="7" t="e">
        <f t="shared" si="72"/>
        <v>#N/A</v>
      </c>
      <c r="CA39" s="6" t="e">
        <f t="shared" si="73"/>
        <v>#N/A</v>
      </c>
      <c r="CB39" s="7" t="e">
        <f t="shared" si="74"/>
        <v>#N/A</v>
      </c>
      <c r="CC39" s="6" t="e">
        <f t="shared" si="75"/>
        <v>#N/A</v>
      </c>
      <c r="CD39" s="5" t="e">
        <f t="shared" si="76"/>
        <v>#N/A</v>
      </c>
      <c r="CE39" s="6" t="e">
        <f t="shared" si="77"/>
        <v>#N/A</v>
      </c>
      <c r="CF39" s="7" t="e">
        <f t="shared" si="78"/>
        <v>#N/A</v>
      </c>
      <c r="CG39" s="6" t="e">
        <f t="shared" si="79"/>
        <v>#N/A</v>
      </c>
      <c r="CH39" s="7" t="e">
        <f t="shared" si="80"/>
        <v>#N/A</v>
      </c>
      <c r="CI39" s="6" t="e">
        <f t="shared" si="81"/>
        <v>#N/A</v>
      </c>
      <c r="CJ39" s="5" t="e">
        <f t="shared" si="82"/>
        <v>#N/A</v>
      </c>
      <c r="CK39" s="6" t="e">
        <f t="shared" si="83"/>
        <v>#N/A</v>
      </c>
      <c r="CL39" s="7" t="e">
        <f t="shared" si="84"/>
        <v>#N/A</v>
      </c>
      <c r="CM39" s="6" t="e">
        <f t="shared" si="85"/>
        <v>#N/A</v>
      </c>
      <c r="CN39" s="7" t="e">
        <f t="shared" si="86"/>
        <v>#N/A</v>
      </c>
      <c r="CO39" s="6" t="e">
        <f t="shared" si="87"/>
        <v>#N/A</v>
      </c>
      <c r="CP39" s="5" t="e">
        <f t="shared" si="88"/>
        <v>#N/A</v>
      </c>
      <c r="CQ39" s="6" t="e">
        <f t="shared" si="89"/>
        <v>#N/A</v>
      </c>
      <c r="CR39" s="7" t="e">
        <f t="shared" si="90"/>
        <v>#N/A</v>
      </c>
      <c r="CS39" s="7" t="e">
        <f t="shared" si="90"/>
        <v>#N/A</v>
      </c>
      <c r="CT39" s="7" t="e">
        <f t="shared" si="90"/>
        <v>#N/A</v>
      </c>
      <c r="CU39" s="7" t="e">
        <f t="shared" si="90"/>
        <v>#N/A</v>
      </c>
      <c r="CV39" s="5" t="e">
        <f t="shared" si="91"/>
        <v>#N/A</v>
      </c>
      <c r="CW39" s="6" t="e">
        <f t="shared" si="92"/>
        <v>#N/A</v>
      </c>
      <c r="CY39" s="7" t="e">
        <v>#N/A</v>
      </c>
      <c r="CZ39" s="5" t="e">
        <f t="array" ref="CZ39">Summary_UpperBound</f>
        <v>#N/A</v>
      </c>
      <c r="DA39" s="6" t="e">
        <f t="shared" si="93"/>
        <v>#N/A</v>
      </c>
    </row>
    <row r="40" spans="2:105" x14ac:dyDescent="0.35">
      <c r="B40" s="14"/>
      <c r="E40" s="12" t="e" vm="2">
        <f t="shared" ca="1" si="94"/>
        <v>#VALUE!</v>
      </c>
      <c r="F40" s="7" t="e">
        <f t="shared" si="0"/>
        <v>#N/A</v>
      </c>
      <c r="G40" s="6" t="e">
        <f t="shared" si="1"/>
        <v>#N/A</v>
      </c>
      <c r="H40" s="7" t="e">
        <f t="shared" si="2"/>
        <v>#N/A</v>
      </c>
      <c r="I40" s="6" t="e">
        <f t="shared" si="3"/>
        <v>#N/A</v>
      </c>
      <c r="J40" s="5" t="e">
        <f t="shared" si="4"/>
        <v>#N/A</v>
      </c>
      <c r="K40" s="6" t="e">
        <f t="shared" si="5"/>
        <v>#N/A</v>
      </c>
      <c r="L40" s="7" t="e">
        <f t="shared" si="6"/>
        <v>#N/A</v>
      </c>
      <c r="M40" s="6" t="e">
        <f t="shared" si="7"/>
        <v>#N/A</v>
      </c>
      <c r="N40" s="7" t="e">
        <f t="shared" si="8"/>
        <v>#N/A</v>
      </c>
      <c r="O40" s="6" t="e">
        <f t="shared" si="9"/>
        <v>#N/A</v>
      </c>
      <c r="P40" s="5" t="e">
        <f t="shared" si="10"/>
        <v>#N/A</v>
      </c>
      <c r="Q40" s="6" t="e">
        <f t="shared" si="11"/>
        <v>#N/A</v>
      </c>
      <c r="R40" s="7" t="e">
        <f t="shared" si="12"/>
        <v>#N/A</v>
      </c>
      <c r="S40" s="6" t="e">
        <f t="shared" si="13"/>
        <v>#N/A</v>
      </c>
      <c r="T40" s="7" t="e">
        <f t="shared" si="14"/>
        <v>#N/A</v>
      </c>
      <c r="U40" s="6" t="e">
        <f t="shared" si="15"/>
        <v>#N/A</v>
      </c>
      <c r="V40" s="5" t="e">
        <f t="shared" si="16"/>
        <v>#N/A</v>
      </c>
      <c r="W40" s="6" t="e">
        <f t="shared" si="17"/>
        <v>#N/A</v>
      </c>
      <c r="X40" s="7" t="e">
        <f t="shared" si="18"/>
        <v>#N/A</v>
      </c>
      <c r="Y40" s="6" t="e">
        <f t="shared" si="19"/>
        <v>#N/A</v>
      </c>
      <c r="Z40" s="7" t="e">
        <f t="shared" si="20"/>
        <v>#N/A</v>
      </c>
      <c r="AA40" s="6" t="e">
        <f t="shared" si="21"/>
        <v>#N/A</v>
      </c>
      <c r="AB40" s="5" t="e">
        <f t="shared" si="22"/>
        <v>#N/A</v>
      </c>
      <c r="AC40" s="6" t="e">
        <f t="shared" si="23"/>
        <v>#N/A</v>
      </c>
      <c r="AD40" s="7" t="e">
        <f t="shared" si="24"/>
        <v>#N/A</v>
      </c>
      <c r="AE40" s="6" t="e">
        <f t="shared" si="25"/>
        <v>#N/A</v>
      </c>
      <c r="AF40" s="7" t="e">
        <f t="shared" si="26"/>
        <v>#N/A</v>
      </c>
      <c r="AG40" s="6" t="e">
        <f t="shared" si="27"/>
        <v>#N/A</v>
      </c>
      <c r="AH40" s="5" t="e">
        <f t="shared" si="28"/>
        <v>#N/A</v>
      </c>
      <c r="AI40" s="6" t="e">
        <f t="shared" si="29"/>
        <v>#N/A</v>
      </c>
      <c r="AJ40" s="7" t="e">
        <f t="shared" si="30"/>
        <v>#N/A</v>
      </c>
      <c r="AK40" s="6" t="e">
        <f t="shared" si="31"/>
        <v>#N/A</v>
      </c>
      <c r="AL40" s="7" t="e">
        <f t="shared" si="32"/>
        <v>#N/A</v>
      </c>
      <c r="AM40" s="6" t="e">
        <f t="shared" si="33"/>
        <v>#N/A</v>
      </c>
      <c r="AN40" s="5" t="e">
        <f t="shared" si="34"/>
        <v>#N/A</v>
      </c>
      <c r="AO40" s="6" t="e">
        <f t="shared" si="35"/>
        <v>#N/A</v>
      </c>
      <c r="AP40" s="7" t="e">
        <f t="shared" si="36"/>
        <v>#N/A</v>
      </c>
      <c r="AQ40" s="6" t="e">
        <f t="shared" si="37"/>
        <v>#N/A</v>
      </c>
      <c r="AR40" s="7" t="e">
        <f t="shared" si="38"/>
        <v>#N/A</v>
      </c>
      <c r="AS40" s="6" t="e">
        <f t="shared" si="39"/>
        <v>#N/A</v>
      </c>
      <c r="AT40" s="5" t="e">
        <f t="shared" si="40"/>
        <v>#N/A</v>
      </c>
      <c r="AU40" s="6" t="e">
        <f t="shared" si="41"/>
        <v>#N/A</v>
      </c>
      <c r="AV40" s="7" t="e">
        <f t="shared" si="42"/>
        <v>#N/A</v>
      </c>
      <c r="AW40" s="6" t="e">
        <f t="shared" si="43"/>
        <v>#N/A</v>
      </c>
      <c r="AX40" s="7" t="e">
        <f t="shared" si="44"/>
        <v>#N/A</v>
      </c>
      <c r="AY40" s="6" t="e">
        <f t="shared" si="45"/>
        <v>#N/A</v>
      </c>
      <c r="AZ40" s="5" t="e">
        <f t="shared" si="46"/>
        <v>#N/A</v>
      </c>
      <c r="BA40" s="6" t="e">
        <f t="shared" si="47"/>
        <v>#N/A</v>
      </c>
      <c r="BB40" s="7" t="e">
        <f t="shared" si="48"/>
        <v>#N/A</v>
      </c>
      <c r="BC40" s="6" t="e">
        <f t="shared" si="49"/>
        <v>#N/A</v>
      </c>
      <c r="BD40" s="7" t="e">
        <f t="shared" si="50"/>
        <v>#N/A</v>
      </c>
      <c r="BE40" s="6" t="e">
        <f t="shared" si="51"/>
        <v>#N/A</v>
      </c>
      <c r="BF40" s="5" t="e">
        <f t="shared" si="52"/>
        <v>#N/A</v>
      </c>
      <c r="BG40" s="6" t="e">
        <f t="shared" si="53"/>
        <v>#N/A</v>
      </c>
      <c r="BH40" s="7" t="e">
        <f t="shared" si="54"/>
        <v>#N/A</v>
      </c>
      <c r="BI40" s="6" t="e">
        <f t="shared" si="55"/>
        <v>#N/A</v>
      </c>
      <c r="BJ40" s="7" t="e">
        <f t="shared" si="56"/>
        <v>#N/A</v>
      </c>
      <c r="BK40" s="6" t="e">
        <f t="shared" si="57"/>
        <v>#N/A</v>
      </c>
      <c r="BL40" s="5" t="e">
        <f t="shared" si="58"/>
        <v>#N/A</v>
      </c>
      <c r="BM40" s="6" t="e">
        <f t="shared" si="59"/>
        <v>#N/A</v>
      </c>
      <c r="BN40" s="7" t="e">
        <f t="shared" si="60"/>
        <v>#N/A</v>
      </c>
      <c r="BO40" s="6" t="e">
        <f t="shared" si="61"/>
        <v>#N/A</v>
      </c>
      <c r="BP40" s="7" t="e">
        <f t="shared" si="62"/>
        <v>#N/A</v>
      </c>
      <c r="BQ40" s="6" t="e">
        <f t="shared" si="63"/>
        <v>#N/A</v>
      </c>
      <c r="BR40" s="5" t="e">
        <f t="shared" si="64"/>
        <v>#N/A</v>
      </c>
      <c r="BS40" s="6" t="e">
        <f t="shared" si="65"/>
        <v>#N/A</v>
      </c>
      <c r="BT40" s="7" t="e">
        <f t="shared" si="66"/>
        <v>#N/A</v>
      </c>
      <c r="BU40" s="6" t="e">
        <f t="shared" si="67"/>
        <v>#N/A</v>
      </c>
      <c r="BV40" s="7" t="e">
        <f t="shared" si="68"/>
        <v>#N/A</v>
      </c>
      <c r="BW40" s="6" t="e">
        <f t="shared" si="69"/>
        <v>#N/A</v>
      </c>
      <c r="BX40" s="5" t="e">
        <f t="shared" si="70"/>
        <v>#N/A</v>
      </c>
      <c r="BY40" s="6" t="e">
        <f t="shared" si="71"/>
        <v>#N/A</v>
      </c>
      <c r="BZ40" s="7" t="e">
        <f t="shared" si="72"/>
        <v>#N/A</v>
      </c>
      <c r="CA40" s="6" t="e">
        <f t="shared" si="73"/>
        <v>#N/A</v>
      </c>
      <c r="CB40" s="7" t="e">
        <f t="shared" si="74"/>
        <v>#N/A</v>
      </c>
      <c r="CC40" s="6" t="e">
        <f t="shared" si="75"/>
        <v>#N/A</v>
      </c>
      <c r="CD40" s="5" t="e">
        <f t="shared" si="76"/>
        <v>#N/A</v>
      </c>
      <c r="CE40" s="6" t="e">
        <f t="shared" si="77"/>
        <v>#N/A</v>
      </c>
      <c r="CF40" s="7" t="e">
        <f t="shared" si="78"/>
        <v>#N/A</v>
      </c>
      <c r="CG40" s="6" t="e">
        <f t="shared" si="79"/>
        <v>#N/A</v>
      </c>
      <c r="CH40" s="7" t="e">
        <f t="shared" si="80"/>
        <v>#N/A</v>
      </c>
      <c r="CI40" s="6" t="e">
        <f t="shared" si="81"/>
        <v>#N/A</v>
      </c>
      <c r="CJ40" s="5" t="e">
        <f t="shared" si="82"/>
        <v>#N/A</v>
      </c>
      <c r="CK40" s="6" t="e">
        <f t="shared" si="83"/>
        <v>#N/A</v>
      </c>
      <c r="CL40" s="7" t="e">
        <f t="shared" si="84"/>
        <v>#N/A</v>
      </c>
      <c r="CM40" s="6" t="e">
        <f t="shared" si="85"/>
        <v>#N/A</v>
      </c>
      <c r="CN40" s="7" t="e">
        <f t="shared" si="86"/>
        <v>#N/A</v>
      </c>
      <c r="CO40" s="6" t="e">
        <f t="shared" si="87"/>
        <v>#N/A</v>
      </c>
      <c r="CP40" s="5" t="e">
        <f t="shared" si="88"/>
        <v>#N/A</v>
      </c>
      <c r="CQ40" s="6" t="e">
        <f t="shared" si="89"/>
        <v>#N/A</v>
      </c>
      <c r="CR40" s="7" t="e">
        <f t="shared" si="90"/>
        <v>#N/A</v>
      </c>
      <c r="CS40" s="7" t="e">
        <f t="shared" si="90"/>
        <v>#N/A</v>
      </c>
      <c r="CT40" s="7" t="e">
        <f t="shared" si="90"/>
        <v>#N/A</v>
      </c>
      <c r="CU40" s="7" t="e">
        <f t="shared" si="90"/>
        <v>#N/A</v>
      </c>
      <c r="CV40" s="5" t="e">
        <f t="shared" si="91"/>
        <v>#N/A</v>
      </c>
      <c r="CW40" s="6" t="e">
        <f t="shared" si="92"/>
        <v>#N/A</v>
      </c>
      <c r="CY40" s="7" t="e">
        <v>#N/A</v>
      </c>
      <c r="CZ40" s="5" t="e">
        <f t="array" ref="CZ40">Summary_UpperBound</f>
        <v>#N/A</v>
      </c>
      <c r="DA40" s="6" t="e">
        <f t="shared" si="93"/>
        <v>#N/A</v>
      </c>
    </row>
    <row r="41" spans="2:105" x14ac:dyDescent="0.35">
      <c r="B41" s="14"/>
      <c r="E41" s="12" t="e" vm="2">
        <f t="shared" ca="1" si="94"/>
        <v>#VALUE!</v>
      </c>
      <c r="F41" s="7" t="e">
        <f t="shared" si="0"/>
        <v>#N/A</v>
      </c>
      <c r="G41" s="6" t="e">
        <f t="shared" si="1"/>
        <v>#N/A</v>
      </c>
      <c r="H41" s="7" t="e">
        <f t="shared" si="2"/>
        <v>#N/A</v>
      </c>
      <c r="I41" s="6" t="e">
        <f t="shared" si="3"/>
        <v>#N/A</v>
      </c>
      <c r="J41" s="5" t="e">
        <f t="shared" si="4"/>
        <v>#N/A</v>
      </c>
      <c r="K41" s="6" t="e">
        <f t="shared" si="5"/>
        <v>#N/A</v>
      </c>
      <c r="L41" s="7" t="e">
        <f t="shared" si="6"/>
        <v>#N/A</v>
      </c>
      <c r="M41" s="6" t="e">
        <f t="shared" si="7"/>
        <v>#N/A</v>
      </c>
      <c r="N41" s="7" t="e">
        <f t="shared" si="8"/>
        <v>#N/A</v>
      </c>
      <c r="O41" s="6" t="e">
        <f t="shared" si="9"/>
        <v>#N/A</v>
      </c>
      <c r="P41" s="5" t="e">
        <f t="shared" si="10"/>
        <v>#N/A</v>
      </c>
      <c r="Q41" s="6" t="e">
        <f t="shared" si="11"/>
        <v>#N/A</v>
      </c>
      <c r="R41" s="7" t="e">
        <f t="shared" si="12"/>
        <v>#N/A</v>
      </c>
      <c r="S41" s="6" t="e">
        <f t="shared" si="13"/>
        <v>#N/A</v>
      </c>
      <c r="T41" s="7" t="e">
        <f t="shared" si="14"/>
        <v>#N/A</v>
      </c>
      <c r="U41" s="6" t="e">
        <f t="shared" si="15"/>
        <v>#N/A</v>
      </c>
      <c r="V41" s="5" t="e">
        <f t="shared" si="16"/>
        <v>#N/A</v>
      </c>
      <c r="W41" s="6" t="e">
        <f t="shared" si="17"/>
        <v>#N/A</v>
      </c>
      <c r="X41" s="7" t="e">
        <f t="shared" si="18"/>
        <v>#N/A</v>
      </c>
      <c r="Y41" s="6" t="e">
        <f t="shared" si="19"/>
        <v>#N/A</v>
      </c>
      <c r="Z41" s="7" t="e">
        <f t="shared" si="20"/>
        <v>#N/A</v>
      </c>
      <c r="AA41" s="6" t="e">
        <f t="shared" si="21"/>
        <v>#N/A</v>
      </c>
      <c r="AB41" s="5" t="e">
        <f t="shared" si="22"/>
        <v>#N/A</v>
      </c>
      <c r="AC41" s="6" t="e">
        <f t="shared" si="23"/>
        <v>#N/A</v>
      </c>
      <c r="AD41" s="7" t="e">
        <f t="shared" si="24"/>
        <v>#N/A</v>
      </c>
      <c r="AE41" s="6" t="e">
        <f t="shared" si="25"/>
        <v>#N/A</v>
      </c>
      <c r="AF41" s="7" t="e">
        <f t="shared" si="26"/>
        <v>#N/A</v>
      </c>
      <c r="AG41" s="6" t="e">
        <f t="shared" si="27"/>
        <v>#N/A</v>
      </c>
      <c r="AH41" s="5" t="e">
        <f t="shared" si="28"/>
        <v>#N/A</v>
      </c>
      <c r="AI41" s="6" t="e">
        <f t="shared" si="29"/>
        <v>#N/A</v>
      </c>
      <c r="AJ41" s="7" t="e">
        <f t="shared" si="30"/>
        <v>#N/A</v>
      </c>
      <c r="AK41" s="6" t="e">
        <f t="shared" si="31"/>
        <v>#N/A</v>
      </c>
      <c r="AL41" s="7" t="e">
        <f t="shared" si="32"/>
        <v>#N/A</v>
      </c>
      <c r="AM41" s="6" t="e">
        <f t="shared" si="33"/>
        <v>#N/A</v>
      </c>
      <c r="AN41" s="5" t="e">
        <f t="shared" si="34"/>
        <v>#N/A</v>
      </c>
      <c r="AO41" s="6" t="e">
        <f t="shared" si="35"/>
        <v>#N/A</v>
      </c>
      <c r="AP41" s="7" t="e">
        <f t="shared" si="36"/>
        <v>#N/A</v>
      </c>
      <c r="AQ41" s="6" t="e">
        <f t="shared" si="37"/>
        <v>#N/A</v>
      </c>
      <c r="AR41" s="7" t="e">
        <f t="shared" si="38"/>
        <v>#N/A</v>
      </c>
      <c r="AS41" s="6" t="e">
        <f t="shared" si="39"/>
        <v>#N/A</v>
      </c>
      <c r="AT41" s="5" t="e">
        <f t="shared" si="40"/>
        <v>#N/A</v>
      </c>
      <c r="AU41" s="6" t="e">
        <f t="shared" si="41"/>
        <v>#N/A</v>
      </c>
      <c r="AV41" s="7" t="e">
        <f t="shared" si="42"/>
        <v>#N/A</v>
      </c>
      <c r="AW41" s="6" t="e">
        <f t="shared" si="43"/>
        <v>#N/A</v>
      </c>
      <c r="AX41" s="7" t="e">
        <f t="shared" si="44"/>
        <v>#N/A</v>
      </c>
      <c r="AY41" s="6" t="e">
        <f t="shared" si="45"/>
        <v>#N/A</v>
      </c>
      <c r="AZ41" s="5" t="e">
        <f t="shared" si="46"/>
        <v>#N/A</v>
      </c>
      <c r="BA41" s="6" t="e">
        <f t="shared" si="47"/>
        <v>#N/A</v>
      </c>
      <c r="BB41" s="7" t="e">
        <f t="shared" si="48"/>
        <v>#N/A</v>
      </c>
      <c r="BC41" s="6" t="e">
        <f t="shared" si="49"/>
        <v>#N/A</v>
      </c>
      <c r="BD41" s="7" t="e">
        <f t="shared" si="50"/>
        <v>#N/A</v>
      </c>
      <c r="BE41" s="6" t="e">
        <f t="shared" si="51"/>
        <v>#N/A</v>
      </c>
      <c r="BF41" s="5" t="e">
        <f t="shared" si="52"/>
        <v>#N/A</v>
      </c>
      <c r="BG41" s="6" t="e">
        <f t="shared" si="53"/>
        <v>#N/A</v>
      </c>
      <c r="BH41" s="7" t="e">
        <f t="shared" si="54"/>
        <v>#N/A</v>
      </c>
      <c r="BI41" s="6" t="e">
        <f t="shared" si="55"/>
        <v>#N/A</v>
      </c>
      <c r="BJ41" s="7" t="e">
        <f t="shared" si="56"/>
        <v>#N/A</v>
      </c>
      <c r="BK41" s="6" t="e">
        <f t="shared" si="57"/>
        <v>#N/A</v>
      </c>
      <c r="BL41" s="5" t="e">
        <f t="shared" si="58"/>
        <v>#N/A</v>
      </c>
      <c r="BM41" s="6" t="e">
        <f t="shared" si="59"/>
        <v>#N/A</v>
      </c>
      <c r="BN41" s="7" t="e">
        <f t="shared" si="60"/>
        <v>#N/A</v>
      </c>
      <c r="BO41" s="6" t="e">
        <f t="shared" si="61"/>
        <v>#N/A</v>
      </c>
      <c r="BP41" s="7" t="e">
        <f t="shared" si="62"/>
        <v>#N/A</v>
      </c>
      <c r="BQ41" s="6" t="e">
        <f t="shared" si="63"/>
        <v>#N/A</v>
      </c>
      <c r="BR41" s="5" t="e">
        <f t="shared" si="64"/>
        <v>#N/A</v>
      </c>
      <c r="BS41" s="6" t="e">
        <f t="shared" si="65"/>
        <v>#N/A</v>
      </c>
      <c r="BT41" s="7" t="e">
        <f t="shared" si="66"/>
        <v>#N/A</v>
      </c>
      <c r="BU41" s="6" t="e">
        <f t="shared" si="67"/>
        <v>#N/A</v>
      </c>
      <c r="BV41" s="7" t="e">
        <f t="shared" si="68"/>
        <v>#N/A</v>
      </c>
      <c r="BW41" s="6" t="e">
        <f t="shared" si="69"/>
        <v>#N/A</v>
      </c>
      <c r="BX41" s="5" t="e">
        <f t="shared" si="70"/>
        <v>#N/A</v>
      </c>
      <c r="BY41" s="6" t="e">
        <f t="shared" si="71"/>
        <v>#N/A</v>
      </c>
      <c r="BZ41" s="7" t="e">
        <f t="shared" si="72"/>
        <v>#N/A</v>
      </c>
      <c r="CA41" s="6" t="e">
        <f t="shared" si="73"/>
        <v>#N/A</v>
      </c>
      <c r="CB41" s="7" t="e">
        <f t="shared" si="74"/>
        <v>#N/A</v>
      </c>
      <c r="CC41" s="6" t="e">
        <f t="shared" si="75"/>
        <v>#N/A</v>
      </c>
      <c r="CD41" s="5" t="e">
        <f t="shared" si="76"/>
        <v>#N/A</v>
      </c>
      <c r="CE41" s="6" t="e">
        <f t="shared" si="77"/>
        <v>#N/A</v>
      </c>
      <c r="CF41" s="7" t="e">
        <f t="shared" si="78"/>
        <v>#N/A</v>
      </c>
      <c r="CG41" s="6" t="e">
        <f t="shared" si="79"/>
        <v>#N/A</v>
      </c>
      <c r="CH41" s="7" t="e">
        <f t="shared" si="80"/>
        <v>#N/A</v>
      </c>
      <c r="CI41" s="6" t="e">
        <f t="shared" si="81"/>
        <v>#N/A</v>
      </c>
      <c r="CJ41" s="5" t="e">
        <f t="shared" si="82"/>
        <v>#N/A</v>
      </c>
      <c r="CK41" s="6" t="e">
        <f t="shared" si="83"/>
        <v>#N/A</v>
      </c>
      <c r="CL41" s="7" t="e">
        <f t="shared" si="84"/>
        <v>#N/A</v>
      </c>
      <c r="CM41" s="6" t="e">
        <f t="shared" si="85"/>
        <v>#N/A</v>
      </c>
      <c r="CN41" s="7" t="e">
        <f t="shared" si="86"/>
        <v>#N/A</v>
      </c>
      <c r="CO41" s="6" t="e">
        <f t="shared" si="87"/>
        <v>#N/A</v>
      </c>
      <c r="CP41" s="5" t="e">
        <f t="shared" si="88"/>
        <v>#N/A</v>
      </c>
      <c r="CQ41" s="6" t="e">
        <f t="shared" si="89"/>
        <v>#N/A</v>
      </c>
      <c r="CR41" s="7" t="e">
        <f t="shared" si="90"/>
        <v>#N/A</v>
      </c>
      <c r="CS41" s="7" t="e">
        <f t="shared" si="90"/>
        <v>#N/A</v>
      </c>
      <c r="CT41" s="7" t="e">
        <f t="shared" si="90"/>
        <v>#N/A</v>
      </c>
      <c r="CU41" s="7" t="e">
        <f t="shared" si="90"/>
        <v>#N/A</v>
      </c>
      <c r="CV41" s="5" t="e">
        <f t="shared" si="91"/>
        <v>#N/A</v>
      </c>
      <c r="CW41" s="6" t="e">
        <f t="shared" si="92"/>
        <v>#N/A</v>
      </c>
      <c r="CY41" s="7" t="e">
        <v>#N/A</v>
      </c>
      <c r="CZ41" s="5" t="e">
        <f t="array" ref="CZ41">Summary_UpperBound</f>
        <v>#N/A</v>
      </c>
      <c r="DA41" s="6" t="e">
        <f t="shared" si="93"/>
        <v>#N/A</v>
      </c>
    </row>
    <row r="42" spans="2:105" x14ac:dyDescent="0.35">
      <c r="B42" s="14"/>
      <c r="E42" s="12" t="e" vm="2">
        <f t="shared" ca="1" si="94"/>
        <v>#VALUE!</v>
      </c>
      <c r="F42" s="7" t="e">
        <f t="shared" si="0"/>
        <v>#N/A</v>
      </c>
      <c r="G42" s="6" t="e">
        <f t="shared" si="1"/>
        <v>#N/A</v>
      </c>
      <c r="H42" s="7" t="e">
        <f t="shared" si="2"/>
        <v>#N/A</v>
      </c>
      <c r="I42" s="6" t="e">
        <f t="shared" si="3"/>
        <v>#N/A</v>
      </c>
      <c r="J42" s="5" t="e">
        <f t="shared" si="4"/>
        <v>#N/A</v>
      </c>
      <c r="K42" s="6" t="e">
        <f t="shared" si="5"/>
        <v>#N/A</v>
      </c>
      <c r="L42" s="7" t="e">
        <f t="shared" si="6"/>
        <v>#N/A</v>
      </c>
      <c r="M42" s="6" t="e">
        <f t="shared" si="7"/>
        <v>#N/A</v>
      </c>
      <c r="N42" s="7" t="e">
        <f t="shared" si="8"/>
        <v>#N/A</v>
      </c>
      <c r="O42" s="6" t="e">
        <f t="shared" si="9"/>
        <v>#N/A</v>
      </c>
      <c r="P42" s="5" t="e">
        <f t="shared" si="10"/>
        <v>#N/A</v>
      </c>
      <c r="Q42" s="6" t="e">
        <f t="shared" si="11"/>
        <v>#N/A</v>
      </c>
      <c r="R42" s="7" t="e">
        <f t="shared" si="12"/>
        <v>#N/A</v>
      </c>
      <c r="S42" s="6" t="e">
        <f t="shared" si="13"/>
        <v>#N/A</v>
      </c>
      <c r="T42" s="7" t="e">
        <f t="shared" si="14"/>
        <v>#N/A</v>
      </c>
      <c r="U42" s="6" t="e">
        <f t="shared" si="15"/>
        <v>#N/A</v>
      </c>
      <c r="V42" s="5" t="e">
        <f t="shared" si="16"/>
        <v>#N/A</v>
      </c>
      <c r="W42" s="6" t="e">
        <f t="shared" si="17"/>
        <v>#N/A</v>
      </c>
      <c r="X42" s="7" t="e">
        <f t="shared" si="18"/>
        <v>#N/A</v>
      </c>
      <c r="Y42" s="6" t="e">
        <f t="shared" si="19"/>
        <v>#N/A</v>
      </c>
      <c r="Z42" s="7" t="e">
        <f t="shared" si="20"/>
        <v>#N/A</v>
      </c>
      <c r="AA42" s="6" t="e">
        <f t="shared" si="21"/>
        <v>#N/A</v>
      </c>
      <c r="AB42" s="5" t="e">
        <f t="shared" si="22"/>
        <v>#N/A</v>
      </c>
      <c r="AC42" s="6" t="e">
        <f t="shared" si="23"/>
        <v>#N/A</v>
      </c>
      <c r="AD42" s="7" t="e">
        <f t="shared" si="24"/>
        <v>#N/A</v>
      </c>
      <c r="AE42" s="6" t="e">
        <f t="shared" si="25"/>
        <v>#N/A</v>
      </c>
      <c r="AF42" s="7" t="e">
        <f t="shared" si="26"/>
        <v>#N/A</v>
      </c>
      <c r="AG42" s="6" t="e">
        <f t="shared" si="27"/>
        <v>#N/A</v>
      </c>
      <c r="AH42" s="5" t="e">
        <f t="shared" si="28"/>
        <v>#N/A</v>
      </c>
      <c r="AI42" s="6" t="e">
        <f t="shared" si="29"/>
        <v>#N/A</v>
      </c>
      <c r="AJ42" s="7" t="e">
        <f t="shared" si="30"/>
        <v>#N/A</v>
      </c>
      <c r="AK42" s="6" t="e">
        <f t="shared" si="31"/>
        <v>#N/A</v>
      </c>
      <c r="AL42" s="7" t="e">
        <f t="shared" si="32"/>
        <v>#N/A</v>
      </c>
      <c r="AM42" s="6" t="e">
        <f t="shared" si="33"/>
        <v>#N/A</v>
      </c>
      <c r="AN42" s="5" t="e">
        <f t="shared" si="34"/>
        <v>#N/A</v>
      </c>
      <c r="AO42" s="6" t="e">
        <f t="shared" si="35"/>
        <v>#N/A</v>
      </c>
      <c r="AP42" s="7" t="e">
        <f t="shared" si="36"/>
        <v>#N/A</v>
      </c>
      <c r="AQ42" s="6" t="e">
        <f t="shared" si="37"/>
        <v>#N/A</v>
      </c>
      <c r="AR42" s="7" t="e">
        <f t="shared" si="38"/>
        <v>#N/A</v>
      </c>
      <c r="AS42" s="6" t="e">
        <f t="shared" si="39"/>
        <v>#N/A</v>
      </c>
      <c r="AT42" s="5" t="e">
        <f t="shared" si="40"/>
        <v>#N/A</v>
      </c>
      <c r="AU42" s="6" t="e">
        <f t="shared" si="41"/>
        <v>#N/A</v>
      </c>
      <c r="AV42" s="7" t="e">
        <f t="shared" si="42"/>
        <v>#N/A</v>
      </c>
      <c r="AW42" s="6" t="e">
        <f t="shared" si="43"/>
        <v>#N/A</v>
      </c>
      <c r="AX42" s="7" t="e">
        <f t="shared" si="44"/>
        <v>#N/A</v>
      </c>
      <c r="AY42" s="6" t="e">
        <f t="shared" si="45"/>
        <v>#N/A</v>
      </c>
      <c r="AZ42" s="5" t="e">
        <f t="shared" si="46"/>
        <v>#N/A</v>
      </c>
      <c r="BA42" s="6" t="e">
        <f t="shared" si="47"/>
        <v>#N/A</v>
      </c>
      <c r="BB42" s="7" t="e">
        <f t="shared" si="48"/>
        <v>#N/A</v>
      </c>
      <c r="BC42" s="6" t="e">
        <f t="shared" si="49"/>
        <v>#N/A</v>
      </c>
      <c r="BD42" s="7" t="e">
        <f t="shared" si="50"/>
        <v>#N/A</v>
      </c>
      <c r="BE42" s="6" t="e">
        <f t="shared" si="51"/>
        <v>#N/A</v>
      </c>
      <c r="BF42" s="5" t="e">
        <f t="shared" si="52"/>
        <v>#N/A</v>
      </c>
      <c r="BG42" s="6" t="e">
        <f t="shared" si="53"/>
        <v>#N/A</v>
      </c>
      <c r="BH42" s="7" t="e">
        <f t="shared" si="54"/>
        <v>#N/A</v>
      </c>
      <c r="BI42" s="6" t="e">
        <f t="shared" si="55"/>
        <v>#N/A</v>
      </c>
      <c r="BJ42" s="7" t="e">
        <f t="shared" si="56"/>
        <v>#N/A</v>
      </c>
      <c r="BK42" s="6" t="e">
        <f t="shared" si="57"/>
        <v>#N/A</v>
      </c>
      <c r="BL42" s="5" t="e">
        <f t="shared" si="58"/>
        <v>#N/A</v>
      </c>
      <c r="BM42" s="6" t="e">
        <f t="shared" si="59"/>
        <v>#N/A</v>
      </c>
      <c r="BN42" s="7" t="e">
        <f t="shared" si="60"/>
        <v>#N/A</v>
      </c>
      <c r="BO42" s="6" t="e">
        <f t="shared" si="61"/>
        <v>#N/A</v>
      </c>
      <c r="BP42" s="7" t="e">
        <f t="shared" si="62"/>
        <v>#N/A</v>
      </c>
      <c r="BQ42" s="6" t="e">
        <f t="shared" si="63"/>
        <v>#N/A</v>
      </c>
      <c r="BR42" s="5" t="e">
        <f t="shared" si="64"/>
        <v>#N/A</v>
      </c>
      <c r="BS42" s="6" t="e">
        <f t="shared" si="65"/>
        <v>#N/A</v>
      </c>
      <c r="BT42" s="7" t="e">
        <f t="shared" si="66"/>
        <v>#N/A</v>
      </c>
      <c r="BU42" s="6" t="e">
        <f t="shared" si="67"/>
        <v>#N/A</v>
      </c>
      <c r="BV42" s="7" t="e">
        <f t="shared" si="68"/>
        <v>#N/A</v>
      </c>
      <c r="BW42" s="6" t="e">
        <f t="shared" si="69"/>
        <v>#N/A</v>
      </c>
      <c r="BX42" s="5" t="e">
        <f t="shared" si="70"/>
        <v>#N/A</v>
      </c>
      <c r="BY42" s="6" t="e">
        <f t="shared" si="71"/>
        <v>#N/A</v>
      </c>
      <c r="BZ42" s="7" t="e">
        <f t="shared" si="72"/>
        <v>#N/A</v>
      </c>
      <c r="CA42" s="6" t="e">
        <f t="shared" si="73"/>
        <v>#N/A</v>
      </c>
      <c r="CB42" s="7" t="e">
        <f t="shared" si="74"/>
        <v>#N/A</v>
      </c>
      <c r="CC42" s="6" t="e">
        <f t="shared" si="75"/>
        <v>#N/A</v>
      </c>
      <c r="CD42" s="5" t="e">
        <f t="shared" si="76"/>
        <v>#N/A</v>
      </c>
      <c r="CE42" s="6" t="e">
        <f t="shared" si="77"/>
        <v>#N/A</v>
      </c>
      <c r="CF42" s="7" t="e">
        <f t="shared" si="78"/>
        <v>#N/A</v>
      </c>
      <c r="CG42" s="6" t="e">
        <f t="shared" si="79"/>
        <v>#N/A</v>
      </c>
      <c r="CH42" s="7" t="e">
        <f t="shared" si="80"/>
        <v>#N/A</v>
      </c>
      <c r="CI42" s="6" t="e">
        <f t="shared" si="81"/>
        <v>#N/A</v>
      </c>
      <c r="CJ42" s="5" t="e">
        <f t="shared" si="82"/>
        <v>#N/A</v>
      </c>
      <c r="CK42" s="6" t="e">
        <f t="shared" si="83"/>
        <v>#N/A</v>
      </c>
      <c r="CL42" s="7" t="e">
        <f t="shared" si="84"/>
        <v>#N/A</v>
      </c>
      <c r="CM42" s="6" t="e">
        <f t="shared" si="85"/>
        <v>#N/A</v>
      </c>
      <c r="CN42" s="7" t="e">
        <f t="shared" si="86"/>
        <v>#N/A</v>
      </c>
      <c r="CO42" s="6" t="e">
        <f t="shared" si="87"/>
        <v>#N/A</v>
      </c>
      <c r="CP42" s="5" t="e">
        <f t="shared" si="88"/>
        <v>#N/A</v>
      </c>
      <c r="CQ42" s="6" t="e">
        <f t="shared" si="89"/>
        <v>#N/A</v>
      </c>
      <c r="CR42" s="7" t="e">
        <f t="shared" si="90"/>
        <v>#N/A</v>
      </c>
      <c r="CS42" s="7" t="e">
        <f t="shared" si="90"/>
        <v>#N/A</v>
      </c>
      <c r="CT42" s="7" t="e">
        <f t="shared" si="90"/>
        <v>#N/A</v>
      </c>
      <c r="CU42" s="7" t="e">
        <f t="shared" si="90"/>
        <v>#N/A</v>
      </c>
      <c r="CV42" s="5" t="e">
        <f t="shared" si="91"/>
        <v>#N/A</v>
      </c>
      <c r="CW42" s="6" t="e">
        <f t="shared" si="92"/>
        <v>#N/A</v>
      </c>
      <c r="CY42" s="7" t="e">
        <v>#N/A</v>
      </c>
      <c r="CZ42" s="5" t="e">
        <f t="array" ref="CZ42">Summary_UpperBound</f>
        <v>#N/A</v>
      </c>
      <c r="DA42" s="6" t="e">
        <f t="shared" si="93"/>
        <v>#N/A</v>
      </c>
    </row>
    <row r="43" spans="2:105" x14ac:dyDescent="0.35">
      <c r="B43" s="14"/>
      <c r="E43" s="12" t="e" vm="2">
        <f t="shared" ca="1" si="94"/>
        <v>#VALUE!</v>
      </c>
      <c r="F43" s="7" t="e">
        <f t="shared" si="0"/>
        <v>#N/A</v>
      </c>
      <c r="G43" s="6" t="e">
        <f t="shared" si="1"/>
        <v>#N/A</v>
      </c>
      <c r="H43" s="7" t="e">
        <f t="shared" si="2"/>
        <v>#N/A</v>
      </c>
      <c r="I43" s="6" t="e">
        <f t="shared" si="3"/>
        <v>#N/A</v>
      </c>
      <c r="J43" s="5" t="e">
        <f t="shared" si="4"/>
        <v>#N/A</v>
      </c>
      <c r="K43" s="6" t="e">
        <f t="shared" si="5"/>
        <v>#N/A</v>
      </c>
      <c r="L43" s="7" t="e">
        <f t="shared" si="6"/>
        <v>#N/A</v>
      </c>
      <c r="M43" s="6" t="e">
        <f t="shared" si="7"/>
        <v>#N/A</v>
      </c>
      <c r="N43" s="7" t="e">
        <f t="shared" si="8"/>
        <v>#N/A</v>
      </c>
      <c r="O43" s="6" t="e">
        <f t="shared" si="9"/>
        <v>#N/A</v>
      </c>
      <c r="P43" s="5" t="e">
        <f t="shared" si="10"/>
        <v>#N/A</v>
      </c>
      <c r="Q43" s="6" t="e">
        <f t="shared" si="11"/>
        <v>#N/A</v>
      </c>
      <c r="R43" s="7" t="e">
        <f t="shared" si="12"/>
        <v>#N/A</v>
      </c>
      <c r="S43" s="6" t="e">
        <f t="shared" si="13"/>
        <v>#N/A</v>
      </c>
      <c r="T43" s="7" t="e">
        <f t="shared" si="14"/>
        <v>#N/A</v>
      </c>
      <c r="U43" s="6" t="e">
        <f t="shared" si="15"/>
        <v>#N/A</v>
      </c>
      <c r="V43" s="5" t="e">
        <f t="shared" si="16"/>
        <v>#N/A</v>
      </c>
      <c r="W43" s="6" t="e">
        <f t="shared" si="17"/>
        <v>#N/A</v>
      </c>
      <c r="X43" s="7" t="e">
        <f t="shared" si="18"/>
        <v>#N/A</v>
      </c>
      <c r="Y43" s="6" t="e">
        <f t="shared" si="19"/>
        <v>#N/A</v>
      </c>
      <c r="Z43" s="7" t="e">
        <f t="shared" si="20"/>
        <v>#N/A</v>
      </c>
      <c r="AA43" s="6" t="e">
        <f t="shared" si="21"/>
        <v>#N/A</v>
      </c>
      <c r="AB43" s="5" t="e">
        <f t="shared" si="22"/>
        <v>#N/A</v>
      </c>
      <c r="AC43" s="6" t="e">
        <f t="shared" si="23"/>
        <v>#N/A</v>
      </c>
      <c r="AD43" s="7" t="e">
        <f t="shared" si="24"/>
        <v>#N/A</v>
      </c>
      <c r="AE43" s="6" t="e">
        <f t="shared" si="25"/>
        <v>#N/A</v>
      </c>
      <c r="AF43" s="7" t="e">
        <f t="shared" si="26"/>
        <v>#N/A</v>
      </c>
      <c r="AG43" s="6" t="e">
        <f t="shared" si="27"/>
        <v>#N/A</v>
      </c>
      <c r="AH43" s="5" t="e">
        <f t="shared" si="28"/>
        <v>#N/A</v>
      </c>
      <c r="AI43" s="6" t="e">
        <f t="shared" si="29"/>
        <v>#N/A</v>
      </c>
      <c r="AJ43" s="7" t="e">
        <f t="shared" si="30"/>
        <v>#N/A</v>
      </c>
      <c r="AK43" s="6" t="e">
        <f t="shared" si="31"/>
        <v>#N/A</v>
      </c>
      <c r="AL43" s="7" t="e">
        <f t="shared" si="32"/>
        <v>#N/A</v>
      </c>
      <c r="AM43" s="6" t="e">
        <f t="shared" si="33"/>
        <v>#N/A</v>
      </c>
      <c r="AN43" s="5" t="e">
        <f t="shared" si="34"/>
        <v>#N/A</v>
      </c>
      <c r="AO43" s="6" t="e">
        <f t="shared" si="35"/>
        <v>#N/A</v>
      </c>
      <c r="AP43" s="7" t="e">
        <f t="shared" si="36"/>
        <v>#N/A</v>
      </c>
      <c r="AQ43" s="6" t="e">
        <f t="shared" si="37"/>
        <v>#N/A</v>
      </c>
      <c r="AR43" s="7" t="e">
        <f t="shared" si="38"/>
        <v>#N/A</v>
      </c>
      <c r="AS43" s="6" t="e">
        <f t="shared" si="39"/>
        <v>#N/A</v>
      </c>
      <c r="AT43" s="5" t="e">
        <f t="shared" si="40"/>
        <v>#N/A</v>
      </c>
      <c r="AU43" s="6" t="e">
        <f t="shared" si="41"/>
        <v>#N/A</v>
      </c>
      <c r="AV43" s="7" t="e">
        <f t="shared" si="42"/>
        <v>#N/A</v>
      </c>
      <c r="AW43" s="6" t="e">
        <f t="shared" si="43"/>
        <v>#N/A</v>
      </c>
      <c r="AX43" s="7" t="e">
        <f t="shared" si="44"/>
        <v>#N/A</v>
      </c>
      <c r="AY43" s="6" t="e">
        <f t="shared" si="45"/>
        <v>#N/A</v>
      </c>
      <c r="AZ43" s="5" t="e">
        <f t="shared" si="46"/>
        <v>#N/A</v>
      </c>
      <c r="BA43" s="6" t="e">
        <f t="shared" si="47"/>
        <v>#N/A</v>
      </c>
      <c r="BB43" s="7" t="e">
        <f t="shared" si="48"/>
        <v>#N/A</v>
      </c>
      <c r="BC43" s="6" t="e">
        <f t="shared" si="49"/>
        <v>#N/A</v>
      </c>
      <c r="BD43" s="7" t="e">
        <f t="shared" si="50"/>
        <v>#N/A</v>
      </c>
      <c r="BE43" s="6" t="e">
        <f t="shared" si="51"/>
        <v>#N/A</v>
      </c>
      <c r="BF43" s="5" t="e">
        <f t="shared" si="52"/>
        <v>#N/A</v>
      </c>
      <c r="BG43" s="6" t="e">
        <f t="shared" si="53"/>
        <v>#N/A</v>
      </c>
      <c r="BH43" s="7" t="e">
        <f t="shared" si="54"/>
        <v>#N/A</v>
      </c>
      <c r="BI43" s="6" t="e">
        <f t="shared" si="55"/>
        <v>#N/A</v>
      </c>
      <c r="BJ43" s="7" t="e">
        <f t="shared" si="56"/>
        <v>#N/A</v>
      </c>
      <c r="BK43" s="6" t="e">
        <f t="shared" si="57"/>
        <v>#N/A</v>
      </c>
      <c r="BL43" s="5" t="e">
        <f t="shared" si="58"/>
        <v>#N/A</v>
      </c>
      <c r="BM43" s="6" t="e">
        <f t="shared" si="59"/>
        <v>#N/A</v>
      </c>
      <c r="BN43" s="7" t="e">
        <f t="shared" si="60"/>
        <v>#N/A</v>
      </c>
      <c r="BO43" s="6" t="e">
        <f t="shared" si="61"/>
        <v>#N/A</v>
      </c>
      <c r="BP43" s="7" t="e">
        <f t="shared" si="62"/>
        <v>#N/A</v>
      </c>
      <c r="BQ43" s="6" t="e">
        <f t="shared" si="63"/>
        <v>#N/A</v>
      </c>
      <c r="BR43" s="5" t="e">
        <f t="shared" si="64"/>
        <v>#N/A</v>
      </c>
      <c r="BS43" s="6" t="e">
        <f t="shared" si="65"/>
        <v>#N/A</v>
      </c>
      <c r="BT43" s="7" t="e">
        <f t="shared" si="66"/>
        <v>#N/A</v>
      </c>
      <c r="BU43" s="6" t="e">
        <f t="shared" si="67"/>
        <v>#N/A</v>
      </c>
      <c r="BV43" s="7" t="e">
        <f t="shared" si="68"/>
        <v>#N/A</v>
      </c>
      <c r="BW43" s="6" t="e">
        <f t="shared" si="69"/>
        <v>#N/A</v>
      </c>
      <c r="BX43" s="5" t="e">
        <f t="shared" si="70"/>
        <v>#N/A</v>
      </c>
      <c r="BY43" s="6" t="e">
        <f t="shared" si="71"/>
        <v>#N/A</v>
      </c>
      <c r="BZ43" s="7" t="e">
        <f t="shared" si="72"/>
        <v>#N/A</v>
      </c>
      <c r="CA43" s="6" t="e">
        <f t="shared" si="73"/>
        <v>#N/A</v>
      </c>
      <c r="CB43" s="7" t="e">
        <f t="shared" si="74"/>
        <v>#N/A</v>
      </c>
      <c r="CC43" s="6" t="e">
        <f t="shared" si="75"/>
        <v>#N/A</v>
      </c>
      <c r="CD43" s="5" t="e">
        <f t="shared" si="76"/>
        <v>#N/A</v>
      </c>
      <c r="CE43" s="6" t="e">
        <f t="shared" si="77"/>
        <v>#N/A</v>
      </c>
      <c r="CF43" s="7" t="e">
        <f t="shared" si="78"/>
        <v>#N/A</v>
      </c>
      <c r="CG43" s="6" t="e">
        <f t="shared" si="79"/>
        <v>#N/A</v>
      </c>
      <c r="CH43" s="7" t="e">
        <f t="shared" si="80"/>
        <v>#N/A</v>
      </c>
      <c r="CI43" s="6" t="e">
        <f t="shared" si="81"/>
        <v>#N/A</v>
      </c>
      <c r="CJ43" s="5" t="e">
        <f t="shared" si="82"/>
        <v>#N/A</v>
      </c>
      <c r="CK43" s="6" t="e">
        <f t="shared" si="83"/>
        <v>#N/A</v>
      </c>
      <c r="CL43" s="7" t="e">
        <f t="shared" si="84"/>
        <v>#N/A</v>
      </c>
      <c r="CM43" s="6" t="e">
        <f t="shared" si="85"/>
        <v>#N/A</v>
      </c>
      <c r="CN43" s="7" t="e">
        <f t="shared" si="86"/>
        <v>#N/A</v>
      </c>
      <c r="CO43" s="6" t="e">
        <f t="shared" si="87"/>
        <v>#N/A</v>
      </c>
      <c r="CP43" s="5" t="e">
        <f t="shared" si="88"/>
        <v>#N/A</v>
      </c>
      <c r="CQ43" s="6" t="e">
        <f t="shared" si="89"/>
        <v>#N/A</v>
      </c>
      <c r="CR43" s="7" t="e">
        <f t="shared" si="90"/>
        <v>#N/A</v>
      </c>
      <c r="CS43" s="7" t="e">
        <f t="shared" si="90"/>
        <v>#N/A</v>
      </c>
      <c r="CT43" s="7" t="e">
        <f t="shared" si="90"/>
        <v>#N/A</v>
      </c>
      <c r="CU43" s="7" t="e">
        <f t="shared" si="90"/>
        <v>#N/A</v>
      </c>
      <c r="CV43" s="5" t="e">
        <f t="shared" si="91"/>
        <v>#N/A</v>
      </c>
      <c r="CW43" s="6" t="e">
        <f t="shared" si="92"/>
        <v>#N/A</v>
      </c>
      <c r="CY43" s="7" t="e">
        <v>#N/A</v>
      </c>
      <c r="CZ43" s="5" t="e">
        <f t="array" ref="CZ43">Summary_UpperBound</f>
        <v>#N/A</v>
      </c>
      <c r="DA43" s="6" t="e">
        <f t="shared" si="93"/>
        <v>#N/A</v>
      </c>
    </row>
    <row r="44" spans="2:105" x14ac:dyDescent="0.35">
      <c r="B44" s="14"/>
      <c r="E44" s="12" t="e" vm="2">
        <f t="shared" ca="1" si="94"/>
        <v>#VALUE!</v>
      </c>
      <c r="F44" s="7" t="e">
        <f t="shared" si="0"/>
        <v>#N/A</v>
      </c>
      <c r="G44" s="6" t="e">
        <f t="shared" si="1"/>
        <v>#N/A</v>
      </c>
      <c r="H44" s="7" t="e">
        <f t="shared" si="2"/>
        <v>#N/A</v>
      </c>
      <c r="I44" s="6" t="e">
        <f t="shared" si="3"/>
        <v>#N/A</v>
      </c>
      <c r="J44" s="5" t="e">
        <f t="shared" si="4"/>
        <v>#N/A</v>
      </c>
      <c r="K44" s="6" t="e">
        <f t="shared" si="5"/>
        <v>#N/A</v>
      </c>
      <c r="L44" s="7" t="e">
        <f t="shared" si="6"/>
        <v>#N/A</v>
      </c>
      <c r="M44" s="6" t="e">
        <f t="shared" si="7"/>
        <v>#N/A</v>
      </c>
      <c r="N44" s="7" t="e">
        <f t="shared" si="8"/>
        <v>#N/A</v>
      </c>
      <c r="O44" s="6" t="e">
        <f t="shared" si="9"/>
        <v>#N/A</v>
      </c>
      <c r="P44" s="5" t="e">
        <f t="shared" si="10"/>
        <v>#N/A</v>
      </c>
      <c r="Q44" s="6" t="e">
        <f t="shared" si="11"/>
        <v>#N/A</v>
      </c>
      <c r="R44" s="7" t="e">
        <f t="shared" si="12"/>
        <v>#N/A</v>
      </c>
      <c r="S44" s="6" t="e">
        <f t="shared" si="13"/>
        <v>#N/A</v>
      </c>
      <c r="T44" s="7" t="e">
        <f t="shared" si="14"/>
        <v>#N/A</v>
      </c>
      <c r="U44" s="6" t="e">
        <f t="shared" si="15"/>
        <v>#N/A</v>
      </c>
      <c r="V44" s="5" t="e">
        <f t="shared" si="16"/>
        <v>#N/A</v>
      </c>
      <c r="W44" s="6" t="e">
        <f t="shared" si="17"/>
        <v>#N/A</v>
      </c>
      <c r="X44" s="7" t="e">
        <f t="shared" si="18"/>
        <v>#N/A</v>
      </c>
      <c r="Y44" s="6" t="e">
        <f t="shared" si="19"/>
        <v>#N/A</v>
      </c>
      <c r="Z44" s="7" t="e">
        <f t="shared" si="20"/>
        <v>#N/A</v>
      </c>
      <c r="AA44" s="6" t="e">
        <f t="shared" si="21"/>
        <v>#N/A</v>
      </c>
      <c r="AB44" s="5" t="e">
        <f t="shared" si="22"/>
        <v>#N/A</v>
      </c>
      <c r="AC44" s="6" t="e">
        <f t="shared" si="23"/>
        <v>#N/A</v>
      </c>
      <c r="AD44" s="7" t="e">
        <f t="shared" si="24"/>
        <v>#N/A</v>
      </c>
      <c r="AE44" s="6" t="e">
        <f t="shared" si="25"/>
        <v>#N/A</v>
      </c>
      <c r="AF44" s="7" t="e">
        <f t="shared" si="26"/>
        <v>#N/A</v>
      </c>
      <c r="AG44" s="6" t="e">
        <f t="shared" si="27"/>
        <v>#N/A</v>
      </c>
      <c r="AH44" s="5" t="e">
        <f t="shared" si="28"/>
        <v>#N/A</v>
      </c>
      <c r="AI44" s="6" t="e">
        <f t="shared" si="29"/>
        <v>#N/A</v>
      </c>
      <c r="AJ44" s="7" t="e">
        <f t="shared" si="30"/>
        <v>#N/A</v>
      </c>
      <c r="AK44" s="6" t="e">
        <f t="shared" si="31"/>
        <v>#N/A</v>
      </c>
      <c r="AL44" s="7" t="e">
        <f t="shared" si="32"/>
        <v>#N/A</v>
      </c>
      <c r="AM44" s="6" t="e">
        <f t="shared" si="33"/>
        <v>#N/A</v>
      </c>
      <c r="AN44" s="5" t="e">
        <f t="shared" si="34"/>
        <v>#N/A</v>
      </c>
      <c r="AO44" s="6" t="e">
        <f t="shared" si="35"/>
        <v>#N/A</v>
      </c>
      <c r="AP44" s="7" t="e">
        <f t="shared" si="36"/>
        <v>#N/A</v>
      </c>
      <c r="AQ44" s="6" t="e">
        <f t="shared" si="37"/>
        <v>#N/A</v>
      </c>
      <c r="AR44" s="7" t="e">
        <f t="shared" si="38"/>
        <v>#N/A</v>
      </c>
      <c r="AS44" s="6" t="e">
        <f t="shared" si="39"/>
        <v>#N/A</v>
      </c>
      <c r="AT44" s="5" t="e">
        <f t="shared" si="40"/>
        <v>#N/A</v>
      </c>
      <c r="AU44" s="6" t="e">
        <f t="shared" si="41"/>
        <v>#N/A</v>
      </c>
      <c r="AV44" s="7" t="e">
        <f t="shared" si="42"/>
        <v>#N/A</v>
      </c>
      <c r="AW44" s="6" t="e">
        <f t="shared" si="43"/>
        <v>#N/A</v>
      </c>
      <c r="AX44" s="7" t="e">
        <f t="shared" si="44"/>
        <v>#N/A</v>
      </c>
      <c r="AY44" s="6" t="e">
        <f t="shared" si="45"/>
        <v>#N/A</v>
      </c>
      <c r="AZ44" s="5" t="e">
        <f t="shared" si="46"/>
        <v>#N/A</v>
      </c>
      <c r="BA44" s="6" t="e">
        <f t="shared" si="47"/>
        <v>#N/A</v>
      </c>
      <c r="BB44" s="7" t="e">
        <f t="shared" si="48"/>
        <v>#N/A</v>
      </c>
      <c r="BC44" s="6" t="e">
        <f t="shared" si="49"/>
        <v>#N/A</v>
      </c>
      <c r="BD44" s="7" t="e">
        <f t="shared" si="50"/>
        <v>#N/A</v>
      </c>
      <c r="BE44" s="6" t="e">
        <f t="shared" si="51"/>
        <v>#N/A</v>
      </c>
      <c r="BF44" s="5" t="e">
        <f t="shared" si="52"/>
        <v>#N/A</v>
      </c>
      <c r="BG44" s="6" t="e">
        <f t="shared" si="53"/>
        <v>#N/A</v>
      </c>
      <c r="BH44" s="7" t="e">
        <f t="shared" si="54"/>
        <v>#N/A</v>
      </c>
      <c r="BI44" s="6" t="e">
        <f t="shared" si="55"/>
        <v>#N/A</v>
      </c>
      <c r="BJ44" s="7" t="e">
        <f t="shared" si="56"/>
        <v>#N/A</v>
      </c>
      <c r="BK44" s="6" t="e">
        <f t="shared" si="57"/>
        <v>#N/A</v>
      </c>
      <c r="BL44" s="5" t="e">
        <f t="shared" si="58"/>
        <v>#N/A</v>
      </c>
      <c r="BM44" s="6" t="e">
        <f t="shared" si="59"/>
        <v>#N/A</v>
      </c>
      <c r="BN44" s="7" t="e">
        <f t="shared" si="60"/>
        <v>#N/A</v>
      </c>
      <c r="BO44" s="6" t="e">
        <f t="shared" si="61"/>
        <v>#N/A</v>
      </c>
      <c r="BP44" s="7" t="e">
        <f t="shared" si="62"/>
        <v>#N/A</v>
      </c>
      <c r="BQ44" s="6" t="e">
        <f t="shared" si="63"/>
        <v>#N/A</v>
      </c>
      <c r="BR44" s="5" t="e">
        <f t="shared" si="64"/>
        <v>#N/A</v>
      </c>
      <c r="BS44" s="6" t="e">
        <f t="shared" si="65"/>
        <v>#N/A</v>
      </c>
      <c r="BT44" s="7" t="e">
        <f t="shared" si="66"/>
        <v>#N/A</v>
      </c>
      <c r="BU44" s="6" t="e">
        <f t="shared" si="67"/>
        <v>#N/A</v>
      </c>
      <c r="BV44" s="7" t="e">
        <f t="shared" si="68"/>
        <v>#N/A</v>
      </c>
      <c r="BW44" s="6" t="e">
        <f t="shared" si="69"/>
        <v>#N/A</v>
      </c>
      <c r="BX44" s="5" t="e">
        <f t="shared" si="70"/>
        <v>#N/A</v>
      </c>
      <c r="BY44" s="6" t="e">
        <f t="shared" si="71"/>
        <v>#N/A</v>
      </c>
      <c r="BZ44" s="7" t="e">
        <f t="shared" si="72"/>
        <v>#N/A</v>
      </c>
      <c r="CA44" s="6" t="e">
        <f t="shared" si="73"/>
        <v>#N/A</v>
      </c>
      <c r="CB44" s="7" t="e">
        <f t="shared" si="74"/>
        <v>#N/A</v>
      </c>
      <c r="CC44" s="6" t="e">
        <f t="shared" si="75"/>
        <v>#N/A</v>
      </c>
      <c r="CD44" s="5" t="e">
        <f t="shared" si="76"/>
        <v>#N/A</v>
      </c>
      <c r="CE44" s="6" t="e">
        <f t="shared" si="77"/>
        <v>#N/A</v>
      </c>
      <c r="CF44" s="7" t="e">
        <f t="shared" si="78"/>
        <v>#N/A</v>
      </c>
      <c r="CG44" s="6" t="e">
        <f t="shared" si="79"/>
        <v>#N/A</v>
      </c>
      <c r="CH44" s="7" t="e">
        <f t="shared" si="80"/>
        <v>#N/A</v>
      </c>
      <c r="CI44" s="6" t="e">
        <f t="shared" si="81"/>
        <v>#N/A</v>
      </c>
      <c r="CJ44" s="5" t="e">
        <f t="shared" si="82"/>
        <v>#N/A</v>
      </c>
      <c r="CK44" s="6" t="e">
        <f t="shared" si="83"/>
        <v>#N/A</v>
      </c>
      <c r="CL44" s="7" t="e">
        <f t="shared" si="84"/>
        <v>#N/A</v>
      </c>
      <c r="CM44" s="6" t="e">
        <f t="shared" si="85"/>
        <v>#N/A</v>
      </c>
      <c r="CN44" s="7" t="e">
        <f t="shared" si="86"/>
        <v>#N/A</v>
      </c>
      <c r="CO44" s="6" t="e">
        <f t="shared" si="87"/>
        <v>#N/A</v>
      </c>
      <c r="CP44" s="5" t="e">
        <f t="shared" si="88"/>
        <v>#N/A</v>
      </c>
      <c r="CQ44" s="6" t="e">
        <f t="shared" si="89"/>
        <v>#N/A</v>
      </c>
      <c r="CR44" s="7" t="e">
        <f t="shared" si="90"/>
        <v>#N/A</v>
      </c>
      <c r="CS44" s="7" t="e">
        <f t="shared" si="90"/>
        <v>#N/A</v>
      </c>
      <c r="CT44" s="7" t="e">
        <f t="shared" si="90"/>
        <v>#N/A</v>
      </c>
      <c r="CU44" s="7" t="e">
        <f t="shared" si="90"/>
        <v>#N/A</v>
      </c>
      <c r="CV44" s="5" t="e">
        <f t="shared" si="91"/>
        <v>#N/A</v>
      </c>
      <c r="CW44" s="6" t="e">
        <f t="shared" si="92"/>
        <v>#N/A</v>
      </c>
      <c r="CY44" s="7" t="e">
        <v>#N/A</v>
      </c>
      <c r="CZ44" s="5" t="e">
        <f t="array" ref="CZ44">Summary_UpperBound</f>
        <v>#N/A</v>
      </c>
      <c r="DA44" s="6" t="e">
        <f t="shared" si="93"/>
        <v>#N/A</v>
      </c>
    </row>
    <row r="45" spans="2:105" x14ac:dyDescent="0.35">
      <c r="B45" s="14"/>
      <c r="E45" s="12" t="e" vm="2">
        <f t="shared" ca="1" si="94"/>
        <v>#VALUE!</v>
      </c>
      <c r="F45" s="7" t="e">
        <f t="shared" si="0"/>
        <v>#N/A</v>
      </c>
      <c r="G45" s="6" t="e">
        <f t="shared" si="1"/>
        <v>#N/A</v>
      </c>
      <c r="H45" s="7" t="e">
        <f t="shared" si="2"/>
        <v>#N/A</v>
      </c>
      <c r="I45" s="6" t="e">
        <f t="shared" si="3"/>
        <v>#N/A</v>
      </c>
      <c r="J45" s="5" t="e">
        <f t="shared" si="4"/>
        <v>#N/A</v>
      </c>
      <c r="K45" s="6" t="e">
        <f t="shared" si="5"/>
        <v>#N/A</v>
      </c>
      <c r="L45" s="7" t="e">
        <f t="shared" si="6"/>
        <v>#N/A</v>
      </c>
      <c r="M45" s="6" t="e">
        <f t="shared" si="7"/>
        <v>#N/A</v>
      </c>
      <c r="N45" s="7" t="e">
        <f t="shared" si="8"/>
        <v>#N/A</v>
      </c>
      <c r="O45" s="6" t="e">
        <f t="shared" si="9"/>
        <v>#N/A</v>
      </c>
      <c r="P45" s="5" t="e">
        <f t="shared" si="10"/>
        <v>#N/A</v>
      </c>
      <c r="Q45" s="6" t="e">
        <f t="shared" si="11"/>
        <v>#N/A</v>
      </c>
      <c r="R45" s="7" t="e">
        <f t="shared" si="12"/>
        <v>#N/A</v>
      </c>
      <c r="S45" s="6" t="e">
        <f t="shared" si="13"/>
        <v>#N/A</v>
      </c>
      <c r="T45" s="7" t="e">
        <f t="shared" si="14"/>
        <v>#N/A</v>
      </c>
      <c r="U45" s="6" t="e">
        <f t="shared" si="15"/>
        <v>#N/A</v>
      </c>
      <c r="V45" s="5" t="e">
        <f t="shared" si="16"/>
        <v>#N/A</v>
      </c>
      <c r="W45" s="6" t="e">
        <f t="shared" si="17"/>
        <v>#N/A</v>
      </c>
      <c r="X45" s="7" t="e">
        <f t="shared" si="18"/>
        <v>#N/A</v>
      </c>
      <c r="Y45" s="6" t="e">
        <f t="shared" si="19"/>
        <v>#N/A</v>
      </c>
      <c r="Z45" s="7" t="e">
        <f t="shared" si="20"/>
        <v>#N/A</v>
      </c>
      <c r="AA45" s="6" t="e">
        <f t="shared" si="21"/>
        <v>#N/A</v>
      </c>
      <c r="AB45" s="5" t="e">
        <f t="shared" si="22"/>
        <v>#N/A</v>
      </c>
      <c r="AC45" s="6" t="e">
        <f t="shared" si="23"/>
        <v>#N/A</v>
      </c>
      <c r="AD45" s="7" t="e">
        <f t="shared" si="24"/>
        <v>#N/A</v>
      </c>
      <c r="AE45" s="6" t="e">
        <f t="shared" si="25"/>
        <v>#N/A</v>
      </c>
      <c r="AF45" s="7" t="e">
        <f t="shared" si="26"/>
        <v>#N/A</v>
      </c>
      <c r="AG45" s="6" t="e">
        <f t="shared" si="27"/>
        <v>#N/A</v>
      </c>
      <c r="AH45" s="5" t="e">
        <f t="shared" si="28"/>
        <v>#N/A</v>
      </c>
      <c r="AI45" s="6" t="e">
        <f t="shared" si="29"/>
        <v>#N/A</v>
      </c>
      <c r="AJ45" s="7" t="e">
        <f t="shared" si="30"/>
        <v>#N/A</v>
      </c>
      <c r="AK45" s="6" t="e">
        <f t="shared" si="31"/>
        <v>#N/A</v>
      </c>
      <c r="AL45" s="7" t="e">
        <f t="shared" si="32"/>
        <v>#N/A</v>
      </c>
      <c r="AM45" s="6" t="e">
        <f t="shared" si="33"/>
        <v>#N/A</v>
      </c>
      <c r="AN45" s="5" t="e">
        <f t="shared" si="34"/>
        <v>#N/A</v>
      </c>
      <c r="AO45" s="6" t="e">
        <f t="shared" si="35"/>
        <v>#N/A</v>
      </c>
      <c r="AP45" s="7" t="e">
        <f t="shared" si="36"/>
        <v>#N/A</v>
      </c>
      <c r="AQ45" s="6" t="e">
        <f t="shared" si="37"/>
        <v>#N/A</v>
      </c>
      <c r="AR45" s="7" t="e">
        <f t="shared" si="38"/>
        <v>#N/A</v>
      </c>
      <c r="AS45" s="6" t="e">
        <f t="shared" si="39"/>
        <v>#N/A</v>
      </c>
      <c r="AT45" s="5" t="e">
        <f t="shared" si="40"/>
        <v>#N/A</v>
      </c>
      <c r="AU45" s="6" t="e">
        <f t="shared" si="41"/>
        <v>#N/A</v>
      </c>
      <c r="AV45" s="7" t="e">
        <f t="shared" si="42"/>
        <v>#N/A</v>
      </c>
      <c r="AW45" s="6" t="e">
        <f t="shared" si="43"/>
        <v>#N/A</v>
      </c>
      <c r="AX45" s="7" t="e">
        <f t="shared" si="44"/>
        <v>#N/A</v>
      </c>
      <c r="AY45" s="6" t="e">
        <f t="shared" si="45"/>
        <v>#N/A</v>
      </c>
      <c r="AZ45" s="5" t="e">
        <f t="shared" si="46"/>
        <v>#N/A</v>
      </c>
      <c r="BA45" s="6" t="e">
        <f t="shared" si="47"/>
        <v>#N/A</v>
      </c>
      <c r="BB45" s="7" t="e">
        <f t="shared" si="48"/>
        <v>#N/A</v>
      </c>
      <c r="BC45" s="6" t="e">
        <f t="shared" si="49"/>
        <v>#N/A</v>
      </c>
      <c r="BD45" s="7" t="e">
        <f t="shared" si="50"/>
        <v>#N/A</v>
      </c>
      <c r="BE45" s="6" t="e">
        <f t="shared" si="51"/>
        <v>#N/A</v>
      </c>
      <c r="BF45" s="5" t="e">
        <f t="shared" si="52"/>
        <v>#N/A</v>
      </c>
      <c r="BG45" s="6" t="e">
        <f t="shared" si="53"/>
        <v>#N/A</v>
      </c>
      <c r="BH45" s="7" t="e">
        <f t="shared" si="54"/>
        <v>#N/A</v>
      </c>
      <c r="BI45" s="6" t="e">
        <f t="shared" si="55"/>
        <v>#N/A</v>
      </c>
      <c r="BJ45" s="7" t="e">
        <f t="shared" si="56"/>
        <v>#N/A</v>
      </c>
      <c r="BK45" s="6" t="e">
        <f t="shared" si="57"/>
        <v>#N/A</v>
      </c>
      <c r="BL45" s="5" t="e">
        <f t="shared" si="58"/>
        <v>#N/A</v>
      </c>
      <c r="BM45" s="6" t="e">
        <f t="shared" si="59"/>
        <v>#N/A</v>
      </c>
      <c r="BN45" s="7" t="e">
        <f t="shared" si="60"/>
        <v>#N/A</v>
      </c>
      <c r="BO45" s="6" t="e">
        <f t="shared" si="61"/>
        <v>#N/A</v>
      </c>
      <c r="BP45" s="7" t="e">
        <f t="shared" si="62"/>
        <v>#N/A</v>
      </c>
      <c r="BQ45" s="6" t="e">
        <f t="shared" si="63"/>
        <v>#N/A</v>
      </c>
      <c r="BR45" s="5" t="e">
        <f t="shared" si="64"/>
        <v>#N/A</v>
      </c>
      <c r="BS45" s="6" t="e">
        <f t="shared" si="65"/>
        <v>#N/A</v>
      </c>
      <c r="BT45" s="7" t="e">
        <f t="shared" si="66"/>
        <v>#N/A</v>
      </c>
      <c r="BU45" s="6" t="e">
        <f t="shared" si="67"/>
        <v>#N/A</v>
      </c>
      <c r="BV45" s="7" t="e">
        <f t="shared" si="68"/>
        <v>#N/A</v>
      </c>
      <c r="BW45" s="6" t="e">
        <f t="shared" si="69"/>
        <v>#N/A</v>
      </c>
      <c r="BX45" s="5" t="e">
        <f t="shared" si="70"/>
        <v>#N/A</v>
      </c>
      <c r="BY45" s="6" t="e">
        <f t="shared" si="71"/>
        <v>#N/A</v>
      </c>
      <c r="BZ45" s="7" t="e">
        <f t="shared" si="72"/>
        <v>#N/A</v>
      </c>
      <c r="CA45" s="6" t="e">
        <f t="shared" si="73"/>
        <v>#N/A</v>
      </c>
      <c r="CB45" s="7" t="e">
        <f t="shared" si="74"/>
        <v>#N/A</v>
      </c>
      <c r="CC45" s="6" t="e">
        <f t="shared" si="75"/>
        <v>#N/A</v>
      </c>
      <c r="CD45" s="5" t="e">
        <f t="shared" si="76"/>
        <v>#N/A</v>
      </c>
      <c r="CE45" s="6" t="e">
        <f t="shared" si="77"/>
        <v>#N/A</v>
      </c>
      <c r="CF45" s="7" t="e">
        <f t="shared" si="78"/>
        <v>#N/A</v>
      </c>
      <c r="CG45" s="6" t="e">
        <f t="shared" si="79"/>
        <v>#N/A</v>
      </c>
      <c r="CH45" s="7" t="e">
        <f t="shared" si="80"/>
        <v>#N/A</v>
      </c>
      <c r="CI45" s="6" t="e">
        <f t="shared" si="81"/>
        <v>#N/A</v>
      </c>
      <c r="CJ45" s="5" t="e">
        <f t="shared" si="82"/>
        <v>#N/A</v>
      </c>
      <c r="CK45" s="6" t="e">
        <f t="shared" si="83"/>
        <v>#N/A</v>
      </c>
      <c r="CL45" s="7" t="e">
        <f t="shared" si="84"/>
        <v>#N/A</v>
      </c>
      <c r="CM45" s="6" t="e">
        <f t="shared" si="85"/>
        <v>#N/A</v>
      </c>
      <c r="CN45" s="7" t="e">
        <f t="shared" si="86"/>
        <v>#N/A</v>
      </c>
      <c r="CO45" s="6" t="e">
        <f t="shared" si="87"/>
        <v>#N/A</v>
      </c>
      <c r="CP45" s="5" t="e">
        <f t="shared" si="88"/>
        <v>#N/A</v>
      </c>
      <c r="CQ45" s="6" t="e">
        <f t="shared" si="89"/>
        <v>#N/A</v>
      </c>
      <c r="CR45" s="7" t="e">
        <f t="shared" si="90"/>
        <v>#N/A</v>
      </c>
      <c r="CS45" s="7" t="e">
        <f t="shared" si="90"/>
        <v>#N/A</v>
      </c>
      <c r="CT45" s="7" t="e">
        <f t="shared" si="90"/>
        <v>#N/A</v>
      </c>
      <c r="CU45" s="7" t="e">
        <f t="shared" si="90"/>
        <v>#N/A</v>
      </c>
      <c r="CV45" s="5" t="e">
        <f t="shared" si="91"/>
        <v>#N/A</v>
      </c>
      <c r="CW45" s="6" t="e">
        <f t="shared" si="92"/>
        <v>#N/A</v>
      </c>
      <c r="CY45" s="7" t="e">
        <v>#N/A</v>
      </c>
      <c r="CZ45" s="5" t="e">
        <f t="array" ref="CZ45">Summary_UpperBound</f>
        <v>#N/A</v>
      </c>
      <c r="DA45" s="6" t="e">
        <f t="shared" si="93"/>
        <v>#N/A</v>
      </c>
    </row>
    <row r="46" spans="2:105" x14ac:dyDescent="0.35">
      <c r="B46" s="14"/>
      <c r="E46" s="12" t="e" vm="2">
        <f t="shared" ca="1" si="94"/>
        <v>#VALUE!</v>
      </c>
      <c r="F46" s="7" t="e">
        <f t="shared" si="0"/>
        <v>#N/A</v>
      </c>
      <c r="G46" s="6" t="e">
        <f t="shared" si="1"/>
        <v>#N/A</v>
      </c>
      <c r="H46" s="7" t="e">
        <f t="shared" si="2"/>
        <v>#N/A</v>
      </c>
      <c r="I46" s="6" t="e">
        <f t="shared" si="3"/>
        <v>#N/A</v>
      </c>
      <c r="J46" s="5" t="e">
        <f t="shared" si="4"/>
        <v>#N/A</v>
      </c>
      <c r="K46" s="6" t="e">
        <f t="shared" si="5"/>
        <v>#N/A</v>
      </c>
      <c r="L46" s="7" t="e">
        <f t="shared" si="6"/>
        <v>#N/A</v>
      </c>
      <c r="M46" s="6" t="e">
        <f t="shared" si="7"/>
        <v>#N/A</v>
      </c>
      <c r="N46" s="7" t="e">
        <f t="shared" si="8"/>
        <v>#N/A</v>
      </c>
      <c r="O46" s="6" t="e">
        <f t="shared" si="9"/>
        <v>#N/A</v>
      </c>
      <c r="P46" s="5" t="e">
        <f t="shared" si="10"/>
        <v>#N/A</v>
      </c>
      <c r="Q46" s="6" t="e">
        <f t="shared" si="11"/>
        <v>#N/A</v>
      </c>
      <c r="R46" s="7" t="e">
        <f t="shared" si="12"/>
        <v>#N/A</v>
      </c>
      <c r="S46" s="6" t="e">
        <f t="shared" si="13"/>
        <v>#N/A</v>
      </c>
      <c r="T46" s="7" t="e">
        <f t="shared" si="14"/>
        <v>#N/A</v>
      </c>
      <c r="U46" s="6" t="e">
        <f t="shared" si="15"/>
        <v>#N/A</v>
      </c>
      <c r="V46" s="5" t="e">
        <f t="shared" si="16"/>
        <v>#N/A</v>
      </c>
      <c r="W46" s="6" t="e">
        <f t="shared" si="17"/>
        <v>#N/A</v>
      </c>
      <c r="X46" s="7" t="e">
        <f t="shared" si="18"/>
        <v>#N/A</v>
      </c>
      <c r="Y46" s="6" t="e">
        <f t="shared" si="19"/>
        <v>#N/A</v>
      </c>
      <c r="Z46" s="7" t="e">
        <f t="shared" si="20"/>
        <v>#N/A</v>
      </c>
      <c r="AA46" s="6" t="e">
        <f t="shared" si="21"/>
        <v>#N/A</v>
      </c>
      <c r="AB46" s="5" t="e">
        <f t="shared" si="22"/>
        <v>#N/A</v>
      </c>
      <c r="AC46" s="6" t="e">
        <f t="shared" si="23"/>
        <v>#N/A</v>
      </c>
      <c r="AD46" s="7" t="e">
        <f t="shared" si="24"/>
        <v>#N/A</v>
      </c>
      <c r="AE46" s="6" t="e">
        <f t="shared" si="25"/>
        <v>#N/A</v>
      </c>
      <c r="AF46" s="7" t="e">
        <f t="shared" si="26"/>
        <v>#N/A</v>
      </c>
      <c r="AG46" s="6" t="e">
        <f t="shared" si="27"/>
        <v>#N/A</v>
      </c>
      <c r="AH46" s="5" t="e">
        <f t="shared" si="28"/>
        <v>#N/A</v>
      </c>
      <c r="AI46" s="6" t="e">
        <f t="shared" si="29"/>
        <v>#N/A</v>
      </c>
      <c r="AJ46" s="7" t="e">
        <f t="shared" si="30"/>
        <v>#N/A</v>
      </c>
      <c r="AK46" s="6" t="e">
        <f t="shared" si="31"/>
        <v>#N/A</v>
      </c>
      <c r="AL46" s="7" t="e">
        <f t="shared" si="32"/>
        <v>#N/A</v>
      </c>
      <c r="AM46" s="6" t="e">
        <f t="shared" si="33"/>
        <v>#N/A</v>
      </c>
      <c r="AN46" s="5" t="e">
        <f t="shared" si="34"/>
        <v>#N/A</v>
      </c>
      <c r="AO46" s="6" t="e">
        <f t="shared" si="35"/>
        <v>#N/A</v>
      </c>
      <c r="AP46" s="7" t="e">
        <f t="shared" si="36"/>
        <v>#N/A</v>
      </c>
      <c r="AQ46" s="6" t="e">
        <f t="shared" si="37"/>
        <v>#N/A</v>
      </c>
      <c r="AR46" s="7" t="e">
        <f t="shared" si="38"/>
        <v>#N/A</v>
      </c>
      <c r="AS46" s="6" t="e">
        <f t="shared" si="39"/>
        <v>#N/A</v>
      </c>
      <c r="AT46" s="5" t="e">
        <f t="shared" si="40"/>
        <v>#N/A</v>
      </c>
      <c r="AU46" s="6" t="e">
        <f t="shared" si="41"/>
        <v>#N/A</v>
      </c>
      <c r="AV46" s="7" t="e">
        <f t="shared" si="42"/>
        <v>#N/A</v>
      </c>
      <c r="AW46" s="6" t="e">
        <f t="shared" si="43"/>
        <v>#N/A</v>
      </c>
      <c r="AX46" s="7" t="e">
        <f t="shared" si="44"/>
        <v>#N/A</v>
      </c>
      <c r="AY46" s="6" t="e">
        <f t="shared" si="45"/>
        <v>#N/A</v>
      </c>
      <c r="AZ46" s="5" t="e">
        <f t="shared" si="46"/>
        <v>#N/A</v>
      </c>
      <c r="BA46" s="6" t="e">
        <f t="shared" si="47"/>
        <v>#N/A</v>
      </c>
      <c r="BB46" s="7" t="e">
        <f t="shared" si="48"/>
        <v>#N/A</v>
      </c>
      <c r="BC46" s="6" t="e">
        <f t="shared" si="49"/>
        <v>#N/A</v>
      </c>
      <c r="BD46" s="7" t="e">
        <f t="shared" si="50"/>
        <v>#N/A</v>
      </c>
      <c r="BE46" s="6" t="e">
        <f t="shared" si="51"/>
        <v>#N/A</v>
      </c>
      <c r="BF46" s="5" t="e">
        <f t="shared" si="52"/>
        <v>#N/A</v>
      </c>
      <c r="BG46" s="6" t="e">
        <f t="shared" si="53"/>
        <v>#N/A</v>
      </c>
      <c r="BH46" s="7" t="e">
        <f t="shared" si="54"/>
        <v>#N/A</v>
      </c>
      <c r="BI46" s="6" t="e">
        <f t="shared" si="55"/>
        <v>#N/A</v>
      </c>
      <c r="BJ46" s="7" t="e">
        <f t="shared" si="56"/>
        <v>#N/A</v>
      </c>
      <c r="BK46" s="6" t="e">
        <f t="shared" si="57"/>
        <v>#N/A</v>
      </c>
      <c r="BL46" s="5" t="e">
        <f t="shared" si="58"/>
        <v>#N/A</v>
      </c>
      <c r="BM46" s="6" t="e">
        <f t="shared" si="59"/>
        <v>#N/A</v>
      </c>
      <c r="BN46" s="7" t="e">
        <f t="shared" si="60"/>
        <v>#N/A</v>
      </c>
      <c r="BO46" s="6" t="e">
        <f t="shared" si="61"/>
        <v>#N/A</v>
      </c>
      <c r="BP46" s="7" t="e">
        <f t="shared" si="62"/>
        <v>#N/A</v>
      </c>
      <c r="BQ46" s="6" t="e">
        <f t="shared" si="63"/>
        <v>#N/A</v>
      </c>
      <c r="BR46" s="5" t="e">
        <f t="shared" si="64"/>
        <v>#N/A</v>
      </c>
      <c r="BS46" s="6" t="e">
        <f t="shared" si="65"/>
        <v>#N/A</v>
      </c>
      <c r="BT46" s="7" t="e">
        <f t="shared" si="66"/>
        <v>#N/A</v>
      </c>
      <c r="BU46" s="6" t="e">
        <f t="shared" si="67"/>
        <v>#N/A</v>
      </c>
      <c r="BV46" s="7" t="e">
        <f t="shared" si="68"/>
        <v>#N/A</v>
      </c>
      <c r="BW46" s="6" t="e">
        <f t="shared" si="69"/>
        <v>#N/A</v>
      </c>
      <c r="BX46" s="5" t="e">
        <f t="shared" si="70"/>
        <v>#N/A</v>
      </c>
      <c r="BY46" s="6" t="e">
        <f t="shared" si="71"/>
        <v>#N/A</v>
      </c>
      <c r="BZ46" s="7" t="e">
        <f t="shared" si="72"/>
        <v>#N/A</v>
      </c>
      <c r="CA46" s="6" t="e">
        <f t="shared" si="73"/>
        <v>#N/A</v>
      </c>
      <c r="CB46" s="7" t="e">
        <f t="shared" si="74"/>
        <v>#N/A</v>
      </c>
      <c r="CC46" s="6" t="e">
        <f t="shared" si="75"/>
        <v>#N/A</v>
      </c>
      <c r="CD46" s="5" t="e">
        <f t="shared" si="76"/>
        <v>#N/A</v>
      </c>
      <c r="CE46" s="6" t="e">
        <f t="shared" si="77"/>
        <v>#N/A</v>
      </c>
      <c r="CF46" s="7" t="e">
        <f t="shared" si="78"/>
        <v>#N/A</v>
      </c>
      <c r="CG46" s="6" t="e">
        <f t="shared" si="79"/>
        <v>#N/A</v>
      </c>
      <c r="CH46" s="7" t="e">
        <f t="shared" si="80"/>
        <v>#N/A</v>
      </c>
      <c r="CI46" s="6" t="e">
        <f t="shared" si="81"/>
        <v>#N/A</v>
      </c>
      <c r="CJ46" s="5" t="e">
        <f t="shared" si="82"/>
        <v>#N/A</v>
      </c>
      <c r="CK46" s="6" t="e">
        <f t="shared" si="83"/>
        <v>#N/A</v>
      </c>
      <c r="CL46" s="7" t="e">
        <f t="shared" si="84"/>
        <v>#N/A</v>
      </c>
      <c r="CM46" s="6" t="e">
        <f t="shared" si="85"/>
        <v>#N/A</v>
      </c>
      <c r="CN46" s="7" t="e">
        <f t="shared" si="86"/>
        <v>#N/A</v>
      </c>
      <c r="CO46" s="6" t="e">
        <f t="shared" si="87"/>
        <v>#N/A</v>
      </c>
      <c r="CP46" s="5" t="e">
        <f t="shared" si="88"/>
        <v>#N/A</v>
      </c>
      <c r="CQ46" s="6" t="e">
        <f t="shared" si="89"/>
        <v>#N/A</v>
      </c>
      <c r="CR46" s="7" t="e">
        <f t="shared" si="90"/>
        <v>#N/A</v>
      </c>
      <c r="CS46" s="7" t="e">
        <f t="shared" si="90"/>
        <v>#N/A</v>
      </c>
      <c r="CT46" s="7" t="e">
        <f t="shared" si="90"/>
        <v>#N/A</v>
      </c>
      <c r="CU46" s="7" t="e">
        <f t="shared" si="90"/>
        <v>#N/A</v>
      </c>
      <c r="CV46" s="5" t="e">
        <f t="shared" si="91"/>
        <v>#N/A</v>
      </c>
      <c r="CW46" s="6" t="e">
        <f t="shared" si="92"/>
        <v>#N/A</v>
      </c>
      <c r="CY46" s="7" t="e">
        <v>#N/A</v>
      </c>
      <c r="CZ46" s="5" t="e">
        <f t="array" ref="CZ46">Summary_UpperBound</f>
        <v>#N/A</v>
      </c>
      <c r="DA46" s="6" t="e">
        <f t="shared" si="93"/>
        <v>#N/A</v>
      </c>
    </row>
    <row r="47" spans="2:105" x14ac:dyDescent="0.35">
      <c r="B47" s="14"/>
      <c r="E47" s="12" t="e" vm="2">
        <f t="shared" ca="1" si="94"/>
        <v>#VALUE!</v>
      </c>
      <c r="F47" s="7" t="e">
        <f t="shared" si="0"/>
        <v>#N/A</v>
      </c>
      <c r="G47" s="6" t="e">
        <f t="shared" si="1"/>
        <v>#N/A</v>
      </c>
      <c r="H47" s="7" t="e">
        <f t="shared" si="2"/>
        <v>#N/A</v>
      </c>
      <c r="I47" s="6" t="e">
        <f t="shared" si="3"/>
        <v>#N/A</v>
      </c>
      <c r="J47" s="5" t="e">
        <f t="shared" si="4"/>
        <v>#N/A</v>
      </c>
      <c r="K47" s="6" t="e">
        <f t="shared" si="5"/>
        <v>#N/A</v>
      </c>
      <c r="L47" s="7" t="e">
        <f t="shared" si="6"/>
        <v>#N/A</v>
      </c>
      <c r="M47" s="6" t="e">
        <f t="shared" si="7"/>
        <v>#N/A</v>
      </c>
      <c r="N47" s="7" t="e">
        <f t="shared" si="8"/>
        <v>#N/A</v>
      </c>
      <c r="O47" s="6" t="e">
        <f t="shared" si="9"/>
        <v>#N/A</v>
      </c>
      <c r="P47" s="5" t="e">
        <f t="shared" si="10"/>
        <v>#N/A</v>
      </c>
      <c r="Q47" s="6" t="e">
        <f t="shared" si="11"/>
        <v>#N/A</v>
      </c>
      <c r="R47" s="7" t="e">
        <f t="shared" si="12"/>
        <v>#N/A</v>
      </c>
      <c r="S47" s="6" t="e">
        <f t="shared" si="13"/>
        <v>#N/A</v>
      </c>
      <c r="T47" s="7" t="e">
        <f t="shared" si="14"/>
        <v>#N/A</v>
      </c>
      <c r="U47" s="6" t="e">
        <f t="shared" si="15"/>
        <v>#N/A</v>
      </c>
      <c r="V47" s="5" t="e">
        <f t="shared" si="16"/>
        <v>#N/A</v>
      </c>
      <c r="W47" s="6" t="e">
        <f t="shared" si="17"/>
        <v>#N/A</v>
      </c>
      <c r="X47" s="7" t="e">
        <f t="shared" si="18"/>
        <v>#N/A</v>
      </c>
      <c r="Y47" s="6" t="e">
        <f t="shared" si="19"/>
        <v>#N/A</v>
      </c>
      <c r="Z47" s="7" t="e">
        <f t="shared" si="20"/>
        <v>#N/A</v>
      </c>
      <c r="AA47" s="6" t="e">
        <f t="shared" si="21"/>
        <v>#N/A</v>
      </c>
      <c r="AB47" s="5" t="e">
        <f t="shared" si="22"/>
        <v>#N/A</v>
      </c>
      <c r="AC47" s="6" t="e">
        <f t="shared" si="23"/>
        <v>#N/A</v>
      </c>
      <c r="AD47" s="7" t="e">
        <f t="shared" si="24"/>
        <v>#N/A</v>
      </c>
      <c r="AE47" s="6" t="e">
        <f t="shared" si="25"/>
        <v>#N/A</v>
      </c>
      <c r="AF47" s="7" t="e">
        <f t="shared" si="26"/>
        <v>#N/A</v>
      </c>
      <c r="AG47" s="6" t="e">
        <f t="shared" si="27"/>
        <v>#N/A</v>
      </c>
      <c r="AH47" s="5" t="e">
        <f t="shared" si="28"/>
        <v>#N/A</v>
      </c>
      <c r="AI47" s="6" t="e">
        <f t="shared" si="29"/>
        <v>#N/A</v>
      </c>
      <c r="AJ47" s="7" t="e">
        <f t="shared" si="30"/>
        <v>#N/A</v>
      </c>
      <c r="AK47" s="6" t="e">
        <f t="shared" si="31"/>
        <v>#N/A</v>
      </c>
      <c r="AL47" s="7" t="e">
        <f t="shared" si="32"/>
        <v>#N/A</v>
      </c>
      <c r="AM47" s="6" t="e">
        <f t="shared" si="33"/>
        <v>#N/A</v>
      </c>
      <c r="AN47" s="5" t="e">
        <f t="shared" si="34"/>
        <v>#N/A</v>
      </c>
      <c r="AO47" s="6" t="e">
        <f t="shared" si="35"/>
        <v>#N/A</v>
      </c>
      <c r="AP47" s="7" t="e">
        <f t="shared" si="36"/>
        <v>#N/A</v>
      </c>
      <c r="AQ47" s="6" t="e">
        <f t="shared" si="37"/>
        <v>#N/A</v>
      </c>
      <c r="AR47" s="7" t="e">
        <f t="shared" si="38"/>
        <v>#N/A</v>
      </c>
      <c r="AS47" s="6" t="e">
        <f t="shared" si="39"/>
        <v>#N/A</v>
      </c>
      <c r="AT47" s="5" t="e">
        <f t="shared" si="40"/>
        <v>#N/A</v>
      </c>
      <c r="AU47" s="6" t="e">
        <f t="shared" si="41"/>
        <v>#N/A</v>
      </c>
      <c r="AV47" s="7" t="e">
        <f t="shared" si="42"/>
        <v>#N/A</v>
      </c>
      <c r="AW47" s="6" t="e">
        <f t="shared" si="43"/>
        <v>#N/A</v>
      </c>
      <c r="AX47" s="7" t="e">
        <f t="shared" si="44"/>
        <v>#N/A</v>
      </c>
      <c r="AY47" s="6" t="e">
        <f t="shared" si="45"/>
        <v>#N/A</v>
      </c>
      <c r="AZ47" s="5" t="e">
        <f t="shared" si="46"/>
        <v>#N/A</v>
      </c>
      <c r="BA47" s="6" t="e">
        <f t="shared" si="47"/>
        <v>#N/A</v>
      </c>
      <c r="BB47" s="7" t="e">
        <f t="shared" si="48"/>
        <v>#N/A</v>
      </c>
      <c r="BC47" s="6" t="e">
        <f t="shared" si="49"/>
        <v>#N/A</v>
      </c>
      <c r="BD47" s="7" t="e">
        <f t="shared" si="50"/>
        <v>#N/A</v>
      </c>
      <c r="BE47" s="6" t="e">
        <f t="shared" si="51"/>
        <v>#N/A</v>
      </c>
      <c r="BF47" s="5" t="e">
        <f t="shared" si="52"/>
        <v>#N/A</v>
      </c>
      <c r="BG47" s="6" t="e">
        <f t="shared" si="53"/>
        <v>#N/A</v>
      </c>
      <c r="BH47" s="7" t="e">
        <f t="shared" si="54"/>
        <v>#N/A</v>
      </c>
      <c r="BI47" s="6" t="e">
        <f t="shared" si="55"/>
        <v>#N/A</v>
      </c>
      <c r="BJ47" s="7" t="e">
        <f t="shared" si="56"/>
        <v>#N/A</v>
      </c>
      <c r="BK47" s="6" t="e">
        <f t="shared" si="57"/>
        <v>#N/A</v>
      </c>
      <c r="BL47" s="5" t="e">
        <f t="shared" si="58"/>
        <v>#N/A</v>
      </c>
      <c r="BM47" s="6" t="e">
        <f t="shared" si="59"/>
        <v>#N/A</v>
      </c>
      <c r="BN47" s="7" t="e">
        <f t="shared" si="60"/>
        <v>#N/A</v>
      </c>
      <c r="BO47" s="6" t="e">
        <f t="shared" si="61"/>
        <v>#N/A</v>
      </c>
      <c r="BP47" s="7" t="e">
        <f t="shared" si="62"/>
        <v>#N/A</v>
      </c>
      <c r="BQ47" s="6" t="e">
        <f t="shared" si="63"/>
        <v>#N/A</v>
      </c>
      <c r="BR47" s="5" t="e">
        <f t="shared" si="64"/>
        <v>#N/A</v>
      </c>
      <c r="BS47" s="6" t="e">
        <f t="shared" si="65"/>
        <v>#N/A</v>
      </c>
      <c r="BT47" s="7" t="e">
        <f t="shared" si="66"/>
        <v>#N/A</v>
      </c>
      <c r="BU47" s="6" t="e">
        <f t="shared" si="67"/>
        <v>#N/A</v>
      </c>
      <c r="BV47" s="7" t="e">
        <f t="shared" si="68"/>
        <v>#N/A</v>
      </c>
      <c r="BW47" s="6" t="e">
        <f t="shared" si="69"/>
        <v>#N/A</v>
      </c>
      <c r="BX47" s="5" t="e">
        <f t="shared" si="70"/>
        <v>#N/A</v>
      </c>
      <c r="BY47" s="6" t="e">
        <f t="shared" si="71"/>
        <v>#N/A</v>
      </c>
      <c r="BZ47" s="7" t="e">
        <f t="shared" si="72"/>
        <v>#N/A</v>
      </c>
      <c r="CA47" s="6" t="e">
        <f t="shared" si="73"/>
        <v>#N/A</v>
      </c>
      <c r="CB47" s="7" t="e">
        <f t="shared" si="74"/>
        <v>#N/A</v>
      </c>
      <c r="CC47" s="6" t="e">
        <f t="shared" si="75"/>
        <v>#N/A</v>
      </c>
      <c r="CD47" s="5" t="e">
        <f t="shared" si="76"/>
        <v>#N/A</v>
      </c>
      <c r="CE47" s="6" t="e">
        <f t="shared" si="77"/>
        <v>#N/A</v>
      </c>
      <c r="CF47" s="7" t="e">
        <f t="shared" si="78"/>
        <v>#N/A</v>
      </c>
      <c r="CG47" s="6" t="e">
        <f t="shared" si="79"/>
        <v>#N/A</v>
      </c>
      <c r="CH47" s="7" t="e">
        <f t="shared" si="80"/>
        <v>#N/A</v>
      </c>
      <c r="CI47" s="6" t="e">
        <f t="shared" si="81"/>
        <v>#N/A</v>
      </c>
      <c r="CJ47" s="5" t="e">
        <f t="shared" si="82"/>
        <v>#N/A</v>
      </c>
      <c r="CK47" s="6" t="e">
        <f t="shared" si="83"/>
        <v>#N/A</v>
      </c>
      <c r="CL47" s="7" t="e">
        <f t="shared" si="84"/>
        <v>#N/A</v>
      </c>
      <c r="CM47" s="6" t="e">
        <f t="shared" si="85"/>
        <v>#N/A</v>
      </c>
      <c r="CN47" s="7" t="e">
        <f t="shared" si="86"/>
        <v>#N/A</v>
      </c>
      <c r="CO47" s="6" t="e">
        <f t="shared" si="87"/>
        <v>#N/A</v>
      </c>
      <c r="CP47" s="5" t="e">
        <f t="shared" si="88"/>
        <v>#N/A</v>
      </c>
      <c r="CQ47" s="6" t="e">
        <f t="shared" si="89"/>
        <v>#N/A</v>
      </c>
      <c r="CR47" s="7" t="e">
        <f t="shared" si="90"/>
        <v>#N/A</v>
      </c>
      <c r="CS47" s="7" t="e">
        <f t="shared" si="90"/>
        <v>#N/A</v>
      </c>
      <c r="CT47" s="7" t="e">
        <f t="shared" si="90"/>
        <v>#N/A</v>
      </c>
      <c r="CU47" s="7" t="e">
        <f t="shared" si="90"/>
        <v>#N/A</v>
      </c>
      <c r="CV47" s="5" t="e">
        <f t="shared" si="91"/>
        <v>#N/A</v>
      </c>
      <c r="CW47" s="6" t="e">
        <f t="shared" si="92"/>
        <v>#N/A</v>
      </c>
      <c r="CY47" s="7" t="e">
        <v>#N/A</v>
      </c>
      <c r="CZ47" s="5" t="e">
        <f t="array" ref="CZ47">Summary_UpperBound</f>
        <v>#N/A</v>
      </c>
      <c r="DA47" s="6" t="e">
        <f t="shared" si="93"/>
        <v>#N/A</v>
      </c>
    </row>
    <row r="48" spans="2:105" x14ac:dyDescent="0.35">
      <c r="B48" s="14"/>
      <c r="E48" s="12" t="e" vm="2">
        <f t="shared" ca="1" si="94"/>
        <v>#VALUE!</v>
      </c>
      <c r="F48" s="7" t="e">
        <f t="shared" si="0"/>
        <v>#N/A</v>
      </c>
      <c r="G48" s="6" t="e">
        <f t="shared" si="1"/>
        <v>#N/A</v>
      </c>
      <c r="H48" s="7" t="e">
        <f t="shared" si="2"/>
        <v>#N/A</v>
      </c>
      <c r="I48" s="6" t="e">
        <f t="shared" si="3"/>
        <v>#N/A</v>
      </c>
      <c r="J48" s="5" t="e">
        <f t="shared" si="4"/>
        <v>#N/A</v>
      </c>
      <c r="K48" s="6" t="e">
        <f t="shared" si="5"/>
        <v>#N/A</v>
      </c>
      <c r="L48" s="7" t="e">
        <f t="shared" si="6"/>
        <v>#N/A</v>
      </c>
      <c r="M48" s="6" t="e">
        <f t="shared" si="7"/>
        <v>#N/A</v>
      </c>
      <c r="N48" s="7" t="e">
        <f t="shared" si="8"/>
        <v>#N/A</v>
      </c>
      <c r="O48" s="6" t="e">
        <f t="shared" si="9"/>
        <v>#N/A</v>
      </c>
      <c r="P48" s="5" t="e">
        <f t="shared" si="10"/>
        <v>#N/A</v>
      </c>
      <c r="Q48" s="6" t="e">
        <f t="shared" si="11"/>
        <v>#N/A</v>
      </c>
      <c r="R48" s="7" t="e">
        <f t="shared" si="12"/>
        <v>#N/A</v>
      </c>
      <c r="S48" s="6" t="e">
        <f t="shared" si="13"/>
        <v>#N/A</v>
      </c>
      <c r="T48" s="7" t="e">
        <f t="shared" si="14"/>
        <v>#N/A</v>
      </c>
      <c r="U48" s="6" t="e">
        <f t="shared" si="15"/>
        <v>#N/A</v>
      </c>
      <c r="V48" s="5" t="e">
        <f t="shared" si="16"/>
        <v>#N/A</v>
      </c>
      <c r="W48" s="6" t="e">
        <f t="shared" si="17"/>
        <v>#N/A</v>
      </c>
      <c r="X48" s="7" t="e">
        <f t="shared" si="18"/>
        <v>#N/A</v>
      </c>
      <c r="Y48" s="6" t="e">
        <f t="shared" si="19"/>
        <v>#N/A</v>
      </c>
      <c r="Z48" s="7" t="e">
        <f t="shared" si="20"/>
        <v>#N/A</v>
      </c>
      <c r="AA48" s="6" t="e">
        <f t="shared" si="21"/>
        <v>#N/A</v>
      </c>
      <c r="AB48" s="5" t="e">
        <f t="shared" si="22"/>
        <v>#N/A</v>
      </c>
      <c r="AC48" s="6" t="e">
        <f t="shared" si="23"/>
        <v>#N/A</v>
      </c>
      <c r="AD48" s="7" t="e">
        <f t="shared" si="24"/>
        <v>#N/A</v>
      </c>
      <c r="AE48" s="6" t="e">
        <f t="shared" si="25"/>
        <v>#N/A</v>
      </c>
      <c r="AF48" s="7" t="e">
        <f t="shared" si="26"/>
        <v>#N/A</v>
      </c>
      <c r="AG48" s="6" t="e">
        <f t="shared" si="27"/>
        <v>#N/A</v>
      </c>
      <c r="AH48" s="5" t="e">
        <f t="shared" si="28"/>
        <v>#N/A</v>
      </c>
      <c r="AI48" s="6" t="e">
        <f t="shared" si="29"/>
        <v>#N/A</v>
      </c>
      <c r="AJ48" s="7" t="e">
        <f t="shared" si="30"/>
        <v>#N/A</v>
      </c>
      <c r="AK48" s="6" t="e">
        <f t="shared" si="31"/>
        <v>#N/A</v>
      </c>
      <c r="AL48" s="7" t="e">
        <f t="shared" si="32"/>
        <v>#N/A</v>
      </c>
      <c r="AM48" s="6" t="e">
        <f t="shared" si="33"/>
        <v>#N/A</v>
      </c>
      <c r="AN48" s="5" t="e">
        <f t="shared" si="34"/>
        <v>#N/A</v>
      </c>
      <c r="AO48" s="6" t="e">
        <f t="shared" si="35"/>
        <v>#N/A</v>
      </c>
      <c r="AP48" s="7" t="e">
        <f t="shared" si="36"/>
        <v>#N/A</v>
      </c>
      <c r="AQ48" s="6" t="e">
        <f t="shared" si="37"/>
        <v>#N/A</v>
      </c>
      <c r="AR48" s="7" t="e">
        <f t="shared" si="38"/>
        <v>#N/A</v>
      </c>
      <c r="AS48" s="6" t="e">
        <f t="shared" si="39"/>
        <v>#N/A</v>
      </c>
      <c r="AT48" s="5" t="e">
        <f t="shared" si="40"/>
        <v>#N/A</v>
      </c>
      <c r="AU48" s="6" t="e">
        <f t="shared" si="41"/>
        <v>#N/A</v>
      </c>
      <c r="AV48" s="7" t="e">
        <f t="shared" si="42"/>
        <v>#N/A</v>
      </c>
      <c r="AW48" s="6" t="e">
        <f t="shared" si="43"/>
        <v>#N/A</v>
      </c>
      <c r="AX48" s="7" t="e">
        <f t="shared" si="44"/>
        <v>#N/A</v>
      </c>
      <c r="AY48" s="6" t="e">
        <f t="shared" si="45"/>
        <v>#N/A</v>
      </c>
      <c r="AZ48" s="5" t="e">
        <f t="shared" si="46"/>
        <v>#N/A</v>
      </c>
      <c r="BA48" s="6" t="e">
        <f t="shared" si="47"/>
        <v>#N/A</v>
      </c>
      <c r="BB48" s="7" t="e">
        <f t="shared" si="48"/>
        <v>#N/A</v>
      </c>
      <c r="BC48" s="6" t="e">
        <f t="shared" si="49"/>
        <v>#N/A</v>
      </c>
      <c r="BD48" s="7" t="e">
        <f t="shared" si="50"/>
        <v>#N/A</v>
      </c>
      <c r="BE48" s="6" t="e">
        <f t="shared" si="51"/>
        <v>#N/A</v>
      </c>
      <c r="BF48" s="5" t="e">
        <f t="shared" si="52"/>
        <v>#N/A</v>
      </c>
      <c r="BG48" s="6" t="e">
        <f t="shared" si="53"/>
        <v>#N/A</v>
      </c>
      <c r="BH48" s="7" t="e">
        <f t="shared" si="54"/>
        <v>#N/A</v>
      </c>
      <c r="BI48" s="6" t="e">
        <f t="shared" si="55"/>
        <v>#N/A</v>
      </c>
      <c r="BJ48" s="7" t="e">
        <f t="shared" si="56"/>
        <v>#N/A</v>
      </c>
      <c r="BK48" s="6" t="e">
        <f t="shared" si="57"/>
        <v>#N/A</v>
      </c>
      <c r="BL48" s="5" t="e">
        <f t="shared" si="58"/>
        <v>#N/A</v>
      </c>
      <c r="BM48" s="6" t="e">
        <f t="shared" si="59"/>
        <v>#N/A</v>
      </c>
      <c r="BN48" s="7" t="e">
        <f t="shared" si="60"/>
        <v>#N/A</v>
      </c>
      <c r="BO48" s="6" t="e">
        <f t="shared" si="61"/>
        <v>#N/A</v>
      </c>
      <c r="BP48" s="7" t="e">
        <f t="shared" si="62"/>
        <v>#N/A</v>
      </c>
      <c r="BQ48" s="6" t="e">
        <f t="shared" si="63"/>
        <v>#N/A</v>
      </c>
      <c r="BR48" s="5" t="e">
        <f t="shared" si="64"/>
        <v>#N/A</v>
      </c>
      <c r="BS48" s="6" t="e">
        <f t="shared" si="65"/>
        <v>#N/A</v>
      </c>
      <c r="BT48" s="7" t="e">
        <f t="shared" si="66"/>
        <v>#N/A</v>
      </c>
      <c r="BU48" s="6" t="e">
        <f t="shared" si="67"/>
        <v>#N/A</v>
      </c>
      <c r="BV48" s="7" t="e">
        <f t="shared" si="68"/>
        <v>#N/A</v>
      </c>
      <c r="BW48" s="6" t="e">
        <f t="shared" si="69"/>
        <v>#N/A</v>
      </c>
      <c r="BX48" s="5" t="e">
        <f t="shared" si="70"/>
        <v>#N/A</v>
      </c>
      <c r="BY48" s="6" t="e">
        <f t="shared" si="71"/>
        <v>#N/A</v>
      </c>
      <c r="BZ48" s="7" t="e">
        <f t="shared" si="72"/>
        <v>#N/A</v>
      </c>
      <c r="CA48" s="6" t="e">
        <f t="shared" si="73"/>
        <v>#N/A</v>
      </c>
      <c r="CB48" s="7" t="e">
        <f t="shared" si="74"/>
        <v>#N/A</v>
      </c>
      <c r="CC48" s="6" t="e">
        <f t="shared" si="75"/>
        <v>#N/A</v>
      </c>
      <c r="CD48" s="5" t="e">
        <f t="shared" si="76"/>
        <v>#N/A</v>
      </c>
      <c r="CE48" s="6" t="e">
        <f t="shared" si="77"/>
        <v>#N/A</v>
      </c>
      <c r="CF48" s="7" t="e">
        <f t="shared" si="78"/>
        <v>#N/A</v>
      </c>
      <c r="CG48" s="6" t="e">
        <f t="shared" si="79"/>
        <v>#N/A</v>
      </c>
      <c r="CH48" s="7" t="e">
        <f t="shared" si="80"/>
        <v>#N/A</v>
      </c>
      <c r="CI48" s="6" t="e">
        <f t="shared" si="81"/>
        <v>#N/A</v>
      </c>
      <c r="CJ48" s="5" t="e">
        <f t="shared" si="82"/>
        <v>#N/A</v>
      </c>
      <c r="CK48" s="6" t="e">
        <f t="shared" si="83"/>
        <v>#N/A</v>
      </c>
      <c r="CL48" s="7" t="e">
        <f t="shared" si="84"/>
        <v>#N/A</v>
      </c>
      <c r="CM48" s="6" t="e">
        <f t="shared" si="85"/>
        <v>#N/A</v>
      </c>
      <c r="CN48" s="7" t="e">
        <f t="shared" si="86"/>
        <v>#N/A</v>
      </c>
      <c r="CO48" s="6" t="e">
        <f t="shared" si="87"/>
        <v>#N/A</v>
      </c>
      <c r="CP48" s="5" t="e">
        <f t="shared" si="88"/>
        <v>#N/A</v>
      </c>
      <c r="CQ48" s="6" t="e">
        <f t="shared" si="89"/>
        <v>#N/A</v>
      </c>
      <c r="CR48" s="7" t="e">
        <f t="shared" si="90"/>
        <v>#N/A</v>
      </c>
      <c r="CS48" s="7" t="e">
        <f t="shared" si="90"/>
        <v>#N/A</v>
      </c>
      <c r="CT48" s="7" t="e">
        <f t="shared" si="90"/>
        <v>#N/A</v>
      </c>
      <c r="CU48" s="7" t="e">
        <f t="shared" si="90"/>
        <v>#N/A</v>
      </c>
      <c r="CV48" s="5" t="e">
        <f t="shared" si="91"/>
        <v>#N/A</v>
      </c>
      <c r="CW48" s="6" t="e">
        <f t="shared" si="92"/>
        <v>#N/A</v>
      </c>
      <c r="CY48" s="7" t="e">
        <v>#N/A</v>
      </c>
      <c r="CZ48" s="5" t="e">
        <f t="array" ref="CZ48">Summary_UpperBound</f>
        <v>#N/A</v>
      </c>
      <c r="DA48" s="6" t="e">
        <f t="shared" si="93"/>
        <v>#N/A</v>
      </c>
    </row>
    <row r="49" spans="2:105" x14ac:dyDescent="0.35">
      <c r="B49" s="14"/>
      <c r="E49" s="12" t="e" vm="2">
        <f t="shared" ca="1" si="94"/>
        <v>#VALUE!</v>
      </c>
      <c r="F49" s="7" t="e">
        <f t="shared" si="0"/>
        <v>#N/A</v>
      </c>
      <c r="G49" s="6" t="e">
        <f t="shared" si="1"/>
        <v>#N/A</v>
      </c>
      <c r="H49" s="7" t="e">
        <f t="shared" si="2"/>
        <v>#N/A</v>
      </c>
      <c r="I49" s="6" t="e">
        <f t="shared" si="3"/>
        <v>#N/A</v>
      </c>
      <c r="J49" s="5" t="e">
        <f t="shared" si="4"/>
        <v>#N/A</v>
      </c>
      <c r="K49" s="6" t="e">
        <f t="shared" si="5"/>
        <v>#N/A</v>
      </c>
      <c r="L49" s="7" t="e">
        <f t="shared" si="6"/>
        <v>#N/A</v>
      </c>
      <c r="M49" s="6" t="e">
        <f t="shared" si="7"/>
        <v>#N/A</v>
      </c>
      <c r="N49" s="7" t="e">
        <f t="shared" si="8"/>
        <v>#N/A</v>
      </c>
      <c r="O49" s="6" t="e">
        <f t="shared" si="9"/>
        <v>#N/A</v>
      </c>
      <c r="P49" s="5" t="e">
        <f t="shared" si="10"/>
        <v>#N/A</v>
      </c>
      <c r="Q49" s="6" t="e">
        <f t="shared" si="11"/>
        <v>#N/A</v>
      </c>
      <c r="R49" s="7" t="e">
        <f t="shared" si="12"/>
        <v>#N/A</v>
      </c>
      <c r="S49" s="6" t="e">
        <f t="shared" si="13"/>
        <v>#N/A</v>
      </c>
      <c r="T49" s="7" t="e">
        <f t="shared" si="14"/>
        <v>#N/A</v>
      </c>
      <c r="U49" s="6" t="e">
        <f t="shared" si="15"/>
        <v>#N/A</v>
      </c>
      <c r="V49" s="5" t="e">
        <f t="shared" si="16"/>
        <v>#N/A</v>
      </c>
      <c r="W49" s="6" t="e">
        <f t="shared" si="17"/>
        <v>#N/A</v>
      </c>
      <c r="X49" s="7" t="e">
        <f t="shared" si="18"/>
        <v>#N/A</v>
      </c>
      <c r="Y49" s="6" t="e">
        <f t="shared" si="19"/>
        <v>#N/A</v>
      </c>
      <c r="Z49" s="7" t="e">
        <f t="shared" si="20"/>
        <v>#N/A</v>
      </c>
      <c r="AA49" s="6" t="e">
        <f t="shared" si="21"/>
        <v>#N/A</v>
      </c>
      <c r="AB49" s="5" t="e">
        <f t="shared" si="22"/>
        <v>#N/A</v>
      </c>
      <c r="AC49" s="6" t="e">
        <f t="shared" si="23"/>
        <v>#N/A</v>
      </c>
      <c r="AD49" s="7" t="e">
        <f t="shared" si="24"/>
        <v>#N/A</v>
      </c>
      <c r="AE49" s="6" t="e">
        <f t="shared" si="25"/>
        <v>#N/A</v>
      </c>
      <c r="AF49" s="7" t="e">
        <f t="shared" si="26"/>
        <v>#N/A</v>
      </c>
      <c r="AG49" s="6" t="e">
        <f t="shared" si="27"/>
        <v>#N/A</v>
      </c>
      <c r="AH49" s="5" t="e">
        <f t="shared" si="28"/>
        <v>#N/A</v>
      </c>
      <c r="AI49" s="6" t="e">
        <f t="shared" si="29"/>
        <v>#N/A</v>
      </c>
      <c r="AJ49" s="7" t="e">
        <f t="shared" si="30"/>
        <v>#N/A</v>
      </c>
      <c r="AK49" s="6" t="e">
        <f t="shared" si="31"/>
        <v>#N/A</v>
      </c>
      <c r="AL49" s="7" t="e">
        <f t="shared" si="32"/>
        <v>#N/A</v>
      </c>
      <c r="AM49" s="6" t="e">
        <f t="shared" si="33"/>
        <v>#N/A</v>
      </c>
      <c r="AN49" s="5" t="e">
        <f t="shared" si="34"/>
        <v>#N/A</v>
      </c>
      <c r="AO49" s="6" t="e">
        <f t="shared" si="35"/>
        <v>#N/A</v>
      </c>
      <c r="AP49" s="7" t="e">
        <f t="shared" si="36"/>
        <v>#N/A</v>
      </c>
      <c r="AQ49" s="6" t="e">
        <f t="shared" si="37"/>
        <v>#N/A</v>
      </c>
      <c r="AR49" s="7" t="e">
        <f t="shared" si="38"/>
        <v>#N/A</v>
      </c>
      <c r="AS49" s="6" t="e">
        <f t="shared" si="39"/>
        <v>#N/A</v>
      </c>
      <c r="AT49" s="5" t="e">
        <f t="shared" si="40"/>
        <v>#N/A</v>
      </c>
      <c r="AU49" s="6" t="e">
        <f t="shared" si="41"/>
        <v>#N/A</v>
      </c>
      <c r="AV49" s="7" t="e">
        <f t="shared" si="42"/>
        <v>#N/A</v>
      </c>
      <c r="AW49" s="6" t="e">
        <f t="shared" si="43"/>
        <v>#N/A</v>
      </c>
      <c r="AX49" s="7" t="e">
        <f t="shared" si="44"/>
        <v>#N/A</v>
      </c>
      <c r="AY49" s="6" t="e">
        <f t="shared" si="45"/>
        <v>#N/A</v>
      </c>
      <c r="AZ49" s="5" t="e">
        <f t="shared" si="46"/>
        <v>#N/A</v>
      </c>
      <c r="BA49" s="6" t="e">
        <f t="shared" si="47"/>
        <v>#N/A</v>
      </c>
      <c r="BB49" s="7" t="e">
        <f t="shared" si="48"/>
        <v>#N/A</v>
      </c>
      <c r="BC49" s="6" t="e">
        <f t="shared" si="49"/>
        <v>#N/A</v>
      </c>
      <c r="BD49" s="7" t="e">
        <f t="shared" si="50"/>
        <v>#N/A</v>
      </c>
      <c r="BE49" s="6" t="e">
        <f t="shared" si="51"/>
        <v>#N/A</v>
      </c>
      <c r="BF49" s="5" t="e">
        <f t="shared" si="52"/>
        <v>#N/A</v>
      </c>
      <c r="BG49" s="6" t="e">
        <f t="shared" si="53"/>
        <v>#N/A</v>
      </c>
      <c r="BH49" s="7" t="e">
        <f t="shared" si="54"/>
        <v>#N/A</v>
      </c>
      <c r="BI49" s="6" t="e">
        <f t="shared" si="55"/>
        <v>#N/A</v>
      </c>
      <c r="BJ49" s="7" t="e">
        <f t="shared" si="56"/>
        <v>#N/A</v>
      </c>
      <c r="BK49" s="6" t="e">
        <f t="shared" si="57"/>
        <v>#N/A</v>
      </c>
      <c r="BL49" s="5" t="e">
        <f t="shared" si="58"/>
        <v>#N/A</v>
      </c>
      <c r="BM49" s="6" t="e">
        <f t="shared" si="59"/>
        <v>#N/A</v>
      </c>
      <c r="BN49" s="7" t="e">
        <f t="shared" si="60"/>
        <v>#N/A</v>
      </c>
      <c r="BO49" s="6" t="e">
        <f t="shared" si="61"/>
        <v>#N/A</v>
      </c>
      <c r="BP49" s="7" t="e">
        <f t="shared" si="62"/>
        <v>#N/A</v>
      </c>
      <c r="BQ49" s="6" t="e">
        <f t="shared" si="63"/>
        <v>#N/A</v>
      </c>
      <c r="BR49" s="5" t="e">
        <f t="shared" si="64"/>
        <v>#N/A</v>
      </c>
      <c r="BS49" s="6" t="e">
        <f t="shared" si="65"/>
        <v>#N/A</v>
      </c>
      <c r="BT49" s="7" t="e">
        <f t="shared" si="66"/>
        <v>#N/A</v>
      </c>
      <c r="BU49" s="6" t="e">
        <f t="shared" si="67"/>
        <v>#N/A</v>
      </c>
      <c r="BV49" s="7" t="e">
        <f t="shared" si="68"/>
        <v>#N/A</v>
      </c>
      <c r="BW49" s="6" t="e">
        <f t="shared" si="69"/>
        <v>#N/A</v>
      </c>
      <c r="BX49" s="5" t="e">
        <f t="shared" si="70"/>
        <v>#N/A</v>
      </c>
      <c r="BY49" s="6" t="e">
        <f t="shared" si="71"/>
        <v>#N/A</v>
      </c>
      <c r="BZ49" s="7" t="e">
        <f t="shared" si="72"/>
        <v>#N/A</v>
      </c>
      <c r="CA49" s="6" t="e">
        <f t="shared" si="73"/>
        <v>#N/A</v>
      </c>
      <c r="CB49" s="7" t="e">
        <f t="shared" si="74"/>
        <v>#N/A</v>
      </c>
      <c r="CC49" s="6" t="e">
        <f t="shared" si="75"/>
        <v>#N/A</v>
      </c>
      <c r="CD49" s="5" t="e">
        <f t="shared" si="76"/>
        <v>#N/A</v>
      </c>
      <c r="CE49" s="6" t="e">
        <f t="shared" si="77"/>
        <v>#N/A</v>
      </c>
      <c r="CF49" s="7" t="e">
        <f t="shared" si="78"/>
        <v>#N/A</v>
      </c>
      <c r="CG49" s="6" t="e">
        <f t="shared" si="79"/>
        <v>#N/A</v>
      </c>
      <c r="CH49" s="7" t="e">
        <f t="shared" si="80"/>
        <v>#N/A</v>
      </c>
      <c r="CI49" s="6" t="e">
        <f t="shared" si="81"/>
        <v>#N/A</v>
      </c>
      <c r="CJ49" s="5" t="e">
        <f t="shared" si="82"/>
        <v>#N/A</v>
      </c>
      <c r="CK49" s="6" t="e">
        <f t="shared" si="83"/>
        <v>#N/A</v>
      </c>
      <c r="CL49" s="7" t="e">
        <f t="shared" si="84"/>
        <v>#N/A</v>
      </c>
      <c r="CM49" s="6" t="e">
        <f t="shared" si="85"/>
        <v>#N/A</v>
      </c>
      <c r="CN49" s="7" t="e">
        <f t="shared" si="86"/>
        <v>#N/A</v>
      </c>
      <c r="CO49" s="6" t="e">
        <f t="shared" si="87"/>
        <v>#N/A</v>
      </c>
      <c r="CP49" s="5" t="e">
        <f t="shared" si="88"/>
        <v>#N/A</v>
      </c>
      <c r="CQ49" s="6" t="e">
        <f t="shared" si="89"/>
        <v>#N/A</v>
      </c>
      <c r="CR49" s="7" t="e">
        <f t="shared" si="90"/>
        <v>#N/A</v>
      </c>
      <c r="CS49" s="7" t="e">
        <f t="shared" si="90"/>
        <v>#N/A</v>
      </c>
      <c r="CT49" s="7" t="e">
        <f t="shared" si="90"/>
        <v>#N/A</v>
      </c>
      <c r="CU49" s="7" t="e">
        <f t="shared" si="90"/>
        <v>#N/A</v>
      </c>
      <c r="CV49" s="5" t="e">
        <f t="shared" si="91"/>
        <v>#N/A</v>
      </c>
      <c r="CW49" s="6" t="e">
        <f t="shared" si="92"/>
        <v>#N/A</v>
      </c>
      <c r="CY49" s="7" t="e">
        <v>#N/A</v>
      </c>
      <c r="CZ49" s="5" t="e">
        <f t="array" ref="CZ49">Summary_UpperBound</f>
        <v>#N/A</v>
      </c>
      <c r="DA49" s="6" t="e">
        <f t="shared" si="93"/>
        <v>#N/A</v>
      </c>
    </row>
    <row r="50" spans="2:105" x14ac:dyDescent="0.35">
      <c r="B50" s="14"/>
      <c r="E50" s="12" t="e" vm="2">
        <f t="shared" ca="1" si="94"/>
        <v>#VALUE!</v>
      </c>
      <c r="F50" s="7" t="e">
        <f t="shared" si="0"/>
        <v>#N/A</v>
      </c>
      <c r="G50" s="6" t="e">
        <f t="shared" si="1"/>
        <v>#N/A</v>
      </c>
      <c r="H50" s="7" t="e">
        <f t="shared" si="2"/>
        <v>#N/A</v>
      </c>
      <c r="I50" s="6" t="e">
        <f t="shared" si="3"/>
        <v>#N/A</v>
      </c>
      <c r="J50" s="5" t="e">
        <f t="shared" si="4"/>
        <v>#N/A</v>
      </c>
      <c r="K50" s="6" t="e">
        <f t="shared" si="5"/>
        <v>#N/A</v>
      </c>
      <c r="L50" s="7" t="e">
        <f t="shared" si="6"/>
        <v>#N/A</v>
      </c>
      <c r="M50" s="6" t="e">
        <f t="shared" si="7"/>
        <v>#N/A</v>
      </c>
      <c r="N50" s="7" t="e">
        <f t="shared" si="8"/>
        <v>#N/A</v>
      </c>
      <c r="O50" s="6" t="e">
        <f t="shared" si="9"/>
        <v>#N/A</v>
      </c>
      <c r="P50" s="5" t="e">
        <f t="shared" si="10"/>
        <v>#N/A</v>
      </c>
      <c r="Q50" s="6" t="e">
        <f t="shared" si="11"/>
        <v>#N/A</v>
      </c>
      <c r="R50" s="7" t="e">
        <f t="shared" si="12"/>
        <v>#N/A</v>
      </c>
      <c r="S50" s="6" t="e">
        <f t="shared" si="13"/>
        <v>#N/A</v>
      </c>
      <c r="T50" s="7" t="e">
        <f t="shared" si="14"/>
        <v>#N/A</v>
      </c>
      <c r="U50" s="6" t="e">
        <f t="shared" si="15"/>
        <v>#N/A</v>
      </c>
      <c r="V50" s="5" t="e">
        <f t="shared" si="16"/>
        <v>#N/A</v>
      </c>
      <c r="W50" s="6" t="e">
        <f t="shared" si="17"/>
        <v>#N/A</v>
      </c>
      <c r="X50" s="7" t="e">
        <f t="shared" si="18"/>
        <v>#N/A</v>
      </c>
      <c r="Y50" s="6" t="e">
        <f t="shared" si="19"/>
        <v>#N/A</v>
      </c>
      <c r="Z50" s="7" t="e">
        <f t="shared" si="20"/>
        <v>#N/A</v>
      </c>
      <c r="AA50" s="6" t="e">
        <f t="shared" si="21"/>
        <v>#N/A</v>
      </c>
      <c r="AB50" s="5" t="e">
        <f t="shared" si="22"/>
        <v>#N/A</v>
      </c>
      <c r="AC50" s="6" t="e">
        <f t="shared" si="23"/>
        <v>#N/A</v>
      </c>
      <c r="AD50" s="7" t="e">
        <f t="shared" si="24"/>
        <v>#N/A</v>
      </c>
      <c r="AE50" s="6" t="e">
        <f t="shared" si="25"/>
        <v>#N/A</v>
      </c>
      <c r="AF50" s="7" t="e">
        <f t="shared" si="26"/>
        <v>#N/A</v>
      </c>
      <c r="AG50" s="6" t="e">
        <f t="shared" si="27"/>
        <v>#N/A</v>
      </c>
      <c r="AH50" s="5" t="e">
        <f t="shared" si="28"/>
        <v>#N/A</v>
      </c>
      <c r="AI50" s="6" t="e">
        <f t="shared" si="29"/>
        <v>#N/A</v>
      </c>
      <c r="AJ50" s="7" t="e">
        <f t="shared" si="30"/>
        <v>#N/A</v>
      </c>
      <c r="AK50" s="6" t="e">
        <f t="shared" si="31"/>
        <v>#N/A</v>
      </c>
      <c r="AL50" s="7" t="e">
        <f t="shared" si="32"/>
        <v>#N/A</v>
      </c>
      <c r="AM50" s="6" t="e">
        <f t="shared" si="33"/>
        <v>#N/A</v>
      </c>
      <c r="AN50" s="5" t="e">
        <f t="shared" si="34"/>
        <v>#N/A</v>
      </c>
      <c r="AO50" s="6" t="e">
        <f t="shared" si="35"/>
        <v>#N/A</v>
      </c>
      <c r="AP50" s="7" t="e">
        <f t="shared" si="36"/>
        <v>#N/A</v>
      </c>
      <c r="AQ50" s="6" t="e">
        <f t="shared" si="37"/>
        <v>#N/A</v>
      </c>
      <c r="AR50" s="7" t="e">
        <f t="shared" si="38"/>
        <v>#N/A</v>
      </c>
      <c r="AS50" s="6" t="e">
        <f t="shared" si="39"/>
        <v>#N/A</v>
      </c>
      <c r="AT50" s="5" t="e">
        <f t="shared" si="40"/>
        <v>#N/A</v>
      </c>
      <c r="AU50" s="6" t="e">
        <f t="shared" si="41"/>
        <v>#N/A</v>
      </c>
      <c r="AV50" s="7" t="e">
        <f t="shared" si="42"/>
        <v>#N/A</v>
      </c>
      <c r="AW50" s="6" t="e">
        <f t="shared" si="43"/>
        <v>#N/A</v>
      </c>
      <c r="AX50" s="7" t="e">
        <f t="shared" si="44"/>
        <v>#N/A</v>
      </c>
      <c r="AY50" s="6" t="e">
        <f t="shared" si="45"/>
        <v>#N/A</v>
      </c>
      <c r="AZ50" s="5" t="e">
        <f t="shared" si="46"/>
        <v>#N/A</v>
      </c>
      <c r="BA50" s="6" t="e">
        <f t="shared" si="47"/>
        <v>#N/A</v>
      </c>
      <c r="BB50" s="7" t="e">
        <f t="shared" si="48"/>
        <v>#N/A</v>
      </c>
      <c r="BC50" s="6" t="e">
        <f t="shared" si="49"/>
        <v>#N/A</v>
      </c>
      <c r="BD50" s="7" t="e">
        <f t="shared" si="50"/>
        <v>#N/A</v>
      </c>
      <c r="BE50" s="6" t="e">
        <f t="shared" si="51"/>
        <v>#N/A</v>
      </c>
      <c r="BF50" s="5" t="e">
        <f t="shared" si="52"/>
        <v>#N/A</v>
      </c>
      <c r="BG50" s="6" t="e">
        <f t="shared" si="53"/>
        <v>#N/A</v>
      </c>
      <c r="BH50" s="7" t="e">
        <f t="shared" si="54"/>
        <v>#N/A</v>
      </c>
      <c r="BI50" s="6" t="e">
        <f t="shared" si="55"/>
        <v>#N/A</v>
      </c>
      <c r="BJ50" s="7" t="e">
        <f t="shared" si="56"/>
        <v>#N/A</v>
      </c>
      <c r="BK50" s="6" t="e">
        <f t="shared" si="57"/>
        <v>#N/A</v>
      </c>
      <c r="BL50" s="5" t="e">
        <f t="shared" si="58"/>
        <v>#N/A</v>
      </c>
      <c r="BM50" s="6" t="e">
        <f t="shared" si="59"/>
        <v>#N/A</v>
      </c>
      <c r="BN50" s="7" t="e">
        <f t="shared" si="60"/>
        <v>#N/A</v>
      </c>
      <c r="BO50" s="6" t="e">
        <f t="shared" si="61"/>
        <v>#N/A</v>
      </c>
      <c r="BP50" s="7" t="e">
        <f t="shared" si="62"/>
        <v>#N/A</v>
      </c>
      <c r="BQ50" s="6" t="e">
        <f t="shared" si="63"/>
        <v>#N/A</v>
      </c>
      <c r="BR50" s="5" t="e">
        <f t="shared" si="64"/>
        <v>#N/A</v>
      </c>
      <c r="BS50" s="6" t="e">
        <f t="shared" si="65"/>
        <v>#N/A</v>
      </c>
      <c r="BT50" s="7" t="e">
        <f t="shared" si="66"/>
        <v>#N/A</v>
      </c>
      <c r="BU50" s="6" t="e">
        <f t="shared" si="67"/>
        <v>#N/A</v>
      </c>
      <c r="BV50" s="7" t="e">
        <f t="shared" si="68"/>
        <v>#N/A</v>
      </c>
      <c r="BW50" s="6" t="e">
        <f t="shared" si="69"/>
        <v>#N/A</v>
      </c>
      <c r="BX50" s="5" t="e">
        <f t="shared" si="70"/>
        <v>#N/A</v>
      </c>
      <c r="BY50" s="6" t="e">
        <f t="shared" si="71"/>
        <v>#N/A</v>
      </c>
      <c r="BZ50" s="7" t="e">
        <f t="shared" si="72"/>
        <v>#N/A</v>
      </c>
      <c r="CA50" s="6" t="e">
        <f t="shared" si="73"/>
        <v>#N/A</v>
      </c>
      <c r="CB50" s="7" t="e">
        <f t="shared" si="74"/>
        <v>#N/A</v>
      </c>
      <c r="CC50" s="6" t="e">
        <f t="shared" si="75"/>
        <v>#N/A</v>
      </c>
      <c r="CD50" s="5" t="e">
        <f t="shared" si="76"/>
        <v>#N/A</v>
      </c>
      <c r="CE50" s="6" t="e">
        <f t="shared" si="77"/>
        <v>#N/A</v>
      </c>
      <c r="CF50" s="7" t="e">
        <f t="shared" si="78"/>
        <v>#N/A</v>
      </c>
      <c r="CG50" s="6" t="e">
        <f t="shared" si="79"/>
        <v>#N/A</v>
      </c>
      <c r="CH50" s="7" t="e">
        <f t="shared" si="80"/>
        <v>#N/A</v>
      </c>
      <c r="CI50" s="6" t="e">
        <f t="shared" si="81"/>
        <v>#N/A</v>
      </c>
      <c r="CJ50" s="5" t="e">
        <f t="shared" si="82"/>
        <v>#N/A</v>
      </c>
      <c r="CK50" s="6" t="e">
        <f t="shared" si="83"/>
        <v>#N/A</v>
      </c>
      <c r="CL50" s="7" t="e">
        <f t="shared" si="84"/>
        <v>#N/A</v>
      </c>
      <c r="CM50" s="6" t="e">
        <f t="shared" si="85"/>
        <v>#N/A</v>
      </c>
      <c r="CN50" s="7" t="e">
        <f t="shared" si="86"/>
        <v>#N/A</v>
      </c>
      <c r="CO50" s="6" t="e">
        <f t="shared" si="87"/>
        <v>#N/A</v>
      </c>
      <c r="CP50" s="5" t="e">
        <f t="shared" si="88"/>
        <v>#N/A</v>
      </c>
      <c r="CQ50" s="6" t="e">
        <f t="shared" si="89"/>
        <v>#N/A</v>
      </c>
      <c r="CR50" s="7" t="e">
        <f t="shared" si="90"/>
        <v>#N/A</v>
      </c>
      <c r="CS50" s="7" t="e">
        <f t="shared" si="90"/>
        <v>#N/A</v>
      </c>
      <c r="CT50" s="7" t="e">
        <f t="shared" si="90"/>
        <v>#N/A</v>
      </c>
      <c r="CU50" s="7" t="e">
        <f t="shared" si="90"/>
        <v>#N/A</v>
      </c>
      <c r="CV50" s="5" t="e">
        <f t="shared" si="91"/>
        <v>#N/A</v>
      </c>
      <c r="CW50" s="6" t="e">
        <f t="shared" si="92"/>
        <v>#N/A</v>
      </c>
      <c r="CY50" s="7" t="e">
        <v>#N/A</v>
      </c>
      <c r="CZ50" s="5" t="e">
        <f t="array" ref="CZ50">Summary_UpperBound</f>
        <v>#N/A</v>
      </c>
      <c r="DA50" s="6" t="e">
        <f t="shared" si="93"/>
        <v>#N/A</v>
      </c>
    </row>
    <row r="51" spans="2:105" x14ac:dyDescent="0.35">
      <c r="B51" s="14"/>
      <c r="E51" s="12" t="e" vm="2">
        <f t="shared" ca="1" si="94"/>
        <v>#VALUE!</v>
      </c>
      <c r="F51" s="7" t="e">
        <f t="shared" si="0"/>
        <v>#N/A</v>
      </c>
      <c r="G51" s="6" t="e">
        <f t="shared" si="1"/>
        <v>#N/A</v>
      </c>
      <c r="H51" s="7" t="e">
        <f t="shared" si="2"/>
        <v>#N/A</v>
      </c>
      <c r="I51" s="6" t="e">
        <f t="shared" si="3"/>
        <v>#N/A</v>
      </c>
      <c r="J51" s="5" t="e">
        <f t="shared" si="4"/>
        <v>#N/A</v>
      </c>
      <c r="K51" s="6" t="e">
        <f t="shared" si="5"/>
        <v>#N/A</v>
      </c>
      <c r="L51" s="7" t="e">
        <f t="shared" si="6"/>
        <v>#N/A</v>
      </c>
      <c r="M51" s="6" t="e">
        <f t="shared" si="7"/>
        <v>#N/A</v>
      </c>
      <c r="N51" s="7" t="e">
        <f t="shared" si="8"/>
        <v>#N/A</v>
      </c>
      <c r="O51" s="6" t="e">
        <f t="shared" si="9"/>
        <v>#N/A</v>
      </c>
      <c r="P51" s="5" t="e">
        <f t="shared" si="10"/>
        <v>#N/A</v>
      </c>
      <c r="Q51" s="6" t="e">
        <f t="shared" si="11"/>
        <v>#N/A</v>
      </c>
      <c r="R51" s="7" t="e">
        <f t="shared" si="12"/>
        <v>#N/A</v>
      </c>
      <c r="S51" s="6" t="e">
        <f t="shared" si="13"/>
        <v>#N/A</v>
      </c>
      <c r="T51" s="7" t="e">
        <f t="shared" si="14"/>
        <v>#N/A</v>
      </c>
      <c r="U51" s="6" t="e">
        <f t="shared" si="15"/>
        <v>#N/A</v>
      </c>
      <c r="V51" s="5" t="e">
        <f t="shared" si="16"/>
        <v>#N/A</v>
      </c>
      <c r="W51" s="6" t="e">
        <f t="shared" si="17"/>
        <v>#N/A</v>
      </c>
      <c r="X51" s="7" t="e">
        <f t="shared" si="18"/>
        <v>#N/A</v>
      </c>
      <c r="Y51" s="6" t="e">
        <f t="shared" si="19"/>
        <v>#N/A</v>
      </c>
      <c r="Z51" s="7" t="e">
        <f t="shared" si="20"/>
        <v>#N/A</v>
      </c>
      <c r="AA51" s="6" t="e">
        <f t="shared" si="21"/>
        <v>#N/A</v>
      </c>
      <c r="AB51" s="5" t="e">
        <f t="shared" si="22"/>
        <v>#N/A</v>
      </c>
      <c r="AC51" s="6" t="e">
        <f t="shared" si="23"/>
        <v>#N/A</v>
      </c>
      <c r="AD51" s="7" t="e">
        <f t="shared" si="24"/>
        <v>#N/A</v>
      </c>
      <c r="AE51" s="6" t="e">
        <f t="shared" si="25"/>
        <v>#N/A</v>
      </c>
      <c r="AF51" s="7" t="e">
        <f t="shared" si="26"/>
        <v>#N/A</v>
      </c>
      <c r="AG51" s="6" t="e">
        <f t="shared" si="27"/>
        <v>#N/A</v>
      </c>
      <c r="AH51" s="5" t="e">
        <f t="shared" si="28"/>
        <v>#N/A</v>
      </c>
      <c r="AI51" s="6" t="e">
        <f t="shared" si="29"/>
        <v>#N/A</v>
      </c>
      <c r="AJ51" s="7" t="e">
        <f t="shared" si="30"/>
        <v>#N/A</v>
      </c>
      <c r="AK51" s="6" t="e">
        <f t="shared" si="31"/>
        <v>#N/A</v>
      </c>
      <c r="AL51" s="7" t="e">
        <f t="shared" si="32"/>
        <v>#N/A</v>
      </c>
      <c r="AM51" s="6" t="e">
        <f t="shared" si="33"/>
        <v>#N/A</v>
      </c>
      <c r="AN51" s="5" t="e">
        <f t="shared" si="34"/>
        <v>#N/A</v>
      </c>
      <c r="AO51" s="6" t="e">
        <f t="shared" si="35"/>
        <v>#N/A</v>
      </c>
      <c r="AP51" s="7" t="e">
        <f t="shared" si="36"/>
        <v>#N/A</v>
      </c>
      <c r="AQ51" s="6" t="e">
        <f t="shared" si="37"/>
        <v>#N/A</v>
      </c>
      <c r="AR51" s="7" t="e">
        <f t="shared" si="38"/>
        <v>#N/A</v>
      </c>
      <c r="AS51" s="6" t="e">
        <f t="shared" si="39"/>
        <v>#N/A</v>
      </c>
      <c r="AT51" s="5" t="e">
        <f t="shared" si="40"/>
        <v>#N/A</v>
      </c>
      <c r="AU51" s="6" t="e">
        <f t="shared" si="41"/>
        <v>#N/A</v>
      </c>
      <c r="AV51" s="7" t="e">
        <f t="shared" si="42"/>
        <v>#N/A</v>
      </c>
      <c r="AW51" s="6" t="e">
        <f t="shared" si="43"/>
        <v>#N/A</v>
      </c>
      <c r="AX51" s="7" t="e">
        <f t="shared" si="44"/>
        <v>#N/A</v>
      </c>
      <c r="AY51" s="6" t="e">
        <f t="shared" si="45"/>
        <v>#N/A</v>
      </c>
      <c r="AZ51" s="5" t="e">
        <f t="shared" si="46"/>
        <v>#N/A</v>
      </c>
      <c r="BA51" s="6" t="e">
        <f t="shared" si="47"/>
        <v>#N/A</v>
      </c>
      <c r="BB51" s="7" t="e">
        <f t="shared" si="48"/>
        <v>#N/A</v>
      </c>
      <c r="BC51" s="6" t="e">
        <f t="shared" si="49"/>
        <v>#N/A</v>
      </c>
      <c r="BD51" s="7" t="e">
        <f t="shared" si="50"/>
        <v>#N/A</v>
      </c>
      <c r="BE51" s="6" t="e">
        <f t="shared" si="51"/>
        <v>#N/A</v>
      </c>
      <c r="BF51" s="5" t="e">
        <f t="shared" si="52"/>
        <v>#N/A</v>
      </c>
      <c r="BG51" s="6" t="e">
        <f t="shared" si="53"/>
        <v>#N/A</v>
      </c>
      <c r="BH51" s="7" t="e">
        <f t="shared" si="54"/>
        <v>#N/A</v>
      </c>
      <c r="BI51" s="6" t="e">
        <f t="shared" si="55"/>
        <v>#N/A</v>
      </c>
      <c r="BJ51" s="7" t="e">
        <f t="shared" si="56"/>
        <v>#N/A</v>
      </c>
      <c r="BK51" s="6" t="e">
        <f t="shared" si="57"/>
        <v>#N/A</v>
      </c>
      <c r="BL51" s="5" t="e">
        <f t="shared" si="58"/>
        <v>#N/A</v>
      </c>
      <c r="BM51" s="6" t="e">
        <f t="shared" si="59"/>
        <v>#N/A</v>
      </c>
      <c r="BN51" s="7" t="e">
        <f t="shared" si="60"/>
        <v>#N/A</v>
      </c>
      <c r="BO51" s="6" t="e">
        <f t="shared" si="61"/>
        <v>#N/A</v>
      </c>
      <c r="BP51" s="7" t="e">
        <f t="shared" si="62"/>
        <v>#N/A</v>
      </c>
      <c r="BQ51" s="6" t="e">
        <f t="shared" si="63"/>
        <v>#N/A</v>
      </c>
      <c r="BR51" s="5" t="e">
        <f t="shared" si="64"/>
        <v>#N/A</v>
      </c>
      <c r="BS51" s="6" t="e">
        <f t="shared" si="65"/>
        <v>#N/A</v>
      </c>
      <c r="BT51" s="7" t="e">
        <f t="shared" si="66"/>
        <v>#N/A</v>
      </c>
      <c r="BU51" s="6" t="e">
        <f t="shared" si="67"/>
        <v>#N/A</v>
      </c>
      <c r="BV51" s="7" t="e">
        <f t="shared" si="68"/>
        <v>#N/A</v>
      </c>
      <c r="BW51" s="6" t="e">
        <f t="shared" si="69"/>
        <v>#N/A</v>
      </c>
      <c r="BX51" s="5" t="e">
        <f t="shared" si="70"/>
        <v>#N/A</v>
      </c>
      <c r="BY51" s="6" t="e">
        <f t="shared" si="71"/>
        <v>#N/A</v>
      </c>
      <c r="BZ51" s="7" t="e">
        <f t="shared" si="72"/>
        <v>#N/A</v>
      </c>
      <c r="CA51" s="6" t="e">
        <f t="shared" si="73"/>
        <v>#N/A</v>
      </c>
      <c r="CB51" s="7" t="e">
        <f t="shared" si="74"/>
        <v>#N/A</v>
      </c>
      <c r="CC51" s="6" t="e">
        <f t="shared" si="75"/>
        <v>#N/A</v>
      </c>
      <c r="CD51" s="5" t="e">
        <f t="shared" si="76"/>
        <v>#N/A</v>
      </c>
      <c r="CE51" s="6" t="e">
        <f t="shared" si="77"/>
        <v>#N/A</v>
      </c>
      <c r="CF51" s="7" t="e">
        <f t="shared" si="78"/>
        <v>#N/A</v>
      </c>
      <c r="CG51" s="6" t="e">
        <f t="shared" si="79"/>
        <v>#N/A</v>
      </c>
      <c r="CH51" s="7" t="e">
        <f t="shared" si="80"/>
        <v>#N/A</v>
      </c>
      <c r="CI51" s="6" t="e">
        <f t="shared" si="81"/>
        <v>#N/A</v>
      </c>
      <c r="CJ51" s="5" t="e">
        <f t="shared" si="82"/>
        <v>#N/A</v>
      </c>
      <c r="CK51" s="6" t="e">
        <f t="shared" si="83"/>
        <v>#N/A</v>
      </c>
      <c r="CL51" s="7" t="e">
        <f t="shared" si="84"/>
        <v>#N/A</v>
      </c>
      <c r="CM51" s="6" t="e">
        <f t="shared" si="85"/>
        <v>#N/A</v>
      </c>
      <c r="CN51" s="7" t="e">
        <f t="shared" si="86"/>
        <v>#N/A</v>
      </c>
      <c r="CO51" s="6" t="e">
        <f t="shared" si="87"/>
        <v>#N/A</v>
      </c>
      <c r="CP51" s="5" t="e">
        <f t="shared" si="88"/>
        <v>#N/A</v>
      </c>
      <c r="CQ51" s="6" t="e">
        <f t="shared" si="89"/>
        <v>#N/A</v>
      </c>
      <c r="CR51" s="7" t="e">
        <f t="shared" si="90"/>
        <v>#N/A</v>
      </c>
      <c r="CS51" s="7" t="e">
        <f t="shared" si="90"/>
        <v>#N/A</v>
      </c>
      <c r="CT51" s="7" t="e">
        <f t="shared" si="90"/>
        <v>#N/A</v>
      </c>
      <c r="CU51" s="7" t="e">
        <f t="shared" si="90"/>
        <v>#N/A</v>
      </c>
      <c r="CV51" s="5" t="e">
        <f t="shared" si="91"/>
        <v>#N/A</v>
      </c>
      <c r="CW51" s="6" t="e">
        <f t="shared" si="92"/>
        <v>#N/A</v>
      </c>
      <c r="CY51" s="7" t="e">
        <v>#N/A</v>
      </c>
      <c r="CZ51" s="5" t="e">
        <f t="array" ref="CZ51">Summary_UpperBound</f>
        <v>#N/A</v>
      </c>
      <c r="DA51" s="6" t="e">
        <f t="shared" si="93"/>
        <v>#N/A</v>
      </c>
    </row>
    <row r="52" spans="2:105" x14ac:dyDescent="0.35">
      <c r="B52" s="14"/>
      <c r="E52" s="12" t="e" vm="2">
        <f t="shared" ca="1" si="94"/>
        <v>#VALUE!</v>
      </c>
      <c r="F52" s="7" t="e">
        <f t="shared" si="0"/>
        <v>#N/A</v>
      </c>
      <c r="G52" s="6" t="e">
        <f t="shared" si="1"/>
        <v>#N/A</v>
      </c>
      <c r="H52" s="7" t="e">
        <f t="shared" si="2"/>
        <v>#N/A</v>
      </c>
      <c r="I52" s="6" t="e">
        <f t="shared" si="3"/>
        <v>#N/A</v>
      </c>
      <c r="J52" s="5" t="e">
        <f t="shared" si="4"/>
        <v>#N/A</v>
      </c>
      <c r="K52" s="6" t="e">
        <f t="shared" si="5"/>
        <v>#N/A</v>
      </c>
      <c r="L52" s="7" t="e">
        <f t="shared" si="6"/>
        <v>#N/A</v>
      </c>
      <c r="M52" s="6" t="e">
        <f t="shared" si="7"/>
        <v>#N/A</v>
      </c>
      <c r="N52" s="7" t="e">
        <f t="shared" si="8"/>
        <v>#N/A</v>
      </c>
      <c r="O52" s="6" t="e">
        <f t="shared" si="9"/>
        <v>#N/A</v>
      </c>
      <c r="P52" s="5" t="e">
        <f t="shared" si="10"/>
        <v>#N/A</v>
      </c>
      <c r="Q52" s="6" t="e">
        <f t="shared" si="11"/>
        <v>#N/A</v>
      </c>
      <c r="R52" s="7" t="e">
        <f t="shared" si="12"/>
        <v>#N/A</v>
      </c>
      <c r="S52" s="6" t="e">
        <f t="shared" si="13"/>
        <v>#N/A</v>
      </c>
      <c r="T52" s="7" t="e">
        <f t="shared" si="14"/>
        <v>#N/A</v>
      </c>
      <c r="U52" s="6" t="e">
        <f t="shared" si="15"/>
        <v>#N/A</v>
      </c>
      <c r="V52" s="5" t="e">
        <f t="shared" si="16"/>
        <v>#N/A</v>
      </c>
      <c r="W52" s="6" t="e">
        <f t="shared" si="17"/>
        <v>#N/A</v>
      </c>
      <c r="X52" s="7" t="e">
        <f t="shared" si="18"/>
        <v>#N/A</v>
      </c>
      <c r="Y52" s="6" t="e">
        <f t="shared" si="19"/>
        <v>#N/A</v>
      </c>
      <c r="Z52" s="7" t="e">
        <f t="shared" si="20"/>
        <v>#N/A</v>
      </c>
      <c r="AA52" s="6" t="e">
        <f t="shared" si="21"/>
        <v>#N/A</v>
      </c>
      <c r="AB52" s="5" t="e">
        <f t="shared" si="22"/>
        <v>#N/A</v>
      </c>
      <c r="AC52" s="6" t="e">
        <f t="shared" si="23"/>
        <v>#N/A</v>
      </c>
      <c r="AD52" s="7" t="e">
        <f t="shared" si="24"/>
        <v>#N/A</v>
      </c>
      <c r="AE52" s="6" t="e">
        <f t="shared" si="25"/>
        <v>#N/A</v>
      </c>
      <c r="AF52" s="7" t="e">
        <f t="shared" si="26"/>
        <v>#N/A</v>
      </c>
      <c r="AG52" s="6" t="e">
        <f t="shared" si="27"/>
        <v>#N/A</v>
      </c>
      <c r="AH52" s="5" t="e">
        <f t="shared" si="28"/>
        <v>#N/A</v>
      </c>
      <c r="AI52" s="6" t="e">
        <f t="shared" si="29"/>
        <v>#N/A</v>
      </c>
      <c r="AJ52" s="7" t="e">
        <f t="shared" si="30"/>
        <v>#N/A</v>
      </c>
      <c r="AK52" s="6" t="e">
        <f t="shared" si="31"/>
        <v>#N/A</v>
      </c>
      <c r="AL52" s="7" t="e">
        <f t="shared" si="32"/>
        <v>#N/A</v>
      </c>
      <c r="AM52" s="6" t="e">
        <f t="shared" si="33"/>
        <v>#N/A</v>
      </c>
      <c r="AN52" s="5" t="e">
        <f t="shared" si="34"/>
        <v>#N/A</v>
      </c>
      <c r="AO52" s="6" t="e">
        <f t="shared" si="35"/>
        <v>#N/A</v>
      </c>
      <c r="AP52" s="7" t="e">
        <f t="shared" si="36"/>
        <v>#N/A</v>
      </c>
      <c r="AQ52" s="6" t="e">
        <f t="shared" si="37"/>
        <v>#N/A</v>
      </c>
      <c r="AR52" s="7" t="e">
        <f t="shared" si="38"/>
        <v>#N/A</v>
      </c>
      <c r="AS52" s="6" t="e">
        <f t="shared" si="39"/>
        <v>#N/A</v>
      </c>
      <c r="AT52" s="5" t="e">
        <f t="shared" si="40"/>
        <v>#N/A</v>
      </c>
      <c r="AU52" s="6" t="e">
        <f t="shared" si="41"/>
        <v>#N/A</v>
      </c>
      <c r="AV52" s="7" t="e">
        <f t="shared" si="42"/>
        <v>#N/A</v>
      </c>
      <c r="AW52" s="6" t="e">
        <f t="shared" si="43"/>
        <v>#N/A</v>
      </c>
      <c r="AX52" s="7" t="e">
        <f t="shared" si="44"/>
        <v>#N/A</v>
      </c>
      <c r="AY52" s="6" t="e">
        <f t="shared" si="45"/>
        <v>#N/A</v>
      </c>
      <c r="AZ52" s="5" t="e">
        <f t="shared" si="46"/>
        <v>#N/A</v>
      </c>
      <c r="BA52" s="6" t="e">
        <f t="shared" si="47"/>
        <v>#N/A</v>
      </c>
      <c r="BB52" s="7" t="e">
        <f t="shared" si="48"/>
        <v>#N/A</v>
      </c>
      <c r="BC52" s="6" t="e">
        <f t="shared" si="49"/>
        <v>#N/A</v>
      </c>
      <c r="BD52" s="7" t="e">
        <f t="shared" si="50"/>
        <v>#N/A</v>
      </c>
      <c r="BE52" s="6" t="e">
        <f t="shared" si="51"/>
        <v>#N/A</v>
      </c>
      <c r="BF52" s="5" t="e">
        <f t="shared" si="52"/>
        <v>#N/A</v>
      </c>
      <c r="BG52" s="6" t="e">
        <f t="shared" si="53"/>
        <v>#N/A</v>
      </c>
      <c r="BH52" s="7" t="e">
        <f t="shared" si="54"/>
        <v>#N/A</v>
      </c>
      <c r="BI52" s="6" t="e">
        <f t="shared" si="55"/>
        <v>#N/A</v>
      </c>
      <c r="BJ52" s="7" t="e">
        <f t="shared" si="56"/>
        <v>#N/A</v>
      </c>
      <c r="BK52" s="6" t="e">
        <f t="shared" si="57"/>
        <v>#N/A</v>
      </c>
      <c r="BL52" s="5" t="e">
        <f t="shared" si="58"/>
        <v>#N/A</v>
      </c>
      <c r="BM52" s="6" t="e">
        <f t="shared" si="59"/>
        <v>#N/A</v>
      </c>
      <c r="BN52" s="7" t="e">
        <f t="shared" si="60"/>
        <v>#N/A</v>
      </c>
      <c r="BO52" s="6" t="e">
        <f t="shared" si="61"/>
        <v>#N/A</v>
      </c>
      <c r="BP52" s="7" t="e">
        <f t="shared" si="62"/>
        <v>#N/A</v>
      </c>
      <c r="BQ52" s="6" t="e">
        <f t="shared" si="63"/>
        <v>#N/A</v>
      </c>
      <c r="BR52" s="5" t="e">
        <f t="shared" si="64"/>
        <v>#N/A</v>
      </c>
      <c r="BS52" s="6" t="e">
        <f t="shared" si="65"/>
        <v>#N/A</v>
      </c>
      <c r="BT52" s="7" t="e">
        <f t="shared" si="66"/>
        <v>#N/A</v>
      </c>
      <c r="BU52" s="6" t="e">
        <f t="shared" si="67"/>
        <v>#N/A</v>
      </c>
      <c r="BV52" s="7" t="e">
        <f t="shared" si="68"/>
        <v>#N/A</v>
      </c>
      <c r="BW52" s="6" t="e">
        <f t="shared" si="69"/>
        <v>#N/A</v>
      </c>
      <c r="BX52" s="5" t="e">
        <f t="shared" si="70"/>
        <v>#N/A</v>
      </c>
      <c r="BY52" s="6" t="e">
        <f t="shared" si="71"/>
        <v>#N/A</v>
      </c>
      <c r="BZ52" s="7" t="e">
        <f t="shared" si="72"/>
        <v>#N/A</v>
      </c>
      <c r="CA52" s="6" t="e">
        <f t="shared" si="73"/>
        <v>#N/A</v>
      </c>
      <c r="CB52" s="7" t="e">
        <f t="shared" si="74"/>
        <v>#N/A</v>
      </c>
      <c r="CC52" s="6" t="e">
        <f t="shared" si="75"/>
        <v>#N/A</v>
      </c>
      <c r="CD52" s="5" t="e">
        <f t="shared" si="76"/>
        <v>#N/A</v>
      </c>
      <c r="CE52" s="6" t="e">
        <f t="shared" si="77"/>
        <v>#N/A</v>
      </c>
      <c r="CF52" s="7" t="e">
        <f t="shared" si="78"/>
        <v>#N/A</v>
      </c>
      <c r="CG52" s="6" t="e">
        <f t="shared" si="79"/>
        <v>#N/A</v>
      </c>
      <c r="CH52" s="7" t="e">
        <f t="shared" si="80"/>
        <v>#N/A</v>
      </c>
      <c r="CI52" s="6" t="e">
        <f t="shared" si="81"/>
        <v>#N/A</v>
      </c>
      <c r="CJ52" s="5" t="e">
        <f t="shared" si="82"/>
        <v>#N/A</v>
      </c>
      <c r="CK52" s="6" t="e">
        <f t="shared" si="83"/>
        <v>#N/A</v>
      </c>
      <c r="CL52" s="7" t="e">
        <f t="shared" si="84"/>
        <v>#N/A</v>
      </c>
      <c r="CM52" s="6" t="e">
        <f t="shared" si="85"/>
        <v>#N/A</v>
      </c>
      <c r="CN52" s="7" t="e">
        <f t="shared" si="86"/>
        <v>#N/A</v>
      </c>
      <c r="CO52" s="6" t="e">
        <f t="shared" si="87"/>
        <v>#N/A</v>
      </c>
      <c r="CP52" s="5" t="e">
        <f t="shared" si="88"/>
        <v>#N/A</v>
      </c>
      <c r="CQ52" s="6" t="e">
        <f t="shared" si="89"/>
        <v>#N/A</v>
      </c>
      <c r="CR52" s="7" t="e">
        <f t="shared" si="90"/>
        <v>#N/A</v>
      </c>
      <c r="CS52" s="7" t="e">
        <f t="shared" si="90"/>
        <v>#N/A</v>
      </c>
      <c r="CT52" s="7" t="e">
        <f t="shared" si="90"/>
        <v>#N/A</v>
      </c>
      <c r="CU52" s="7" t="e">
        <f t="shared" si="90"/>
        <v>#N/A</v>
      </c>
      <c r="CV52" s="5" t="e">
        <f t="shared" si="91"/>
        <v>#N/A</v>
      </c>
      <c r="CW52" s="6" t="e">
        <f t="shared" si="92"/>
        <v>#N/A</v>
      </c>
      <c r="CY52" s="7" t="e">
        <v>#N/A</v>
      </c>
      <c r="CZ52" s="5" t="e">
        <f t="array" ref="CZ52">Summary_UpperBound</f>
        <v>#N/A</v>
      </c>
      <c r="DA52" s="6" t="e">
        <f t="shared" si="93"/>
        <v>#N/A</v>
      </c>
    </row>
    <row r="53" spans="2:105" x14ac:dyDescent="0.35">
      <c r="B53" s="14"/>
      <c r="E53" s="12" t="e" vm="2">
        <f t="shared" ca="1" si="94"/>
        <v>#VALUE!</v>
      </c>
      <c r="F53" s="7" t="e">
        <f t="shared" si="0"/>
        <v>#N/A</v>
      </c>
      <c r="G53" s="6" t="e">
        <f t="shared" si="1"/>
        <v>#N/A</v>
      </c>
      <c r="H53" s="7" t="e">
        <f t="shared" si="2"/>
        <v>#N/A</v>
      </c>
      <c r="I53" s="6" t="e">
        <f t="shared" si="3"/>
        <v>#N/A</v>
      </c>
      <c r="J53" s="5" t="e">
        <f t="shared" si="4"/>
        <v>#N/A</v>
      </c>
      <c r="K53" s="6" t="e">
        <f t="shared" si="5"/>
        <v>#N/A</v>
      </c>
      <c r="L53" s="7" t="e">
        <f t="shared" si="6"/>
        <v>#N/A</v>
      </c>
      <c r="M53" s="6" t="e">
        <f t="shared" si="7"/>
        <v>#N/A</v>
      </c>
      <c r="N53" s="7" t="e">
        <f t="shared" si="8"/>
        <v>#N/A</v>
      </c>
      <c r="O53" s="6" t="e">
        <f t="shared" si="9"/>
        <v>#N/A</v>
      </c>
      <c r="P53" s="5" t="e">
        <f t="shared" si="10"/>
        <v>#N/A</v>
      </c>
      <c r="Q53" s="6" t="e">
        <f t="shared" si="11"/>
        <v>#N/A</v>
      </c>
      <c r="R53" s="7" t="e">
        <f t="shared" si="12"/>
        <v>#N/A</v>
      </c>
      <c r="S53" s="6" t="e">
        <f t="shared" si="13"/>
        <v>#N/A</v>
      </c>
      <c r="T53" s="7" t="e">
        <f t="shared" si="14"/>
        <v>#N/A</v>
      </c>
      <c r="U53" s="6" t="e">
        <f t="shared" si="15"/>
        <v>#N/A</v>
      </c>
      <c r="V53" s="5" t="e">
        <f t="shared" si="16"/>
        <v>#N/A</v>
      </c>
      <c r="W53" s="6" t="e">
        <f t="shared" si="17"/>
        <v>#N/A</v>
      </c>
      <c r="X53" s="7" t="e">
        <f t="shared" si="18"/>
        <v>#N/A</v>
      </c>
      <c r="Y53" s="6" t="e">
        <f t="shared" si="19"/>
        <v>#N/A</v>
      </c>
      <c r="Z53" s="7" t="e">
        <f t="shared" si="20"/>
        <v>#N/A</v>
      </c>
      <c r="AA53" s="6" t="e">
        <f t="shared" si="21"/>
        <v>#N/A</v>
      </c>
      <c r="AB53" s="5" t="e">
        <f t="shared" si="22"/>
        <v>#N/A</v>
      </c>
      <c r="AC53" s="6" t="e">
        <f t="shared" si="23"/>
        <v>#N/A</v>
      </c>
      <c r="AD53" s="7" t="e">
        <f t="shared" si="24"/>
        <v>#N/A</v>
      </c>
      <c r="AE53" s="6" t="e">
        <f t="shared" si="25"/>
        <v>#N/A</v>
      </c>
      <c r="AF53" s="7" t="e">
        <f t="shared" si="26"/>
        <v>#N/A</v>
      </c>
      <c r="AG53" s="6" t="e">
        <f t="shared" si="27"/>
        <v>#N/A</v>
      </c>
      <c r="AH53" s="5" t="e">
        <f t="shared" si="28"/>
        <v>#N/A</v>
      </c>
      <c r="AI53" s="6" t="e">
        <f t="shared" si="29"/>
        <v>#N/A</v>
      </c>
      <c r="AJ53" s="7" t="e">
        <f t="shared" si="30"/>
        <v>#N/A</v>
      </c>
      <c r="AK53" s="6" t="e">
        <f t="shared" si="31"/>
        <v>#N/A</v>
      </c>
      <c r="AL53" s="7" t="e">
        <f t="shared" si="32"/>
        <v>#N/A</v>
      </c>
      <c r="AM53" s="6" t="e">
        <f t="shared" si="33"/>
        <v>#N/A</v>
      </c>
      <c r="AN53" s="5" t="e">
        <f t="shared" si="34"/>
        <v>#N/A</v>
      </c>
      <c r="AO53" s="6" t="e">
        <f t="shared" si="35"/>
        <v>#N/A</v>
      </c>
      <c r="AP53" s="7" t="e">
        <f t="shared" si="36"/>
        <v>#N/A</v>
      </c>
      <c r="AQ53" s="6" t="e">
        <f t="shared" si="37"/>
        <v>#N/A</v>
      </c>
      <c r="AR53" s="7" t="e">
        <f t="shared" si="38"/>
        <v>#N/A</v>
      </c>
      <c r="AS53" s="6" t="e">
        <f t="shared" si="39"/>
        <v>#N/A</v>
      </c>
      <c r="AT53" s="5" t="e">
        <f t="shared" si="40"/>
        <v>#N/A</v>
      </c>
      <c r="AU53" s="6" t="e">
        <f t="shared" si="41"/>
        <v>#N/A</v>
      </c>
      <c r="AV53" s="7" t="e">
        <f t="shared" si="42"/>
        <v>#N/A</v>
      </c>
      <c r="AW53" s="6" t="e">
        <f t="shared" si="43"/>
        <v>#N/A</v>
      </c>
      <c r="AX53" s="7" t="e">
        <f t="shared" si="44"/>
        <v>#N/A</v>
      </c>
      <c r="AY53" s="6" t="e">
        <f t="shared" si="45"/>
        <v>#N/A</v>
      </c>
      <c r="AZ53" s="5" t="e">
        <f t="shared" si="46"/>
        <v>#N/A</v>
      </c>
      <c r="BA53" s="6" t="e">
        <f t="shared" si="47"/>
        <v>#N/A</v>
      </c>
      <c r="BB53" s="7" t="e">
        <f t="shared" si="48"/>
        <v>#N/A</v>
      </c>
      <c r="BC53" s="6" t="e">
        <f t="shared" si="49"/>
        <v>#N/A</v>
      </c>
      <c r="BD53" s="7" t="e">
        <f t="shared" si="50"/>
        <v>#N/A</v>
      </c>
      <c r="BE53" s="6" t="e">
        <f t="shared" si="51"/>
        <v>#N/A</v>
      </c>
      <c r="BF53" s="5" t="e">
        <f t="shared" si="52"/>
        <v>#N/A</v>
      </c>
      <c r="BG53" s="6" t="e">
        <f t="shared" si="53"/>
        <v>#N/A</v>
      </c>
      <c r="BH53" s="7" t="e">
        <f t="shared" si="54"/>
        <v>#N/A</v>
      </c>
      <c r="BI53" s="6" t="e">
        <f t="shared" si="55"/>
        <v>#N/A</v>
      </c>
      <c r="BJ53" s="7" t="e">
        <f t="shared" si="56"/>
        <v>#N/A</v>
      </c>
      <c r="BK53" s="6" t="e">
        <f t="shared" si="57"/>
        <v>#N/A</v>
      </c>
      <c r="BL53" s="5" t="e">
        <f t="shared" si="58"/>
        <v>#N/A</v>
      </c>
      <c r="BM53" s="6" t="e">
        <f t="shared" si="59"/>
        <v>#N/A</v>
      </c>
      <c r="BN53" s="7" t="e">
        <f t="shared" si="60"/>
        <v>#N/A</v>
      </c>
      <c r="BO53" s="6" t="e">
        <f t="shared" si="61"/>
        <v>#N/A</v>
      </c>
      <c r="BP53" s="7" t="e">
        <f t="shared" si="62"/>
        <v>#N/A</v>
      </c>
      <c r="BQ53" s="6" t="e">
        <f t="shared" si="63"/>
        <v>#N/A</v>
      </c>
      <c r="BR53" s="5" t="e">
        <f t="shared" si="64"/>
        <v>#N/A</v>
      </c>
      <c r="BS53" s="6" t="e">
        <f t="shared" si="65"/>
        <v>#N/A</v>
      </c>
      <c r="BT53" s="7" t="e">
        <f t="shared" si="66"/>
        <v>#N/A</v>
      </c>
      <c r="BU53" s="6" t="e">
        <f t="shared" si="67"/>
        <v>#N/A</v>
      </c>
      <c r="BV53" s="7" t="e">
        <f t="shared" si="68"/>
        <v>#N/A</v>
      </c>
      <c r="BW53" s="6" t="e">
        <f t="shared" si="69"/>
        <v>#N/A</v>
      </c>
      <c r="BX53" s="5" t="e">
        <f t="shared" si="70"/>
        <v>#N/A</v>
      </c>
      <c r="BY53" s="6" t="e">
        <f t="shared" si="71"/>
        <v>#N/A</v>
      </c>
      <c r="BZ53" s="7" t="e">
        <f t="shared" si="72"/>
        <v>#N/A</v>
      </c>
      <c r="CA53" s="6" t="e">
        <f t="shared" si="73"/>
        <v>#N/A</v>
      </c>
      <c r="CB53" s="7" t="e">
        <f t="shared" si="74"/>
        <v>#N/A</v>
      </c>
      <c r="CC53" s="6" t="e">
        <f t="shared" si="75"/>
        <v>#N/A</v>
      </c>
      <c r="CD53" s="5" t="e">
        <f t="shared" si="76"/>
        <v>#N/A</v>
      </c>
      <c r="CE53" s="6" t="e">
        <f t="shared" si="77"/>
        <v>#N/A</v>
      </c>
      <c r="CF53" s="7" t="e">
        <f t="shared" si="78"/>
        <v>#N/A</v>
      </c>
      <c r="CG53" s="6" t="e">
        <f t="shared" si="79"/>
        <v>#N/A</v>
      </c>
      <c r="CH53" s="7" t="e">
        <f t="shared" si="80"/>
        <v>#N/A</v>
      </c>
      <c r="CI53" s="6" t="e">
        <f t="shared" si="81"/>
        <v>#N/A</v>
      </c>
      <c r="CJ53" s="5" t="e">
        <f t="shared" si="82"/>
        <v>#N/A</v>
      </c>
      <c r="CK53" s="6" t="e">
        <f t="shared" si="83"/>
        <v>#N/A</v>
      </c>
      <c r="CL53" s="7" t="e">
        <f t="shared" si="84"/>
        <v>#N/A</v>
      </c>
      <c r="CM53" s="6" t="e">
        <f t="shared" si="85"/>
        <v>#N/A</v>
      </c>
      <c r="CN53" s="7" t="e">
        <f t="shared" si="86"/>
        <v>#N/A</v>
      </c>
      <c r="CO53" s="6" t="e">
        <f t="shared" si="87"/>
        <v>#N/A</v>
      </c>
      <c r="CP53" s="5" t="e">
        <f t="shared" si="88"/>
        <v>#N/A</v>
      </c>
      <c r="CQ53" s="6" t="e">
        <f t="shared" si="89"/>
        <v>#N/A</v>
      </c>
      <c r="CR53" s="7" t="e">
        <f t="shared" si="90"/>
        <v>#N/A</v>
      </c>
      <c r="CS53" s="7" t="e">
        <f t="shared" si="90"/>
        <v>#N/A</v>
      </c>
      <c r="CT53" s="7" t="e">
        <f t="shared" si="90"/>
        <v>#N/A</v>
      </c>
      <c r="CU53" s="7" t="e">
        <f t="shared" si="90"/>
        <v>#N/A</v>
      </c>
      <c r="CV53" s="5" t="e">
        <f t="shared" si="91"/>
        <v>#N/A</v>
      </c>
      <c r="CW53" s="6" t="e">
        <f t="shared" si="92"/>
        <v>#N/A</v>
      </c>
      <c r="CY53" s="7" t="e">
        <v>#N/A</v>
      </c>
      <c r="CZ53" s="5" t="e">
        <f t="array" ref="CZ53">Summary_UpperBound</f>
        <v>#N/A</v>
      </c>
      <c r="DA53" s="6" t="e">
        <f t="shared" si="93"/>
        <v>#N/A</v>
      </c>
    </row>
    <row r="54" spans="2:105" x14ac:dyDescent="0.35">
      <c r="B54" s="14"/>
      <c r="E54" s="12" t="e" vm="2">
        <f t="shared" ca="1" si="94"/>
        <v>#VALUE!</v>
      </c>
      <c r="F54" s="7" t="e">
        <f t="shared" si="0"/>
        <v>#N/A</v>
      </c>
      <c r="G54" s="6" t="e">
        <f t="shared" si="1"/>
        <v>#N/A</v>
      </c>
      <c r="H54" s="7" t="e">
        <f t="shared" si="2"/>
        <v>#N/A</v>
      </c>
      <c r="I54" s="6" t="e">
        <f t="shared" si="3"/>
        <v>#N/A</v>
      </c>
      <c r="J54" s="5" t="e">
        <f t="shared" si="4"/>
        <v>#N/A</v>
      </c>
      <c r="K54" s="6" t="e">
        <f t="shared" si="5"/>
        <v>#N/A</v>
      </c>
      <c r="L54" s="7" t="e">
        <f t="shared" si="6"/>
        <v>#N/A</v>
      </c>
      <c r="M54" s="6" t="e">
        <f t="shared" si="7"/>
        <v>#N/A</v>
      </c>
      <c r="N54" s="7" t="e">
        <f t="shared" si="8"/>
        <v>#N/A</v>
      </c>
      <c r="O54" s="6" t="e">
        <f t="shared" si="9"/>
        <v>#N/A</v>
      </c>
      <c r="P54" s="5" t="e">
        <f t="shared" si="10"/>
        <v>#N/A</v>
      </c>
      <c r="Q54" s="6" t="e">
        <f t="shared" si="11"/>
        <v>#N/A</v>
      </c>
      <c r="R54" s="7" t="e">
        <f t="shared" si="12"/>
        <v>#N/A</v>
      </c>
      <c r="S54" s="6" t="e">
        <f t="shared" si="13"/>
        <v>#N/A</v>
      </c>
      <c r="T54" s="7" t="e">
        <f t="shared" si="14"/>
        <v>#N/A</v>
      </c>
      <c r="U54" s="6" t="e">
        <f t="shared" si="15"/>
        <v>#N/A</v>
      </c>
      <c r="V54" s="5" t="e">
        <f t="shared" si="16"/>
        <v>#N/A</v>
      </c>
      <c r="W54" s="6" t="e">
        <f t="shared" si="17"/>
        <v>#N/A</v>
      </c>
      <c r="X54" s="7" t="e">
        <f t="shared" si="18"/>
        <v>#N/A</v>
      </c>
      <c r="Y54" s="6" t="e">
        <f t="shared" si="19"/>
        <v>#N/A</v>
      </c>
      <c r="Z54" s="7" t="e">
        <f t="shared" si="20"/>
        <v>#N/A</v>
      </c>
      <c r="AA54" s="6" t="e">
        <f t="shared" si="21"/>
        <v>#N/A</v>
      </c>
      <c r="AB54" s="5" t="e">
        <f t="shared" si="22"/>
        <v>#N/A</v>
      </c>
      <c r="AC54" s="6" t="e">
        <f t="shared" si="23"/>
        <v>#N/A</v>
      </c>
      <c r="AD54" s="7" t="e">
        <f t="shared" si="24"/>
        <v>#N/A</v>
      </c>
      <c r="AE54" s="6" t="e">
        <f t="shared" si="25"/>
        <v>#N/A</v>
      </c>
      <c r="AF54" s="7" t="e">
        <f t="shared" si="26"/>
        <v>#N/A</v>
      </c>
      <c r="AG54" s="6" t="e">
        <f t="shared" si="27"/>
        <v>#N/A</v>
      </c>
      <c r="AH54" s="5" t="e">
        <f t="shared" si="28"/>
        <v>#N/A</v>
      </c>
      <c r="AI54" s="6" t="e">
        <f t="shared" si="29"/>
        <v>#N/A</v>
      </c>
      <c r="AJ54" s="7" t="e">
        <f t="shared" si="30"/>
        <v>#N/A</v>
      </c>
      <c r="AK54" s="6" t="e">
        <f t="shared" si="31"/>
        <v>#N/A</v>
      </c>
      <c r="AL54" s="7" t="e">
        <f t="shared" si="32"/>
        <v>#N/A</v>
      </c>
      <c r="AM54" s="6" t="e">
        <f t="shared" si="33"/>
        <v>#N/A</v>
      </c>
      <c r="AN54" s="5" t="e">
        <f t="shared" si="34"/>
        <v>#N/A</v>
      </c>
      <c r="AO54" s="6" t="e">
        <f t="shared" si="35"/>
        <v>#N/A</v>
      </c>
      <c r="AP54" s="7" t="e">
        <f t="shared" si="36"/>
        <v>#N/A</v>
      </c>
      <c r="AQ54" s="6" t="e">
        <f t="shared" si="37"/>
        <v>#N/A</v>
      </c>
      <c r="AR54" s="7" t="e">
        <f t="shared" si="38"/>
        <v>#N/A</v>
      </c>
      <c r="AS54" s="6" t="e">
        <f t="shared" si="39"/>
        <v>#N/A</v>
      </c>
      <c r="AT54" s="5" t="e">
        <f t="shared" si="40"/>
        <v>#N/A</v>
      </c>
      <c r="AU54" s="6" t="e">
        <f t="shared" si="41"/>
        <v>#N/A</v>
      </c>
      <c r="AV54" s="7" t="e">
        <f t="shared" si="42"/>
        <v>#N/A</v>
      </c>
      <c r="AW54" s="6" t="e">
        <f t="shared" si="43"/>
        <v>#N/A</v>
      </c>
      <c r="AX54" s="7" t="e">
        <f t="shared" si="44"/>
        <v>#N/A</v>
      </c>
      <c r="AY54" s="6" t="e">
        <f t="shared" si="45"/>
        <v>#N/A</v>
      </c>
      <c r="AZ54" s="5" t="e">
        <f t="shared" si="46"/>
        <v>#N/A</v>
      </c>
      <c r="BA54" s="6" t="e">
        <f t="shared" si="47"/>
        <v>#N/A</v>
      </c>
      <c r="BB54" s="7" t="e">
        <f t="shared" si="48"/>
        <v>#N/A</v>
      </c>
      <c r="BC54" s="6" t="e">
        <f t="shared" si="49"/>
        <v>#N/A</v>
      </c>
      <c r="BD54" s="7" t="e">
        <f t="shared" si="50"/>
        <v>#N/A</v>
      </c>
      <c r="BE54" s="6" t="e">
        <f t="shared" si="51"/>
        <v>#N/A</v>
      </c>
      <c r="BF54" s="5" t="e">
        <f t="shared" si="52"/>
        <v>#N/A</v>
      </c>
      <c r="BG54" s="6" t="e">
        <f t="shared" si="53"/>
        <v>#N/A</v>
      </c>
      <c r="BH54" s="7" t="e">
        <f t="shared" si="54"/>
        <v>#N/A</v>
      </c>
      <c r="BI54" s="6" t="e">
        <f t="shared" si="55"/>
        <v>#N/A</v>
      </c>
      <c r="BJ54" s="7" t="e">
        <f t="shared" si="56"/>
        <v>#N/A</v>
      </c>
      <c r="BK54" s="6" t="e">
        <f t="shared" si="57"/>
        <v>#N/A</v>
      </c>
      <c r="BL54" s="5" t="e">
        <f t="shared" si="58"/>
        <v>#N/A</v>
      </c>
      <c r="BM54" s="6" t="e">
        <f t="shared" si="59"/>
        <v>#N/A</v>
      </c>
      <c r="BN54" s="7" t="e">
        <f t="shared" si="60"/>
        <v>#N/A</v>
      </c>
      <c r="BO54" s="6" t="e">
        <f t="shared" si="61"/>
        <v>#N/A</v>
      </c>
      <c r="BP54" s="7" t="e">
        <f t="shared" si="62"/>
        <v>#N/A</v>
      </c>
      <c r="BQ54" s="6" t="e">
        <f t="shared" si="63"/>
        <v>#N/A</v>
      </c>
      <c r="BR54" s="5" t="e">
        <f t="shared" si="64"/>
        <v>#N/A</v>
      </c>
      <c r="BS54" s="6" t="e">
        <f t="shared" si="65"/>
        <v>#N/A</v>
      </c>
      <c r="BT54" s="7" t="e">
        <f t="shared" si="66"/>
        <v>#N/A</v>
      </c>
      <c r="BU54" s="6" t="e">
        <f t="shared" si="67"/>
        <v>#N/A</v>
      </c>
      <c r="BV54" s="7" t="e">
        <f t="shared" si="68"/>
        <v>#N/A</v>
      </c>
      <c r="BW54" s="6" t="e">
        <f t="shared" si="69"/>
        <v>#N/A</v>
      </c>
      <c r="BX54" s="5" t="e">
        <f t="shared" si="70"/>
        <v>#N/A</v>
      </c>
      <c r="BY54" s="6" t="e">
        <f t="shared" si="71"/>
        <v>#N/A</v>
      </c>
      <c r="BZ54" s="7" t="e">
        <f t="shared" si="72"/>
        <v>#N/A</v>
      </c>
      <c r="CA54" s="6" t="e">
        <f t="shared" si="73"/>
        <v>#N/A</v>
      </c>
      <c r="CB54" s="7" t="e">
        <f t="shared" si="74"/>
        <v>#N/A</v>
      </c>
      <c r="CC54" s="6" t="e">
        <f t="shared" si="75"/>
        <v>#N/A</v>
      </c>
      <c r="CD54" s="5" t="e">
        <f t="shared" si="76"/>
        <v>#N/A</v>
      </c>
      <c r="CE54" s="6" t="e">
        <f t="shared" si="77"/>
        <v>#N/A</v>
      </c>
      <c r="CF54" s="7" t="e">
        <f t="shared" si="78"/>
        <v>#N/A</v>
      </c>
      <c r="CG54" s="6" t="e">
        <f t="shared" si="79"/>
        <v>#N/A</v>
      </c>
      <c r="CH54" s="7" t="e">
        <f t="shared" si="80"/>
        <v>#N/A</v>
      </c>
      <c r="CI54" s="6" t="e">
        <f t="shared" si="81"/>
        <v>#N/A</v>
      </c>
      <c r="CJ54" s="5" t="e">
        <f t="shared" si="82"/>
        <v>#N/A</v>
      </c>
      <c r="CK54" s="6" t="e">
        <f t="shared" si="83"/>
        <v>#N/A</v>
      </c>
      <c r="CL54" s="7" t="e">
        <f t="shared" si="84"/>
        <v>#N/A</v>
      </c>
      <c r="CM54" s="6" t="e">
        <f t="shared" si="85"/>
        <v>#N/A</v>
      </c>
      <c r="CN54" s="7" t="e">
        <f t="shared" si="86"/>
        <v>#N/A</v>
      </c>
      <c r="CO54" s="6" t="e">
        <f t="shared" si="87"/>
        <v>#N/A</v>
      </c>
      <c r="CP54" s="5" t="e">
        <f t="shared" si="88"/>
        <v>#N/A</v>
      </c>
      <c r="CQ54" s="6" t="e">
        <f t="shared" si="89"/>
        <v>#N/A</v>
      </c>
      <c r="CR54" s="7" t="e">
        <f t="shared" si="90"/>
        <v>#N/A</v>
      </c>
      <c r="CS54" s="7" t="e">
        <f t="shared" si="90"/>
        <v>#N/A</v>
      </c>
      <c r="CT54" s="7" t="e">
        <f t="shared" si="90"/>
        <v>#N/A</v>
      </c>
      <c r="CU54" s="7" t="e">
        <f t="shared" si="90"/>
        <v>#N/A</v>
      </c>
      <c r="CV54" s="5" t="e">
        <f t="shared" si="91"/>
        <v>#N/A</v>
      </c>
      <c r="CW54" s="6" t="e">
        <f t="shared" si="92"/>
        <v>#N/A</v>
      </c>
      <c r="CY54" s="7" t="e">
        <v>#N/A</v>
      </c>
      <c r="CZ54" s="5" t="e">
        <f t="array" ref="CZ54">Summary_UpperBound</f>
        <v>#N/A</v>
      </c>
      <c r="DA54" s="6" t="e">
        <f t="shared" si="93"/>
        <v>#N/A</v>
      </c>
    </row>
    <row r="55" spans="2:105" x14ac:dyDescent="0.35">
      <c r="B55" s="14"/>
      <c r="E55" s="12" t="e" vm="2">
        <f t="shared" ca="1" si="94"/>
        <v>#VALUE!</v>
      </c>
      <c r="F55" s="7" t="e">
        <f t="shared" si="0"/>
        <v>#N/A</v>
      </c>
      <c r="G55" s="6" t="e">
        <f t="shared" si="1"/>
        <v>#N/A</v>
      </c>
      <c r="H55" s="7" t="e">
        <f t="shared" si="2"/>
        <v>#N/A</v>
      </c>
      <c r="I55" s="6" t="e">
        <f t="shared" si="3"/>
        <v>#N/A</v>
      </c>
      <c r="J55" s="5" t="e">
        <f t="shared" si="4"/>
        <v>#N/A</v>
      </c>
      <c r="K55" s="6" t="e">
        <f t="shared" si="5"/>
        <v>#N/A</v>
      </c>
      <c r="L55" s="7" t="e">
        <f t="shared" si="6"/>
        <v>#N/A</v>
      </c>
      <c r="M55" s="6" t="e">
        <f t="shared" si="7"/>
        <v>#N/A</v>
      </c>
      <c r="N55" s="7" t="e">
        <f t="shared" si="8"/>
        <v>#N/A</v>
      </c>
      <c r="O55" s="6" t="e">
        <f t="shared" si="9"/>
        <v>#N/A</v>
      </c>
      <c r="P55" s="5" t="e">
        <f t="shared" si="10"/>
        <v>#N/A</v>
      </c>
      <c r="Q55" s="6" t="e">
        <f t="shared" si="11"/>
        <v>#N/A</v>
      </c>
      <c r="R55" s="7" t="e">
        <f t="shared" si="12"/>
        <v>#N/A</v>
      </c>
      <c r="S55" s="6" t="e">
        <f t="shared" si="13"/>
        <v>#N/A</v>
      </c>
      <c r="T55" s="7" t="e">
        <f t="shared" si="14"/>
        <v>#N/A</v>
      </c>
      <c r="U55" s="6" t="e">
        <f t="shared" si="15"/>
        <v>#N/A</v>
      </c>
      <c r="V55" s="5" t="e">
        <f t="shared" si="16"/>
        <v>#N/A</v>
      </c>
      <c r="W55" s="6" t="e">
        <f t="shared" si="17"/>
        <v>#N/A</v>
      </c>
      <c r="X55" s="7" t="e">
        <f t="shared" si="18"/>
        <v>#N/A</v>
      </c>
      <c r="Y55" s="6" t="e">
        <f t="shared" si="19"/>
        <v>#N/A</v>
      </c>
      <c r="Z55" s="7" t="e">
        <f t="shared" si="20"/>
        <v>#N/A</v>
      </c>
      <c r="AA55" s="6" t="e">
        <f t="shared" si="21"/>
        <v>#N/A</v>
      </c>
      <c r="AB55" s="5" t="e">
        <f t="shared" si="22"/>
        <v>#N/A</v>
      </c>
      <c r="AC55" s="6" t="e">
        <f t="shared" si="23"/>
        <v>#N/A</v>
      </c>
      <c r="AD55" s="7" t="e">
        <f t="shared" si="24"/>
        <v>#N/A</v>
      </c>
      <c r="AE55" s="6" t="e">
        <f t="shared" si="25"/>
        <v>#N/A</v>
      </c>
      <c r="AF55" s="7" t="e">
        <f t="shared" si="26"/>
        <v>#N/A</v>
      </c>
      <c r="AG55" s="6" t="e">
        <f t="shared" si="27"/>
        <v>#N/A</v>
      </c>
      <c r="AH55" s="5" t="e">
        <f t="shared" si="28"/>
        <v>#N/A</v>
      </c>
      <c r="AI55" s="6" t="e">
        <f t="shared" si="29"/>
        <v>#N/A</v>
      </c>
      <c r="AJ55" s="7" t="e">
        <f t="shared" si="30"/>
        <v>#N/A</v>
      </c>
      <c r="AK55" s="6" t="e">
        <f t="shared" si="31"/>
        <v>#N/A</v>
      </c>
      <c r="AL55" s="7" t="e">
        <f t="shared" si="32"/>
        <v>#N/A</v>
      </c>
      <c r="AM55" s="6" t="e">
        <f t="shared" si="33"/>
        <v>#N/A</v>
      </c>
      <c r="AN55" s="5" t="e">
        <f t="shared" si="34"/>
        <v>#N/A</v>
      </c>
      <c r="AO55" s="6" t="e">
        <f t="shared" si="35"/>
        <v>#N/A</v>
      </c>
      <c r="AP55" s="7" t="e">
        <f t="shared" si="36"/>
        <v>#N/A</v>
      </c>
      <c r="AQ55" s="6" t="e">
        <f t="shared" si="37"/>
        <v>#N/A</v>
      </c>
      <c r="AR55" s="7" t="e">
        <f t="shared" si="38"/>
        <v>#N/A</v>
      </c>
      <c r="AS55" s="6" t="e">
        <f t="shared" si="39"/>
        <v>#N/A</v>
      </c>
      <c r="AT55" s="5" t="e">
        <f t="shared" si="40"/>
        <v>#N/A</v>
      </c>
      <c r="AU55" s="6" t="e">
        <f t="shared" si="41"/>
        <v>#N/A</v>
      </c>
      <c r="AV55" s="7" t="e">
        <f t="shared" si="42"/>
        <v>#N/A</v>
      </c>
      <c r="AW55" s="6" t="e">
        <f t="shared" si="43"/>
        <v>#N/A</v>
      </c>
      <c r="AX55" s="7" t="e">
        <f t="shared" si="44"/>
        <v>#N/A</v>
      </c>
      <c r="AY55" s="6" t="e">
        <f t="shared" si="45"/>
        <v>#N/A</v>
      </c>
      <c r="AZ55" s="5" t="e">
        <f t="shared" si="46"/>
        <v>#N/A</v>
      </c>
      <c r="BA55" s="6" t="e">
        <f t="shared" si="47"/>
        <v>#N/A</v>
      </c>
      <c r="BB55" s="7" t="e">
        <f t="shared" si="48"/>
        <v>#N/A</v>
      </c>
      <c r="BC55" s="6" t="e">
        <f t="shared" si="49"/>
        <v>#N/A</v>
      </c>
      <c r="BD55" s="7" t="e">
        <f t="shared" si="50"/>
        <v>#N/A</v>
      </c>
      <c r="BE55" s="6" t="e">
        <f t="shared" si="51"/>
        <v>#N/A</v>
      </c>
      <c r="BF55" s="5" t="e">
        <f t="shared" si="52"/>
        <v>#N/A</v>
      </c>
      <c r="BG55" s="6" t="e">
        <f t="shared" si="53"/>
        <v>#N/A</v>
      </c>
      <c r="BH55" s="7" t="e">
        <f t="shared" si="54"/>
        <v>#N/A</v>
      </c>
      <c r="BI55" s="6" t="e">
        <f t="shared" si="55"/>
        <v>#N/A</v>
      </c>
      <c r="BJ55" s="7" t="e">
        <f t="shared" si="56"/>
        <v>#N/A</v>
      </c>
      <c r="BK55" s="6" t="e">
        <f t="shared" si="57"/>
        <v>#N/A</v>
      </c>
      <c r="BL55" s="5" t="e">
        <f t="shared" si="58"/>
        <v>#N/A</v>
      </c>
      <c r="BM55" s="6" t="e">
        <f t="shared" si="59"/>
        <v>#N/A</v>
      </c>
      <c r="BN55" s="7" t="e">
        <f t="shared" si="60"/>
        <v>#N/A</v>
      </c>
      <c r="BO55" s="6" t="e">
        <f t="shared" si="61"/>
        <v>#N/A</v>
      </c>
      <c r="BP55" s="7" t="e">
        <f t="shared" si="62"/>
        <v>#N/A</v>
      </c>
      <c r="BQ55" s="6" t="e">
        <f t="shared" si="63"/>
        <v>#N/A</v>
      </c>
      <c r="BR55" s="5" t="e">
        <f t="shared" si="64"/>
        <v>#N/A</v>
      </c>
      <c r="BS55" s="6" t="e">
        <f t="shared" si="65"/>
        <v>#N/A</v>
      </c>
      <c r="BT55" s="7" t="e">
        <f t="shared" si="66"/>
        <v>#N/A</v>
      </c>
      <c r="BU55" s="6" t="e">
        <f t="shared" si="67"/>
        <v>#N/A</v>
      </c>
      <c r="BV55" s="7" t="e">
        <f t="shared" si="68"/>
        <v>#N/A</v>
      </c>
      <c r="BW55" s="6" t="e">
        <f t="shared" si="69"/>
        <v>#N/A</v>
      </c>
      <c r="BX55" s="5" t="e">
        <f t="shared" si="70"/>
        <v>#N/A</v>
      </c>
      <c r="BY55" s="6" t="e">
        <f t="shared" si="71"/>
        <v>#N/A</v>
      </c>
      <c r="BZ55" s="7" t="e">
        <f t="shared" si="72"/>
        <v>#N/A</v>
      </c>
      <c r="CA55" s="6" t="e">
        <f t="shared" si="73"/>
        <v>#N/A</v>
      </c>
      <c r="CB55" s="7" t="e">
        <f t="shared" si="74"/>
        <v>#N/A</v>
      </c>
      <c r="CC55" s="6" t="e">
        <f t="shared" si="75"/>
        <v>#N/A</v>
      </c>
      <c r="CD55" s="5" t="e">
        <f t="shared" si="76"/>
        <v>#N/A</v>
      </c>
      <c r="CE55" s="6" t="e">
        <f t="shared" si="77"/>
        <v>#N/A</v>
      </c>
      <c r="CF55" s="7" t="e">
        <f t="shared" si="78"/>
        <v>#N/A</v>
      </c>
      <c r="CG55" s="6" t="e">
        <f t="shared" si="79"/>
        <v>#N/A</v>
      </c>
      <c r="CH55" s="7" t="e">
        <f t="shared" si="80"/>
        <v>#N/A</v>
      </c>
      <c r="CI55" s="6" t="e">
        <f t="shared" si="81"/>
        <v>#N/A</v>
      </c>
      <c r="CJ55" s="5" t="e">
        <f t="shared" si="82"/>
        <v>#N/A</v>
      </c>
      <c r="CK55" s="6" t="e">
        <f t="shared" si="83"/>
        <v>#N/A</v>
      </c>
      <c r="CL55" s="7" t="e">
        <f t="shared" si="84"/>
        <v>#N/A</v>
      </c>
      <c r="CM55" s="6" t="e">
        <f t="shared" si="85"/>
        <v>#N/A</v>
      </c>
      <c r="CN55" s="7" t="e">
        <f t="shared" si="86"/>
        <v>#N/A</v>
      </c>
      <c r="CO55" s="6" t="e">
        <f t="shared" si="87"/>
        <v>#N/A</v>
      </c>
      <c r="CP55" s="5" t="e">
        <f t="shared" si="88"/>
        <v>#N/A</v>
      </c>
      <c r="CQ55" s="6" t="e">
        <f t="shared" si="89"/>
        <v>#N/A</v>
      </c>
      <c r="CR55" s="7" t="e">
        <f t="shared" si="90"/>
        <v>#N/A</v>
      </c>
      <c r="CS55" s="7" t="e">
        <f t="shared" si="90"/>
        <v>#N/A</v>
      </c>
      <c r="CT55" s="7" t="e">
        <f t="shared" si="90"/>
        <v>#N/A</v>
      </c>
      <c r="CU55" s="7" t="e">
        <f t="shared" si="90"/>
        <v>#N/A</v>
      </c>
      <c r="CV55" s="5" t="e">
        <f t="shared" si="91"/>
        <v>#N/A</v>
      </c>
      <c r="CW55" s="6" t="e">
        <f t="shared" si="92"/>
        <v>#N/A</v>
      </c>
      <c r="CY55" s="7" t="e">
        <v>#N/A</v>
      </c>
      <c r="CZ55" s="5" t="e">
        <f t="array" ref="CZ55">Summary_UpperBound</f>
        <v>#N/A</v>
      </c>
      <c r="DA55" s="6" t="e">
        <f t="shared" si="93"/>
        <v>#N/A</v>
      </c>
    </row>
    <row r="56" spans="2:105" ht="15" thickBot="1" x14ac:dyDescent="0.4">
      <c r="B56" s="14"/>
      <c r="E56" s="13" t="e" vm="2">
        <f t="shared" ca="1" si="94"/>
        <v>#VALUE!</v>
      </c>
      <c r="F56" s="8" t="e">
        <f t="shared" si="0"/>
        <v>#N/A</v>
      </c>
      <c r="G56" s="10" t="e">
        <f t="shared" si="1"/>
        <v>#N/A</v>
      </c>
      <c r="H56" s="8" t="e">
        <f t="shared" si="2"/>
        <v>#N/A</v>
      </c>
      <c r="I56" s="10" t="e">
        <f t="shared" si="3"/>
        <v>#N/A</v>
      </c>
      <c r="J56" s="9" t="e">
        <f t="shared" si="4"/>
        <v>#N/A</v>
      </c>
      <c r="K56" s="10" t="e">
        <f t="shared" si="5"/>
        <v>#N/A</v>
      </c>
      <c r="L56" s="8" t="e">
        <f t="shared" si="6"/>
        <v>#N/A</v>
      </c>
      <c r="M56" s="10" t="e">
        <f t="shared" si="7"/>
        <v>#N/A</v>
      </c>
      <c r="N56" s="8" t="e">
        <f t="shared" si="8"/>
        <v>#N/A</v>
      </c>
      <c r="O56" s="10" t="e">
        <f t="shared" si="9"/>
        <v>#N/A</v>
      </c>
      <c r="P56" s="9" t="e">
        <f t="shared" si="10"/>
        <v>#N/A</v>
      </c>
      <c r="Q56" s="10" t="e">
        <f t="shared" si="11"/>
        <v>#N/A</v>
      </c>
      <c r="R56" s="8" t="e">
        <f t="shared" si="12"/>
        <v>#N/A</v>
      </c>
      <c r="S56" s="10" t="e">
        <f t="shared" si="13"/>
        <v>#N/A</v>
      </c>
      <c r="T56" s="8" t="e">
        <f t="shared" si="14"/>
        <v>#N/A</v>
      </c>
      <c r="U56" s="10" t="e">
        <f t="shared" si="15"/>
        <v>#N/A</v>
      </c>
      <c r="V56" s="9" t="e">
        <f t="shared" si="16"/>
        <v>#N/A</v>
      </c>
      <c r="W56" s="10" t="e">
        <f t="shared" si="17"/>
        <v>#N/A</v>
      </c>
      <c r="X56" s="8" t="e">
        <f t="shared" si="18"/>
        <v>#N/A</v>
      </c>
      <c r="Y56" s="10" t="e">
        <f t="shared" si="19"/>
        <v>#N/A</v>
      </c>
      <c r="Z56" s="8" t="e">
        <f t="shared" si="20"/>
        <v>#N/A</v>
      </c>
      <c r="AA56" s="10" t="e">
        <f t="shared" si="21"/>
        <v>#N/A</v>
      </c>
      <c r="AB56" s="9" t="e">
        <f t="shared" si="22"/>
        <v>#N/A</v>
      </c>
      <c r="AC56" s="10" t="e">
        <f t="shared" si="23"/>
        <v>#N/A</v>
      </c>
      <c r="AD56" s="8" t="e">
        <f t="shared" si="24"/>
        <v>#N/A</v>
      </c>
      <c r="AE56" s="10" t="e">
        <f t="shared" si="25"/>
        <v>#N/A</v>
      </c>
      <c r="AF56" s="8" t="e">
        <f t="shared" si="26"/>
        <v>#N/A</v>
      </c>
      <c r="AG56" s="10" t="e">
        <f t="shared" si="27"/>
        <v>#N/A</v>
      </c>
      <c r="AH56" s="9" t="e">
        <f t="shared" si="28"/>
        <v>#N/A</v>
      </c>
      <c r="AI56" s="10" t="e">
        <f t="shared" si="29"/>
        <v>#N/A</v>
      </c>
      <c r="AJ56" s="8" t="e">
        <f t="shared" si="30"/>
        <v>#N/A</v>
      </c>
      <c r="AK56" s="10" t="e">
        <f t="shared" si="31"/>
        <v>#N/A</v>
      </c>
      <c r="AL56" s="8" t="e">
        <f t="shared" si="32"/>
        <v>#N/A</v>
      </c>
      <c r="AM56" s="10" t="e">
        <f t="shared" si="33"/>
        <v>#N/A</v>
      </c>
      <c r="AN56" s="9" t="e">
        <f t="shared" si="34"/>
        <v>#N/A</v>
      </c>
      <c r="AO56" s="10" t="e">
        <f t="shared" si="35"/>
        <v>#N/A</v>
      </c>
      <c r="AP56" s="8" t="e">
        <f t="shared" si="36"/>
        <v>#N/A</v>
      </c>
      <c r="AQ56" s="10" t="e">
        <f t="shared" si="37"/>
        <v>#N/A</v>
      </c>
      <c r="AR56" s="8" t="e">
        <f t="shared" si="38"/>
        <v>#N/A</v>
      </c>
      <c r="AS56" s="10" t="e">
        <f t="shared" si="39"/>
        <v>#N/A</v>
      </c>
      <c r="AT56" s="9" t="e">
        <f t="shared" si="40"/>
        <v>#N/A</v>
      </c>
      <c r="AU56" s="10" t="e">
        <f t="shared" si="41"/>
        <v>#N/A</v>
      </c>
      <c r="AV56" s="8" t="e">
        <f t="shared" si="42"/>
        <v>#N/A</v>
      </c>
      <c r="AW56" s="10" t="e">
        <f t="shared" si="43"/>
        <v>#N/A</v>
      </c>
      <c r="AX56" s="8" t="e">
        <f t="shared" si="44"/>
        <v>#N/A</v>
      </c>
      <c r="AY56" s="10" t="e">
        <f t="shared" si="45"/>
        <v>#N/A</v>
      </c>
      <c r="AZ56" s="9" t="e">
        <f t="shared" si="46"/>
        <v>#N/A</v>
      </c>
      <c r="BA56" s="10" t="e">
        <f t="shared" si="47"/>
        <v>#N/A</v>
      </c>
      <c r="BB56" s="8" t="e">
        <f t="shared" si="48"/>
        <v>#N/A</v>
      </c>
      <c r="BC56" s="10" t="e">
        <f t="shared" si="49"/>
        <v>#N/A</v>
      </c>
      <c r="BD56" s="8" t="e">
        <f t="shared" si="50"/>
        <v>#N/A</v>
      </c>
      <c r="BE56" s="10" t="e">
        <f t="shared" si="51"/>
        <v>#N/A</v>
      </c>
      <c r="BF56" s="9" t="e">
        <f t="shared" si="52"/>
        <v>#N/A</v>
      </c>
      <c r="BG56" s="10" t="e">
        <f t="shared" si="53"/>
        <v>#N/A</v>
      </c>
      <c r="BH56" s="8" t="e">
        <f t="shared" si="54"/>
        <v>#N/A</v>
      </c>
      <c r="BI56" s="10" t="e">
        <f t="shared" si="55"/>
        <v>#N/A</v>
      </c>
      <c r="BJ56" s="8" t="e">
        <f t="shared" si="56"/>
        <v>#N/A</v>
      </c>
      <c r="BK56" s="10" t="e">
        <f t="shared" si="57"/>
        <v>#N/A</v>
      </c>
      <c r="BL56" s="9" t="e">
        <f t="shared" si="58"/>
        <v>#N/A</v>
      </c>
      <c r="BM56" s="10" t="e">
        <f t="shared" si="59"/>
        <v>#N/A</v>
      </c>
      <c r="BN56" s="8" t="e">
        <f t="shared" si="60"/>
        <v>#N/A</v>
      </c>
      <c r="BO56" s="10" t="e">
        <f t="shared" si="61"/>
        <v>#N/A</v>
      </c>
      <c r="BP56" s="8" t="e">
        <f t="shared" si="62"/>
        <v>#N/A</v>
      </c>
      <c r="BQ56" s="10" t="e">
        <f t="shared" si="63"/>
        <v>#N/A</v>
      </c>
      <c r="BR56" s="9" t="e">
        <f t="shared" si="64"/>
        <v>#N/A</v>
      </c>
      <c r="BS56" s="10" t="e">
        <f t="shared" si="65"/>
        <v>#N/A</v>
      </c>
      <c r="BT56" s="8" t="e">
        <f t="shared" si="66"/>
        <v>#N/A</v>
      </c>
      <c r="BU56" s="10" t="e">
        <f t="shared" si="67"/>
        <v>#N/A</v>
      </c>
      <c r="BV56" s="8" t="e">
        <f t="shared" si="68"/>
        <v>#N/A</v>
      </c>
      <c r="BW56" s="10" t="e">
        <f t="shared" si="69"/>
        <v>#N/A</v>
      </c>
      <c r="BX56" s="9" t="e">
        <f t="shared" si="70"/>
        <v>#N/A</v>
      </c>
      <c r="BY56" s="10" t="e">
        <f t="shared" si="71"/>
        <v>#N/A</v>
      </c>
      <c r="BZ56" s="8" t="e">
        <f t="shared" si="72"/>
        <v>#N/A</v>
      </c>
      <c r="CA56" s="10" t="e">
        <f t="shared" si="73"/>
        <v>#N/A</v>
      </c>
      <c r="CB56" s="8" t="e">
        <f t="shared" si="74"/>
        <v>#N/A</v>
      </c>
      <c r="CC56" s="10" t="e">
        <f t="shared" si="75"/>
        <v>#N/A</v>
      </c>
      <c r="CD56" s="9" t="e">
        <f t="shared" si="76"/>
        <v>#N/A</v>
      </c>
      <c r="CE56" s="10" t="e">
        <f t="shared" si="77"/>
        <v>#N/A</v>
      </c>
      <c r="CF56" s="8" t="e">
        <f t="shared" si="78"/>
        <v>#N/A</v>
      </c>
      <c r="CG56" s="10" t="e">
        <f t="shared" si="79"/>
        <v>#N/A</v>
      </c>
      <c r="CH56" s="8" t="e">
        <f t="shared" si="80"/>
        <v>#N/A</v>
      </c>
      <c r="CI56" s="10" t="e">
        <f t="shared" si="81"/>
        <v>#N/A</v>
      </c>
      <c r="CJ56" s="9" t="e">
        <f t="shared" si="82"/>
        <v>#N/A</v>
      </c>
      <c r="CK56" s="10" t="e">
        <f t="shared" si="83"/>
        <v>#N/A</v>
      </c>
      <c r="CL56" s="8" t="e">
        <f t="shared" si="84"/>
        <v>#N/A</v>
      </c>
      <c r="CM56" s="10" t="e">
        <f t="shared" si="85"/>
        <v>#N/A</v>
      </c>
      <c r="CN56" s="8" t="e">
        <f t="shared" si="86"/>
        <v>#N/A</v>
      </c>
      <c r="CO56" s="10" t="e">
        <f t="shared" si="87"/>
        <v>#N/A</v>
      </c>
      <c r="CP56" s="9" t="e">
        <f t="shared" si="88"/>
        <v>#N/A</v>
      </c>
      <c r="CQ56" s="10" t="e">
        <f t="shared" si="89"/>
        <v>#N/A</v>
      </c>
      <c r="CR56" s="7" t="e">
        <f t="shared" si="90"/>
        <v>#N/A</v>
      </c>
      <c r="CS56" s="7" t="e">
        <f t="shared" si="90"/>
        <v>#N/A</v>
      </c>
      <c r="CT56" s="7" t="e">
        <f t="shared" si="90"/>
        <v>#N/A</v>
      </c>
      <c r="CU56" s="7" t="e">
        <f t="shared" si="90"/>
        <v>#N/A</v>
      </c>
      <c r="CV56" s="9" t="e">
        <f t="shared" si="91"/>
        <v>#N/A</v>
      </c>
      <c r="CW56" s="10" t="e">
        <f t="shared" si="92"/>
        <v>#N/A</v>
      </c>
      <c r="CY56" s="8" t="e">
        <v>#N/A</v>
      </c>
      <c r="CZ56" s="9" t="e">
        <f t="array" ref="CZ56">Summary_UpperBound</f>
        <v>#N/A</v>
      </c>
      <c r="DA56" s="10" t="e">
        <f t="shared" si="93"/>
        <v>#N/A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125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128</v>
      </c>
      <c r="CS58" s="19" t="s">
        <v>128</v>
      </c>
      <c r="CT58" s="19" t="s">
        <v>128</v>
      </c>
      <c r="CU58" s="19" t="s">
        <v>128</v>
      </c>
      <c r="CV58" s="19" t="s">
        <v>128</v>
      </c>
      <c r="CW58" s="19" t="s">
        <v>128</v>
      </c>
    </row>
    <row r="59" spans="2:105" x14ac:dyDescent="0.35">
      <c r="B59" s="14"/>
      <c r="E59" s="14" t="s">
        <v>126</v>
      </c>
      <c r="F59" s="5" t="e">
        <f>AVERAGE(F5:F56)</f>
        <v>#N/A</v>
      </c>
      <c r="G59" s="5" t="e">
        <f>AVERAGE(G5:G56)-F59</f>
        <v>#N/A</v>
      </c>
      <c r="H59" s="5" t="e">
        <f t="shared" ref="H59:BR59" si="95">AVERAGE(H5:H56)</f>
        <v>#N/A</v>
      </c>
      <c r="I59" s="5" t="e">
        <f>AVERAGE(I5:I56)-H59</f>
        <v>#N/A</v>
      </c>
      <c r="J59" s="5" t="e">
        <f t="shared" si="95"/>
        <v>#N/A</v>
      </c>
      <c r="K59" s="5" t="e">
        <f>AVERAGE(K5:K56)-J59</f>
        <v>#N/A</v>
      </c>
      <c r="L59" s="5" t="e">
        <f t="shared" si="95"/>
        <v>#N/A</v>
      </c>
      <c r="M59" s="5" t="e">
        <f>AVERAGE(M5:M56)-L59</f>
        <v>#N/A</v>
      </c>
      <c r="N59" s="5" t="e">
        <f t="shared" si="95"/>
        <v>#N/A</v>
      </c>
      <c r="O59" s="5" t="e">
        <f>AVERAGE(O5:O56)-N59</f>
        <v>#N/A</v>
      </c>
      <c r="P59" s="5" t="e">
        <f t="shared" si="95"/>
        <v>#N/A</v>
      </c>
      <c r="Q59" s="5" t="e">
        <f>AVERAGE(Q5:Q56)-P59</f>
        <v>#N/A</v>
      </c>
      <c r="R59" s="5" t="e">
        <f t="shared" si="95"/>
        <v>#N/A</v>
      </c>
      <c r="S59" s="5" t="e">
        <f>AVERAGE(S5:S56)-R59</f>
        <v>#N/A</v>
      </c>
      <c r="T59" s="5" t="e">
        <f t="shared" si="95"/>
        <v>#N/A</v>
      </c>
      <c r="U59" s="5" t="e">
        <f>AVERAGE(U5:U56)-T59</f>
        <v>#N/A</v>
      </c>
      <c r="V59" s="5" t="e">
        <f t="shared" si="95"/>
        <v>#N/A</v>
      </c>
      <c r="W59" s="5" t="e">
        <f>AVERAGE(W5:W56)-V59</f>
        <v>#N/A</v>
      </c>
      <c r="X59" s="5" t="e">
        <f t="shared" si="95"/>
        <v>#N/A</v>
      </c>
      <c r="Y59" s="5" t="e">
        <f>AVERAGE(Y5:Y56)-X59</f>
        <v>#N/A</v>
      </c>
      <c r="Z59" s="5" t="e">
        <f t="shared" si="95"/>
        <v>#N/A</v>
      </c>
      <c r="AA59" s="5" t="e">
        <f>AVERAGE(AA5:AA56)-Z59</f>
        <v>#N/A</v>
      </c>
      <c r="AB59" s="5" t="e">
        <f t="shared" si="95"/>
        <v>#N/A</v>
      </c>
      <c r="AC59" s="5" t="e">
        <f>AVERAGE(AC5:AC56)-AB59</f>
        <v>#N/A</v>
      </c>
      <c r="AD59" s="5" t="e">
        <f t="shared" si="95"/>
        <v>#N/A</v>
      </c>
      <c r="AE59" s="5" t="e">
        <f>AVERAGE(AE5:AE56)-AD59</f>
        <v>#N/A</v>
      </c>
      <c r="AF59" s="5" t="e">
        <f t="shared" si="95"/>
        <v>#N/A</v>
      </c>
      <c r="AG59" s="5" t="e">
        <f>AVERAGE(AG5:AG56)-AF59</f>
        <v>#N/A</v>
      </c>
      <c r="AH59" s="5" t="e">
        <f t="shared" si="95"/>
        <v>#N/A</v>
      </c>
      <c r="AI59" s="5" t="e">
        <f>AVERAGE(AI5:AI56)-AH59</f>
        <v>#N/A</v>
      </c>
      <c r="AJ59" s="5" t="e">
        <f t="shared" si="95"/>
        <v>#N/A</v>
      </c>
      <c r="AK59" s="5" t="e">
        <f>AVERAGE(AK5:AK56)-AJ59</f>
        <v>#N/A</v>
      </c>
      <c r="AL59" s="5" t="e">
        <f t="shared" si="95"/>
        <v>#N/A</v>
      </c>
      <c r="AM59" s="5" t="e">
        <f>AVERAGE(AM5:AM56)-AL59</f>
        <v>#N/A</v>
      </c>
      <c r="AN59" s="5" t="e">
        <f t="shared" si="95"/>
        <v>#N/A</v>
      </c>
      <c r="AO59" s="5" t="e">
        <f>AVERAGE(AO5:AO56)-AN59</f>
        <v>#N/A</v>
      </c>
      <c r="AP59" s="5" t="e">
        <f t="shared" si="95"/>
        <v>#N/A</v>
      </c>
      <c r="AQ59" s="5" t="e">
        <f>AVERAGE(AQ5:AQ56)-AP59</f>
        <v>#N/A</v>
      </c>
      <c r="AR59" s="5" t="e">
        <f t="shared" si="95"/>
        <v>#N/A</v>
      </c>
      <c r="AS59" s="5" t="e">
        <f>AVERAGE(AS5:AS56)-AR59</f>
        <v>#N/A</v>
      </c>
      <c r="AT59" s="5" t="e">
        <f t="shared" si="95"/>
        <v>#N/A</v>
      </c>
      <c r="AU59" s="5" t="e">
        <f>AVERAGE(AU5:AU56)-AT59</f>
        <v>#N/A</v>
      </c>
      <c r="AV59" s="5" t="e">
        <f t="shared" si="95"/>
        <v>#N/A</v>
      </c>
      <c r="AW59" s="5" t="e">
        <f>AVERAGE(AW5:AW56)-AV59</f>
        <v>#N/A</v>
      </c>
      <c r="AX59" s="5" t="e">
        <f t="shared" si="95"/>
        <v>#N/A</v>
      </c>
      <c r="AY59" s="5" t="e">
        <f>AVERAGE(AY5:AY56)-AX59</f>
        <v>#N/A</v>
      </c>
      <c r="AZ59" s="5" t="e">
        <f t="shared" si="95"/>
        <v>#N/A</v>
      </c>
      <c r="BA59" s="5" t="e">
        <f>AVERAGE(BA5:BA56)-AZ59</f>
        <v>#N/A</v>
      </c>
      <c r="BB59" s="5" t="e">
        <f t="shared" si="95"/>
        <v>#N/A</v>
      </c>
      <c r="BC59" s="5" t="e">
        <f>AVERAGE(BC5:BC56)-BB59</f>
        <v>#N/A</v>
      </c>
      <c r="BD59" s="5" t="e">
        <f t="shared" si="95"/>
        <v>#N/A</v>
      </c>
      <c r="BE59" s="5" t="e">
        <f>AVERAGE(BE5:BE56)-BD59</f>
        <v>#N/A</v>
      </c>
      <c r="BF59" s="5" t="e">
        <f t="shared" si="95"/>
        <v>#N/A</v>
      </c>
      <c r="BG59" s="5" t="e">
        <f>AVERAGE(BG5:BG56)-BF59</f>
        <v>#N/A</v>
      </c>
      <c r="BH59" s="5" t="e">
        <f t="shared" si="95"/>
        <v>#N/A</v>
      </c>
      <c r="BI59" s="5" t="e">
        <f>AVERAGE(BI5:BI56)-BH59</f>
        <v>#N/A</v>
      </c>
      <c r="BJ59" s="5" t="e">
        <f t="shared" si="95"/>
        <v>#N/A</v>
      </c>
      <c r="BK59" s="5" t="e">
        <f>AVERAGE(BK5:BK56)-BJ59</f>
        <v>#N/A</v>
      </c>
      <c r="BL59" s="5" t="e">
        <f t="shared" si="95"/>
        <v>#N/A</v>
      </c>
      <c r="BM59" s="5" t="e">
        <f>AVERAGE(BM5:BM56)-BL59</f>
        <v>#N/A</v>
      </c>
      <c r="BN59" s="5" t="e">
        <f t="shared" si="95"/>
        <v>#N/A</v>
      </c>
      <c r="BO59" s="5" t="e">
        <f>AVERAGE(BO5:BO56)-BN59</f>
        <v>#N/A</v>
      </c>
      <c r="BP59" s="5" t="e">
        <f t="shared" si="95"/>
        <v>#N/A</v>
      </c>
      <c r="BQ59" s="5" t="e">
        <f>AVERAGE(BQ5:BQ56)-BP59</f>
        <v>#N/A</v>
      </c>
      <c r="BR59" s="5" t="e">
        <f t="shared" si="95"/>
        <v>#N/A</v>
      </c>
      <c r="BS59" s="5" t="e">
        <f>AVERAGE(BS5:BS56)-BR59</f>
        <v>#N/A</v>
      </c>
      <c r="BT59" s="5" t="e">
        <f t="shared" ref="BT59:CP59" si="96">AVERAGE(BT5:BT56)</f>
        <v>#N/A</v>
      </c>
      <c r="BU59" s="5" t="e">
        <f>AVERAGE(BU5:BU56)-BT59</f>
        <v>#N/A</v>
      </c>
      <c r="BV59" s="5" t="e">
        <f t="shared" si="96"/>
        <v>#N/A</v>
      </c>
      <c r="BW59" s="5" t="e">
        <f>AVERAGE(BW5:BW56)-BV59</f>
        <v>#N/A</v>
      </c>
      <c r="BX59" s="5" t="e">
        <f t="shared" si="96"/>
        <v>#N/A</v>
      </c>
      <c r="BY59" s="5" t="e">
        <f>AVERAGE(BY5:BY56)-BX59</f>
        <v>#N/A</v>
      </c>
      <c r="BZ59" s="5" t="e">
        <f t="shared" si="96"/>
        <v>#N/A</v>
      </c>
      <c r="CA59" s="5" t="e">
        <f>AVERAGE(CA5:CA56)-BZ59</f>
        <v>#N/A</v>
      </c>
      <c r="CB59" s="5" t="e">
        <f t="shared" si="96"/>
        <v>#N/A</v>
      </c>
      <c r="CC59" s="5" t="e">
        <f>AVERAGE(CC5:CC56)-CB59</f>
        <v>#N/A</v>
      </c>
      <c r="CD59" s="5" t="e">
        <f t="shared" si="96"/>
        <v>#N/A</v>
      </c>
      <c r="CE59" s="5" t="e">
        <f>AVERAGE(CE5:CE56)-CD59</f>
        <v>#N/A</v>
      </c>
      <c r="CF59" s="5" t="e">
        <f t="shared" si="96"/>
        <v>#N/A</v>
      </c>
      <c r="CG59" s="5" t="e">
        <f>AVERAGE(CG5:CG56)-CF59</f>
        <v>#N/A</v>
      </c>
      <c r="CH59" s="5" t="e">
        <f t="shared" si="96"/>
        <v>#N/A</v>
      </c>
      <c r="CI59" s="5" t="e">
        <f>AVERAGE(CI5:CI56)-CH59</f>
        <v>#N/A</v>
      </c>
      <c r="CJ59" s="5" t="e">
        <f t="shared" si="96"/>
        <v>#N/A</v>
      </c>
      <c r="CK59" s="5" t="e">
        <f>AVERAGE(CK5:CK56)-CJ59</f>
        <v>#N/A</v>
      </c>
      <c r="CL59" s="5" t="e">
        <f t="shared" si="96"/>
        <v>#N/A</v>
      </c>
      <c r="CM59" s="5" t="e">
        <f>AVERAGE(CM5:CM56)-CL59</f>
        <v>#N/A</v>
      </c>
      <c r="CN59" s="5" t="e">
        <f t="shared" si="96"/>
        <v>#N/A</v>
      </c>
      <c r="CO59" s="5" t="e">
        <f>AVERAGE(CO5:CO56)-CN59</f>
        <v>#N/A</v>
      </c>
      <c r="CP59" s="5" t="e">
        <f t="shared" si="96"/>
        <v>#N/A</v>
      </c>
      <c r="CQ59" s="5" t="e">
        <f>AVERAGE(CQ5:CQ56)-CP59</f>
        <v>#N/A</v>
      </c>
      <c r="CR59" s="5"/>
      <c r="CS59" s="5"/>
      <c r="CT59" s="5"/>
      <c r="CU59" s="5"/>
      <c r="CV59" s="5"/>
      <c r="CW59" s="5"/>
      <c r="CY59" t="s">
        <v>132</v>
      </c>
      <c r="CZ59" t="s">
        <v>133</v>
      </c>
      <c r="DA59" t="s">
        <v>134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127</v>
      </c>
      <c r="E62" s="14"/>
      <c r="F62" s="5" t="s">
        <v>59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 t="e" cm="1">
        <f t="array" ref="F63">INDEX($F$59:$CW$60,1,MATCH(1,($E63=$F$1:$CQ$1)*($F$62=$F$4:$CQ$4)*(Summary!$B$5='Required Capacity (Hide)'!$F$2:$CQ$2),0))</f>
        <v>#N/A</v>
      </c>
      <c r="G63" s="5" t="e">
        <f t="array" ref="G63">INDEX($F$59:$CW$60,1,MATCH(1,($E63=$F$1:$CQ$1)*($G$62=$F$58:$CQ$58)*(Summary!$B$5='Required Capacity (Hide)'!$F$2:$CQ$2),0))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Caseload 2</v>
      </c>
      <c r="F64" s="5" t="e">
        <f t="array" ref="F64">INDEX($F$59:$CW$60,1,MATCH(1,($E64=$F$1:$CQ$1)*($F$62=$F$4:$CQ$4)*(Summary!$B$5='Required Capacity (Hide)'!$F$2:$CQ$2),0))</f>
        <v>#N/A</v>
      </c>
      <c r="G64" s="5" t="e">
        <f t="array" ref="G64">INDEX($F$59:$CW$60,1,MATCH(1,($E64=$F$1:$CQ$1)*($G$62=$F$58:$CQ$58)*(Summary!$B$5='Required Capacity (Hide)'!$F$2:$CQ$2),0))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Caseload 3</v>
      </c>
      <c r="F65" s="5" t="e">
        <f t="array" ref="F65">INDEX($F$59:$CW$60,1,MATCH(1,($E65=$F$1:$CQ$1)*($F$62=$F$4:$CQ$4)*(Summary!$B$5='Required Capacity (Hide)'!$F$2:$CQ$2),0))</f>
        <v>#N/A</v>
      </c>
      <c r="G65" s="5" t="e">
        <f t="array" ref="G65">INDEX($F$59:$CW$60,1,MATCH(1,($E65=$F$1:$CQ$1)*($G$62=$F$58:$CQ$58)*(Summary!$B$5='Required Capacity (Hide)'!$F$2:$CQ$2),0))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Caseload 4</v>
      </c>
      <c r="F66" s="5" t="e">
        <f t="array" ref="F66">INDEX($F$59:$CW$60,1,MATCH(1,($E66=$F$1:$CQ$1)*($F$62=$F$4:$CQ$4)*(Summary!$B$5='Required Capacity (Hide)'!$F$2:$CQ$2),0))</f>
        <v>#N/A</v>
      </c>
      <c r="G66" s="5" t="e">
        <f t="array" ref="G66">INDEX($F$59:$CW$60,1,MATCH(1,($E66=$F$1:$CQ$1)*($G$62=$F$58:$CQ$58)*(Summary!$B$5='Required Capacity (Hide)'!$F$2:$CQ$2),0))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Caseload 5</v>
      </c>
      <c r="F67" s="5" t="e">
        <f t="array" ref="F67">INDEX($F$59:$CW$60,1,MATCH(1,($E67=$F$1:$CQ$1)*($F$62=$F$4:$CQ$4)*(Summary!$B$5='Required Capacity (Hide)'!$F$2:$CQ$2),0))</f>
        <v>#N/A</v>
      </c>
      <c r="G67" s="5" t="e">
        <f t="array" ref="G67">INDEX($F$59:$CW$60,1,MATCH(1,($E67=$F$1:$CQ$1)*($G$62=$F$58:$CQ$58)*(Summary!$B$5='Required Capacity (Hide)'!$F$2:$CQ$2),0))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 t="e">
        <f t="array" ref="F68">INDEX($F$59:$CW$60,1,MATCH(1,($E68=$F$1:$CQ$1)*($F$62=$F$4:$CQ$4)*(Summary!$B$5='Required Capacity (Hide)'!$F$2:$CQ$2),0))</f>
        <v>#N/A</v>
      </c>
      <c r="G68" s="5" t="e" cm="1">
        <f t="array" ref="G68">INDEX($F$59:$CW$60,1,MATCH(1,($E68=$F$1:$CQ$1)*($G$62=$F$58:$CQ$58)*(Summary!$B$5='Required Capacity (Hide)'!$F$2:$CQ$2),0))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 t="e">
        <f t="array" ref="F69">INDEX($F$59:$CW$60,1,MATCH(1,($E69=$F$1:$CQ$1)*($F$62=$F$4:$CQ$4)*(Summary!$B$5='Required Capacity (Hide)'!$F$2:$CQ$2),0))</f>
        <v>#N/A</v>
      </c>
      <c r="G69" s="5" t="e" cm="1">
        <f t="array" ref="G69">INDEX($F$59:$CW$60,1,MATCH(1,($E69=$F$1:$CQ$1)*($G$62=$F$58:$CQ$58)*(Summary!$B$5='Required Capacity (Hide)'!$F$2:$CQ$2),0))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 t="e">
        <f t="array" ref="F70">INDEX($F$59:$CW$60,1,MATCH(1,($E70=$F$1:$CQ$1)*($F$62=$F$4:$CQ$4)*(Summary!$B$5='Required Capacity (Hide)'!$F$2:$CQ$2),0))</f>
        <v>#N/A</v>
      </c>
      <c r="G70" s="5" t="e" cm="1">
        <f t="array" ref="G70">INDEX($F$59:$CW$60,1,MATCH(1,($E70=$F$1:$CQ$1)*($G$62=$F$58:$CQ$58)*(Summary!$B$5='Required Capacity (Hide)'!$F$2:$CQ$2),0))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 t="e">
        <f t="array" ref="F71">INDEX($F$59:$CW$60,1,MATCH(1,($E71=$F$1:$CQ$1)*($F$62=$F$4:$CQ$4)*(Summary!$B$5='Required Capacity (Hide)'!$F$2:$CQ$2),0))</f>
        <v>#N/A</v>
      </c>
      <c r="G71" s="5" t="e" cm="1">
        <f t="array" ref="G71">INDEX($F$59:$CW$60,1,MATCH(1,($E71=$F$1:$CQ$1)*($G$62=$F$58:$CQ$58)*(Summary!$B$5='Required Capacity (Hide)'!$F$2:$CQ$2),0))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 t="e">
        <f t="array" ref="F72">INDEX($F$59:$CW$60,1,MATCH(1,($E72=$F$1:$CQ$1)*($F$62=$F$4:$CQ$4)*(Summary!$B$5='Required Capacity (Hide)'!$F$2:$CQ$2),0))</f>
        <v>#N/A</v>
      </c>
      <c r="G72" s="5" t="e" cm="1">
        <f t="array" ref="G72">INDEX($F$59:$CW$60,1,MATCH(1,($E72=$F$1:$CQ$1)*($G$62=$F$58:$CQ$58)*(Summary!$B$5='Required Capacity (Hide)'!$F$2:$CQ$2),0))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 t="e">
        <f t="array" ref="F73">INDEX($F$59:$CW$60,1,MATCH(1,($E73=$F$1:$CQ$1)*($F$62=$F$4:$CQ$4)*(Summary!$B$5='Required Capacity (Hide)'!$F$2:$CQ$2),0))</f>
        <v>#N/A</v>
      </c>
      <c r="G73" s="5" t="e" cm="1">
        <f t="array" ref="G73">INDEX($F$59:$CW$60,1,MATCH(1,($E73=$F$1:$CQ$1)*($G$62=$F$58:$CQ$58)*(Summary!$B$5='Required Capacity (Hide)'!$F$2:$CQ$2),0))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 t="e">
        <f t="array" ref="F74">INDEX($F$59:$CW$60,1,MATCH(1,($E74=$F$1:$CQ$1)*($F$62=$F$4:$CQ$4)*(Summary!$B$5='Required Capacity (Hide)'!$F$2:$CQ$2),0))</f>
        <v>#N/A</v>
      </c>
      <c r="G74" s="5" t="e" cm="1">
        <f t="array" ref="G74">INDEX($F$59:$CW$60,1,MATCH(1,($E74=$F$1:$CQ$1)*($G$62=$F$58:$CQ$58)*(Summary!$B$5='Required Capacity (Hide)'!$F$2:$CQ$2),0))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 t="e">
        <f t="array" ref="F75">INDEX($F$59:$CW$60,1,MATCH(1,($E75=$F$1:$CQ$1)*($F$62=$F$4:$CQ$4)*(Summary!$B$5='Required Capacity (Hide)'!$F$2:$CQ$2),0))</f>
        <v>#N/A</v>
      </c>
      <c r="G75" s="5" t="e" cm="1">
        <f t="array" ref="G75">INDEX($F$59:$CW$60,1,MATCH(1,($E75=$F$1:$CQ$1)*($G$62=$F$58:$CQ$58)*(Summary!$B$5='Required Capacity (Hide)'!$F$2:$CQ$2),0))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 t="e">
        <f t="array" ref="F76">INDEX($F$59:$CW$60,1,MATCH(1,($E76=$F$1:$CQ$1)*($F$62=$F$4:$CQ$4)*(Summary!$B$5='Required Capacity (Hide)'!$F$2:$CQ$2),0))</f>
        <v>#N/A</v>
      </c>
      <c r="G76" s="5" t="e" cm="1">
        <f t="array" ref="G76">INDEX($F$59:$CW$60,1,MATCH(1,($E76=$F$1:$CQ$1)*($G$62=$F$58:$CQ$58)*(Summary!$B$5='Required Capacity (Hide)'!$F$2:$CQ$2),0))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 t="e">
        <f t="array" ref="F77">INDEX($F$59:$CW$60,1,MATCH(1,($E77=$F$1:$CQ$1)*($F$62=$F$4:$CQ$4)*(Summary!$B$5='Required Capacity (Hide)'!$F$2:$CQ$2),0))</f>
        <v>#N/A</v>
      </c>
      <c r="G77" s="5" t="e" cm="1">
        <f t="array" ref="G77">INDEX($F$59:$CW$60,1,MATCH(1,($E77=$F$1:$CQ$1)*($G$62=$F$58:$CQ$58)*(Summary!$B$5='Required Capacity (Hide)'!$F$2:$CQ$2),0))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B7" sqref="B7:T8"/>
    </sheetView>
  </sheetViews>
  <sheetFormatPr defaultRowHeight="14.5" x14ac:dyDescent="0.35"/>
  <cols>
    <col min="2" max="2" width="16.08984375" customWidth="1"/>
    <col min="3" max="17" width="3.36328125" customWidth="1"/>
    <col min="18" max="18" width="13.7265625" bestFit="1" customWidth="1"/>
    <col min="23" max="23" width="12" customWidth="1"/>
    <col min="25" max="25" width="18.36328125" customWidth="1"/>
    <col min="26" max="40" width="3.36328125" customWidth="1"/>
    <col min="41" max="41" width="13.7265625" bestFit="1" customWidth="1"/>
  </cols>
  <sheetData>
    <row r="1" spans="1:46" ht="23.5" x14ac:dyDescent="0.55000000000000004">
      <c r="A1" s="28" t="s">
        <v>138</v>
      </c>
    </row>
    <row r="2" spans="1:46" ht="24" thickBot="1" x14ac:dyDescent="0.6">
      <c r="A2" s="28"/>
    </row>
    <row r="3" spans="1:46" ht="15" thickBot="1" x14ac:dyDescent="0.4">
      <c r="B3" s="63" t="s">
        <v>121</v>
      </c>
      <c r="Y3" s="63" t="s">
        <v>122</v>
      </c>
    </row>
    <row r="5" spans="1:46" ht="15" thickBot="1" x14ac:dyDescent="0.4"/>
    <row r="6" spans="1:46" ht="84.5" thickBot="1" x14ac:dyDescent="0.4">
      <c r="B6" s="103" t="s">
        <v>103</v>
      </c>
      <c r="C6" s="104" t="str" cm="1">
        <f t="array" ref="C6">INDEX('Data Validation (Hide)'!$B$2:$B$16,COLUMN(A1),1)</f>
        <v>Caseload 1</v>
      </c>
      <c r="D6" s="105" t="str" cm="1">
        <f t="array" ref="D6">INDEX('Data Validation (Hide)'!$B$2:$B$16,COLUMN(B1),1)</f>
        <v>Caseload 2</v>
      </c>
      <c r="E6" s="105" t="str" cm="1">
        <f t="array" ref="E6">INDEX('Data Validation (Hide)'!$B$2:$B$16,COLUMN(C1),1)</f>
        <v>Caseload 3</v>
      </c>
      <c r="F6" s="105" t="str" cm="1">
        <f t="array" ref="F6">INDEX('Data Validation (Hide)'!$B$2:$B$16,COLUMN(D1),1)</f>
        <v>Caseload 4</v>
      </c>
      <c r="G6" s="105" t="str" cm="1">
        <f t="array" ref="G6">INDEX('Data Validation (Hide)'!$B$2:$B$16,COLUMN(E1),1)</f>
        <v>Caseload 5</v>
      </c>
      <c r="H6" s="105" t="str" cm="1">
        <f t="array" ref="H6">INDEX('Data Validation (Hide)'!$B$2:$B$16,COLUMN(F1),1)</f>
        <v>Caseload 6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65</v>
      </c>
      <c r="S6" s="103" t="s">
        <v>66</v>
      </c>
      <c r="T6" s="103" t="s">
        <v>67</v>
      </c>
      <c r="U6" s="103" t="s">
        <v>68</v>
      </c>
      <c r="V6" s="103" t="s">
        <v>69</v>
      </c>
      <c r="W6" s="103" t="s">
        <v>70</v>
      </c>
      <c r="X6" s="5"/>
      <c r="Y6" s="103" t="s">
        <v>103</v>
      </c>
      <c r="Z6" s="107" t="str" cm="1">
        <f t="array" ref="Z6">INDEX('Data Validation (Hide)'!$B$2:$B$16,COLUMN(A1),1)</f>
        <v>Caseload 1</v>
      </c>
      <c r="AA6" s="108" t="str" cm="1">
        <f t="array" ref="AA6">INDEX('Data Validation (Hide)'!$B$2:$B$16,COLUMN(B1),1)</f>
        <v>Caseload 2</v>
      </c>
      <c r="AB6" s="108" t="str" cm="1">
        <f t="array" ref="AB6">INDEX('Data Validation (Hide)'!$B$2:$B$16,COLUMN(C1),1)</f>
        <v>Caseload 3</v>
      </c>
      <c r="AC6" s="108" t="str" cm="1">
        <f t="array" ref="AC6">INDEX('Data Validation (Hide)'!$B$2:$B$16,COLUMN(D1),1)</f>
        <v>Caseload 4</v>
      </c>
      <c r="AD6" s="108" t="str" cm="1">
        <f t="array" ref="AD6">INDEX('Data Validation (Hide)'!$B$2:$B$16,COLUMN(E1),1)</f>
        <v>Caseload 5</v>
      </c>
      <c r="AE6" s="108" t="str" cm="1">
        <f t="array" ref="AE6">INDEX('Data Validation (Hide)'!$B$2:$B$16,COLUMN(F1),1)</f>
        <v>Caseload 6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65</v>
      </c>
      <c r="AP6" s="103" t="s">
        <v>66</v>
      </c>
      <c r="AQ6" s="103" t="s">
        <v>67</v>
      </c>
      <c r="AR6" s="103" t="s">
        <v>68</v>
      </c>
      <c r="AS6" s="103" t="s">
        <v>69</v>
      </c>
      <c r="AT6" s="103" t="s">
        <v>70</v>
      </c>
    </row>
    <row r="7" spans="1:46" x14ac:dyDescent="0.35">
      <c r="B7" s="11"/>
      <c r="C7" s="3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/>
      <c r="S7" s="11"/>
      <c r="T7" s="11"/>
      <c r="U7" s="41" t="str">
        <f>IF(T7*S7=0,"",T7*S7)</f>
        <v/>
      </c>
      <c r="V7" s="41" t="str">
        <f t="shared" ref="V7:V70" si="0">IFERROR(U7/52,"")</f>
        <v/>
      </c>
      <c r="W7" s="41" t="str">
        <f>IFERROR(V7/COUNTIF(C7:Q7,"="&amp;"x"),"")</f>
        <v/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39"/>
      <c r="S8" s="39"/>
      <c r="T8" s="39"/>
      <c r="U8" s="52" t="str">
        <f t="shared" ref="U8:U71" si="2">IF(T8*S8=0,"",T8*S8)</f>
        <v/>
      </c>
      <c r="V8" s="52" t="str">
        <f t="shared" si="0"/>
        <v/>
      </c>
      <c r="W8" s="52" t="str">
        <f t="shared" ref="W8:W71" si="3">IFERROR(V8/COUNTIF(C8:Q8,"="&amp;"x"),"")</f>
        <v/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121</v>
      </c>
    </row>
    <row r="2" spans="1:101" x14ac:dyDescent="0.35">
      <c r="A2" t="s">
        <v>72</v>
      </c>
      <c r="B2" cm="1">
        <f t="array" ref="B2">INDEX(Capacity!$B$7:$B$106,COLUMN(A2),1)</f>
        <v>0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71</v>
      </c>
      <c r="B3" cm="1">
        <f t="array" ref="B3">INDEX(Capacity!$R$7:$R$106,COLUMN(A2),1)</f>
        <v>0</v>
      </c>
      <c r="C3" cm="1">
        <f t="array" ref="C3">INDEX(Capacity!$R$7:$R$106,COLUMN(B2),1)</f>
        <v>0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 t="e" vm="2">
        <f ca="1">'Required Capacity (Hide)'!E5</f>
        <v>#VALUE!</v>
      </c>
      <c r="B5" t="e" cm="1">
        <f t="array" ref="B5">INDEX(Capacity!$W$7:$W$106,COLUMN(A2),1)/IF(Summary!$B$7="Minutes",1,60)</f>
        <v>#VALUE!</v>
      </c>
      <c r="C5" t="e" cm="1">
        <f t="array" ref="C5">INDEX(Capacity!$W$7:$W$106,COLUMN(B2),1)/IF(Summary!$B$7="Minutes",1,60)</f>
        <v>#VALUE!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 t="e" vm="2">
        <f ca="1">'Required Capacity (Hide)'!E6</f>
        <v>#VALUE!</v>
      </c>
      <c r="B6" t="e" cm="1">
        <f t="array" ref="B6">INDEX(Capacity!$W$7:$W$106,COLUMN(A3),1)/IF(Summary!$B$7="Minutes",1,60)</f>
        <v>#VALUE!</v>
      </c>
      <c r="C6" t="e" cm="1">
        <f t="array" ref="C6">INDEX(Capacity!$W$7:$W$106,COLUMN(B3),1)/IF(Summary!$B$7="Minutes",1,60)</f>
        <v>#VALUE!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 t="e" vm="2">
        <f ca="1">'Required Capacity (Hide)'!E7</f>
        <v>#VALUE!</v>
      </c>
      <c r="B7" t="e" cm="1">
        <f t="array" ref="B7">INDEX(Capacity!$W$7:$W$106,COLUMN(A4),1)/IF(Summary!$B$7="Minutes",1,60)</f>
        <v>#VALUE!</v>
      </c>
      <c r="C7" t="e" cm="1">
        <f t="array" ref="C7">INDEX(Capacity!$W$7:$W$106,COLUMN(B4),1)/IF(Summary!$B$7="Minutes",1,60)</f>
        <v>#VALUE!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 t="e" vm="2">
        <f ca="1">'Required Capacity (Hide)'!E8</f>
        <v>#VALUE!</v>
      </c>
      <c r="B8" t="e" cm="1">
        <f t="array" ref="B8">INDEX(Capacity!$W$7:$W$106,COLUMN(A5),1)/IF(Summary!$B$7="Minutes",1,60)</f>
        <v>#VALUE!</v>
      </c>
      <c r="C8" t="e" cm="1">
        <f t="array" ref="C8">INDEX(Capacity!$W$7:$W$106,COLUMN(B5),1)/IF(Summary!$B$7="Minutes",1,60)</f>
        <v>#VALUE!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 t="e" vm="2">
        <f ca="1">'Required Capacity (Hide)'!E9</f>
        <v>#VALUE!</v>
      </c>
      <c r="B9" t="e" cm="1">
        <f t="array" ref="B9">INDEX(Capacity!$W$7:$W$106,COLUMN(A6),1)/IF(Summary!$B$7="Minutes",1,60)</f>
        <v>#VALUE!</v>
      </c>
      <c r="C9" t="e" cm="1">
        <f t="array" ref="C9">INDEX(Capacity!$W$7:$W$106,COLUMN(B6),1)/IF(Summary!$B$7="Minutes",1,60)</f>
        <v>#VALUE!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 t="e" vm="2">
        <f ca="1">'Required Capacity (Hide)'!E10</f>
        <v>#VALUE!</v>
      </c>
      <c r="B10" t="e" cm="1">
        <f t="array" ref="B10">INDEX(Capacity!$W$7:$W$106,COLUMN(A7),1)/IF(Summary!$B$7="Minutes",1,60)</f>
        <v>#VALUE!</v>
      </c>
      <c r="C10" t="e" cm="1">
        <f t="array" ref="C10">INDEX(Capacity!$W$7:$W$106,COLUMN(B7),1)/IF(Summary!$B$7="Minutes",1,60)</f>
        <v>#VALUE!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 t="e" vm="2">
        <f ca="1">'Required Capacity (Hide)'!E11</f>
        <v>#VALUE!</v>
      </c>
      <c r="B11" t="e" cm="1">
        <f t="array" ref="B11">INDEX(Capacity!$W$7:$W$106,COLUMN(A8),1)/IF(Summary!$B$7="Minutes",1,60)</f>
        <v>#VALUE!</v>
      </c>
      <c r="C11" t="e" cm="1">
        <f t="array" ref="C11">INDEX(Capacity!$W$7:$W$106,COLUMN(B8),1)/IF(Summary!$B$7="Minutes",1,60)</f>
        <v>#VALUE!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 t="e" vm="2">
        <f ca="1">'Required Capacity (Hide)'!E12</f>
        <v>#VALUE!</v>
      </c>
      <c r="B12" t="e" cm="1">
        <f t="array" ref="B12">INDEX(Capacity!$W$7:$W$106,COLUMN(A9),1)/IF(Summary!$B$7="Minutes",1,60)</f>
        <v>#VALUE!</v>
      </c>
      <c r="C12" t="e" cm="1">
        <f t="array" ref="C12">INDEX(Capacity!$W$7:$W$106,COLUMN(B9),1)/IF(Summary!$B$7="Minutes",1,60)</f>
        <v>#VALUE!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 t="e" vm="2">
        <f ca="1">'Required Capacity (Hide)'!E13</f>
        <v>#VALUE!</v>
      </c>
      <c r="B13" t="e" cm="1">
        <f t="array" ref="B13">INDEX(Capacity!$W$7:$W$106,COLUMN(A10),1)/IF(Summary!$B$7="Minutes",1,60)</f>
        <v>#VALUE!</v>
      </c>
      <c r="C13" t="e" cm="1">
        <f t="array" ref="C13">INDEX(Capacity!$W$7:$W$106,COLUMN(B10),1)/IF(Summary!$B$7="Minutes",1,60)</f>
        <v>#VALUE!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 t="e" vm="2">
        <f ca="1">'Required Capacity (Hide)'!E14</f>
        <v>#VALUE!</v>
      </c>
      <c r="B14" t="e" cm="1">
        <f t="array" ref="B14">INDEX(Capacity!$W$7:$W$106,COLUMN(A11),1)/IF(Summary!$B$7="Minutes",1,60)</f>
        <v>#VALUE!</v>
      </c>
      <c r="C14" t="e" cm="1">
        <f t="array" ref="C14">INDEX(Capacity!$W$7:$W$106,COLUMN(B11),1)/IF(Summary!$B$7="Minutes",1,60)</f>
        <v>#VALUE!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 t="e" vm="2">
        <f ca="1">'Required Capacity (Hide)'!E15</f>
        <v>#VALUE!</v>
      </c>
      <c r="B15" t="e" cm="1">
        <f t="array" ref="B15">INDEX(Capacity!$W$7:$W$106,COLUMN(A12),1)/IF(Summary!$B$7="Minutes",1,60)</f>
        <v>#VALUE!</v>
      </c>
      <c r="C15" t="e" cm="1">
        <f t="array" ref="C15">INDEX(Capacity!$W$7:$W$106,COLUMN(B12),1)/IF(Summary!$B$7="Minutes",1,60)</f>
        <v>#VALUE!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 t="e" vm="2">
        <f ca="1">'Required Capacity (Hide)'!E16</f>
        <v>#VALUE!</v>
      </c>
      <c r="B16" t="e" cm="1">
        <f t="array" ref="B16">INDEX(Capacity!$W$7:$W$106,COLUMN(A13),1)/IF(Summary!$B$7="Minutes",1,60)</f>
        <v>#VALUE!</v>
      </c>
      <c r="C16" t="e" cm="1">
        <f t="array" ref="C16">INDEX(Capacity!$W$7:$W$106,COLUMN(B13),1)/IF(Summary!$B$7="Minutes",1,60)</f>
        <v>#VALUE!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 t="e" vm="2">
        <f ca="1">'Required Capacity (Hide)'!E17</f>
        <v>#VALUE!</v>
      </c>
      <c r="B17" t="e" cm="1">
        <f t="array" ref="B17">INDEX(Capacity!$W$7:$W$106,COLUMN(A14),1)/IF(Summary!$B$7="Minutes",1,60)</f>
        <v>#VALUE!</v>
      </c>
      <c r="C17" t="e" cm="1">
        <f t="array" ref="C17">INDEX(Capacity!$W$7:$W$106,COLUMN(B14),1)/IF(Summary!$B$7="Minutes",1,60)</f>
        <v>#VALUE!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 t="e" vm="2">
        <f ca="1">'Required Capacity (Hide)'!E18</f>
        <v>#VALUE!</v>
      </c>
      <c r="B18" t="e" cm="1">
        <f t="array" ref="B18">INDEX(Capacity!$W$7:$W$106,COLUMN(A15),1)/IF(Summary!$B$7="Minutes",1,60)</f>
        <v>#VALUE!</v>
      </c>
      <c r="C18" t="e" cm="1">
        <f t="array" ref="C18">INDEX(Capacity!$W$7:$W$106,COLUMN(B15),1)/IF(Summary!$B$7="Minutes",1,60)</f>
        <v>#VALUE!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 t="e" vm="2">
        <f ca="1">'Required Capacity (Hide)'!E19</f>
        <v>#VALUE!</v>
      </c>
      <c r="B19" t="e" cm="1">
        <f t="array" ref="B19">INDEX(Capacity!$W$7:$W$106,COLUMN(A16),1)/IF(Summary!$B$7="Minutes",1,60)</f>
        <v>#VALUE!</v>
      </c>
      <c r="C19" t="e" cm="1">
        <f t="array" ref="C19">INDEX(Capacity!$W$7:$W$106,COLUMN(B16),1)/IF(Summary!$B$7="Minutes",1,60)</f>
        <v>#VALUE!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 t="e" vm="2">
        <f ca="1">'Required Capacity (Hide)'!E20</f>
        <v>#VALUE!</v>
      </c>
      <c r="B20" t="e" cm="1">
        <f t="array" ref="B20">INDEX(Capacity!$W$7:$W$106,COLUMN(A17),1)/IF(Summary!$B$7="Minutes",1,60)</f>
        <v>#VALUE!</v>
      </c>
      <c r="C20" t="e" cm="1">
        <f t="array" ref="C20">INDEX(Capacity!$W$7:$W$106,COLUMN(B17),1)/IF(Summary!$B$7="Minutes",1,60)</f>
        <v>#VALUE!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 t="e" vm="2">
        <f ca="1">'Required Capacity (Hide)'!E21</f>
        <v>#VALUE!</v>
      </c>
      <c r="B21" t="e" cm="1">
        <f t="array" ref="B21">INDEX(Capacity!$W$7:$W$106,COLUMN(A18),1)/IF(Summary!$B$7="Minutes",1,60)</f>
        <v>#VALUE!</v>
      </c>
      <c r="C21" t="e" cm="1">
        <f t="array" ref="C21">INDEX(Capacity!$W$7:$W$106,COLUMN(B18),1)/IF(Summary!$B$7="Minutes",1,60)</f>
        <v>#VALUE!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 t="e" vm="2">
        <f ca="1">'Required Capacity (Hide)'!E22</f>
        <v>#VALUE!</v>
      </c>
      <c r="B22" t="e" cm="1">
        <f t="array" ref="B22">INDEX(Capacity!$W$7:$W$106,COLUMN(A19),1)/IF(Summary!$B$7="Minutes",1,60)</f>
        <v>#VALUE!</v>
      </c>
      <c r="C22" t="e" cm="1">
        <f t="array" ref="C22">INDEX(Capacity!$W$7:$W$106,COLUMN(B19),1)/IF(Summary!$B$7="Minutes",1,60)</f>
        <v>#VALUE!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 t="e" vm="2">
        <f ca="1">'Required Capacity (Hide)'!E23</f>
        <v>#VALUE!</v>
      </c>
      <c r="B23" t="e" cm="1">
        <f t="array" ref="B23">INDEX(Capacity!$W$7:$W$106,COLUMN(A20),1)/IF(Summary!$B$7="Minutes",1,60)</f>
        <v>#VALUE!</v>
      </c>
      <c r="C23" t="e" cm="1">
        <f t="array" ref="C23">INDEX(Capacity!$W$7:$W$106,COLUMN(B20),1)/IF(Summary!$B$7="Minutes",1,60)</f>
        <v>#VALUE!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 t="e" vm="2">
        <f ca="1">'Required Capacity (Hide)'!E24</f>
        <v>#VALUE!</v>
      </c>
      <c r="B24" t="e" cm="1">
        <f t="array" ref="B24">INDEX(Capacity!$W$7:$W$106,COLUMN(A21),1)/IF(Summary!$B$7="Minutes",1,60)</f>
        <v>#VALUE!</v>
      </c>
      <c r="C24" t="e" cm="1">
        <f t="array" ref="C24">INDEX(Capacity!$W$7:$W$106,COLUMN(B21),1)/IF(Summary!$B$7="Minutes",1,60)</f>
        <v>#VALUE!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 t="e" vm="2">
        <f ca="1">'Required Capacity (Hide)'!E25</f>
        <v>#VALUE!</v>
      </c>
      <c r="B25" t="e" cm="1">
        <f t="array" ref="B25">INDEX(Capacity!$W$7:$W$106,COLUMN(A22),1)/IF(Summary!$B$7="Minutes",1,60)</f>
        <v>#VALUE!</v>
      </c>
      <c r="C25" t="e" cm="1">
        <f t="array" ref="C25">INDEX(Capacity!$W$7:$W$106,COLUMN(B22),1)/IF(Summary!$B$7="Minutes",1,60)</f>
        <v>#VALUE!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 t="e" vm="2">
        <f ca="1">'Required Capacity (Hide)'!E26</f>
        <v>#VALUE!</v>
      </c>
      <c r="B26" t="e" cm="1">
        <f t="array" ref="B26">INDEX(Capacity!$W$7:$W$106,COLUMN(A23),1)/IF(Summary!$B$7="Minutes",1,60)</f>
        <v>#VALUE!</v>
      </c>
      <c r="C26" t="e" cm="1">
        <f t="array" ref="C26">INDEX(Capacity!$W$7:$W$106,COLUMN(B23),1)/IF(Summary!$B$7="Minutes",1,60)</f>
        <v>#VALUE!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 t="e" vm="2">
        <f ca="1">'Required Capacity (Hide)'!E27</f>
        <v>#VALUE!</v>
      </c>
      <c r="B27" t="e" cm="1">
        <f t="array" ref="B27">INDEX(Capacity!$W$7:$W$106,COLUMN(A24),1)/IF(Summary!$B$7="Minutes",1,60)</f>
        <v>#VALUE!</v>
      </c>
      <c r="C27" t="e" cm="1">
        <f t="array" ref="C27">INDEX(Capacity!$W$7:$W$106,COLUMN(B24),1)/IF(Summary!$B$7="Minutes",1,60)</f>
        <v>#VALUE!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 t="e" vm="2">
        <f ca="1">'Required Capacity (Hide)'!E28</f>
        <v>#VALUE!</v>
      </c>
      <c r="B28" t="e" cm="1">
        <f t="array" ref="B28">INDEX(Capacity!$W$7:$W$106,COLUMN(A25),1)/IF(Summary!$B$7="Minutes",1,60)</f>
        <v>#VALUE!</v>
      </c>
      <c r="C28" t="e" cm="1">
        <f t="array" ref="C28">INDEX(Capacity!$W$7:$W$106,COLUMN(B25),1)/IF(Summary!$B$7="Minutes",1,60)</f>
        <v>#VALUE!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 t="e" vm="2">
        <f ca="1">'Required Capacity (Hide)'!E29</f>
        <v>#VALUE!</v>
      </c>
      <c r="B29" t="e" cm="1">
        <f t="array" ref="B29">INDEX(Capacity!$W$7:$W$106,COLUMN(A26),1)/IF(Summary!$B$7="Minutes",1,60)</f>
        <v>#VALUE!</v>
      </c>
      <c r="C29" t="e" cm="1">
        <f t="array" ref="C29">INDEX(Capacity!$W$7:$W$106,COLUMN(B26),1)/IF(Summary!$B$7="Minutes",1,60)</f>
        <v>#VALUE!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 t="e" vm="2">
        <f ca="1">'Required Capacity (Hide)'!E30</f>
        <v>#VALUE!</v>
      </c>
      <c r="B30" t="e" cm="1">
        <f t="array" ref="B30">INDEX(Capacity!$W$7:$W$106,COLUMN(A27),1)/IF(Summary!$B$7="Minutes",1,60)</f>
        <v>#VALUE!</v>
      </c>
      <c r="C30" t="e" cm="1">
        <f t="array" ref="C30">INDEX(Capacity!$W$7:$W$106,COLUMN(B27),1)/IF(Summary!$B$7="Minutes",1,60)</f>
        <v>#VALUE!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 t="e" vm="2">
        <f ca="1">'Required Capacity (Hide)'!E31</f>
        <v>#VALUE!</v>
      </c>
      <c r="B31" t="e" cm="1">
        <f t="array" ref="B31">INDEX(Capacity!$W$7:$W$106,COLUMN(A28),1)/IF(Summary!$B$7="Minutes",1,60)</f>
        <v>#VALUE!</v>
      </c>
      <c r="C31" t="e" cm="1">
        <f t="array" ref="C31">INDEX(Capacity!$W$7:$W$106,COLUMN(B28),1)/IF(Summary!$B$7="Minutes",1,60)</f>
        <v>#VALUE!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 t="e" vm="2">
        <f ca="1">'Required Capacity (Hide)'!E32</f>
        <v>#VALUE!</v>
      </c>
      <c r="B32" t="e" cm="1">
        <f t="array" ref="B32">INDEX(Capacity!$W$7:$W$106,COLUMN(A29),1)/IF(Summary!$B$7="Minutes",1,60)</f>
        <v>#VALUE!</v>
      </c>
      <c r="C32" t="e" cm="1">
        <f t="array" ref="C32">INDEX(Capacity!$W$7:$W$106,COLUMN(B29),1)/IF(Summary!$B$7="Minutes",1,60)</f>
        <v>#VALUE!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 t="e" vm="2">
        <f ca="1">'Required Capacity (Hide)'!E33</f>
        <v>#VALUE!</v>
      </c>
      <c r="B33" t="e" cm="1">
        <f t="array" ref="B33">INDEX(Capacity!$W$7:$W$106,COLUMN(A30),1)/IF(Summary!$B$7="Minutes",1,60)</f>
        <v>#VALUE!</v>
      </c>
      <c r="C33" t="e" cm="1">
        <f t="array" ref="C33">INDEX(Capacity!$W$7:$W$106,COLUMN(B30),1)/IF(Summary!$B$7="Minutes",1,60)</f>
        <v>#VALUE!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 t="e" vm="2">
        <f ca="1">'Required Capacity (Hide)'!E34</f>
        <v>#VALUE!</v>
      </c>
      <c r="B34" t="e" cm="1">
        <f t="array" ref="B34">INDEX(Capacity!$W$7:$W$106,COLUMN(A31),1)/IF(Summary!$B$7="Minutes",1,60)</f>
        <v>#VALUE!</v>
      </c>
      <c r="C34" t="e" cm="1">
        <f t="array" ref="C34">INDEX(Capacity!$W$7:$W$106,COLUMN(B31),1)/IF(Summary!$B$7="Minutes",1,60)</f>
        <v>#VALUE!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 t="e" vm="2">
        <f ca="1">'Required Capacity (Hide)'!E35</f>
        <v>#VALUE!</v>
      </c>
      <c r="B35" t="e" cm="1">
        <f t="array" ref="B35">INDEX(Capacity!$W$7:$W$106,COLUMN(A32),1)/IF(Summary!$B$7="Minutes",1,60)</f>
        <v>#VALUE!</v>
      </c>
      <c r="C35" t="e" cm="1">
        <f t="array" ref="C35">INDEX(Capacity!$W$7:$W$106,COLUMN(B32),1)/IF(Summary!$B$7="Minutes",1,60)</f>
        <v>#VALUE!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 t="e" vm="2">
        <f ca="1">'Required Capacity (Hide)'!E36</f>
        <v>#VALUE!</v>
      </c>
      <c r="B36" t="e" cm="1">
        <f t="array" ref="B36">INDEX(Capacity!$W$7:$W$106,COLUMN(A33),1)/IF(Summary!$B$7="Minutes",1,60)</f>
        <v>#VALUE!</v>
      </c>
      <c r="C36" t="e" cm="1">
        <f t="array" ref="C36">INDEX(Capacity!$W$7:$W$106,COLUMN(B33),1)/IF(Summary!$B$7="Minutes",1,60)</f>
        <v>#VALUE!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 t="e" vm="2">
        <f ca="1">'Required Capacity (Hide)'!E37</f>
        <v>#VALUE!</v>
      </c>
      <c r="B37" t="e" cm="1">
        <f t="array" ref="B37">INDEX(Capacity!$W$7:$W$106,COLUMN(A34),1)/IF(Summary!$B$7="Minutes",1,60)</f>
        <v>#VALUE!</v>
      </c>
      <c r="C37" t="e" cm="1">
        <f t="array" ref="C37">INDEX(Capacity!$W$7:$W$106,COLUMN(B34),1)/IF(Summary!$B$7="Minutes",1,60)</f>
        <v>#VALUE!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 t="e" vm="2">
        <f ca="1">'Required Capacity (Hide)'!E38</f>
        <v>#VALUE!</v>
      </c>
      <c r="B38" t="e" cm="1">
        <f t="array" ref="B38">INDEX(Capacity!$W$7:$W$106,COLUMN(A35),1)/IF(Summary!$B$7="Minutes",1,60)</f>
        <v>#VALUE!</v>
      </c>
      <c r="C38" t="e" cm="1">
        <f t="array" ref="C38">INDEX(Capacity!$W$7:$W$106,COLUMN(B35),1)/IF(Summary!$B$7="Minutes",1,60)</f>
        <v>#VALUE!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 t="e" vm="2">
        <f ca="1">'Required Capacity (Hide)'!E39</f>
        <v>#VALUE!</v>
      </c>
      <c r="B39" t="e" cm="1">
        <f t="array" ref="B39">INDEX(Capacity!$W$7:$W$106,COLUMN(A36),1)/IF(Summary!$B$7="Minutes",1,60)</f>
        <v>#VALUE!</v>
      </c>
      <c r="C39" t="e" cm="1">
        <f t="array" ref="C39">INDEX(Capacity!$W$7:$W$106,COLUMN(B36),1)/IF(Summary!$B$7="Minutes",1,60)</f>
        <v>#VALUE!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 t="e" vm="2">
        <f ca="1">'Required Capacity (Hide)'!E40</f>
        <v>#VALUE!</v>
      </c>
      <c r="B40" t="e" cm="1">
        <f t="array" ref="B40">INDEX(Capacity!$W$7:$W$106,COLUMN(A37),1)/IF(Summary!$B$7="Minutes",1,60)</f>
        <v>#VALUE!</v>
      </c>
      <c r="C40" t="e" cm="1">
        <f t="array" ref="C40">INDEX(Capacity!$W$7:$W$106,COLUMN(B37),1)/IF(Summary!$B$7="Minutes",1,60)</f>
        <v>#VALUE!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 t="e" vm="2">
        <f ca="1">'Required Capacity (Hide)'!E41</f>
        <v>#VALUE!</v>
      </c>
      <c r="B41" t="e" cm="1">
        <f t="array" ref="B41">INDEX(Capacity!$W$7:$W$106,COLUMN(A38),1)/IF(Summary!$B$7="Minutes",1,60)</f>
        <v>#VALUE!</v>
      </c>
      <c r="C41" t="e" cm="1">
        <f t="array" ref="C41">INDEX(Capacity!$W$7:$W$106,COLUMN(B38),1)/IF(Summary!$B$7="Minutes",1,60)</f>
        <v>#VALUE!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 t="e" vm="2">
        <f ca="1">'Required Capacity (Hide)'!E42</f>
        <v>#VALUE!</v>
      </c>
      <c r="B42" t="e" cm="1">
        <f t="array" ref="B42">INDEX(Capacity!$W$7:$W$106,COLUMN(A39),1)/IF(Summary!$B$7="Minutes",1,60)</f>
        <v>#VALUE!</v>
      </c>
      <c r="C42" t="e" cm="1">
        <f t="array" ref="C42">INDEX(Capacity!$W$7:$W$106,COLUMN(B39),1)/IF(Summary!$B$7="Minutes",1,60)</f>
        <v>#VALUE!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 t="e" vm="2">
        <f ca="1">'Required Capacity (Hide)'!E43</f>
        <v>#VALUE!</v>
      </c>
      <c r="B43" t="e" cm="1">
        <f t="array" ref="B43">INDEX(Capacity!$W$7:$W$106,COLUMN(A40),1)/IF(Summary!$B$7="Minutes",1,60)</f>
        <v>#VALUE!</v>
      </c>
      <c r="C43" t="e" cm="1">
        <f t="array" ref="C43">INDEX(Capacity!$W$7:$W$106,COLUMN(B40),1)/IF(Summary!$B$7="Minutes",1,60)</f>
        <v>#VALUE!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 t="e" vm="2">
        <f ca="1">'Required Capacity (Hide)'!E44</f>
        <v>#VALUE!</v>
      </c>
      <c r="B44" t="e" cm="1">
        <f t="array" ref="B44">INDEX(Capacity!$W$7:$W$106,COLUMN(A41),1)/IF(Summary!$B$7="Minutes",1,60)</f>
        <v>#VALUE!</v>
      </c>
      <c r="C44" t="e" cm="1">
        <f t="array" ref="C44">INDEX(Capacity!$W$7:$W$106,COLUMN(B41),1)/IF(Summary!$B$7="Minutes",1,60)</f>
        <v>#VALUE!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 t="e" vm="2">
        <f ca="1">'Required Capacity (Hide)'!E45</f>
        <v>#VALUE!</v>
      </c>
      <c r="B45" t="e" cm="1">
        <f t="array" ref="B45">INDEX(Capacity!$W$7:$W$106,COLUMN(A42),1)/IF(Summary!$B$7="Minutes",1,60)</f>
        <v>#VALUE!</v>
      </c>
      <c r="C45" t="e" cm="1">
        <f t="array" ref="C45">INDEX(Capacity!$W$7:$W$106,COLUMN(B42),1)/IF(Summary!$B$7="Minutes",1,60)</f>
        <v>#VALUE!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 t="e" vm="2">
        <f ca="1">'Required Capacity (Hide)'!E46</f>
        <v>#VALUE!</v>
      </c>
      <c r="B46" t="e" cm="1">
        <f t="array" ref="B46">INDEX(Capacity!$W$7:$W$106,COLUMN(A43),1)/IF(Summary!$B$7="Minutes",1,60)</f>
        <v>#VALUE!</v>
      </c>
      <c r="C46" t="e" cm="1">
        <f t="array" ref="C46">INDEX(Capacity!$W$7:$W$106,COLUMN(B43),1)/IF(Summary!$B$7="Minutes",1,60)</f>
        <v>#VALUE!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 t="e" vm="2">
        <f ca="1">'Required Capacity (Hide)'!E47</f>
        <v>#VALUE!</v>
      </c>
      <c r="B47" t="e" cm="1">
        <f t="array" ref="B47">INDEX(Capacity!$W$7:$W$106,COLUMN(A44),1)/IF(Summary!$B$7="Minutes",1,60)</f>
        <v>#VALUE!</v>
      </c>
      <c r="C47" t="e" cm="1">
        <f t="array" ref="C47">INDEX(Capacity!$W$7:$W$106,COLUMN(B44),1)/IF(Summary!$B$7="Minutes",1,60)</f>
        <v>#VALUE!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 t="e" vm="2">
        <f ca="1">'Required Capacity (Hide)'!E48</f>
        <v>#VALUE!</v>
      </c>
      <c r="B48" t="e" cm="1">
        <f t="array" ref="B48">INDEX(Capacity!$W$7:$W$106,COLUMN(A45),1)/IF(Summary!$B$7="Minutes",1,60)</f>
        <v>#VALUE!</v>
      </c>
      <c r="C48" t="e" cm="1">
        <f t="array" ref="C48">INDEX(Capacity!$W$7:$W$106,COLUMN(B45),1)/IF(Summary!$B$7="Minutes",1,60)</f>
        <v>#VALUE!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 t="e" vm="2">
        <f ca="1">'Required Capacity (Hide)'!E49</f>
        <v>#VALUE!</v>
      </c>
      <c r="B49" t="e" cm="1">
        <f t="array" ref="B49">INDEX(Capacity!$W$7:$W$106,COLUMN(A46),1)/IF(Summary!$B$7="Minutes",1,60)</f>
        <v>#VALUE!</v>
      </c>
      <c r="C49" t="e" cm="1">
        <f t="array" ref="C49">INDEX(Capacity!$W$7:$W$106,COLUMN(B46),1)/IF(Summary!$B$7="Minutes",1,60)</f>
        <v>#VALUE!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 t="e" vm="2">
        <f ca="1">'Required Capacity (Hide)'!E50</f>
        <v>#VALUE!</v>
      </c>
      <c r="B50" t="e" cm="1">
        <f t="array" ref="B50">INDEX(Capacity!$W$7:$W$106,COLUMN(A47),1)/IF(Summary!$B$7="Minutes",1,60)</f>
        <v>#VALUE!</v>
      </c>
      <c r="C50" t="e" cm="1">
        <f t="array" ref="C50">INDEX(Capacity!$W$7:$W$106,COLUMN(B47),1)/IF(Summary!$B$7="Minutes",1,60)</f>
        <v>#VALUE!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 t="e" vm="2">
        <f ca="1">'Required Capacity (Hide)'!E51</f>
        <v>#VALUE!</v>
      </c>
      <c r="B51" t="e" cm="1">
        <f t="array" ref="B51">INDEX(Capacity!$W$7:$W$106,COLUMN(A48),1)/IF(Summary!$B$7="Minutes",1,60)</f>
        <v>#VALUE!</v>
      </c>
      <c r="C51" t="e" cm="1">
        <f t="array" ref="C51">INDEX(Capacity!$W$7:$W$106,COLUMN(B48),1)/IF(Summary!$B$7="Minutes",1,60)</f>
        <v>#VALUE!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 t="e" vm="2">
        <f ca="1">'Required Capacity (Hide)'!E52</f>
        <v>#VALUE!</v>
      </c>
      <c r="B52" t="e" cm="1">
        <f t="array" ref="B52">INDEX(Capacity!$W$7:$W$106,COLUMN(A49),1)/IF(Summary!$B$7="Minutes",1,60)</f>
        <v>#VALUE!</v>
      </c>
      <c r="C52" t="e" cm="1">
        <f t="array" ref="C52">INDEX(Capacity!$W$7:$W$106,COLUMN(B49),1)/IF(Summary!$B$7="Minutes",1,60)</f>
        <v>#VALUE!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 t="e" vm="2">
        <f ca="1">'Required Capacity (Hide)'!E53</f>
        <v>#VALUE!</v>
      </c>
      <c r="B53" t="e" cm="1">
        <f t="array" ref="B53">INDEX(Capacity!$W$7:$W$106,COLUMN(A50),1)/IF(Summary!$B$7="Minutes",1,60)</f>
        <v>#VALUE!</v>
      </c>
      <c r="C53" t="e" cm="1">
        <f t="array" ref="C53">INDEX(Capacity!$W$7:$W$106,COLUMN(B50),1)/IF(Summary!$B$7="Minutes",1,60)</f>
        <v>#VALUE!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 t="e" vm="2">
        <f ca="1">'Required Capacity (Hide)'!E54</f>
        <v>#VALUE!</v>
      </c>
      <c r="B54" t="e" cm="1">
        <f t="array" ref="B54">INDEX(Capacity!$W$7:$W$106,COLUMN(A51),1)/IF(Summary!$B$7="Minutes",1,60)</f>
        <v>#VALUE!</v>
      </c>
      <c r="C54" t="e" cm="1">
        <f t="array" ref="C54">INDEX(Capacity!$W$7:$W$106,COLUMN(B51),1)/IF(Summary!$B$7="Minutes",1,60)</f>
        <v>#VALUE!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 t="e" vm="2">
        <f ca="1">'Required Capacity (Hide)'!E55</f>
        <v>#VALUE!</v>
      </c>
      <c r="B55" t="e" cm="1">
        <f t="array" ref="B55">INDEX(Capacity!$W$7:$W$106,COLUMN(A52),1)/IF(Summary!$B$7="Minutes",1,60)</f>
        <v>#VALUE!</v>
      </c>
      <c r="C55" t="e" cm="1">
        <f t="array" ref="C55">INDEX(Capacity!$W$7:$W$106,COLUMN(B52),1)/IF(Summary!$B$7="Minutes",1,60)</f>
        <v>#VALUE!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 t="e" vm="2">
        <f ca="1">'Required Capacity (Hide)'!E56</f>
        <v>#VALUE!</v>
      </c>
      <c r="B56" t="e" cm="1">
        <f t="array" ref="B56">INDEX(Capacity!$W$7:$W$106,COLUMN(A53),1)/IF(Summary!$B$7="Minutes",1,60)</f>
        <v>#VALUE!</v>
      </c>
      <c r="C56" t="e" cm="1">
        <f t="array" ref="C56">INDEX(Capacity!$W$7:$W$106,COLUMN(B53),1)/IF(Summary!$B$7="Minutes",1,60)</f>
        <v>#VALUE!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73</v>
      </c>
    </row>
    <row r="59" spans="1:101" x14ac:dyDescent="0.35">
      <c r="A59" s="2" t="str" cm="1">
        <f t="array" ref="A59">INDEX('Data Validation (Hide)'!$B$2:$B$16,ROW(A1),1)</f>
        <v>Caseload 1</v>
      </c>
      <c r="B59" cm="1">
        <f t="array" ref="B59">INDEX(Capacity!$C$7:$Q$106,COLUMN(A2),MATCH('Capacity Backing (Hide)'!$A59,Capacity!$C$6:$Q$6,0))</f>
        <v>0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Caseload 2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Caseload 3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Caseload 4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52</v>
      </c>
      <c r="B75" s="2" t="e" cm="1" vm="2">
        <f t="array" aca="1" ref="B75" ca="1">INDEX($A$5:$A$56,COLUMN(A2),1)</f>
        <v>#VALUE!</v>
      </c>
      <c r="C75" s="2" t="e" cm="1" vm="2">
        <f t="array" aca="1" ref="C75" ca="1">INDEX($A$5:$A$56,COLUMN(B2),1)</f>
        <v>#VALUE!</v>
      </c>
      <c r="D75" s="2" t="e" cm="1" vm="2">
        <f t="array" aca="1" ref="D75" ca="1">INDEX($A$5:$A$56,COLUMN(C2),1)</f>
        <v>#VALUE!</v>
      </c>
      <c r="E75" s="2" t="e" cm="1" vm="2">
        <f t="array" aca="1" ref="E75" ca="1">INDEX($A$5:$A$56,COLUMN(D2),1)</f>
        <v>#VALUE!</v>
      </c>
      <c r="F75" s="2" t="e" cm="1" vm="2">
        <f t="array" aca="1" ref="F75" ca="1">INDEX($A$5:$A$56,COLUMN(E2),1)</f>
        <v>#VALUE!</v>
      </c>
      <c r="G75" s="2" t="e" cm="1" vm="2">
        <f t="array" aca="1" ref="G75" ca="1">INDEX($A$5:$A$56,COLUMN(F2),1)</f>
        <v>#VALUE!</v>
      </c>
      <c r="H75" s="2" t="e" cm="1" vm="2">
        <f t="array" aca="1" ref="H75" ca="1">INDEX($A$5:$A$56,COLUMN(G2),1)</f>
        <v>#VALUE!</v>
      </c>
      <c r="I75" s="2" t="e" cm="1" vm="2">
        <f t="array" aca="1" ref="I75" ca="1">INDEX($A$5:$A$56,COLUMN(H2),1)</f>
        <v>#VALUE!</v>
      </c>
      <c r="J75" s="2" t="e" cm="1" vm="2">
        <f t="array" aca="1" ref="J75" ca="1">INDEX($A$5:$A$56,COLUMN(I2),1)</f>
        <v>#VALUE!</v>
      </c>
      <c r="K75" s="2" t="e" cm="1" vm="2">
        <f t="array" aca="1" ref="K75" ca="1">INDEX($A$5:$A$56,COLUMN(J2),1)</f>
        <v>#VALUE!</v>
      </c>
      <c r="L75" s="2" t="e" cm="1" vm="2">
        <f t="array" aca="1" ref="L75" ca="1">INDEX($A$5:$A$56,COLUMN(K2),1)</f>
        <v>#VALUE!</v>
      </c>
      <c r="M75" s="2" t="e" cm="1" vm="2">
        <f t="array" aca="1" ref="M75" ca="1">INDEX($A$5:$A$56,COLUMN(L2),1)</f>
        <v>#VALUE!</v>
      </c>
      <c r="N75" s="2" t="e" cm="1" vm="2">
        <f t="array" aca="1" ref="N75" ca="1">INDEX($A$5:$A$56,COLUMN(M2),1)</f>
        <v>#VALUE!</v>
      </c>
      <c r="O75" s="2" t="e" cm="1" vm="2">
        <f t="array" aca="1" ref="O75" ca="1">INDEX($A$5:$A$56,COLUMN(N2),1)</f>
        <v>#VALUE!</v>
      </c>
      <c r="P75" s="2" t="e" cm="1" vm="2">
        <f t="array" aca="1" ref="P75" ca="1">INDEX($A$5:$A$56,COLUMN(O2),1)</f>
        <v>#VALUE!</v>
      </c>
      <c r="Q75" s="2" t="e" cm="1" vm="2">
        <f t="array" aca="1" ref="Q75" ca="1">INDEX($A$5:$A$56,COLUMN(P2),1)</f>
        <v>#VALUE!</v>
      </c>
      <c r="R75" s="2" t="e" cm="1" vm="2">
        <f t="array" aca="1" ref="R75" ca="1">INDEX($A$5:$A$56,COLUMN(Q2),1)</f>
        <v>#VALUE!</v>
      </c>
      <c r="S75" s="2" t="e" cm="1" vm="2">
        <f t="array" aca="1" ref="S75" ca="1">INDEX($A$5:$A$56,COLUMN(R2),1)</f>
        <v>#VALUE!</v>
      </c>
      <c r="T75" s="2" t="e" cm="1" vm="2">
        <f t="array" aca="1" ref="T75" ca="1">INDEX($A$5:$A$56,COLUMN(S2),1)</f>
        <v>#VALUE!</v>
      </c>
      <c r="U75" s="2" t="e" cm="1" vm="2">
        <f t="array" aca="1" ref="U75" ca="1">INDEX($A$5:$A$56,COLUMN(T2),1)</f>
        <v>#VALUE!</v>
      </c>
      <c r="V75" s="2" t="e" cm="1" vm="2">
        <f t="array" aca="1" ref="V75" ca="1">INDEX($A$5:$A$56,COLUMN(U2),1)</f>
        <v>#VALUE!</v>
      </c>
      <c r="W75" s="2" t="e" cm="1" vm="2">
        <f t="array" aca="1" ref="W75" ca="1">INDEX($A$5:$A$56,COLUMN(V2),1)</f>
        <v>#VALUE!</v>
      </c>
      <c r="X75" s="2" t="e" cm="1" vm="2">
        <f t="array" aca="1" ref="X75" ca="1">INDEX($A$5:$A$56,COLUMN(W2),1)</f>
        <v>#VALUE!</v>
      </c>
      <c r="Y75" s="2" t="e" cm="1" vm="2">
        <f t="array" aca="1" ref="Y75" ca="1">INDEX($A$5:$A$56,COLUMN(X2),1)</f>
        <v>#VALUE!</v>
      </c>
      <c r="Z75" s="2" t="e" cm="1" vm="2">
        <f t="array" aca="1" ref="Z75" ca="1">INDEX($A$5:$A$56,COLUMN(Y2),1)</f>
        <v>#VALUE!</v>
      </c>
      <c r="AA75" s="2" t="e" cm="1" vm="2">
        <f t="array" aca="1" ref="AA75" ca="1">INDEX($A$5:$A$56,COLUMN(Z2),1)</f>
        <v>#VALUE!</v>
      </c>
      <c r="AB75" s="2" t="e" cm="1" vm="2">
        <f t="array" aca="1" ref="AB75" ca="1">INDEX($A$5:$A$56,COLUMN(AA2),1)</f>
        <v>#VALUE!</v>
      </c>
      <c r="AC75" s="2" t="e" cm="1" vm="2">
        <f t="array" aca="1" ref="AC75" ca="1">INDEX($A$5:$A$56,COLUMN(AB2),1)</f>
        <v>#VALUE!</v>
      </c>
      <c r="AD75" s="2" t="e" cm="1" vm="2">
        <f t="array" aca="1" ref="AD75" ca="1">INDEX($A$5:$A$56,COLUMN(AC2),1)</f>
        <v>#VALUE!</v>
      </c>
      <c r="AE75" s="2" t="e" cm="1" vm="2">
        <f t="array" aca="1" ref="AE75" ca="1">INDEX($A$5:$A$56,COLUMN(AD2),1)</f>
        <v>#VALUE!</v>
      </c>
      <c r="AF75" s="2" t="e" cm="1" vm="2">
        <f t="array" aca="1" ref="AF75" ca="1">INDEX($A$5:$A$56,COLUMN(AE2),1)</f>
        <v>#VALUE!</v>
      </c>
      <c r="AG75" s="2" t="e" cm="1" vm="2">
        <f t="array" aca="1" ref="AG75" ca="1">INDEX($A$5:$A$56,COLUMN(AF2),1)</f>
        <v>#VALUE!</v>
      </c>
      <c r="AH75" s="2" t="e" cm="1" vm="2">
        <f t="array" aca="1" ref="AH75" ca="1">INDEX($A$5:$A$56,COLUMN(AG2),1)</f>
        <v>#VALUE!</v>
      </c>
      <c r="AI75" s="2" t="e" cm="1" vm="2">
        <f t="array" aca="1" ref="AI75" ca="1">INDEX($A$5:$A$56,COLUMN(AH2),1)</f>
        <v>#VALUE!</v>
      </c>
      <c r="AJ75" s="2" t="e" cm="1" vm="2">
        <f t="array" aca="1" ref="AJ75" ca="1">INDEX($A$5:$A$56,COLUMN(AI2),1)</f>
        <v>#VALUE!</v>
      </c>
      <c r="AK75" s="2" t="e" cm="1" vm="2">
        <f t="array" aca="1" ref="AK75" ca="1">INDEX($A$5:$A$56,COLUMN(AJ2),1)</f>
        <v>#VALUE!</v>
      </c>
      <c r="AL75" s="2" t="e" cm="1" vm="2">
        <f t="array" aca="1" ref="AL75" ca="1">INDEX($A$5:$A$56,COLUMN(AK2),1)</f>
        <v>#VALUE!</v>
      </c>
      <c r="AM75" s="2" t="e" cm="1" vm="2">
        <f t="array" aca="1" ref="AM75" ca="1">INDEX($A$5:$A$56,COLUMN(AL2),1)</f>
        <v>#VALUE!</v>
      </c>
      <c r="AN75" s="2" t="e" cm="1" vm="2">
        <f t="array" aca="1" ref="AN75" ca="1">INDEX($A$5:$A$56,COLUMN(AM2),1)</f>
        <v>#VALUE!</v>
      </c>
      <c r="AO75" s="2" t="e" cm="1" vm="2">
        <f t="array" aca="1" ref="AO75" ca="1">INDEX($A$5:$A$56,COLUMN(AN2),1)</f>
        <v>#VALUE!</v>
      </c>
      <c r="AP75" s="2" t="e" cm="1" vm="2">
        <f t="array" aca="1" ref="AP75" ca="1">INDEX($A$5:$A$56,COLUMN(AO2),1)</f>
        <v>#VALUE!</v>
      </c>
      <c r="AQ75" s="2" t="e" cm="1" vm="2">
        <f t="array" aca="1" ref="AQ75" ca="1">INDEX($A$5:$A$56,COLUMN(AP2),1)</f>
        <v>#VALUE!</v>
      </c>
      <c r="AR75" s="2" t="e" cm="1" vm="2">
        <f t="array" aca="1" ref="AR75" ca="1">INDEX($A$5:$A$56,COLUMN(AQ2),1)</f>
        <v>#VALUE!</v>
      </c>
      <c r="AS75" s="2" t="e" cm="1" vm="2">
        <f t="array" aca="1" ref="AS75" ca="1">INDEX($A$5:$A$56,COLUMN(AR2),1)</f>
        <v>#VALUE!</v>
      </c>
      <c r="AT75" s="2" t="e" cm="1" vm="2">
        <f t="array" aca="1" ref="AT75" ca="1">INDEX($A$5:$A$56,COLUMN(AS2),1)</f>
        <v>#VALUE!</v>
      </c>
      <c r="AU75" s="2" t="e" cm="1" vm="2">
        <f t="array" aca="1" ref="AU75" ca="1">INDEX($A$5:$A$56,COLUMN(AT2),1)</f>
        <v>#VALUE!</v>
      </c>
      <c r="AV75" s="2" t="e" cm="1" vm="2">
        <f t="array" aca="1" ref="AV75" ca="1">INDEX($A$5:$A$56,COLUMN(AU2),1)</f>
        <v>#VALUE!</v>
      </c>
      <c r="AW75" s="2" t="e" cm="1" vm="2">
        <f t="array" aca="1" ref="AW75" ca="1">INDEX($A$5:$A$56,COLUMN(AV2),1)</f>
        <v>#VALUE!</v>
      </c>
      <c r="AX75" s="2" t="e" cm="1" vm="2">
        <f t="array" aca="1" ref="AX75" ca="1">INDEX($A$5:$A$56,COLUMN(AW2),1)</f>
        <v>#VALUE!</v>
      </c>
      <c r="AY75" s="2" t="e" cm="1" vm="2">
        <f t="array" aca="1" ref="AY75" ca="1">INDEX($A$5:$A$56,COLUMN(AX2),1)</f>
        <v>#VALUE!</v>
      </c>
      <c r="AZ75" s="2" t="e" cm="1" vm="2">
        <f t="array" aca="1" ref="AZ75" ca="1">INDEX($A$5:$A$56,COLUMN(AY2),1)</f>
        <v>#VALUE!</v>
      </c>
      <c r="BA75" s="2" t="e" cm="1" vm="2">
        <f t="array" aca="1" ref="BA75" ca="1">INDEX($A$5:$A$56,COLUMN(AZ2),1)</f>
        <v>#VALUE!</v>
      </c>
      <c r="BB75" s="2"/>
      <c r="BC75" s="2" t="s">
        <v>128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Caseload 2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Caseload 3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Caseload 4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142</v>
      </c>
      <c r="B91">
        <f>SUM(B76:B90)</f>
        <v>0</v>
      </c>
      <c r="C91">
        <f t="shared" ref="C91:BA91" si="5">SUM(C76:C90)</f>
        <v>0</v>
      </c>
      <c r="D91">
        <f t="shared" si="5"/>
        <v>0</v>
      </c>
      <c r="E91">
        <f t="shared" si="5"/>
        <v>0</v>
      </c>
      <c r="F91">
        <f t="shared" si="5"/>
        <v>0</v>
      </c>
      <c r="G91">
        <f t="shared" si="5"/>
        <v>0</v>
      </c>
      <c r="H91">
        <f t="shared" si="5"/>
        <v>0</v>
      </c>
      <c r="I91">
        <f t="shared" si="5"/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N91">
        <f t="shared" si="5"/>
        <v>0</v>
      </c>
      <c r="O91">
        <f t="shared" si="5"/>
        <v>0</v>
      </c>
      <c r="P91">
        <f t="shared" si="5"/>
        <v>0</v>
      </c>
      <c r="Q91">
        <f t="shared" si="5"/>
        <v>0</v>
      </c>
      <c r="R91">
        <f t="shared" si="5"/>
        <v>0</v>
      </c>
      <c r="S91">
        <f t="shared" si="5"/>
        <v>0</v>
      </c>
      <c r="T91">
        <f t="shared" si="5"/>
        <v>0</v>
      </c>
      <c r="U91">
        <f t="shared" si="5"/>
        <v>0</v>
      </c>
      <c r="V91">
        <f t="shared" si="5"/>
        <v>0</v>
      </c>
      <c r="W91">
        <f t="shared" si="5"/>
        <v>0</v>
      </c>
      <c r="X91">
        <f t="shared" si="5"/>
        <v>0</v>
      </c>
      <c r="Y91">
        <f t="shared" si="5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5"/>
        <v>0</v>
      </c>
      <c r="AE91">
        <f t="shared" si="5"/>
        <v>0</v>
      </c>
      <c r="AF91">
        <f t="shared" si="5"/>
        <v>0</v>
      </c>
      <c r="AG91">
        <f t="shared" si="5"/>
        <v>0</v>
      </c>
      <c r="AH91">
        <f t="shared" si="5"/>
        <v>0</v>
      </c>
      <c r="AI91">
        <f t="shared" si="5"/>
        <v>0</v>
      </c>
      <c r="AJ91">
        <f t="shared" si="5"/>
        <v>0</v>
      </c>
      <c r="AK91">
        <f t="shared" si="5"/>
        <v>0</v>
      </c>
      <c r="AL91">
        <f t="shared" si="5"/>
        <v>0</v>
      </c>
      <c r="AM91">
        <f t="shared" si="5"/>
        <v>0</v>
      </c>
      <c r="AN91">
        <f t="shared" si="5"/>
        <v>0</v>
      </c>
      <c r="AO91">
        <f t="shared" si="5"/>
        <v>0</v>
      </c>
      <c r="AP91">
        <f t="shared" si="5"/>
        <v>0</v>
      </c>
      <c r="AQ91">
        <f t="shared" si="5"/>
        <v>0</v>
      </c>
      <c r="AR91">
        <f t="shared" si="5"/>
        <v>0</v>
      </c>
      <c r="AS91">
        <f t="shared" si="5"/>
        <v>0</v>
      </c>
      <c r="AT91">
        <f t="shared" si="5"/>
        <v>0</v>
      </c>
      <c r="AU91">
        <f t="shared" si="5"/>
        <v>0</v>
      </c>
      <c r="AV91">
        <f t="shared" si="5"/>
        <v>0</v>
      </c>
      <c r="AW91">
        <f t="shared" si="5"/>
        <v>0</v>
      </c>
      <c r="AX91">
        <f t="shared" si="5"/>
        <v>0</v>
      </c>
      <c r="AY91">
        <f t="shared" si="5"/>
        <v>0</v>
      </c>
      <c r="AZ91">
        <f t="shared" si="5"/>
        <v>0</v>
      </c>
      <c r="BA91">
        <f t="shared" si="5"/>
        <v>0</v>
      </c>
    </row>
    <row r="92" spans="1:55" x14ac:dyDescent="0.35">
      <c r="A92" s="2"/>
    </row>
    <row r="93" spans="1:55" x14ac:dyDescent="0.35">
      <c r="A93" s="2" t="s">
        <v>50</v>
      </c>
      <c r="B93" s="2" t="e" cm="1" vm="2">
        <f t="array" aca="1" ref="B93" ca="1">INDEX($A$5:$A$56,COLUMN(A19),1)</f>
        <v>#VALUE!</v>
      </c>
      <c r="C93" s="2" t="e" cm="1" vm="2">
        <f t="array" aca="1" ref="C93" ca="1">INDEX($A$5:$A$56,COLUMN(B19),1)</f>
        <v>#VALUE!</v>
      </c>
      <c r="D93" s="2" t="e" cm="1" vm="2">
        <f t="array" aca="1" ref="D93" ca="1">INDEX($A$5:$A$56,COLUMN(C19),1)</f>
        <v>#VALUE!</v>
      </c>
      <c r="E93" s="2" t="e" cm="1" vm="2">
        <f t="array" aca="1" ref="E93" ca="1">INDEX($A$5:$A$56,COLUMN(D19),1)</f>
        <v>#VALUE!</v>
      </c>
      <c r="F93" s="2" t="e" cm="1" vm="2">
        <f t="array" aca="1" ref="F93" ca="1">INDEX($A$5:$A$56,COLUMN(E19),1)</f>
        <v>#VALUE!</v>
      </c>
      <c r="G93" s="2" t="e" cm="1" vm="2">
        <f t="array" aca="1" ref="G93" ca="1">INDEX($A$5:$A$56,COLUMN(F19),1)</f>
        <v>#VALUE!</v>
      </c>
      <c r="H93" s="2" t="e" cm="1" vm="2">
        <f t="array" aca="1" ref="H93" ca="1">INDEX($A$5:$A$56,COLUMN(G19),1)</f>
        <v>#VALUE!</v>
      </c>
      <c r="I93" s="2" t="e" cm="1" vm="2">
        <f t="array" aca="1" ref="I93" ca="1">INDEX($A$5:$A$56,COLUMN(H19),1)</f>
        <v>#VALUE!</v>
      </c>
      <c r="J93" s="2" t="e" cm="1" vm="2">
        <f t="array" aca="1" ref="J93" ca="1">INDEX($A$5:$A$56,COLUMN(I19),1)</f>
        <v>#VALUE!</v>
      </c>
      <c r="K93" s="2" t="e" cm="1" vm="2">
        <f t="array" aca="1" ref="K93" ca="1">INDEX($A$5:$A$56,COLUMN(J19),1)</f>
        <v>#VALUE!</v>
      </c>
      <c r="L93" s="2" t="e" cm="1" vm="2">
        <f t="array" aca="1" ref="L93" ca="1">INDEX($A$5:$A$56,COLUMN(K19),1)</f>
        <v>#VALUE!</v>
      </c>
      <c r="M93" s="2" t="e" cm="1" vm="2">
        <f t="array" aca="1" ref="M93" ca="1">INDEX($A$5:$A$56,COLUMN(L19),1)</f>
        <v>#VALUE!</v>
      </c>
      <c r="N93" s="2" t="e" cm="1" vm="2">
        <f t="array" aca="1" ref="N93" ca="1">INDEX($A$5:$A$56,COLUMN(M19),1)</f>
        <v>#VALUE!</v>
      </c>
      <c r="O93" s="2" t="e" cm="1" vm="2">
        <f t="array" aca="1" ref="O93" ca="1">INDEX($A$5:$A$56,COLUMN(N19),1)</f>
        <v>#VALUE!</v>
      </c>
      <c r="P93" s="2" t="e" cm="1" vm="2">
        <f t="array" aca="1" ref="P93" ca="1">INDEX($A$5:$A$56,COLUMN(O19),1)</f>
        <v>#VALUE!</v>
      </c>
      <c r="Q93" s="2" t="e" cm="1" vm="2">
        <f t="array" aca="1" ref="Q93" ca="1">INDEX($A$5:$A$56,COLUMN(P19),1)</f>
        <v>#VALUE!</v>
      </c>
      <c r="R93" s="2" t="e" cm="1" vm="2">
        <f t="array" aca="1" ref="R93" ca="1">INDEX($A$5:$A$56,COLUMN(Q19),1)</f>
        <v>#VALUE!</v>
      </c>
      <c r="S93" s="2" t="e" cm="1" vm="2">
        <f t="array" aca="1" ref="S93" ca="1">INDEX($A$5:$A$56,COLUMN(R19),1)</f>
        <v>#VALUE!</v>
      </c>
      <c r="T93" s="2" t="e" cm="1" vm="2">
        <f t="array" aca="1" ref="T93" ca="1">INDEX($A$5:$A$56,COLUMN(S19),1)</f>
        <v>#VALUE!</v>
      </c>
      <c r="U93" s="2" t="e" cm="1" vm="2">
        <f t="array" aca="1" ref="U93" ca="1">INDEX($A$5:$A$56,COLUMN(T19),1)</f>
        <v>#VALUE!</v>
      </c>
      <c r="V93" s="2" t="e" cm="1" vm="2">
        <f t="array" aca="1" ref="V93" ca="1">INDEX($A$5:$A$56,COLUMN(U19),1)</f>
        <v>#VALUE!</v>
      </c>
      <c r="W93" s="2" t="e" cm="1" vm="2">
        <f t="array" aca="1" ref="W93" ca="1">INDEX($A$5:$A$56,COLUMN(V19),1)</f>
        <v>#VALUE!</v>
      </c>
      <c r="X93" s="2" t="e" cm="1" vm="2">
        <f t="array" aca="1" ref="X93" ca="1">INDEX($A$5:$A$56,COLUMN(W19),1)</f>
        <v>#VALUE!</v>
      </c>
      <c r="Y93" s="2" t="e" cm="1" vm="2">
        <f t="array" aca="1" ref="Y93" ca="1">INDEX($A$5:$A$56,COLUMN(X19),1)</f>
        <v>#VALUE!</v>
      </c>
      <c r="Z93" s="2" t="e" cm="1" vm="2">
        <f t="array" aca="1" ref="Z93" ca="1">INDEX($A$5:$A$56,COLUMN(Y19),1)</f>
        <v>#VALUE!</v>
      </c>
      <c r="AA93" s="2" t="e" cm="1" vm="2">
        <f t="array" aca="1" ref="AA93" ca="1">INDEX($A$5:$A$56,COLUMN(Z19),1)</f>
        <v>#VALUE!</v>
      </c>
      <c r="AB93" s="2" t="e" cm="1" vm="2">
        <f t="array" aca="1" ref="AB93" ca="1">INDEX($A$5:$A$56,COLUMN(AA19),1)</f>
        <v>#VALUE!</v>
      </c>
      <c r="AC93" s="2" t="e" cm="1" vm="2">
        <f t="array" aca="1" ref="AC93" ca="1">INDEX($A$5:$A$56,COLUMN(AB19),1)</f>
        <v>#VALUE!</v>
      </c>
      <c r="AD93" s="2" t="e" cm="1" vm="2">
        <f t="array" aca="1" ref="AD93" ca="1">INDEX($A$5:$A$56,COLUMN(AC19),1)</f>
        <v>#VALUE!</v>
      </c>
      <c r="AE93" s="2" t="e" cm="1" vm="2">
        <f t="array" aca="1" ref="AE93" ca="1">INDEX($A$5:$A$56,COLUMN(AD19),1)</f>
        <v>#VALUE!</v>
      </c>
      <c r="AF93" s="2" t="e" cm="1" vm="2">
        <f t="array" aca="1" ref="AF93" ca="1">INDEX($A$5:$A$56,COLUMN(AE19),1)</f>
        <v>#VALUE!</v>
      </c>
      <c r="AG93" s="2" t="e" cm="1" vm="2">
        <f t="array" aca="1" ref="AG93" ca="1">INDEX($A$5:$A$56,COLUMN(AF19),1)</f>
        <v>#VALUE!</v>
      </c>
      <c r="AH93" s="2" t="e" cm="1" vm="2">
        <f t="array" aca="1" ref="AH93" ca="1">INDEX($A$5:$A$56,COLUMN(AG19),1)</f>
        <v>#VALUE!</v>
      </c>
      <c r="AI93" s="2" t="e" cm="1" vm="2">
        <f t="array" aca="1" ref="AI93" ca="1">INDEX($A$5:$A$56,COLUMN(AH19),1)</f>
        <v>#VALUE!</v>
      </c>
      <c r="AJ93" s="2" t="e" cm="1" vm="2">
        <f t="array" aca="1" ref="AJ93" ca="1">INDEX($A$5:$A$56,COLUMN(AI19),1)</f>
        <v>#VALUE!</v>
      </c>
      <c r="AK93" s="2" t="e" cm="1" vm="2">
        <f t="array" aca="1" ref="AK93" ca="1">INDEX($A$5:$A$56,COLUMN(AJ19),1)</f>
        <v>#VALUE!</v>
      </c>
      <c r="AL93" s="2" t="e" cm="1" vm="2">
        <f t="array" aca="1" ref="AL93" ca="1">INDEX($A$5:$A$56,COLUMN(AK19),1)</f>
        <v>#VALUE!</v>
      </c>
      <c r="AM93" s="2" t="e" cm="1" vm="2">
        <f t="array" aca="1" ref="AM93" ca="1">INDEX($A$5:$A$56,COLUMN(AL19),1)</f>
        <v>#VALUE!</v>
      </c>
      <c r="AN93" s="2" t="e" cm="1" vm="2">
        <f t="array" aca="1" ref="AN93" ca="1">INDEX($A$5:$A$56,COLUMN(AM19),1)</f>
        <v>#VALUE!</v>
      </c>
      <c r="AO93" s="2" t="e" cm="1" vm="2">
        <f t="array" aca="1" ref="AO93" ca="1">INDEX($A$5:$A$56,COLUMN(AN19),1)</f>
        <v>#VALUE!</v>
      </c>
      <c r="AP93" s="2" t="e" cm="1" vm="2">
        <f t="array" aca="1" ref="AP93" ca="1">INDEX($A$5:$A$56,COLUMN(AO19),1)</f>
        <v>#VALUE!</v>
      </c>
      <c r="AQ93" s="2" t="e" cm="1" vm="2">
        <f t="array" aca="1" ref="AQ93" ca="1">INDEX($A$5:$A$56,COLUMN(AP19),1)</f>
        <v>#VALUE!</v>
      </c>
      <c r="AR93" s="2" t="e" cm="1" vm="2">
        <f t="array" aca="1" ref="AR93" ca="1">INDEX($A$5:$A$56,COLUMN(AQ19),1)</f>
        <v>#VALUE!</v>
      </c>
      <c r="AS93" s="2" t="e" cm="1" vm="2">
        <f t="array" aca="1" ref="AS93" ca="1">INDEX($A$5:$A$56,COLUMN(AR19),1)</f>
        <v>#VALUE!</v>
      </c>
      <c r="AT93" s="2" t="e" cm="1" vm="2">
        <f t="array" aca="1" ref="AT93" ca="1">INDEX($A$5:$A$56,COLUMN(AS19),1)</f>
        <v>#VALUE!</v>
      </c>
      <c r="AU93" s="2" t="e" cm="1" vm="2">
        <f t="array" aca="1" ref="AU93" ca="1">INDEX($A$5:$A$56,COLUMN(AT19),1)</f>
        <v>#VALUE!</v>
      </c>
      <c r="AV93" s="2" t="e" cm="1" vm="2">
        <f t="array" aca="1" ref="AV93" ca="1">INDEX($A$5:$A$56,COLUMN(AU19),1)</f>
        <v>#VALUE!</v>
      </c>
      <c r="AW93" s="2" t="e" cm="1" vm="2">
        <f t="array" aca="1" ref="AW93" ca="1">INDEX($A$5:$A$56,COLUMN(AV19),1)</f>
        <v>#VALUE!</v>
      </c>
      <c r="AX93" s="2" t="e" cm="1" vm="2">
        <f t="array" aca="1" ref="AX93" ca="1">INDEX($A$5:$A$56,COLUMN(AW19),1)</f>
        <v>#VALUE!</v>
      </c>
      <c r="AY93" s="2" t="e" cm="1" vm="2">
        <f t="array" aca="1" ref="AY93" ca="1">INDEX($A$5:$A$56,COLUMN(AX19),1)</f>
        <v>#VALUE!</v>
      </c>
      <c r="AZ93" s="2" t="e" cm="1" vm="2">
        <f t="array" aca="1" ref="AZ93" ca="1">INDEX($A$5:$A$56,COLUMN(AY19),1)</f>
        <v>#VALUE!</v>
      </c>
      <c r="BA93" s="2" t="e" cm="1" vm="2">
        <f t="array" aca="1" ref="BA93" ca="1">INDEX($A$5:$A$56,COLUMN(AZ19),1)</f>
        <v>#VALUE!</v>
      </c>
      <c r="BC93" t="s">
        <v>128</v>
      </c>
    </row>
    <row r="94" spans="1:55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0</v>
      </c>
      <c r="C94">
        <f t="shared" ref="C94:BA99" si="6">SUMIFS($B$5:$CW$5,$B59:$CW59,"="&amp;"x",$B$3:$CW$3,"="&amp;"Y")</f>
        <v>0</v>
      </c>
      <c r="D94">
        <f t="shared" si="6"/>
        <v>0</v>
      </c>
      <c r="E94">
        <f t="shared" si="6"/>
        <v>0</v>
      </c>
      <c r="F94">
        <f t="shared" si="6"/>
        <v>0</v>
      </c>
      <c r="G94">
        <f t="shared" si="6"/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>
        <f t="shared" si="6"/>
        <v>0</v>
      </c>
      <c r="N94">
        <f t="shared" si="6"/>
        <v>0</v>
      </c>
      <c r="O94">
        <f t="shared" si="6"/>
        <v>0</v>
      </c>
      <c r="P94">
        <f t="shared" si="6"/>
        <v>0</v>
      </c>
      <c r="Q94">
        <f t="shared" si="6"/>
        <v>0</v>
      </c>
      <c r="R94">
        <f t="shared" si="6"/>
        <v>0</v>
      </c>
      <c r="S94">
        <f t="shared" si="6"/>
        <v>0</v>
      </c>
      <c r="T94">
        <f t="shared" si="6"/>
        <v>0</v>
      </c>
      <c r="U94">
        <f t="shared" si="6"/>
        <v>0</v>
      </c>
      <c r="V94">
        <f t="shared" si="6"/>
        <v>0</v>
      </c>
      <c r="W94">
        <f t="shared" si="6"/>
        <v>0</v>
      </c>
      <c r="X94">
        <f t="shared" si="6"/>
        <v>0</v>
      </c>
      <c r="Y94">
        <f t="shared" si="6"/>
        <v>0</v>
      </c>
      <c r="Z94">
        <f t="shared" si="6"/>
        <v>0</v>
      </c>
      <c r="AA94">
        <f t="shared" si="6"/>
        <v>0</v>
      </c>
      <c r="AB94">
        <f t="shared" si="6"/>
        <v>0</v>
      </c>
      <c r="AC94">
        <f t="shared" si="6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6"/>
        <v>0</v>
      </c>
      <c r="AI94">
        <f t="shared" si="6"/>
        <v>0</v>
      </c>
      <c r="AJ94">
        <f t="shared" si="6"/>
        <v>0</v>
      </c>
      <c r="AK94">
        <f t="shared" si="6"/>
        <v>0</v>
      </c>
      <c r="AL94">
        <f t="shared" si="6"/>
        <v>0</v>
      </c>
      <c r="AM94">
        <f t="shared" si="6"/>
        <v>0</v>
      </c>
      <c r="AN94">
        <f t="shared" si="6"/>
        <v>0</v>
      </c>
      <c r="AO94">
        <f t="shared" si="6"/>
        <v>0</v>
      </c>
      <c r="AP94">
        <f t="shared" si="6"/>
        <v>0</v>
      </c>
      <c r="AQ94">
        <f t="shared" si="6"/>
        <v>0</v>
      </c>
      <c r="AR94">
        <f t="shared" si="6"/>
        <v>0</v>
      </c>
      <c r="AS94">
        <f t="shared" si="6"/>
        <v>0</v>
      </c>
      <c r="AT94">
        <f t="shared" si="6"/>
        <v>0</v>
      </c>
      <c r="AU94">
        <f t="shared" si="6"/>
        <v>0</v>
      </c>
      <c r="AV94">
        <f t="shared" si="6"/>
        <v>0</v>
      </c>
      <c r="AW94">
        <f t="shared" si="6"/>
        <v>0</v>
      </c>
      <c r="AX94">
        <f t="shared" si="6"/>
        <v>0</v>
      </c>
      <c r="AY94">
        <f t="shared" si="6"/>
        <v>0</v>
      </c>
      <c r="AZ94">
        <f t="shared" si="6"/>
        <v>0</v>
      </c>
      <c r="BA94">
        <f t="shared" si="6"/>
        <v>0</v>
      </c>
      <c r="BC94">
        <f>AVERAGE(B94:BA94)</f>
        <v>0</v>
      </c>
    </row>
    <row r="95" spans="1:55" x14ac:dyDescent="0.35">
      <c r="A95" s="2" t="str" cm="1">
        <f t="array" ref="A95">INDEX('Data Validation (Hide)'!$B$2:$B$16,ROW(A2),1)</f>
        <v>Caseload 2</v>
      </c>
      <c r="B95">
        <f t="shared" ref="B95:Q108" si="7">SUMIFS($B$5:$CW$5,$B60:$CW60,"="&amp;"x",$B$3:$CW$3,"="&amp;"Y")</f>
        <v>0</v>
      </c>
      <c r="C95">
        <f t="shared" si="7"/>
        <v>0</v>
      </c>
      <c r="D95">
        <f t="shared" si="7"/>
        <v>0</v>
      </c>
      <c r="E95">
        <f t="shared" si="7"/>
        <v>0</v>
      </c>
      <c r="F95">
        <f t="shared" si="7"/>
        <v>0</v>
      </c>
      <c r="G95">
        <f t="shared" si="7"/>
        <v>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0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  <c r="AB95">
        <f t="shared" si="6"/>
        <v>0</v>
      </c>
      <c r="AC95">
        <f t="shared" si="6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6"/>
        <v>0</v>
      </c>
      <c r="AI95">
        <f t="shared" si="6"/>
        <v>0</v>
      </c>
      <c r="AJ95">
        <f t="shared" si="6"/>
        <v>0</v>
      </c>
      <c r="AK95">
        <f t="shared" si="6"/>
        <v>0</v>
      </c>
      <c r="AL95">
        <f t="shared" si="6"/>
        <v>0</v>
      </c>
      <c r="AM95">
        <f t="shared" si="6"/>
        <v>0</v>
      </c>
      <c r="AN95">
        <f t="shared" si="6"/>
        <v>0</v>
      </c>
      <c r="AO95">
        <f t="shared" si="6"/>
        <v>0</v>
      </c>
      <c r="AP95">
        <f t="shared" si="6"/>
        <v>0</v>
      </c>
      <c r="AQ95">
        <f t="shared" si="6"/>
        <v>0</v>
      </c>
      <c r="AR95">
        <f t="shared" si="6"/>
        <v>0</v>
      </c>
      <c r="AS95">
        <f t="shared" si="6"/>
        <v>0</v>
      </c>
      <c r="AT95">
        <f t="shared" si="6"/>
        <v>0</v>
      </c>
      <c r="AU95">
        <f t="shared" si="6"/>
        <v>0</v>
      </c>
      <c r="AV95">
        <f t="shared" si="6"/>
        <v>0</v>
      </c>
      <c r="AW95">
        <f t="shared" si="6"/>
        <v>0</v>
      </c>
      <c r="AX95">
        <f t="shared" si="6"/>
        <v>0</v>
      </c>
      <c r="AY95">
        <f t="shared" si="6"/>
        <v>0</v>
      </c>
      <c r="AZ95">
        <f t="shared" si="6"/>
        <v>0</v>
      </c>
      <c r="BA95">
        <f t="shared" si="6"/>
        <v>0</v>
      </c>
      <c r="BC95">
        <f t="shared" ref="BC95:BC108" si="8">AVERAGE(B95:BA95)</f>
        <v>0</v>
      </c>
    </row>
    <row r="96" spans="1:55" x14ac:dyDescent="0.35">
      <c r="A96" s="2" t="str" cm="1">
        <f t="array" ref="A96">INDEX('Data Validation (Hide)'!$B$2:$B$16,ROW(A3),1)</f>
        <v>Caseload 3</v>
      </c>
      <c r="B96">
        <f t="shared" si="7"/>
        <v>0</v>
      </c>
      <c r="C96">
        <f t="shared" si="6"/>
        <v>0</v>
      </c>
      <c r="D96">
        <f t="shared" si="6"/>
        <v>0</v>
      </c>
      <c r="E96">
        <f t="shared" si="6"/>
        <v>0</v>
      </c>
      <c r="F96">
        <f t="shared" si="6"/>
        <v>0</v>
      </c>
      <c r="G96">
        <f t="shared" si="6"/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>
        <f t="shared" si="6"/>
        <v>0</v>
      </c>
      <c r="O96">
        <f t="shared" si="6"/>
        <v>0</v>
      </c>
      <c r="P96">
        <f t="shared" si="6"/>
        <v>0</v>
      </c>
      <c r="Q96">
        <f t="shared" si="6"/>
        <v>0</v>
      </c>
      <c r="R96">
        <f t="shared" si="6"/>
        <v>0</v>
      </c>
      <c r="S96">
        <f t="shared" si="6"/>
        <v>0</v>
      </c>
      <c r="T96">
        <f t="shared" si="6"/>
        <v>0</v>
      </c>
      <c r="U96">
        <f t="shared" si="6"/>
        <v>0</v>
      </c>
      <c r="V96">
        <f t="shared" si="6"/>
        <v>0</v>
      </c>
      <c r="W96">
        <f t="shared" si="6"/>
        <v>0</v>
      </c>
      <c r="X96">
        <f t="shared" si="6"/>
        <v>0</v>
      </c>
      <c r="Y96">
        <f t="shared" si="6"/>
        <v>0</v>
      </c>
      <c r="Z96">
        <f t="shared" si="6"/>
        <v>0</v>
      </c>
      <c r="AA96">
        <f t="shared" si="6"/>
        <v>0</v>
      </c>
      <c r="AB96">
        <f t="shared" si="6"/>
        <v>0</v>
      </c>
      <c r="AC96">
        <f t="shared" si="6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6"/>
        <v>0</v>
      </c>
      <c r="AI96">
        <f t="shared" si="6"/>
        <v>0</v>
      </c>
      <c r="AJ96">
        <f t="shared" si="6"/>
        <v>0</v>
      </c>
      <c r="AK96">
        <f t="shared" si="6"/>
        <v>0</v>
      </c>
      <c r="AL96">
        <f t="shared" si="6"/>
        <v>0</v>
      </c>
      <c r="AM96">
        <f t="shared" si="6"/>
        <v>0</v>
      </c>
      <c r="AN96">
        <f t="shared" si="6"/>
        <v>0</v>
      </c>
      <c r="AO96">
        <f t="shared" si="6"/>
        <v>0</v>
      </c>
      <c r="AP96">
        <f t="shared" si="6"/>
        <v>0</v>
      </c>
      <c r="AQ96">
        <f t="shared" si="6"/>
        <v>0</v>
      </c>
      <c r="AR96">
        <f t="shared" si="6"/>
        <v>0</v>
      </c>
      <c r="AS96">
        <f t="shared" si="6"/>
        <v>0</v>
      </c>
      <c r="AT96">
        <f t="shared" si="6"/>
        <v>0</v>
      </c>
      <c r="AU96">
        <f t="shared" si="6"/>
        <v>0</v>
      </c>
      <c r="AV96">
        <f t="shared" si="6"/>
        <v>0</v>
      </c>
      <c r="AW96">
        <f t="shared" si="6"/>
        <v>0</v>
      </c>
      <c r="AX96">
        <f t="shared" si="6"/>
        <v>0</v>
      </c>
      <c r="AY96">
        <f t="shared" si="6"/>
        <v>0</v>
      </c>
      <c r="AZ96">
        <f t="shared" si="6"/>
        <v>0</v>
      </c>
      <c r="BA96">
        <f t="shared" si="6"/>
        <v>0</v>
      </c>
      <c r="BC96">
        <f t="shared" si="8"/>
        <v>0</v>
      </c>
    </row>
    <row r="97" spans="1:55" x14ac:dyDescent="0.35">
      <c r="A97" s="2" t="str" cm="1">
        <f t="array" ref="A97">INDEX('Data Validation (Hide)'!$B$2:$B$16,ROW(A4),1)</f>
        <v>Caseload 4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142</v>
      </c>
      <c r="B109">
        <f>SUM(B94:B108)</f>
        <v>0</v>
      </c>
      <c r="C109">
        <f t="shared" ref="C109:BA109" si="11">SUM(C94:C108)</f>
        <v>0</v>
      </c>
      <c r="D109">
        <f t="shared" si="11"/>
        <v>0</v>
      </c>
      <c r="E109">
        <f t="shared" si="11"/>
        <v>0</v>
      </c>
      <c r="F109">
        <f t="shared" si="11"/>
        <v>0</v>
      </c>
      <c r="G109">
        <f t="shared" si="11"/>
        <v>0</v>
      </c>
      <c r="H109">
        <f t="shared" si="11"/>
        <v>0</v>
      </c>
      <c r="I109">
        <f t="shared" si="11"/>
        <v>0</v>
      </c>
      <c r="J109">
        <f t="shared" si="11"/>
        <v>0</v>
      </c>
      <c r="K109">
        <f t="shared" si="11"/>
        <v>0</v>
      </c>
      <c r="L109">
        <f t="shared" si="11"/>
        <v>0</v>
      </c>
      <c r="M109">
        <f t="shared" si="11"/>
        <v>0</v>
      </c>
      <c r="N109">
        <f t="shared" si="11"/>
        <v>0</v>
      </c>
      <c r="O109">
        <f t="shared" si="11"/>
        <v>0</v>
      </c>
      <c r="P109">
        <f t="shared" si="11"/>
        <v>0</v>
      </c>
      <c r="Q109">
        <f t="shared" si="11"/>
        <v>0</v>
      </c>
      <c r="R109">
        <f t="shared" si="11"/>
        <v>0</v>
      </c>
      <c r="S109">
        <f t="shared" si="11"/>
        <v>0</v>
      </c>
      <c r="T109">
        <f t="shared" si="11"/>
        <v>0</v>
      </c>
      <c r="U109">
        <f t="shared" si="11"/>
        <v>0</v>
      </c>
      <c r="V109">
        <f t="shared" si="11"/>
        <v>0</v>
      </c>
      <c r="W109">
        <f t="shared" si="11"/>
        <v>0</v>
      </c>
      <c r="X109">
        <f t="shared" si="11"/>
        <v>0</v>
      </c>
      <c r="Y109">
        <f t="shared" si="11"/>
        <v>0</v>
      </c>
      <c r="Z109">
        <f t="shared" si="11"/>
        <v>0</v>
      </c>
      <c r="AA109">
        <f t="shared" si="11"/>
        <v>0</v>
      </c>
      <c r="AB109">
        <f t="shared" si="11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1"/>
        <v>0</v>
      </c>
      <c r="AH109">
        <f t="shared" si="11"/>
        <v>0</v>
      </c>
      <c r="AI109">
        <f t="shared" si="11"/>
        <v>0</v>
      </c>
      <c r="AJ109">
        <f t="shared" si="11"/>
        <v>0</v>
      </c>
      <c r="AK109">
        <f t="shared" si="11"/>
        <v>0</v>
      </c>
      <c r="AL109">
        <f t="shared" si="11"/>
        <v>0</v>
      </c>
      <c r="AM109">
        <f t="shared" si="11"/>
        <v>0</v>
      </c>
      <c r="AN109">
        <f t="shared" si="11"/>
        <v>0</v>
      </c>
      <c r="AO109">
        <f t="shared" si="11"/>
        <v>0</v>
      </c>
      <c r="AP109">
        <f t="shared" si="11"/>
        <v>0</v>
      </c>
      <c r="AQ109">
        <f t="shared" si="11"/>
        <v>0</v>
      </c>
      <c r="AR109">
        <f t="shared" si="11"/>
        <v>0</v>
      </c>
      <c r="AS109">
        <f t="shared" si="11"/>
        <v>0</v>
      </c>
      <c r="AT109">
        <f t="shared" si="11"/>
        <v>0</v>
      </c>
      <c r="AU109">
        <f t="shared" si="11"/>
        <v>0</v>
      </c>
      <c r="AV109">
        <f t="shared" si="11"/>
        <v>0</v>
      </c>
      <c r="AW109">
        <f t="shared" si="11"/>
        <v>0</v>
      </c>
      <c r="AX109">
        <f t="shared" si="11"/>
        <v>0</v>
      </c>
      <c r="AY109">
        <f t="shared" si="11"/>
        <v>0</v>
      </c>
      <c r="AZ109">
        <f t="shared" si="11"/>
        <v>0</v>
      </c>
      <c r="BA109">
        <f t="shared" si="11"/>
        <v>0</v>
      </c>
    </row>
    <row r="110" spans="1:55" x14ac:dyDescent="0.35">
      <c r="A110" s="2"/>
    </row>
    <row r="111" spans="1:55" x14ac:dyDescent="0.35">
      <c r="A111" s="2" t="s">
        <v>63</v>
      </c>
      <c r="B111" s="2" t="e" cm="1" vm="2">
        <f t="array" aca="1" ref="B111" ca="1">INDEX($A$5:$A$56,COLUMN(A19),1)</f>
        <v>#VALUE!</v>
      </c>
      <c r="C111" s="2" t="e" cm="1" vm="2">
        <f t="array" aca="1" ref="C111" ca="1">INDEX($A$5:$A$56,COLUMN(B19),1)</f>
        <v>#VALUE!</v>
      </c>
      <c r="D111" s="2" t="e" cm="1" vm="2">
        <f t="array" aca="1" ref="D111" ca="1">INDEX($A$5:$A$56,COLUMN(C19),1)</f>
        <v>#VALUE!</v>
      </c>
      <c r="E111" s="2" t="e" cm="1" vm="2">
        <f t="array" aca="1" ref="E111" ca="1">INDEX($A$5:$A$56,COLUMN(D19),1)</f>
        <v>#VALUE!</v>
      </c>
      <c r="F111" s="2" t="e" cm="1" vm="2">
        <f t="array" aca="1" ref="F111" ca="1">INDEX($A$5:$A$56,COLUMN(E19),1)</f>
        <v>#VALUE!</v>
      </c>
      <c r="G111" s="2" t="e" cm="1" vm="2">
        <f t="array" aca="1" ref="G111" ca="1">INDEX($A$5:$A$56,COLUMN(F19),1)</f>
        <v>#VALUE!</v>
      </c>
      <c r="H111" s="2" t="e" cm="1" vm="2">
        <f t="array" aca="1" ref="H111" ca="1">INDEX($A$5:$A$56,COLUMN(G19),1)</f>
        <v>#VALUE!</v>
      </c>
      <c r="I111" s="2" t="e" cm="1" vm="2">
        <f t="array" aca="1" ref="I111" ca="1">INDEX($A$5:$A$56,COLUMN(H19),1)</f>
        <v>#VALUE!</v>
      </c>
      <c r="J111" s="2" t="e" cm="1" vm="2">
        <f t="array" aca="1" ref="J111" ca="1">INDEX($A$5:$A$56,COLUMN(I19),1)</f>
        <v>#VALUE!</v>
      </c>
      <c r="K111" s="2" t="e" cm="1" vm="2">
        <f t="array" aca="1" ref="K111" ca="1">INDEX($A$5:$A$56,COLUMN(J19),1)</f>
        <v>#VALUE!</v>
      </c>
      <c r="L111" s="2" t="e" cm="1" vm="2">
        <f t="array" aca="1" ref="L111" ca="1">INDEX($A$5:$A$56,COLUMN(K19),1)</f>
        <v>#VALUE!</v>
      </c>
      <c r="M111" s="2" t="e" cm="1" vm="2">
        <f t="array" aca="1" ref="M111" ca="1">INDEX($A$5:$A$56,COLUMN(L19),1)</f>
        <v>#VALUE!</v>
      </c>
      <c r="N111" s="2" t="e" cm="1" vm="2">
        <f t="array" aca="1" ref="N111" ca="1">INDEX($A$5:$A$56,COLUMN(M19),1)</f>
        <v>#VALUE!</v>
      </c>
      <c r="O111" s="2" t="e" cm="1" vm="2">
        <f t="array" aca="1" ref="O111" ca="1">INDEX($A$5:$A$56,COLUMN(N19),1)</f>
        <v>#VALUE!</v>
      </c>
      <c r="P111" s="2" t="e" cm="1" vm="2">
        <f t="array" aca="1" ref="P111" ca="1">INDEX($A$5:$A$56,COLUMN(O19),1)</f>
        <v>#VALUE!</v>
      </c>
      <c r="Q111" s="2" t="e" cm="1" vm="2">
        <f t="array" aca="1" ref="Q111" ca="1">INDEX($A$5:$A$56,COLUMN(P19),1)</f>
        <v>#VALUE!</v>
      </c>
      <c r="R111" s="2" t="e" cm="1" vm="2">
        <f t="array" aca="1" ref="R111" ca="1">INDEX($A$5:$A$56,COLUMN(Q19),1)</f>
        <v>#VALUE!</v>
      </c>
      <c r="S111" s="2" t="e" cm="1" vm="2">
        <f t="array" aca="1" ref="S111" ca="1">INDEX($A$5:$A$56,COLUMN(R19),1)</f>
        <v>#VALUE!</v>
      </c>
      <c r="T111" s="2" t="e" cm="1" vm="2">
        <f t="array" aca="1" ref="T111" ca="1">INDEX($A$5:$A$56,COLUMN(S19),1)</f>
        <v>#VALUE!</v>
      </c>
      <c r="U111" s="2" t="e" cm="1" vm="2">
        <f t="array" aca="1" ref="U111" ca="1">INDEX($A$5:$A$56,COLUMN(T19),1)</f>
        <v>#VALUE!</v>
      </c>
      <c r="V111" s="2" t="e" cm="1" vm="2">
        <f t="array" aca="1" ref="V111" ca="1">INDEX($A$5:$A$56,COLUMN(U19),1)</f>
        <v>#VALUE!</v>
      </c>
      <c r="W111" s="2" t="e" cm="1" vm="2">
        <f t="array" aca="1" ref="W111" ca="1">INDEX($A$5:$A$56,COLUMN(V19),1)</f>
        <v>#VALUE!</v>
      </c>
      <c r="X111" s="2" t="e" cm="1" vm="2">
        <f t="array" aca="1" ref="X111" ca="1">INDEX($A$5:$A$56,COLUMN(W19),1)</f>
        <v>#VALUE!</v>
      </c>
      <c r="Y111" s="2" t="e" cm="1" vm="2">
        <f t="array" aca="1" ref="Y111" ca="1">INDEX($A$5:$A$56,COLUMN(X19),1)</f>
        <v>#VALUE!</v>
      </c>
      <c r="Z111" s="2" t="e" cm="1" vm="2">
        <f t="array" aca="1" ref="Z111" ca="1">INDEX($A$5:$A$56,COLUMN(Y19),1)</f>
        <v>#VALUE!</v>
      </c>
      <c r="AA111" s="2" t="e" cm="1" vm="2">
        <f t="array" aca="1" ref="AA111" ca="1">INDEX($A$5:$A$56,COLUMN(Z19),1)</f>
        <v>#VALUE!</v>
      </c>
      <c r="AB111" s="2" t="e" cm="1" vm="2">
        <f t="array" aca="1" ref="AB111" ca="1">INDEX($A$5:$A$56,COLUMN(AA19),1)</f>
        <v>#VALUE!</v>
      </c>
      <c r="AC111" s="2" t="e" cm="1" vm="2">
        <f t="array" aca="1" ref="AC111" ca="1">INDEX($A$5:$A$56,COLUMN(AB19),1)</f>
        <v>#VALUE!</v>
      </c>
      <c r="AD111" s="2" t="e" cm="1" vm="2">
        <f t="array" aca="1" ref="AD111" ca="1">INDEX($A$5:$A$56,COLUMN(AC19),1)</f>
        <v>#VALUE!</v>
      </c>
      <c r="AE111" s="2" t="e" cm="1" vm="2">
        <f t="array" aca="1" ref="AE111" ca="1">INDEX($A$5:$A$56,COLUMN(AD19),1)</f>
        <v>#VALUE!</v>
      </c>
      <c r="AF111" s="2" t="e" cm="1" vm="2">
        <f t="array" aca="1" ref="AF111" ca="1">INDEX($A$5:$A$56,COLUMN(AE19),1)</f>
        <v>#VALUE!</v>
      </c>
      <c r="AG111" s="2" t="e" cm="1" vm="2">
        <f t="array" aca="1" ref="AG111" ca="1">INDEX($A$5:$A$56,COLUMN(AF19),1)</f>
        <v>#VALUE!</v>
      </c>
      <c r="AH111" s="2" t="e" cm="1" vm="2">
        <f t="array" aca="1" ref="AH111" ca="1">INDEX($A$5:$A$56,COLUMN(AG19),1)</f>
        <v>#VALUE!</v>
      </c>
      <c r="AI111" s="2" t="e" cm="1" vm="2">
        <f t="array" aca="1" ref="AI111" ca="1">INDEX($A$5:$A$56,COLUMN(AH19),1)</f>
        <v>#VALUE!</v>
      </c>
      <c r="AJ111" s="2" t="e" cm="1" vm="2">
        <f t="array" aca="1" ref="AJ111" ca="1">INDEX($A$5:$A$56,COLUMN(AI19),1)</f>
        <v>#VALUE!</v>
      </c>
      <c r="AK111" s="2" t="e" cm="1" vm="2">
        <f t="array" aca="1" ref="AK111" ca="1">INDEX($A$5:$A$56,COLUMN(AJ19),1)</f>
        <v>#VALUE!</v>
      </c>
      <c r="AL111" s="2" t="e" cm="1" vm="2">
        <f t="array" aca="1" ref="AL111" ca="1">INDEX($A$5:$A$56,COLUMN(AK19),1)</f>
        <v>#VALUE!</v>
      </c>
      <c r="AM111" s="2" t="e" cm="1" vm="2">
        <f t="array" aca="1" ref="AM111" ca="1">INDEX($A$5:$A$56,COLUMN(AL19),1)</f>
        <v>#VALUE!</v>
      </c>
      <c r="AN111" s="2" t="e" cm="1" vm="2">
        <f t="array" aca="1" ref="AN111" ca="1">INDEX($A$5:$A$56,COLUMN(AM19),1)</f>
        <v>#VALUE!</v>
      </c>
      <c r="AO111" s="2" t="e" cm="1" vm="2">
        <f t="array" aca="1" ref="AO111" ca="1">INDEX($A$5:$A$56,COLUMN(AN19),1)</f>
        <v>#VALUE!</v>
      </c>
      <c r="AP111" s="2" t="e" cm="1" vm="2">
        <f t="array" aca="1" ref="AP111" ca="1">INDEX($A$5:$A$56,COLUMN(AO19),1)</f>
        <v>#VALUE!</v>
      </c>
      <c r="AQ111" s="2" t="e" cm="1" vm="2">
        <f t="array" aca="1" ref="AQ111" ca="1">INDEX($A$5:$A$56,COLUMN(AP19),1)</f>
        <v>#VALUE!</v>
      </c>
      <c r="AR111" s="2" t="e" cm="1" vm="2">
        <f t="array" aca="1" ref="AR111" ca="1">INDEX($A$5:$A$56,COLUMN(AQ19),1)</f>
        <v>#VALUE!</v>
      </c>
      <c r="AS111" s="2" t="e" cm="1" vm="2">
        <f t="array" aca="1" ref="AS111" ca="1">INDEX($A$5:$A$56,COLUMN(AR19),1)</f>
        <v>#VALUE!</v>
      </c>
      <c r="AT111" s="2" t="e" cm="1" vm="2">
        <f t="array" aca="1" ref="AT111" ca="1">INDEX($A$5:$A$56,COLUMN(AS19),1)</f>
        <v>#VALUE!</v>
      </c>
      <c r="AU111" s="2" t="e" cm="1" vm="2">
        <f t="array" aca="1" ref="AU111" ca="1">INDEX($A$5:$A$56,COLUMN(AT19),1)</f>
        <v>#VALUE!</v>
      </c>
      <c r="AV111" s="2" t="e" cm="1" vm="2">
        <f t="array" aca="1" ref="AV111" ca="1">INDEX($A$5:$A$56,COLUMN(AU19),1)</f>
        <v>#VALUE!</v>
      </c>
      <c r="AW111" s="2" t="e" cm="1" vm="2">
        <f t="array" aca="1" ref="AW111" ca="1">INDEX($A$5:$A$56,COLUMN(AV19),1)</f>
        <v>#VALUE!</v>
      </c>
      <c r="AX111" s="2" t="e" cm="1" vm="2">
        <f t="array" aca="1" ref="AX111" ca="1">INDEX($A$5:$A$56,COLUMN(AW19),1)</f>
        <v>#VALUE!</v>
      </c>
      <c r="AY111" s="2" t="e" cm="1" vm="2">
        <f t="array" aca="1" ref="AY111" ca="1">INDEX($A$5:$A$56,COLUMN(AX19),1)</f>
        <v>#VALUE!</v>
      </c>
      <c r="AZ111" s="2" t="e" cm="1" vm="2">
        <f t="array" aca="1" ref="AZ111" ca="1">INDEX($A$5:$A$56,COLUMN(AY19),1)</f>
        <v>#VALUE!</v>
      </c>
      <c r="BA111" s="2" t="e" cm="1" vm="2">
        <f t="array" aca="1" ref="BA111" ca="1">INDEX($A$5:$A$56,COLUMN(AZ19),1)</f>
        <v>#VALUE!</v>
      </c>
      <c r="BC111" t="s">
        <v>128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si="12">SUM(B76,B94)</f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0</v>
      </c>
      <c r="J112">
        <f t="shared" si="12"/>
        <v>0</v>
      </c>
      <c r="K112">
        <f t="shared" si="12"/>
        <v>0</v>
      </c>
      <c r="L112">
        <f t="shared" si="12"/>
        <v>0</v>
      </c>
      <c r="M112">
        <f t="shared" si="12"/>
        <v>0</v>
      </c>
      <c r="N112">
        <f t="shared" si="12"/>
        <v>0</v>
      </c>
      <c r="O112">
        <f t="shared" si="12"/>
        <v>0</v>
      </c>
      <c r="P112">
        <f t="shared" si="12"/>
        <v>0</v>
      </c>
      <c r="Q112">
        <f t="shared" si="12"/>
        <v>0</v>
      </c>
      <c r="R112">
        <f t="shared" si="12"/>
        <v>0</v>
      </c>
      <c r="S112">
        <f t="shared" si="12"/>
        <v>0</v>
      </c>
      <c r="T112">
        <f t="shared" si="12"/>
        <v>0</v>
      </c>
      <c r="U112">
        <f t="shared" si="12"/>
        <v>0</v>
      </c>
      <c r="V112">
        <f t="shared" si="12"/>
        <v>0</v>
      </c>
      <c r="W112">
        <f t="shared" si="12"/>
        <v>0</v>
      </c>
      <c r="X112">
        <f t="shared" si="12"/>
        <v>0</v>
      </c>
      <c r="Y112">
        <f t="shared" si="12"/>
        <v>0</v>
      </c>
      <c r="Z112">
        <f t="shared" si="12"/>
        <v>0</v>
      </c>
      <c r="AA112">
        <f t="shared" si="12"/>
        <v>0</v>
      </c>
      <c r="AB112">
        <f t="shared" si="12"/>
        <v>0</v>
      </c>
      <c r="AC112">
        <f t="shared" si="12"/>
        <v>0</v>
      </c>
      <c r="AD112">
        <f t="shared" si="12"/>
        <v>0</v>
      </c>
      <c r="AE112">
        <f t="shared" si="12"/>
        <v>0</v>
      </c>
      <c r="AF112">
        <f t="shared" si="12"/>
        <v>0</v>
      </c>
      <c r="AG112">
        <f t="shared" si="12"/>
        <v>0</v>
      </c>
      <c r="AH112">
        <f t="shared" ref="AH112:BA112" si="13">SUM(AH76,AH94)</f>
        <v>0</v>
      </c>
      <c r="AI112">
        <f t="shared" si="13"/>
        <v>0</v>
      </c>
      <c r="AJ112">
        <f t="shared" si="13"/>
        <v>0</v>
      </c>
      <c r="AK112">
        <f t="shared" si="13"/>
        <v>0</v>
      </c>
      <c r="AL112">
        <f t="shared" si="13"/>
        <v>0</v>
      </c>
      <c r="AM112">
        <f t="shared" si="13"/>
        <v>0</v>
      </c>
      <c r="AN112">
        <f t="shared" si="13"/>
        <v>0</v>
      </c>
      <c r="AO112">
        <f t="shared" si="13"/>
        <v>0</v>
      </c>
      <c r="AP112">
        <f t="shared" si="13"/>
        <v>0</v>
      </c>
      <c r="AQ112">
        <f t="shared" si="13"/>
        <v>0</v>
      </c>
      <c r="AR112">
        <f t="shared" si="13"/>
        <v>0</v>
      </c>
      <c r="AS112">
        <f t="shared" si="13"/>
        <v>0</v>
      </c>
      <c r="AT112">
        <f t="shared" si="13"/>
        <v>0</v>
      </c>
      <c r="AU112">
        <f t="shared" si="13"/>
        <v>0</v>
      </c>
      <c r="AV112">
        <f t="shared" si="13"/>
        <v>0</v>
      </c>
      <c r="AW112">
        <f t="shared" si="13"/>
        <v>0</v>
      </c>
      <c r="AX112">
        <f t="shared" si="13"/>
        <v>0</v>
      </c>
      <c r="AY112">
        <f t="shared" si="13"/>
        <v>0</v>
      </c>
      <c r="AZ112">
        <f t="shared" si="13"/>
        <v>0</v>
      </c>
      <c r="BA112">
        <f t="shared" si="13"/>
        <v>0</v>
      </c>
      <c r="BC112">
        <f>AVERAGE(B112:BA112)</f>
        <v>0</v>
      </c>
    </row>
    <row r="113" spans="1:55" x14ac:dyDescent="0.35">
      <c r="A113" s="2" t="str" cm="1">
        <f t="array" ref="A113">INDEX('Data Validation (Hide)'!$B$2:$B$16,ROW(A2),1)</f>
        <v>Caseload 2</v>
      </c>
      <c r="B113">
        <f t="shared" ref="B113:AG113" si="14">SUM(B77,B95)</f>
        <v>0</v>
      </c>
      <c r="C113">
        <f t="shared" si="14"/>
        <v>0</v>
      </c>
      <c r="D113">
        <f t="shared" si="14"/>
        <v>0</v>
      </c>
      <c r="E113">
        <f t="shared" si="14"/>
        <v>0</v>
      </c>
      <c r="F113">
        <f t="shared" si="14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Q113">
        <f t="shared" si="14"/>
        <v>0</v>
      </c>
      <c r="R113">
        <f t="shared" si="14"/>
        <v>0</v>
      </c>
      <c r="S113">
        <f t="shared" si="14"/>
        <v>0</v>
      </c>
      <c r="T113">
        <f t="shared" si="14"/>
        <v>0</v>
      </c>
      <c r="U113">
        <f t="shared" si="14"/>
        <v>0</v>
      </c>
      <c r="V113">
        <f t="shared" si="14"/>
        <v>0</v>
      </c>
      <c r="W113">
        <f t="shared" si="14"/>
        <v>0</v>
      </c>
      <c r="X113">
        <f t="shared" si="14"/>
        <v>0</v>
      </c>
      <c r="Y113">
        <f t="shared" si="14"/>
        <v>0</v>
      </c>
      <c r="Z113">
        <f t="shared" si="14"/>
        <v>0</v>
      </c>
      <c r="AA113">
        <f t="shared" si="14"/>
        <v>0</v>
      </c>
      <c r="AB113">
        <f t="shared" si="14"/>
        <v>0</v>
      </c>
      <c r="AC113">
        <f t="shared" si="14"/>
        <v>0</v>
      </c>
      <c r="AD113">
        <f t="shared" si="14"/>
        <v>0</v>
      </c>
      <c r="AE113">
        <f t="shared" si="14"/>
        <v>0</v>
      </c>
      <c r="AF113">
        <f t="shared" si="14"/>
        <v>0</v>
      </c>
      <c r="AG113">
        <f t="shared" si="14"/>
        <v>0</v>
      </c>
      <c r="AH113">
        <f t="shared" ref="AH113:BA113" si="15">SUM(AH77,AH95)</f>
        <v>0</v>
      </c>
      <c r="AI113">
        <f t="shared" si="15"/>
        <v>0</v>
      </c>
      <c r="AJ113">
        <f t="shared" si="15"/>
        <v>0</v>
      </c>
      <c r="AK113">
        <f t="shared" si="15"/>
        <v>0</v>
      </c>
      <c r="AL113">
        <f t="shared" si="15"/>
        <v>0</v>
      </c>
      <c r="AM113">
        <f t="shared" si="15"/>
        <v>0</v>
      </c>
      <c r="AN113">
        <f t="shared" si="15"/>
        <v>0</v>
      </c>
      <c r="AO113">
        <f t="shared" si="15"/>
        <v>0</v>
      </c>
      <c r="AP113">
        <f t="shared" si="15"/>
        <v>0</v>
      </c>
      <c r="AQ113">
        <f t="shared" si="15"/>
        <v>0</v>
      </c>
      <c r="AR113">
        <f t="shared" si="15"/>
        <v>0</v>
      </c>
      <c r="AS113">
        <f t="shared" si="15"/>
        <v>0</v>
      </c>
      <c r="AT113">
        <f t="shared" si="15"/>
        <v>0</v>
      </c>
      <c r="AU113">
        <f t="shared" si="15"/>
        <v>0</v>
      </c>
      <c r="AV113">
        <f t="shared" si="15"/>
        <v>0</v>
      </c>
      <c r="AW113">
        <f t="shared" si="15"/>
        <v>0</v>
      </c>
      <c r="AX113">
        <f t="shared" si="15"/>
        <v>0</v>
      </c>
      <c r="AY113">
        <f t="shared" si="15"/>
        <v>0</v>
      </c>
      <c r="AZ113">
        <f t="shared" si="15"/>
        <v>0</v>
      </c>
      <c r="BA113">
        <f t="shared" si="15"/>
        <v>0</v>
      </c>
      <c r="BC113">
        <f t="shared" ref="BC113:BC126" si="16">AVERAGE(B113:BA113)</f>
        <v>0</v>
      </c>
    </row>
    <row r="114" spans="1:55" x14ac:dyDescent="0.35">
      <c r="A114" s="2" t="str" cm="1">
        <f t="array" ref="A114">INDEX('Data Validation (Hide)'!$B$2:$B$16,ROW(A3),1)</f>
        <v>Caseload 3</v>
      </c>
      <c r="B114">
        <f t="shared" ref="B114:AG114" si="17">SUM(B78,B96)</f>
        <v>0</v>
      </c>
      <c r="C114">
        <f t="shared" si="17"/>
        <v>0</v>
      </c>
      <c r="D114">
        <f t="shared" si="17"/>
        <v>0</v>
      </c>
      <c r="E114">
        <f t="shared" si="17"/>
        <v>0</v>
      </c>
      <c r="F114">
        <f t="shared" si="17"/>
        <v>0</v>
      </c>
      <c r="G114">
        <f t="shared" si="17"/>
        <v>0</v>
      </c>
      <c r="H114">
        <f t="shared" si="17"/>
        <v>0</v>
      </c>
      <c r="I114">
        <f t="shared" si="17"/>
        <v>0</v>
      </c>
      <c r="J114">
        <f t="shared" si="17"/>
        <v>0</v>
      </c>
      <c r="K114">
        <f t="shared" si="17"/>
        <v>0</v>
      </c>
      <c r="L114">
        <f t="shared" si="17"/>
        <v>0</v>
      </c>
      <c r="M114">
        <f t="shared" si="17"/>
        <v>0</v>
      </c>
      <c r="N114">
        <f t="shared" si="17"/>
        <v>0</v>
      </c>
      <c r="O114">
        <f t="shared" si="17"/>
        <v>0</v>
      </c>
      <c r="P114">
        <f t="shared" si="17"/>
        <v>0</v>
      </c>
      <c r="Q114">
        <f t="shared" si="17"/>
        <v>0</v>
      </c>
      <c r="R114">
        <f t="shared" si="17"/>
        <v>0</v>
      </c>
      <c r="S114">
        <f t="shared" si="17"/>
        <v>0</v>
      </c>
      <c r="T114">
        <f t="shared" si="17"/>
        <v>0</v>
      </c>
      <c r="U114">
        <f t="shared" si="17"/>
        <v>0</v>
      </c>
      <c r="V114">
        <f t="shared" si="17"/>
        <v>0</v>
      </c>
      <c r="W114">
        <f t="shared" si="17"/>
        <v>0</v>
      </c>
      <c r="X114">
        <f t="shared" si="17"/>
        <v>0</v>
      </c>
      <c r="Y114">
        <f t="shared" si="17"/>
        <v>0</v>
      </c>
      <c r="Z114">
        <f t="shared" si="17"/>
        <v>0</v>
      </c>
      <c r="AA114">
        <f t="shared" si="17"/>
        <v>0</v>
      </c>
      <c r="AB114">
        <f t="shared" si="17"/>
        <v>0</v>
      </c>
      <c r="AC114">
        <f t="shared" si="17"/>
        <v>0</v>
      </c>
      <c r="AD114">
        <f t="shared" si="17"/>
        <v>0</v>
      </c>
      <c r="AE114">
        <f t="shared" si="17"/>
        <v>0</v>
      </c>
      <c r="AF114">
        <f t="shared" si="17"/>
        <v>0</v>
      </c>
      <c r="AG114">
        <f t="shared" si="17"/>
        <v>0</v>
      </c>
      <c r="AH114">
        <f t="shared" ref="AH114:BA114" si="18">SUM(AH78,AH96)</f>
        <v>0</v>
      </c>
      <c r="AI114">
        <f t="shared" si="18"/>
        <v>0</v>
      </c>
      <c r="AJ114">
        <f t="shared" si="18"/>
        <v>0</v>
      </c>
      <c r="AK114">
        <f t="shared" si="18"/>
        <v>0</v>
      </c>
      <c r="AL114">
        <f t="shared" si="18"/>
        <v>0</v>
      </c>
      <c r="AM114">
        <f t="shared" si="18"/>
        <v>0</v>
      </c>
      <c r="AN114">
        <f t="shared" si="18"/>
        <v>0</v>
      </c>
      <c r="AO114">
        <f t="shared" si="18"/>
        <v>0</v>
      </c>
      <c r="AP114">
        <f t="shared" si="18"/>
        <v>0</v>
      </c>
      <c r="AQ114">
        <f t="shared" si="18"/>
        <v>0</v>
      </c>
      <c r="AR114">
        <f t="shared" si="18"/>
        <v>0</v>
      </c>
      <c r="AS114">
        <f t="shared" si="18"/>
        <v>0</v>
      </c>
      <c r="AT114">
        <f t="shared" si="18"/>
        <v>0</v>
      </c>
      <c r="AU114">
        <f t="shared" si="18"/>
        <v>0</v>
      </c>
      <c r="AV114">
        <f t="shared" si="18"/>
        <v>0</v>
      </c>
      <c r="AW114">
        <f t="shared" si="18"/>
        <v>0</v>
      </c>
      <c r="AX114">
        <f t="shared" si="18"/>
        <v>0</v>
      </c>
      <c r="AY114">
        <f t="shared" si="18"/>
        <v>0</v>
      </c>
      <c r="AZ114">
        <f t="shared" si="18"/>
        <v>0</v>
      </c>
      <c r="BA114">
        <f t="shared" si="18"/>
        <v>0</v>
      </c>
      <c r="BC114">
        <f t="shared" si="16"/>
        <v>0</v>
      </c>
    </row>
    <row r="115" spans="1:55" x14ac:dyDescent="0.35">
      <c r="A115" s="2" t="str" cm="1">
        <f t="array" ref="A115">INDEX('Data Validation (Hide)'!$B$2:$B$16,ROW(A4),1)</f>
        <v>Caseload 4</v>
      </c>
      <c r="B115">
        <f t="shared" ref="B115:AG115" si="19">SUM(B79,B97)</f>
        <v>0</v>
      </c>
      <c r="C115">
        <f t="shared" si="19"/>
        <v>0</v>
      </c>
      <c r="D115">
        <f t="shared" si="19"/>
        <v>0</v>
      </c>
      <c r="E115">
        <f t="shared" si="19"/>
        <v>0</v>
      </c>
      <c r="F115">
        <f t="shared" si="19"/>
        <v>0</v>
      </c>
      <c r="G115">
        <f t="shared" si="19"/>
        <v>0</v>
      </c>
      <c r="H115">
        <f t="shared" si="19"/>
        <v>0</v>
      </c>
      <c r="I115">
        <f t="shared" si="19"/>
        <v>0</v>
      </c>
      <c r="J115">
        <f t="shared" si="19"/>
        <v>0</v>
      </c>
      <c r="K115">
        <f t="shared" si="19"/>
        <v>0</v>
      </c>
      <c r="L115">
        <f t="shared" si="19"/>
        <v>0</v>
      </c>
      <c r="M115">
        <f t="shared" si="19"/>
        <v>0</v>
      </c>
      <c r="N115">
        <f t="shared" si="19"/>
        <v>0</v>
      </c>
      <c r="O115">
        <f t="shared" si="19"/>
        <v>0</v>
      </c>
      <c r="P115">
        <f t="shared" si="19"/>
        <v>0</v>
      </c>
      <c r="Q115">
        <f t="shared" si="19"/>
        <v>0</v>
      </c>
      <c r="R115">
        <f t="shared" si="19"/>
        <v>0</v>
      </c>
      <c r="S115">
        <f t="shared" si="19"/>
        <v>0</v>
      </c>
      <c r="T115">
        <f t="shared" si="19"/>
        <v>0</v>
      </c>
      <c r="U115">
        <f t="shared" si="19"/>
        <v>0</v>
      </c>
      <c r="V115">
        <f t="shared" si="19"/>
        <v>0</v>
      </c>
      <c r="W115">
        <f t="shared" si="19"/>
        <v>0</v>
      </c>
      <c r="X115">
        <f t="shared" si="19"/>
        <v>0</v>
      </c>
      <c r="Y115">
        <f t="shared" si="19"/>
        <v>0</v>
      </c>
      <c r="Z115">
        <f t="shared" si="19"/>
        <v>0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ref="AH115:BA115" si="20">SUM(AH79,AH97)</f>
        <v>0</v>
      </c>
      <c r="AI115">
        <f t="shared" si="20"/>
        <v>0</v>
      </c>
      <c r="AJ115">
        <f t="shared" si="20"/>
        <v>0</v>
      </c>
      <c r="AK115">
        <f t="shared" si="20"/>
        <v>0</v>
      </c>
      <c r="AL115">
        <f t="shared" si="20"/>
        <v>0</v>
      </c>
      <c r="AM115">
        <f t="shared" si="20"/>
        <v>0</v>
      </c>
      <c r="AN115">
        <f t="shared" si="20"/>
        <v>0</v>
      </c>
      <c r="AO115">
        <f t="shared" si="20"/>
        <v>0</v>
      </c>
      <c r="AP115">
        <f t="shared" si="20"/>
        <v>0</v>
      </c>
      <c r="AQ115">
        <f t="shared" si="20"/>
        <v>0</v>
      </c>
      <c r="AR115">
        <f t="shared" si="20"/>
        <v>0</v>
      </c>
      <c r="AS115">
        <f t="shared" si="20"/>
        <v>0</v>
      </c>
      <c r="AT115">
        <f t="shared" si="20"/>
        <v>0</v>
      </c>
      <c r="AU115">
        <f t="shared" si="20"/>
        <v>0</v>
      </c>
      <c r="AV115">
        <f t="shared" si="20"/>
        <v>0</v>
      </c>
      <c r="AW115">
        <f t="shared" si="20"/>
        <v>0</v>
      </c>
      <c r="AX115">
        <f t="shared" si="20"/>
        <v>0</v>
      </c>
      <c r="AY115">
        <f t="shared" si="20"/>
        <v>0</v>
      </c>
      <c r="AZ115">
        <f t="shared" si="20"/>
        <v>0</v>
      </c>
      <c r="BA115">
        <f t="shared" si="20"/>
        <v>0</v>
      </c>
      <c r="BC115">
        <f t="shared" si="16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si="21">SUM(B80,B98)</f>
        <v>0</v>
      </c>
      <c r="C116">
        <f t="shared" si="21"/>
        <v>0</v>
      </c>
      <c r="D116">
        <f t="shared" si="21"/>
        <v>0</v>
      </c>
      <c r="E116">
        <f t="shared" si="21"/>
        <v>0</v>
      </c>
      <c r="F116">
        <f t="shared" si="21"/>
        <v>0</v>
      </c>
      <c r="G116">
        <f t="shared" si="21"/>
        <v>0</v>
      </c>
      <c r="H116">
        <f t="shared" si="21"/>
        <v>0</v>
      </c>
      <c r="I116">
        <f t="shared" si="21"/>
        <v>0</v>
      </c>
      <c r="J116">
        <f t="shared" si="21"/>
        <v>0</v>
      </c>
      <c r="K116">
        <f t="shared" si="21"/>
        <v>0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1"/>
        <v>0</v>
      </c>
      <c r="Q116">
        <f t="shared" si="21"/>
        <v>0</v>
      </c>
      <c r="R116">
        <f t="shared" si="21"/>
        <v>0</v>
      </c>
      <c r="S116">
        <f t="shared" si="21"/>
        <v>0</v>
      </c>
      <c r="T116">
        <f t="shared" si="21"/>
        <v>0</v>
      </c>
      <c r="U116">
        <f t="shared" si="21"/>
        <v>0</v>
      </c>
      <c r="V116">
        <f t="shared" si="21"/>
        <v>0</v>
      </c>
      <c r="W116">
        <f t="shared" si="21"/>
        <v>0</v>
      </c>
      <c r="X116">
        <f t="shared" si="21"/>
        <v>0</v>
      </c>
      <c r="Y116">
        <f t="shared" si="21"/>
        <v>0</v>
      </c>
      <c r="Z116">
        <f t="shared" si="21"/>
        <v>0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ref="AH116:BA116" si="22">SUM(AH80,AH98)</f>
        <v>0</v>
      </c>
      <c r="AI116">
        <f t="shared" si="22"/>
        <v>0</v>
      </c>
      <c r="AJ116">
        <f t="shared" si="22"/>
        <v>0</v>
      </c>
      <c r="AK116">
        <f t="shared" si="22"/>
        <v>0</v>
      </c>
      <c r="AL116">
        <f t="shared" si="22"/>
        <v>0</v>
      </c>
      <c r="AM116">
        <f t="shared" si="22"/>
        <v>0</v>
      </c>
      <c r="AN116">
        <f t="shared" si="22"/>
        <v>0</v>
      </c>
      <c r="AO116">
        <f t="shared" si="22"/>
        <v>0</v>
      </c>
      <c r="AP116">
        <f t="shared" si="22"/>
        <v>0</v>
      </c>
      <c r="AQ116">
        <f t="shared" si="22"/>
        <v>0</v>
      </c>
      <c r="AR116">
        <f t="shared" si="22"/>
        <v>0</v>
      </c>
      <c r="AS116">
        <f t="shared" si="22"/>
        <v>0</v>
      </c>
      <c r="AT116">
        <f t="shared" si="22"/>
        <v>0</v>
      </c>
      <c r="AU116">
        <f t="shared" si="22"/>
        <v>0</v>
      </c>
      <c r="AV116">
        <f t="shared" si="22"/>
        <v>0</v>
      </c>
      <c r="AW116">
        <f t="shared" si="22"/>
        <v>0</v>
      </c>
      <c r="AX116">
        <f t="shared" si="22"/>
        <v>0</v>
      </c>
      <c r="AY116">
        <f t="shared" si="22"/>
        <v>0</v>
      </c>
      <c r="AZ116">
        <f t="shared" si="22"/>
        <v>0</v>
      </c>
      <c r="BA116">
        <f t="shared" si="22"/>
        <v>0</v>
      </c>
      <c r="BC116">
        <f t="shared" si="16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142</v>
      </c>
      <c r="B127">
        <f>SUM(B112:B126)</f>
        <v>0</v>
      </c>
      <c r="C127">
        <f t="shared" ref="C127:BA127" si="43">SUM(C112:C126)</f>
        <v>0</v>
      </c>
      <c r="D127">
        <f t="shared" si="43"/>
        <v>0</v>
      </c>
      <c r="E127">
        <f t="shared" si="43"/>
        <v>0</v>
      </c>
      <c r="F127">
        <f t="shared" si="43"/>
        <v>0</v>
      </c>
      <c r="G127">
        <f t="shared" si="43"/>
        <v>0</v>
      </c>
      <c r="H127">
        <f t="shared" si="43"/>
        <v>0</v>
      </c>
      <c r="I127">
        <f t="shared" si="43"/>
        <v>0</v>
      </c>
      <c r="J127">
        <f t="shared" si="43"/>
        <v>0</v>
      </c>
      <c r="K127">
        <f t="shared" si="43"/>
        <v>0</v>
      </c>
      <c r="L127">
        <f t="shared" si="43"/>
        <v>0</v>
      </c>
      <c r="M127">
        <f t="shared" si="43"/>
        <v>0</v>
      </c>
      <c r="N127">
        <f t="shared" si="43"/>
        <v>0</v>
      </c>
      <c r="O127">
        <f t="shared" si="43"/>
        <v>0</v>
      </c>
      <c r="P127">
        <f t="shared" si="43"/>
        <v>0</v>
      </c>
      <c r="Q127">
        <f t="shared" si="43"/>
        <v>0</v>
      </c>
      <c r="R127">
        <f t="shared" si="43"/>
        <v>0</v>
      </c>
      <c r="S127">
        <f t="shared" si="43"/>
        <v>0</v>
      </c>
      <c r="T127">
        <f t="shared" si="43"/>
        <v>0</v>
      </c>
      <c r="U127">
        <f t="shared" si="43"/>
        <v>0</v>
      </c>
      <c r="V127">
        <f t="shared" si="43"/>
        <v>0</v>
      </c>
      <c r="W127">
        <f t="shared" si="43"/>
        <v>0</v>
      </c>
      <c r="X127">
        <f t="shared" si="43"/>
        <v>0</v>
      </c>
      <c r="Y127">
        <f t="shared" si="43"/>
        <v>0</v>
      </c>
      <c r="Z127">
        <f t="shared" si="43"/>
        <v>0</v>
      </c>
      <c r="AA127">
        <f t="shared" si="43"/>
        <v>0</v>
      </c>
      <c r="AB127">
        <f t="shared" si="43"/>
        <v>0</v>
      </c>
      <c r="AC127">
        <f t="shared" si="43"/>
        <v>0</v>
      </c>
      <c r="AD127">
        <f t="shared" si="43"/>
        <v>0</v>
      </c>
      <c r="AE127">
        <f t="shared" si="43"/>
        <v>0</v>
      </c>
      <c r="AF127">
        <f t="shared" si="43"/>
        <v>0</v>
      </c>
      <c r="AG127">
        <f t="shared" si="43"/>
        <v>0</v>
      </c>
      <c r="AH127">
        <f t="shared" si="43"/>
        <v>0</v>
      </c>
      <c r="AI127">
        <f t="shared" si="43"/>
        <v>0</v>
      </c>
      <c r="AJ127">
        <f t="shared" si="43"/>
        <v>0</v>
      </c>
      <c r="AK127">
        <f t="shared" si="43"/>
        <v>0</v>
      </c>
      <c r="AL127">
        <f t="shared" si="43"/>
        <v>0</v>
      </c>
      <c r="AM127">
        <f t="shared" si="43"/>
        <v>0</v>
      </c>
      <c r="AN127">
        <f t="shared" si="43"/>
        <v>0</v>
      </c>
      <c r="AO127">
        <f t="shared" si="43"/>
        <v>0</v>
      </c>
      <c r="AP127">
        <f t="shared" si="43"/>
        <v>0</v>
      </c>
      <c r="AQ127">
        <f t="shared" si="43"/>
        <v>0</v>
      </c>
      <c r="AR127">
        <f t="shared" si="43"/>
        <v>0</v>
      </c>
      <c r="AS127">
        <f t="shared" si="43"/>
        <v>0</v>
      </c>
      <c r="AT127">
        <f t="shared" si="43"/>
        <v>0</v>
      </c>
      <c r="AU127">
        <f t="shared" si="43"/>
        <v>0</v>
      </c>
      <c r="AV127">
        <f t="shared" si="43"/>
        <v>0</v>
      </c>
      <c r="AW127">
        <f t="shared" si="43"/>
        <v>0</v>
      </c>
      <c r="AX127">
        <f t="shared" si="43"/>
        <v>0</v>
      </c>
      <c r="AY127">
        <f t="shared" si="43"/>
        <v>0</v>
      </c>
      <c r="AZ127">
        <f t="shared" si="43"/>
        <v>0</v>
      </c>
      <c r="BA127">
        <f t="shared" si="43"/>
        <v>0</v>
      </c>
    </row>
    <row r="128" spans="1:55" x14ac:dyDescent="0.35">
      <c r="A128" s="2"/>
    </row>
    <row r="131" spans="1:101" x14ac:dyDescent="0.35">
      <c r="A131" t="s">
        <v>122</v>
      </c>
    </row>
    <row r="132" spans="1:101" x14ac:dyDescent="0.35">
      <c r="A132" t="s">
        <v>72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71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 t="e" vm="2">
        <f ca="1">'Required Capacity (Hide)'!E5</f>
        <v>#VALUE!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 t="e" vm="2">
        <f ca="1">'Required Capacity (Hide)'!E6</f>
        <v>#VALUE!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 t="e" vm="2">
        <f ca="1">'Required Capacity (Hide)'!E7</f>
        <v>#VALUE!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 t="e" vm="2">
        <f ca="1">'Required Capacity (Hide)'!E8</f>
        <v>#VALUE!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 t="e" vm="2">
        <f ca="1">'Required Capacity (Hide)'!E9</f>
        <v>#VALUE!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 t="e" vm="2">
        <f ca="1">'Required Capacity (Hide)'!E10</f>
        <v>#VALUE!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 t="e" vm="2">
        <f ca="1">'Required Capacity (Hide)'!E11</f>
        <v>#VALUE!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 t="e" vm="2">
        <f ca="1">'Required Capacity (Hide)'!E12</f>
        <v>#VALUE!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 t="e" vm="2">
        <f ca="1">'Required Capacity (Hide)'!E13</f>
        <v>#VALUE!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 t="e" vm="2">
        <f ca="1">'Required Capacity (Hide)'!E14</f>
        <v>#VALUE!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 t="e" vm="2">
        <f ca="1">'Required Capacity (Hide)'!E15</f>
        <v>#VALUE!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 t="e" vm="2">
        <f ca="1">'Required Capacity (Hide)'!E16</f>
        <v>#VALUE!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 t="e" vm="2">
        <f ca="1">'Required Capacity (Hide)'!E17</f>
        <v>#VALUE!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 t="e" vm="2">
        <f ca="1">'Required Capacity (Hide)'!E18</f>
        <v>#VALUE!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 t="e" vm="2">
        <f ca="1">'Required Capacity (Hide)'!E19</f>
        <v>#VALUE!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 t="e" vm="2">
        <f ca="1">'Required Capacity (Hide)'!E20</f>
        <v>#VALUE!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 t="e" vm="2">
        <f ca="1">'Required Capacity (Hide)'!E21</f>
        <v>#VALUE!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 t="e" vm="2">
        <f ca="1">'Required Capacity (Hide)'!E22</f>
        <v>#VALUE!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 t="e" vm="2">
        <f ca="1">'Required Capacity (Hide)'!E23</f>
        <v>#VALUE!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 t="e" vm="2">
        <f ca="1">'Required Capacity (Hide)'!E24</f>
        <v>#VALUE!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 t="e" vm="2">
        <f ca="1">'Required Capacity (Hide)'!E25</f>
        <v>#VALUE!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 t="e" vm="2">
        <f ca="1">'Required Capacity (Hide)'!E26</f>
        <v>#VALUE!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 t="e" vm="2">
        <f ca="1">'Required Capacity (Hide)'!E27</f>
        <v>#VALUE!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 t="e" vm="2">
        <f ca="1">'Required Capacity (Hide)'!E28</f>
        <v>#VALUE!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 t="e" vm="2">
        <f ca="1">'Required Capacity (Hide)'!E29</f>
        <v>#VALUE!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 t="e" vm="2">
        <f ca="1">'Required Capacity (Hide)'!E30</f>
        <v>#VALUE!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 t="e" vm="2">
        <f ca="1">'Required Capacity (Hide)'!E31</f>
        <v>#VALUE!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 t="e" vm="2">
        <f ca="1">'Required Capacity (Hide)'!E32</f>
        <v>#VALUE!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 t="e" vm="2">
        <f ca="1">'Required Capacity (Hide)'!E33</f>
        <v>#VALUE!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 t="e" vm="2">
        <f ca="1">'Required Capacity (Hide)'!E34</f>
        <v>#VALUE!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 t="e" vm="2">
        <f ca="1">'Required Capacity (Hide)'!E35</f>
        <v>#VALUE!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 t="e" vm="2">
        <f ca="1">'Required Capacity (Hide)'!E36</f>
        <v>#VALUE!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 t="e" vm="2">
        <f ca="1">'Required Capacity (Hide)'!E37</f>
        <v>#VALUE!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 t="e" vm="2">
        <f ca="1">'Required Capacity (Hide)'!E38</f>
        <v>#VALUE!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 t="e" vm="2">
        <f ca="1">'Required Capacity (Hide)'!E39</f>
        <v>#VALUE!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 t="e" vm="2">
        <f ca="1">'Required Capacity (Hide)'!E40</f>
        <v>#VALUE!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 t="e" vm="2">
        <f ca="1">'Required Capacity (Hide)'!E41</f>
        <v>#VALUE!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 t="e" vm="2">
        <f ca="1">'Required Capacity (Hide)'!E42</f>
        <v>#VALUE!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 t="e" vm="2">
        <f ca="1">'Required Capacity (Hide)'!E43</f>
        <v>#VALUE!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 t="e" vm="2">
        <f ca="1">'Required Capacity (Hide)'!E44</f>
        <v>#VALUE!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 t="e" vm="2">
        <f ca="1">'Required Capacity (Hide)'!E45</f>
        <v>#VALUE!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 t="e" vm="2">
        <f ca="1">'Required Capacity (Hide)'!E46</f>
        <v>#VALUE!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 t="e" vm="2">
        <f ca="1">'Required Capacity (Hide)'!E47</f>
        <v>#VALUE!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 t="e" vm="2">
        <f ca="1">'Required Capacity (Hide)'!E48</f>
        <v>#VALUE!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 t="e" vm="2">
        <f ca="1">'Required Capacity (Hide)'!E49</f>
        <v>#VALUE!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 t="e" vm="2">
        <f ca="1">'Required Capacity (Hide)'!E50</f>
        <v>#VALUE!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 t="e" vm="2">
        <f ca="1">'Required Capacity (Hide)'!E51</f>
        <v>#VALUE!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 t="e" vm="2">
        <f ca="1">'Required Capacity (Hide)'!E52</f>
        <v>#VALUE!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 t="e" vm="2">
        <f ca="1">'Required Capacity (Hide)'!E53</f>
        <v>#VALUE!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 t="e" vm="2">
        <f ca="1">'Required Capacity (Hide)'!E54</f>
        <v>#VALUE!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 t="e" vm="2">
        <f ca="1">'Required Capacity (Hide)'!E55</f>
        <v>#VALUE!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 t="e" vm="2">
        <f ca="1">'Required Capacity (Hide)'!E56</f>
        <v>#VALUE!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73</v>
      </c>
    </row>
    <row r="189" spans="1:101" x14ac:dyDescent="0.35">
      <c r="A189" s="2" t="str" cm="1">
        <f t="array" ref="A189">INDEX('Data Validation (Hide)'!$B$2:$B$16,ROW(A1),1)</f>
        <v>Caseload 1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Caseload 2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Caseload 3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Caseload 4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52</v>
      </c>
      <c r="B205" s="2" t="e" cm="1" vm="2">
        <f t="array" aca="1" ref="B205" ca="1">INDEX($A$5:$A$56,COLUMN(A1),1)</f>
        <v>#VALUE!</v>
      </c>
      <c r="C205" s="2" t="e" cm="1" vm="2">
        <f t="array" aca="1" ref="C205" ca="1">INDEX($A$5:$A$56,COLUMN(B1),1)</f>
        <v>#VALUE!</v>
      </c>
      <c r="D205" s="2" t="e" cm="1" vm="2">
        <f t="array" aca="1" ref="D205" ca="1">INDEX($A$5:$A$56,COLUMN(C1),1)</f>
        <v>#VALUE!</v>
      </c>
      <c r="E205" s="2" t="e" cm="1" vm="2">
        <f t="array" aca="1" ref="E205" ca="1">INDEX($A$5:$A$56,COLUMN(D1),1)</f>
        <v>#VALUE!</v>
      </c>
      <c r="F205" s="2" t="e" cm="1" vm="2">
        <f t="array" aca="1" ref="F205" ca="1">INDEX($A$5:$A$56,COLUMN(E1),1)</f>
        <v>#VALUE!</v>
      </c>
      <c r="G205" s="2" t="e" cm="1" vm="2">
        <f t="array" aca="1" ref="G205" ca="1">INDEX($A$5:$A$56,COLUMN(F1),1)</f>
        <v>#VALUE!</v>
      </c>
      <c r="H205" s="2" t="e" cm="1" vm="2">
        <f t="array" aca="1" ref="H205" ca="1">INDEX($A$5:$A$56,COLUMN(G1),1)</f>
        <v>#VALUE!</v>
      </c>
      <c r="I205" s="2" t="e" cm="1" vm="2">
        <f t="array" aca="1" ref="I205" ca="1">INDEX($A$5:$A$56,COLUMN(H1),1)</f>
        <v>#VALUE!</v>
      </c>
      <c r="J205" s="2" t="e" cm="1" vm="2">
        <f t="array" aca="1" ref="J205" ca="1">INDEX($A$5:$A$56,COLUMN(I1),1)</f>
        <v>#VALUE!</v>
      </c>
      <c r="K205" s="2" t="e" cm="1" vm="2">
        <f t="array" aca="1" ref="K205" ca="1">INDEX($A$5:$A$56,COLUMN(J1),1)</f>
        <v>#VALUE!</v>
      </c>
      <c r="L205" s="2" t="e" cm="1" vm="2">
        <f t="array" aca="1" ref="L205" ca="1">INDEX($A$5:$A$56,COLUMN(K1),1)</f>
        <v>#VALUE!</v>
      </c>
      <c r="M205" s="2" t="e" cm="1" vm="2">
        <f t="array" aca="1" ref="M205" ca="1">INDEX($A$5:$A$56,COLUMN(L1),1)</f>
        <v>#VALUE!</v>
      </c>
      <c r="N205" s="2" t="e" cm="1" vm="2">
        <f t="array" aca="1" ref="N205" ca="1">INDEX($A$5:$A$56,COLUMN(M1),1)</f>
        <v>#VALUE!</v>
      </c>
      <c r="O205" s="2" t="e" cm="1" vm="2">
        <f t="array" aca="1" ref="O205" ca="1">INDEX($A$5:$A$56,COLUMN(N1),1)</f>
        <v>#VALUE!</v>
      </c>
      <c r="P205" s="2" t="e" cm="1" vm="2">
        <f t="array" aca="1" ref="P205" ca="1">INDEX($A$5:$A$56,COLUMN(O1),1)</f>
        <v>#VALUE!</v>
      </c>
      <c r="Q205" s="2" t="e" cm="1" vm="2">
        <f t="array" aca="1" ref="Q205" ca="1">INDEX($A$5:$A$56,COLUMN(P1),1)</f>
        <v>#VALUE!</v>
      </c>
      <c r="R205" s="2" t="e" cm="1" vm="2">
        <f t="array" aca="1" ref="R205" ca="1">INDEX($A$5:$A$56,COLUMN(Q1),1)</f>
        <v>#VALUE!</v>
      </c>
      <c r="S205" s="2" t="e" cm="1" vm="2">
        <f t="array" aca="1" ref="S205" ca="1">INDEX($A$5:$A$56,COLUMN(R1),1)</f>
        <v>#VALUE!</v>
      </c>
      <c r="T205" s="2" t="e" cm="1" vm="2">
        <f t="array" aca="1" ref="T205" ca="1">INDEX($A$5:$A$56,COLUMN(S1),1)</f>
        <v>#VALUE!</v>
      </c>
      <c r="U205" s="2" t="e" cm="1" vm="2">
        <f t="array" aca="1" ref="U205" ca="1">INDEX($A$5:$A$56,COLUMN(T1),1)</f>
        <v>#VALUE!</v>
      </c>
      <c r="V205" s="2" t="e" cm="1" vm="2">
        <f t="array" aca="1" ref="V205" ca="1">INDEX($A$5:$A$56,COLUMN(U1),1)</f>
        <v>#VALUE!</v>
      </c>
      <c r="W205" s="2" t="e" cm="1" vm="2">
        <f t="array" aca="1" ref="W205" ca="1">INDEX($A$5:$A$56,COLUMN(V1),1)</f>
        <v>#VALUE!</v>
      </c>
      <c r="X205" s="2" t="e" cm="1" vm="2">
        <f t="array" aca="1" ref="X205" ca="1">INDEX($A$5:$A$56,COLUMN(W1),1)</f>
        <v>#VALUE!</v>
      </c>
      <c r="Y205" s="2" t="e" cm="1" vm="2">
        <f t="array" aca="1" ref="Y205" ca="1">INDEX($A$5:$A$56,COLUMN(X1),1)</f>
        <v>#VALUE!</v>
      </c>
      <c r="Z205" s="2" t="e" cm="1" vm="2">
        <f t="array" aca="1" ref="Z205" ca="1">INDEX($A$5:$A$56,COLUMN(Y1),1)</f>
        <v>#VALUE!</v>
      </c>
      <c r="AA205" s="2" t="e" cm="1" vm="2">
        <f t="array" aca="1" ref="AA205" ca="1">INDEX($A$5:$A$56,COLUMN(Z1),1)</f>
        <v>#VALUE!</v>
      </c>
      <c r="AB205" s="2" t="e" cm="1" vm="2">
        <f t="array" aca="1" ref="AB205" ca="1">INDEX($A$5:$A$56,COLUMN(AA1),1)</f>
        <v>#VALUE!</v>
      </c>
      <c r="AC205" s="2" t="e" cm="1" vm="2">
        <f t="array" aca="1" ref="AC205" ca="1">INDEX($A$5:$A$56,COLUMN(AB1),1)</f>
        <v>#VALUE!</v>
      </c>
      <c r="AD205" s="2" t="e" cm="1" vm="2">
        <f t="array" aca="1" ref="AD205" ca="1">INDEX($A$5:$A$56,COLUMN(AC1),1)</f>
        <v>#VALUE!</v>
      </c>
      <c r="AE205" s="2" t="e" cm="1" vm="2">
        <f t="array" aca="1" ref="AE205" ca="1">INDEX($A$5:$A$56,COLUMN(AD1),1)</f>
        <v>#VALUE!</v>
      </c>
      <c r="AF205" s="2" t="e" cm="1" vm="2">
        <f t="array" aca="1" ref="AF205" ca="1">INDEX($A$5:$A$56,COLUMN(AE1),1)</f>
        <v>#VALUE!</v>
      </c>
      <c r="AG205" s="2" t="e" cm="1" vm="2">
        <f t="array" aca="1" ref="AG205" ca="1">INDEX($A$5:$A$56,COLUMN(AF1),1)</f>
        <v>#VALUE!</v>
      </c>
      <c r="AH205" s="2" t="e" cm="1" vm="2">
        <f t="array" aca="1" ref="AH205" ca="1">INDEX($A$5:$A$56,COLUMN(AG1),1)</f>
        <v>#VALUE!</v>
      </c>
      <c r="AI205" s="2" t="e" cm="1" vm="2">
        <f t="array" aca="1" ref="AI205" ca="1">INDEX($A$5:$A$56,COLUMN(AH1),1)</f>
        <v>#VALUE!</v>
      </c>
      <c r="AJ205" s="2" t="e" cm="1" vm="2">
        <f t="array" aca="1" ref="AJ205" ca="1">INDEX($A$5:$A$56,COLUMN(AI1),1)</f>
        <v>#VALUE!</v>
      </c>
      <c r="AK205" s="2" t="e" cm="1" vm="2">
        <f t="array" aca="1" ref="AK205" ca="1">INDEX($A$5:$A$56,COLUMN(AJ1),1)</f>
        <v>#VALUE!</v>
      </c>
      <c r="AL205" s="2" t="e" cm="1" vm="2">
        <f t="array" aca="1" ref="AL205" ca="1">INDEX($A$5:$A$56,COLUMN(AK1),1)</f>
        <v>#VALUE!</v>
      </c>
      <c r="AM205" s="2" t="e" cm="1" vm="2">
        <f t="array" aca="1" ref="AM205" ca="1">INDEX($A$5:$A$56,COLUMN(AL1),1)</f>
        <v>#VALUE!</v>
      </c>
      <c r="AN205" s="2" t="e" cm="1" vm="2">
        <f t="array" aca="1" ref="AN205" ca="1">INDEX($A$5:$A$56,COLUMN(AM1),1)</f>
        <v>#VALUE!</v>
      </c>
      <c r="AO205" s="2" t="e" cm="1" vm="2">
        <f t="array" aca="1" ref="AO205" ca="1">INDEX($A$5:$A$56,COLUMN(AN1),1)</f>
        <v>#VALUE!</v>
      </c>
      <c r="AP205" s="2" t="e" cm="1" vm="2">
        <f t="array" aca="1" ref="AP205" ca="1">INDEX($A$5:$A$56,COLUMN(AO1),1)</f>
        <v>#VALUE!</v>
      </c>
      <c r="AQ205" s="2" t="e" cm="1" vm="2">
        <f t="array" aca="1" ref="AQ205" ca="1">INDEX($A$5:$A$56,COLUMN(AP1),1)</f>
        <v>#VALUE!</v>
      </c>
      <c r="AR205" s="2" t="e" cm="1" vm="2">
        <f t="array" aca="1" ref="AR205" ca="1">INDEX($A$5:$A$56,COLUMN(AQ1),1)</f>
        <v>#VALUE!</v>
      </c>
      <c r="AS205" s="2" t="e" cm="1" vm="2">
        <f t="array" aca="1" ref="AS205" ca="1">INDEX($A$5:$A$56,COLUMN(AR1),1)</f>
        <v>#VALUE!</v>
      </c>
      <c r="AT205" s="2" t="e" cm="1" vm="2">
        <f t="array" aca="1" ref="AT205" ca="1">INDEX($A$5:$A$56,COLUMN(AS1),1)</f>
        <v>#VALUE!</v>
      </c>
      <c r="AU205" s="2" t="e" cm="1" vm="2">
        <f t="array" aca="1" ref="AU205" ca="1">INDEX($A$5:$A$56,COLUMN(AT1),1)</f>
        <v>#VALUE!</v>
      </c>
      <c r="AV205" s="2" t="e" cm="1" vm="2">
        <f t="array" aca="1" ref="AV205" ca="1">INDEX($A$5:$A$56,COLUMN(AU1),1)</f>
        <v>#VALUE!</v>
      </c>
      <c r="AW205" s="2" t="e" cm="1" vm="2">
        <f t="array" aca="1" ref="AW205" ca="1">INDEX($A$5:$A$56,COLUMN(AV1),1)</f>
        <v>#VALUE!</v>
      </c>
      <c r="AX205" s="2" t="e" cm="1" vm="2">
        <f t="array" aca="1" ref="AX205" ca="1">INDEX($A$5:$A$56,COLUMN(AW1),1)</f>
        <v>#VALUE!</v>
      </c>
      <c r="AY205" s="2" t="e" cm="1" vm="2">
        <f t="array" aca="1" ref="AY205" ca="1">INDEX($A$5:$A$56,COLUMN(AX1),1)</f>
        <v>#VALUE!</v>
      </c>
      <c r="AZ205" s="2" t="e" cm="1" vm="2">
        <f t="array" aca="1" ref="AZ205" ca="1">INDEX($A$5:$A$56,COLUMN(AY1),1)</f>
        <v>#VALUE!</v>
      </c>
      <c r="BA205" s="2" t="e" cm="1" vm="2">
        <f t="array" aca="1" ref="BA205" ca="1">INDEX($A$5:$A$56,COLUMN(AZ1),1)</f>
        <v>#VALUE!</v>
      </c>
      <c r="BC205" t="s">
        <v>128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Caseload 2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Caseload 3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Caseload 4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142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50</v>
      </c>
      <c r="B223" s="2" t="e" cm="1" vm="2">
        <f t="array" aca="1" ref="B223" ca="1">INDEX($A$5:$A$56,COLUMN(A149),1)</f>
        <v>#VALUE!</v>
      </c>
      <c r="C223" s="2" t="e" cm="1" vm="2">
        <f t="array" aca="1" ref="C223" ca="1">INDEX($A$5:$A$56,COLUMN(B149),1)</f>
        <v>#VALUE!</v>
      </c>
      <c r="D223" s="2" t="e" cm="1" vm="2">
        <f t="array" aca="1" ref="D223" ca="1">INDEX($A$5:$A$56,COLUMN(C149),1)</f>
        <v>#VALUE!</v>
      </c>
      <c r="E223" s="2" t="e" cm="1" vm="2">
        <f t="array" aca="1" ref="E223" ca="1">INDEX($A$5:$A$56,COLUMN(D149),1)</f>
        <v>#VALUE!</v>
      </c>
      <c r="F223" s="2" t="e" cm="1" vm="2">
        <f t="array" aca="1" ref="F223" ca="1">INDEX($A$5:$A$56,COLUMN(E149),1)</f>
        <v>#VALUE!</v>
      </c>
      <c r="G223" s="2" t="e" cm="1" vm="2">
        <f t="array" aca="1" ref="G223" ca="1">INDEX($A$5:$A$56,COLUMN(F149),1)</f>
        <v>#VALUE!</v>
      </c>
      <c r="H223" s="2" t="e" cm="1" vm="2">
        <f t="array" aca="1" ref="H223" ca="1">INDEX($A$5:$A$56,COLUMN(G149),1)</f>
        <v>#VALUE!</v>
      </c>
      <c r="I223" s="2" t="e" cm="1" vm="2">
        <f t="array" aca="1" ref="I223" ca="1">INDEX($A$5:$A$56,COLUMN(H149),1)</f>
        <v>#VALUE!</v>
      </c>
      <c r="J223" s="2" t="e" cm="1" vm="2">
        <f t="array" aca="1" ref="J223" ca="1">INDEX($A$5:$A$56,COLUMN(I149),1)</f>
        <v>#VALUE!</v>
      </c>
      <c r="K223" s="2" t="e" cm="1" vm="2">
        <f t="array" aca="1" ref="K223" ca="1">INDEX($A$5:$A$56,COLUMN(J149),1)</f>
        <v>#VALUE!</v>
      </c>
      <c r="L223" s="2" t="e" cm="1" vm="2">
        <f t="array" aca="1" ref="L223" ca="1">INDEX($A$5:$A$56,COLUMN(K149),1)</f>
        <v>#VALUE!</v>
      </c>
      <c r="M223" s="2" t="e" cm="1" vm="2">
        <f t="array" aca="1" ref="M223" ca="1">INDEX($A$5:$A$56,COLUMN(L149),1)</f>
        <v>#VALUE!</v>
      </c>
      <c r="N223" s="2" t="e" cm="1" vm="2">
        <f t="array" aca="1" ref="N223" ca="1">INDEX($A$5:$A$56,COLUMN(M149),1)</f>
        <v>#VALUE!</v>
      </c>
      <c r="O223" s="2" t="e" cm="1" vm="2">
        <f t="array" aca="1" ref="O223" ca="1">INDEX($A$5:$A$56,COLUMN(N149),1)</f>
        <v>#VALUE!</v>
      </c>
      <c r="P223" s="2" t="e" cm="1" vm="2">
        <f t="array" aca="1" ref="P223" ca="1">INDEX($A$5:$A$56,COLUMN(O149),1)</f>
        <v>#VALUE!</v>
      </c>
      <c r="Q223" s="2" t="e" cm="1" vm="2">
        <f t="array" aca="1" ref="Q223" ca="1">INDEX($A$5:$A$56,COLUMN(P149),1)</f>
        <v>#VALUE!</v>
      </c>
      <c r="R223" s="2" t="e" cm="1" vm="2">
        <f t="array" aca="1" ref="R223" ca="1">INDEX($A$5:$A$56,COLUMN(Q149),1)</f>
        <v>#VALUE!</v>
      </c>
      <c r="S223" s="2" t="e" cm="1" vm="2">
        <f t="array" aca="1" ref="S223" ca="1">INDEX($A$5:$A$56,COLUMN(R149),1)</f>
        <v>#VALUE!</v>
      </c>
      <c r="T223" s="2" t="e" cm="1" vm="2">
        <f t="array" aca="1" ref="T223" ca="1">INDEX($A$5:$A$56,COLUMN(S149),1)</f>
        <v>#VALUE!</v>
      </c>
      <c r="U223" s="2" t="e" cm="1" vm="2">
        <f t="array" aca="1" ref="U223" ca="1">INDEX($A$5:$A$56,COLUMN(T149),1)</f>
        <v>#VALUE!</v>
      </c>
      <c r="V223" s="2" t="e" cm="1" vm="2">
        <f t="array" aca="1" ref="V223" ca="1">INDEX($A$5:$A$56,COLUMN(U149),1)</f>
        <v>#VALUE!</v>
      </c>
      <c r="W223" s="2" t="e" cm="1" vm="2">
        <f t="array" aca="1" ref="W223" ca="1">INDEX($A$5:$A$56,COLUMN(V149),1)</f>
        <v>#VALUE!</v>
      </c>
      <c r="X223" s="2" t="e" cm="1" vm="2">
        <f t="array" aca="1" ref="X223" ca="1">INDEX($A$5:$A$56,COLUMN(W149),1)</f>
        <v>#VALUE!</v>
      </c>
      <c r="Y223" s="2" t="e" cm="1" vm="2">
        <f t="array" aca="1" ref="Y223" ca="1">INDEX($A$5:$A$56,COLUMN(X149),1)</f>
        <v>#VALUE!</v>
      </c>
      <c r="Z223" s="2" t="e" cm="1" vm="2">
        <f t="array" aca="1" ref="Z223" ca="1">INDEX($A$5:$A$56,COLUMN(Y149),1)</f>
        <v>#VALUE!</v>
      </c>
      <c r="AA223" s="2" t="e" cm="1" vm="2">
        <f t="array" aca="1" ref="AA223" ca="1">INDEX($A$5:$A$56,COLUMN(Z149),1)</f>
        <v>#VALUE!</v>
      </c>
      <c r="AB223" s="2" t="e" cm="1" vm="2">
        <f t="array" aca="1" ref="AB223" ca="1">INDEX($A$5:$A$56,COLUMN(AA149),1)</f>
        <v>#VALUE!</v>
      </c>
      <c r="AC223" s="2" t="e" cm="1" vm="2">
        <f t="array" aca="1" ref="AC223" ca="1">INDEX($A$5:$A$56,COLUMN(AB149),1)</f>
        <v>#VALUE!</v>
      </c>
      <c r="AD223" s="2" t="e" cm="1" vm="2">
        <f t="array" aca="1" ref="AD223" ca="1">INDEX($A$5:$A$56,COLUMN(AC149),1)</f>
        <v>#VALUE!</v>
      </c>
      <c r="AE223" s="2" t="e" cm="1" vm="2">
        <f t="array" aca="1" ref="AE223" ca="1">INDEX($A$5:$A$56,COLUMN(AD149),1)</f>
        <v>#VALUE!</v>
      </c>
      <c r="AF223" s="2" t="e" cm="1" vm="2">
        <f t="array" aca="1" ref="AF223" ca="1">INDEX($A$5:$A$56,COLUMN(AE149),1)</f>
        <v>#VALUE!</v>
      </c>
      <c r="AG223" s="2" t="e" cm="1" vm="2">
        <f t="array" aca="1" ref="AG223" ca="1">INDEX($A$5:$A$56,COLUMN(AF149),1)</f>
        <v>#VALUE!</v>
      </c>
      <c r="AH223" s="2" t="e" cm="1" vm="2">
        <f t="array" aca="1" ref="AH223" ca="1">INDEX($A$5:$A$56,COLUMN(AG149),1)</f>
        <v>#VALUE!</v>
      </c>
      <c r="AI223" s="2" t="e" cm="1" vm="2">
        <f t="array" aca="1" ref="AI223" ca="1">INDEX($A$5:$A$56,COLUMN(AH149),1)</f>
        <v>#VALUE!</v>
      </c>
      <c r="AJ223" s="2" t="e" cm="1" vm="2">
        <f t="array" aca="1" ref="AJ223" ca="1">INDEX($A$5:$A$56,COLUMN(AI149),1)</f>
        <v>#VALUE!</v>
      </c>
      <c r="AK223" s="2" t="e" cm="1" vm="2">
        <f t="array" aca="1" ref="AK223" ca="1">INDEX($A$5:$A$56,COLUMN(AJ149),1)</f>
        <v>#VALUE!</v>
      </c>
      <c r="AL223" s="2" t="e" cm="1" vm="2">
        <f t="array" aca="1" ref="AL223" ca="1">INDEX($A$5:$A$56,COLUMN(AK149),1)</f>
        <v>#VALUE!</v>
      </c>
      <c r="AM223" s="2" t="e" cm="1" vm="2">
        <f t="array" aca="1" ref="AM223" ca="1">INDEX($A$5:$A$56,COLUMN(AL149),1)</f>
        <v>#VALUE!</v>
      </c>
      <c r="AN223" s="2" t="e" cm="1" vm="2">
        <f t="array" aca="1" ref="AN223" ca="1">INDEX($A$5:$A$56,COLUMN(AM149),1)</f>
        <v>#VALUE!</v>
      </c>
      <c r="AO223" s="2" t="e" cm="1" vm="2">
        <f t="array" aca="1" ref="AO223" ca="1">INDEX($A$5:$A$56,COLUMN(AN149),1)</f>
        <v>#VALUE!</v>
      </c>
      <c r="AP223" s="2" t="e" cm="1" vm="2">
        <f t="array" aca="1" ref="AP223" ca="1">INDEX($A$5:$A$56,COLUMN(AO149),1)</f>
        <v>#VALUE!</v>
      </c>
      <c r="AQ223" s="2" t="e" cm="1" vm="2">
        <f t="array" aca="1" ref="AQ223" ca="1">INDEX($A$5:$A$56,COLUMN(AP149),1)</f>
        <v>#VALUE!</v>
      </c>
      <c r="AR223" s="2" t="e" cm="1" vm="2">
        <f t="array" aca="1" ref="AR223" ca="1">INDEX($A$5:$A$56,COLUMN(AQ149),1)</f>
        <v>#VALUE!</v>
      </c>
      <c r="AS223" s="2" t="e" cm="1" vm="2">
        <f t="array" aca="1" ref="AS223" ca="1">INDEX($A$5:$A$56,COLUMN(AR149),1)</f>
        <v>#VALUE!</v>
      </c>
      <c r="AT223" s="2" t="e" cm="1" vm="2">
        <f t="array" aca="1" ref="AT223" ca="1">INDEX($A$5:$A$56,COLUMN(AS149),1)</f>
        <v>#VALUE!</v>
      </c>
      <c r="AU223" s="2" t="e" cm="1" vm="2">
        <f t="array" aca="1" ref="AU223" ca="1">INDEX($A$5:$A$56,COLUMN(AT149),1)</f>
        <v>#VALUE!</v>
      </c>
      <c r="AV223" s="2" t="e" cm="1" vm="2">
        <f t="array" aca="1" ref="AV223" ca="1">INDEX($A$5:$A$56,COLUMN(AU149),1)</f>
        <v>#VALUE!</v>
      </c>
      <c r="AW223" s="2" t="e" cm="1" vm="2">
        <f t="array" aca="1" ref="AW223" ca="1">INDEX($A$5:$A$56,COLUMN(AV149),1)</f>
        <v>#VALUE!</v>
      </c>
      <c r="AX223" s="2" t="e" cm="1" vm="2">
        <f t="array" aca="1" ref="AX223" ca="1">INDEX($A$5:$A$56,COLUMN(AW149),1)</f>
        <v>#VALUE!</v>
      </c>
      <c r="AY223" s="2" t="e" cm="1" vm="2">
        <f t="array" aca="1" ref="AY223" ca="1">INDEX($A$5:$A$56,COLUMN(AX149),1)</f>
        <v>#VALUE!</v>
      </c>
      <c r="AZ223" s="2" t="e" cm="1" vm="2">
        <f t="array" aca="1" ref="AZ223" ca="1">INDEX($A$5:$A$56,COLUMN(AY149),1)</f>
        <v>#VALUE!</v>
      </c>
      <c r="BA223" s="2" t="e" cm="1" vm="2">
        <f t="array" aca="1" ref="BA223" ca="1">INDEX($A$5:$A$56,COLUMN(AZ149),1)</f>
        <v>#VALUE!</v>
      </c>
      <c r="BC223" t="s">
        <v>128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Caseload 2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Caseload 3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Caseload 4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142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63</v>
      </c>
      <c r="B241" s="2" t="e" cm="1" vm="2">
        <f t="array" aca="1" ref="B241" ca="1">INDEX($A$5:$A$56,COLUMN(A1),1)</f>
        <v>#VALUE!</v>
      </c>
      <c r="C241" s="2" t="e" cm="1" vm="2">
        <f t="array" aca="1" ref="C241" ca="1">INDEX($A$5:$A$56,COLUMN(B1),1)</f>
        <v>#VALUE!</v>
      </c>
      <c r="D241" s="2" t="e" cm="1" vm="2">
        <f t="array" aca="1" ref="D241" ca="1">INDEX($A$5:$A$56,COLUMN(C1),1)</f>
        <v>#VALUE!</v>
      </c>
      <c r="E241" s="2" t="e" cm="1" vm="2">
        <f t="array" aca="1" ref="E241" ca="1">INDEX($A$5:$A$56,COLUMN(D1),1)</f>
        <v>#VALUE!</v>
      </c>
      <c r="F241" s="2" t="e" cm="1" vm="2">
        <f t="array" aca="1" ref="F241" ca="1">INDEX($A$5:$A$56,COLUMN(E1),1)</f>
        <v>#VALUE!</v>
      </c>
      <c r="G241" s="2" t="e" cm="1" vm="2">
        <f t="array" aca="1" ref="G241" ca="1">INDEX($A$5:$A$56,COLUMN(F1),1)</f>
        <v>#VALUE!</v>
      </c>
      <c r="H241" s="2" t="e" cm="1" vm="2">
        <f t="array" aca="1" ref="H241" ca="1">INDEX($A$5:$A$56,COLUMN(G1),1)</f>
        <v>#VALUE!</v>
      </c>
      <c r="I241" s="2" t="e" cm="1" vm="2">
        <f t="array" aca="1" ref="I241" ca="1">INDEX($A$5:$A$56,COLUMN(H1),1)</f>
        <v>#VALUE!</v>
      </c>
      <c r="J241" s="2" t="e" cm="1" vm="2">
        <f t="array" aca="1" ref="J241" ca="1">INDEX($A$5:$A$56,COLUMN(I1),1)</f>
        <v>#VALUE!</v>
      </c>
      <c r="K241" s="2" t="e" cm="1" vm="2">
        <f t="array" aca="1" ref="K241" ca="1">INDEX($A$5:$A$56,COLUMN(J1),1)</f>
        <v>#VALUE!</v>
      </c>
      <c r="L241" s="2" t="e" cm="1" vm="2">
        <f t="array" aca="1" ref="L241" ca="1">INDEX($A$5:$A$56,COLUMN(K1),1)</f>
        <v>#VALUE!</v>
      </c>
      <c r="M241" s="2" t="e" cm="1" vm="2">
        <f t="array" aca="1" ref="M241" ca="1">INDEX($A$5:$A$56,COLUMN(L1),1)</f>
        <v>#VALUE!</v>
      </c>
      <c r="N241" s="2" t="e" cm="1" vm="2">
        <f t="array" aca="1" ref="N241" ca="1">INDEX($A$5:$A$56,COLUMN(M1),1)</f>
        <v>#VALUE!</v>
      </c>
      <c r="O241" s="2" t="e" cm="1" vm="2">
        <f t="array" aca="1" ref="O241" ca="1">INDEX($A$5:$A$56,COLUMN(N1),1)</f>
        <v>#VALUE!</v>
      </c>
      <c r="P241" s="2" t="e" cm="1" vm="2">
        <f t="array" aca="1" ref="P241" ca="1">INDEX($A$5:$A$56,COLUMN(O1),1)</f>
        <v>#VALUE!</v>
      </c>
      <c r="Q241" s="2" t="e" cm="1" vm="2">
        <f t="array" aca="1" ref="Q241" ca="1">INDEX($A$5:$A$56,COLUMN(P1),1)</f>
        <v>#VALUE!</v>
      </c>
      <c r="R241" s="2" t="e" cm="1" vm="2">
        <f t="array" aca="1" ref="R241" ca="1">INDEX($A$5:$A$56,COLUMN(Q1),1)</f>
        <v>#VALUE!</v>
      </c>
      <c r="S241" s="2" t="e" cm="1" vm="2">
        <f t="array" aca="1" ref="S241" ca="1">INDEX($A$5:$A$56,COLUMN(R1),1)</f>
        <v>#VALUE!</v>
      </c>
      <c r="T241" s="2" t="e" cm="1" vm="2">
        <f t="array" aca="1" ref="T241" ca="1">INDEX($A$5:$A$56,COLUMN(S1),1)</f>
        <v>#VALUE!</v>
      </c>
      <c r="U241" s="2" t="e" cm="1" vm="2">
        <f t="array" aca="1" ref="U241" ca="1">INDEX($A$5:$A$56,COLUMN(T1),1)</f>
        <v>#VALUE!</v>
      </c>
      <c r="V241" s="2" t="e" cm="1" vm="2">
        <f t="array" aca="1" ref="V241" ca="1">INDEX($A$5:$A$56,COLUMN(U1),1)</f>
        <v>#VALUE!</v>
      </c>
      <c r="W241" s="2" t="e" cm="1" vm="2">
        <f t="array" aca="1" ref="W241" ca="1">INDEX($A$5:$A$56,COLUMN(V1),1)</f>
        <v>#VALUE!</v>
      </c>
      <c r="X241" s="2" t="e" cm="1" vm="2">
        <f t="array" aca="1" ref="X241" ca="1">INDEX($A$5:$A$56,COLUMN(W1),1)</f>
        <v>#VALUE!</v>
      </c>
      <c r="Y241" s="2" t="e" cm="1" vm="2">
        <f t="array" aca="1" ref="Y241" ca="1">INDEX($A$5:$A$56,COLUMN(X1),1)</f>
        <v>#VALUE!</v>
      </c>
      <c r="Z241" s="2" t="e" cm="1" vm="2">
        <f t="array" aca="1" ref="Z241" ca="1">INDEX($A$5:$A$56,COLUMN(Y1),1)</f>
        <v>#VALUE!</v>
      </c>
      <c r="AA241" s="2" t="e" cm="1" vm="2">
        <f t="array" aca="1" ref="AA241" ca="1">INDEX($A$5:$A$56,COLUMN(Z1),1)</f>
        <v>#VALUE!</v>
      </c>
      <c r="AB241" s="2" t="e" cm="1" vm="2">
        <f t="array" aca="1" ref="AB241" ca="1">INDEX($A$5:$A$56,COLUMN(AA1),1)</f>
        <v>#VALUE!</v>
      </c>
      <c r="AC241" s="2" t="e" cm="1" vm="2">
        <f t="array" aca="1" ref="AC241" ca="1">INDEX($A$5:$A$56,COLUMN(AB1),1)</f>
        <v>#VALUE!</v>
      </c>
      <c r="AD241" s="2" t="e" cm="1" vm="2">
        <f t="array" aca="1" ref="AD241" ca="1">INDEX($A$5:$A$56,COLUMN(AC1),1)</f>
        <v>#VALUE!</v>
      </c>
      <c r="AE241" s="2" t="e" cm="1" vm="2">
        <f t="array" aca="1" ref="AE241" ca="1">INDEX($A$5:$A$56,COLUMN(AD1),1)</f>
        <v>#VALUE!</v>
      </c>
      <c r="AF241" s="2" t="e" cm="1" vm="2">
        <f t="array" aca="1" ref="AF241" ca="1">INDEX($A$5:$A$56,COLUMN(AE1),1)</f>
        <v>#VALUE!</v>
      </c>
      <c r="AG241" s="2" t="e" cm="1" vm="2">
        <f t="array" aca="1" ref="AG241" ca="1">INDEX($A$5:$A$56,COLUMN(AF1),1)</f>
        <v>#VALUE!</v>
      </c>
      <c r="AH241" s="2" t="e" cm="1" vm="2">
        <f t="array" aca="1" ref="AH241" ca="1">INDEX($A$5:$A$56,COLUMN(AG1),1)</f>
        <v>#VALUE!</v>
      </c>
      <c r="AI241" s="2" t="e" cm="1" vm="2">
        <f t="array" aca="1" ref="AI241" ca="1">INDEX($A$5:$A$56,COLUMN(AH1),1)</f>
        <v>#VALUE!</v>
      </c>
      <c r="AJ241" s="2" t="e" cm="1" vm="2">
        <f t="array" aca="1" ref="AJ241" ca="1">INDEX($A$5:$A$56,COLUMN(AI1),1)</f>
        <v>#VALUE!</v>
      </c>
      <c r="AK241" s="2" t="e" cm="1" vm="2">
        <f t="array" aca="1" ref="AK241" ca="1">INDEX($A$5:$A$56,COLUMN(AJ1),1)</f>
        <v>#VALUE!</v>
      </c>
      <c r="AL241" s="2" t="e" cm="1" vm="2">
        <f t="array" aca="1" ref="AL241" ca="1">INDEX($A$5:$A$56,COLUMN(AK1),1)</f>
        <v>#VALUE!</v>
      </c>
      <c r="AM241" s="2" t="e" cm="1" vm="2">
        <f t="array" aca="1" ref="AM241" ca="1">INDEX($A$5:$A$56,COLUMN(AL1),1)</f>
        <v>#VALUE!</v>
      </c>
      <c r="AN241" s="2" t="e" cm="1" vm="2">
        <f t="array" aca="1" ref="AN241" ca="1">INDEX($A$5:$A$56,COLUMN(AM1),1)</f>
        <v>#VALUE!</v>
      </c>
      <c r="AO241" s="2" t="e" cm="1" vm="2">
        <f t="array" aca="1" ref="AO241" ca="1">INDEX($A$5:$A$56,COLUMN(AN1),1)</f>
        <v>#VALUE!</v>
      </c>
      <c r="AP241" s="2" t="e" cm="1" vm="2">
        <f t="array" aca="1" ref="AP241" ca="1">INDEX($A$5:$A$56,COLUMN(AO1),1)</f>
        <v>#VALUE!</v>
      </c>
      <c r="AQ241" s="2" t="e" cm="1" vm="2">
        <f t="array" aca="1" ref="AQ241" ca="1">INDEX($A$5:$A$56,COLUMN(AP1),1)</f>
        <v>#VALUE!</v>
      </c>
      <c r="AR241" s="2" t="e" cm="1" vm="2">
        <f t="array" aca="1" ref="AR241" ca="1">INDEX($A$5:$A$56,COLUMN(AQ1),1)</f>
        <v>#VALUE!</v>
      </c>
      <c r="AS241" s="2" t="e" cm="1" vm="2">
        <f t="array" aca="1" ref="AS241" ca="1">INDEX($A$5:$A$56,COLUMN(AR1),1)</f>
        <v>#VALUE!</v>
      </c>
      <c r="AT241" s="2" t="e" cm="1" vm="2">
        <f t="array" aca="1" ref="AT241" ca="1">INDEX($A$5:$A$56,COLUMN(AS1),1)</f>
        <v>#VALUE!</v>
      </c>
      <c r="AU241" s="2" t="e" cm="1" vm="2">
        <f t="array" aca="1" ref="AU241" ca="1">INDEX($A$5:$A$56,COLUMN(AT1),1)</f>
        <v>#VALUE!</v>
      </c>
      <c r="AV241" s="2" t="e" cm="1" vm="2">
        <f t="array" aca="1" ref="AV241" ca="1">INDEX($A$5:$A$56,COLUMN(AU1),1)</f>
        <v>#VALUE!</v>
      </c>
      <c r="AW241" s="2" t="e" cm="1" vm="2">
        <f t="array" aca="1" ref="AW241" ca="1">INDEX($A$5:$A$56,COLUMN(AV1),1)</f>
        <v>#VALUE!</v>
      </c>
      <c r="AX241" s="2" t="e" cm="1" vm="2">
        <f t="array" aca="1" ref="AX241" ca="1">INDEX($A$5:$A$56,COLUMN(AW1),1)</f>
        <v>#VALUE!</v>
      </c>
      <c r="AY241" s="2" t="e" cm="1" vm="2">
        <f t="array" aca="1" ref="AY241" ca="1">INDEX($A$5:$A$56,COLUMN(AX1),1)</f>
        <v>#VALUE!</v>
      </c>
      <c r="AZ241" s="2" t="e" cm="1" vm="2">
        <f t="array" aca="1" ref="AZ241" ca="1">INDEX($A$5:$A$56,COLUMN(AY1),1)</f>
        <v>#VALUE!</v>
      </c>
      <c r="BA241" s="2" t="e" cm="1" vm="2">
        <f t="array" aca="1" ref="BA241" ca="1">INDEX($A$5:$A$56,COLUMN(AZ1),1)</f>
        <v>#VALUE!</v>
      </c>
      <c r="BC241" t="s">
        <v>128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Caseload 2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Caseload 3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Caseload 4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142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104</v>
      </c>
      <c r="B259" t="s">
        <v>129</v>
      </c>
      <c r="C259" t="s">
        <v>129</v>
      </c>
      <c r="D259" t="s">
        <v>129</v>
      </c>
      <c r="E259" t="s">
        <v>130</v>
      </c>
      <c r="F259" t="s">
        <v>130</v>
      </c>
      <c r="G259" t="s">
        <v>130</v>
      </c>
      <c r="H259" s="3" t="s">
        <v>142</v>
      </c>
      <c r="I259" s="3" t="s">
        <v>142</v>
      </c>
      <c r="J259" s="3" t="s">
        <v>142</v>
      </c>
    </row>
    <row r="260" spans="1:53" x14ac:dyDescent="0.35">
      <c r="B260" t="s">
        <v>52</v>
      </c>
      <c r="C260" t="s">
        <v>50</v>
      </c>
      <c r="D260" t="s">
        <v>63</v>
      </c>
      <c r="E260" t="s">
        <v>52</v>
      </c>
      <c r="F260" t="s">
        <v>50</v>
      </c>
      <c r="G260" t="s">
        <v>63</v>
      </c>
      <c r="H260" t="s">
        <v>52</v>
      </c>
      <c r="I260" t="s">
        <v>50</v>
      </c>
      <c r="J260" t="s">
        <v>63</v>
      </c>
    </row>
    <row r="261" spans="1:53" x14ac:dyDescent="0.35">
      <c r="A261" t="str" cm="1">
        <f t="array" ref="A261">INDEX('Data Validation (Hide)'!$B$2:$B$16,ROW(A1),1)</f>
        <v>Caseload 1</v>
      </c>
      <c r="B261">
        <f>BC76</f>
        <v>0</v>
      </c>
      <c r="C261">
        <f>BC94</f>
        <v>0</v>
      </c>
      <c r="D261">
        <f>BC112</f>
        <v>0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0</v>
      </c>
      <c r="J261">
        <f t="shared" si="73"/>
        <v>0</v>
      </c>
    </row>
    <row r="262" spans="1:53" x14ac:dyDescent="0.35">
      <c r="A262" t="str" cm="1">
        <f t="array" ref="A262">INDEX('Data Validation (Hide)'!$B$2:$B$16,ROW(A2),1)</f>
        <v>Caseload 2</v>
      </c>
      <c r="B262">
        <f t="shared" ref="B262:B275" si="74">BC77</f>
        <v>0</v>
      </c>
      <c r="C262">
        <f t="shared" ref="C262:C275" si="75">BC95</f>
        <v>0</v>
      </c>
      <c r="D262">
        <f t="shared" ref="D262:D275" si="76">BC113</f>
        <v>0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0</v>
      </c>
      <c r="J262">
        <f t="shared" ref="J262:J275" si="82">D262+G262</f>
        <v>0</v>
      </c>
    </row>
    <row r="263" spans="1:53" x14ac:dyDescent="0.35">
      <c r="A263" t="str" cm="1">
        <f t="array" ref="A263">INDEX('Data Validation (Hide)'!$B$2:$B$16,ROW(A3),1)</f>
        <v>Caseload 3</v>
      </c>
      <c r="B263">
        <f t="shared" si="74"/>
        <v>0</v>
      </c>
      <c r="C263">
        <f t="shared" si="75"/>
        <v>0</v>
      </c>
      <c r="D263">
        <f t="shared" si="76"/>
        <v>0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0</v>
      </c>
      <c r="J263">
        <f t="shared" si="82"/>
        <v>0</v>
      </c>
    </row>
    <row r="264" spans="1:53" x14ac:dyDescent="0.35">
      <c r="A264" t="str" cm="1">
        <f t="array" ref="A264">INDEX('Data Validation (Hide)'!$B$2:$B$16,ROW(A4),1)</f>
        <v>Caseload 4</v>
      </c>
      <c r="B264">
        <f t="shared" si="74"/>
        <v>0</v>
      </c>
      <c r="C264">
        <f t="shared" si="75"/>
        <v>0</v>
      </c>
      <c r="D264">
        <f t="shared" si="76"/>
        <v>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0</v>
      </c>
      <c r="I264">
        <f t="shared" si="81"/>
        <v>0</v>
      </c>
      <c r="J264">
        <f t="shared" si="82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si="74"/>
        <v>0</v>
      </c>
      <c r="C265">
        <f t="shared" si="75"/>
        <v>0</v>
      </c>
      <c r="D265">
        <f t="shared" si="76"/>
        <v>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0</v>
      </c>
      <c r="I265">
        <f t="shared" si="81"/>
        <v>0</v>
      </c>
      <c r="J265">
        <f t="shared" si="82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142</v>
      </c>
      <c r="B276">
        <f t="shared" ref="B276:G276" si="83">SUM(B261:B275)</f>
        <v>0</v>
      </c>
      <c r="C276">
        <f t="shared" si="83"/>
        <v>0</v>
      </c>
      <c r="D276">
        <f t="shared" si="83"/>
        <v>0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0</v>
      </c>
      <c r="I276">
        <f t="shared" ref="I276:J276" si="84">SUM(I261:I275)</f>
        <v>0</v>
      </c>
      <c r="J276">
        <f t="shared" si="84"/>
        <v>0</v>
      </c>
    </row>
    <row r="277" spans="1:10" x14ac:dyDescent="0.35">
      <c r="A277" t="s">
        <v>131</v>
      </c>
      <c r="B277" t="s">
        <v>129</v>
      </c>
      <c r="C277" t="s">
        <v>130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ref="B278">INDEX($B$261:$J$275,MATCH($A278,$A$261:$A$275,0),MATCH(1,(B$277=$B$259:$G$259)*(Summary!$B$5='Capacity Backing (Hide)'!$B$260:$G$260),0))</f>
        <v>0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Caseload 2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Caseload 3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Caseload 4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Caseload 5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139</v>
      </c>
    </row>
    <row r="2" spans="1:5" ht="15" thickBot="1" x14ac:dyDescent="0.4"/>
    <row r="3" spans="1:5" ht="15" thickBot="1" x14ac:dyDescent="0.4">
      <c r="A3" s="63" t="s">
        <v>61</v>
      </c>
      <c r="B3" s="17" t="s">
        <v>201</v>
      </c>
      <c r="E3" t="str">
        <f>"Capacity summary ("&amp;LOWER(Summary!B7)&amp;") for "&amp;B3&amp;", "&amp;IF(B4="Total","all types of session", LOWER(B4)&amp;" sessions")</f>
        <v>Capacity summary (hours) for Caseload 1, all types of session</v>
      </c>
    </row>
    <row r="4" spans="1:5" ht="15" thickBot="1" x14ac:dyDescent="0.4">
      <c r="A4" s="110" t="s">
        <v>62</v>
      </c>
      <c r="B4" s="17" t="s">
        <v>63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S74" sqref="S74"/>
    </sheetView>
  </sheetViews>
  <sheetFormatPr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customWidth="1"/>
  </cols>
  <sheetData>
    <row r="1" spans="1:4" ht="23.5" x14ac:dyDescent="0.55000000000000004">
      <c r="A1" s="28" t="s">
        <v>140</v>
      </c>
    </row>
    <row r="2" spans="1:4" ht="15" customHeight="1" thickBot="1" x14ac:dyDescent="0.6">
      <c r="A2" s="28"/>
    </row>
    <row r="3" spans="1:4" ht="15" thickBot="1" x14ac:dyDescent="0.4">
      <c r="A3" s="63" t="s">
        <v>124</v>
      </c>
      <c r="B3" s="17" t="s">
        <v>179</v>
      </c>
    </row>
    <row r="4" spans="1:4" ht="15" thickBot="1" x14ac:dyDescent="0.4">
      <c r="A4" s="63" t="s">
        <v>61</v>
      </c>
      <c r="B4" s="17" t="s">
        <v>142</v>
      </c>
    </row>
    <row r="5" spans="1:4" ht="15" thickBot="1" x14ac:dyDescent="0.4">
      <c r="A5" s="63" t="s">
        <v>62</v>
      </c>
      <c r="B5" s="17" t="s">
        <v>63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90</v>
      </c>
      <c r="B7" s="17" t="s">
        <v>93</v>
      </c>
      <c r="D7" t="str">
        <f>B7&amp;" per week"</f>
        <v>Hours per week</v>
      </c>
    </row>
    <row r="28" spans="1:17" ht="18.5" x14ac:dyDescent="0.45">
      <c r="A28" s="114" t="s">
        <v>104</v>
      </c>
    </row>
    <row r="29" spans="1:17" x14ac:dyDescent="0.35">
      <c r="A29" s="60"/>
    </row>
    <row r="30" spans="1:17" ht="15" thickBot="1" x14ac:dyDescent="0.4">
      <c r="A30" s="60" t="s">
        <v>106</v>
      </c>
    </row>
    <row r="31" spans="1:17" ht="29.5" thickBot="1" x14ac:dyDescent="0.4">
      <c r="A31" s="60"/>
      <c r="B31" s="116" t="str" cm="1">
        <f t="array" ref="B31">IF(B4="All Caseloads",INDEX(Setup!$A$20:$A$34,COLUMN(A1),1),B4)</f>
        <v>Caseload 1</v>
      </c>
      <c r="C31" s="103" t="str" cm="1">
        <f t="array" ref="C31">INDEX(Setup!$A$20:$A$34,COLUMN(B1),1)</f>
        <v>Caseload 2</v>
      </c>
      <c r="D31" s="103" t="str" cm="1">
        <f t="array" ref="D31">INDEX(Setup!$A$20:$A$34,COLUMN(C1),1)</f>
        <v>Caseload 3</v>
      </c>
      <c r="E31" s="103" t="str" cm="1">
        <f t="array" ref="E31">INDEX(Setup!$A$20:$A$34,COLUMN(D1),1)</f>
        <v>Caseload 4</v>
      </c>
      <c r="F31" s="103" t="str" cm="1">
        <f t="array" ref="F31">INDEX(Setup!$A$20:$A$34,COLUMN(E1),1)</f>
        <v>Caseload 5</v>
      </c>
      <c r="G31" s="103" t="str" cm="1">
        <f t="array" ref="G31">INDEX(Setup!$A$20:$A$34,COLUMN(F1),1)</f>
        <v>Caseload 6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105</v>
      </c>
      <c r="B32" s="17" t="e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#N/A</v>
      </c>
      <c r="C32" s="17" t="e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#N/A</v>
      </c>
      <c r="D32" s="31" t="e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#N/A</v>
      </c>
      <c r="E32" s="31" t="e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#N/A</v>
      </c>
      <c r="F32" s="31" t="e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#N/A</v>
      </c>
      <c r="G32" s="31" t="e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#N/A</v>
      </c>
      <c r="H32" s="31" t="e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#N/A</v>
      </c>
      <c r="I32" s="31" t="e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#N/A</v>
      </c>
      <c r="J32" s="31" t="e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#N/A</v>
      </c>
      <c r="K32" s="31" t="e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#N/A</v>
      </c>
      <c r="L32" s="31" t="e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#N/A</v>
      </c>
      <c r="M32" s="31" t="e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#N/A</v>
      </c>
      <c r="N32" s="31" t="e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#N/A</v>
      </c>
      <c r="O32" s="31" t="e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#N/A</v>
      </c>
      <c r="P32" s="31" t="e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#N/A</v>
      </c>
      <c r="Q32" s="7"/>
    </row>
    <row r="33" spans="1:31" ht="15" thickBot="1" x14ac:dyDescent="0.4">
      <c r="A33" s="111" t="str">
        <f>Setup!B13&amp;" Percentile:"</f>
        <v>65th Percentile:</v>
      </c>
      <c r="B33" s="10" t="e">
        <f>IF(B3="By Week",TEXT('Required Capacity (Hide)'!CY5,"0.0")&amp;" "&amp;$B$7,TEXT(INDEX('Required Capacity (Hide)'!$F$63:$G$77,MATCH(Summary!B$31,'Required Capacity (Hide)'!$E$63:$E$77,0),1),"0.0")&amp;" "&amp;$B$7)</f>
        <v>#N/A</v>
      </c>
      <c r="C33" s="40" t="e">
        <f>IF(C3="By Week",TEXT('Required Capacity (Hide)'!CZ5,"0.0")&amp;" "&amp;$B$7,TEXT(INDEX('Required Capacity (Hide)'!$F$63:$G$77,MATCH(Summary!C$31,'Required Capacity (Hide)'!$E$63:$E$77,0),1),"0.0")&amp;" "&amp;$B$7)</f>
        <v>#N/A</v>
      </c>
      <c r="D33" s="40" t="e">
        <f>IF(D3="By Week",TEXT('Required Capacity (Hide)'!DA5,"0.0")&amp;" "&amp;$B$7,TEXT(INDEX('Required Capacity (Hide)'!$F$63:$G$77,MATCH(Summary!D$31,'Required Capacity (Hide)'!$E$63:$E$77,0),1),"0.0")&amp;" "&amp;$B$7)</f>
        <v>#N/A</v>
      </c>
      <c r="E33" s="40" t="e">
        <f>IF(E3="By Week",TEXT('Required Capacity (Hide)'!DB5,"0.0")&amp;" "&amp;$B$7,TEXT(INDEX('Required Capacity (Hide)'!$F$63:$G$77,MATCH(Summary!E$31,'Required Capacity (Hide)'!$E$63:$E$77,0),1),"0.0")&amp;" "&amp;$B$7)</f>
        <v>#N/A</v>
      </c>
      <c r="F33" s="40" t="e">
        <f>IF(F3="By Week",TEXT('Required Capacity (Hide)'!DC5,"0.0")&amp;" "&amp;$B$7,TEXT(INDEX('Required Capacity (Hide)'!$F$63:$G$77,MATCH(Summary!F$31,'Required Capacity (Hide)'!$E$63:$E$77,0),1),"0.0")&amp;" "&amp;$B$7)</f>
        <v>#N/A</v>
      </c>
      <c r="G33" s="40" t="e">
        <f>IF(G3="By Week",TEXT('Required Capacity (Hide)'!DD5,"0.0")&amp;" "&amp;$B$7,TEXT(INDEX('Required Capacity (Hide)'!$F$63:$G$77,MATCH(Summary!G$31,'Required Capacity (Hide)'!$E$63:$E$77,0),1),"0.0")&amp;" "&amp;$B$7)</f>
        <v>#N/A</v>
      </c>
      <c r="H33" s="40" t="e">
        <f>IF(H3="By Week",TEXT('Required Capacity (Hide)'!DE5,"0.0")&amp;" "&amp;$B$7,TEXT(INDEX('Required Capacity (Hide)'!$F$63:$G$77,MATCH(Summary!H$31,'Required Capacity (Hide)'!$E$63:$E$77,0),1),"0.0")&amp;" "&amp;$B$7)</f>
        <v>#N/A</v>
      </c>
      <c r="I33" s="40" t="e">
        <f>IF(I3="By Week",TEXT('Required Capacity (Hide)'!DF5,"0.0")&amp;" "&amp;$B$7,TEXT(INDEX('Required Capacity (Hide)'!$F$63:$G$77,MATCH(Summary!I$31,'Required Capacity (Hide)'!$E$63:$E$77,0),1),"0.0")&amp;" "&amp;$B$7)</f>
        <v>#N/A</v>
      </c>
      <c r="J33" s="40" t="e">
        <f>IF(J3="By Week",TEXT('Required Capacity (Hide)'!DG5,"0.0")&amp;" "&amp;$B$7,TEXT(INDEX('Required Capacity (Hide)'!$F$63:$G$77,MATCH(Summary!J$31,'Required Capacity (Hide)'!$E$63:$E$77,0),1),"0.0")&amp;" "&amp;$B$7)</f>
        <v>#N/A</v>
      </c>
      <c r="K33" s="40" t="e">
        <f>IF(K3="By Week",TEXT('Required Capacity (Hide)'!DH5,"0.0")&amp;" "&amp;$B$7,TEXT(INDEX('Required Capacity (Hide)'!$F$63:$G$77,MATCH(Summary!K$31,'Required Capacity (Hide)'!$E$63:$E$77,0),1),"0.0")&amp;" "&amp;$B$7)</f>
        <v>#N/A</v>
      </c>
      <c r="L33" s="40" t="e">
        <f>IF(L3="By Week",TEXT('Required Capacity (Hide)'!DI5,"0.0")&amp;" "&amp;$B$7,TEXT(INDEX('Required Capacity (Hide)'!$F$63:$G$77,MATCH(Summary!L$31,'Required Capacity (Hide)'!$E$63:$E$77,0),1),"0.0")&amp;" "&amp;$B$7)</f>
        <v>#N/A</v>
      </c>
      <c r="M33" s="40" t="e">
        <f>IF(M3="By Week",TEXT('Required Capacity (Hide)'!DJ5,"0.0")&amp;" "&amp;$B$7,TEXT(INDEX('Required Capacity (Hide)'!$F$63:$G$77,MATCH(Summary!M$31,'Required Capacity (Hide)'!$E$63:$E$77,0),1),"0.0")&amp;" "&amp;$B$7)</f>
        <v>#N/A</v>
      </c>
      <c r="N33" s="40" t="e">
        <f>IF(N3="By Week",TEXT('Required Capacity (Hide)'!DK5,"0.0")&amp;" "&amp;$B$7,TEXT(INDEX('Required Capacity (Hide)'!$F$63:$G$77,MATCH(Summary!N$31,'Required Capacity (Hide)'!$E$63:$E$77,0),1),"0.0")&amp;" "&amp;$B$7)</f>
        <v>#N/A</v>
      </c>
      <c r="O33" s="40" t="e">
        <f>IF(O3="By Week",TEXT('Required Capacity (Hide)'!DL5,"0.0")&amp;" "&amp;$B$7,TEXT(INDEX('Required Capacity (Hide)'!$F$63:$G$77,MATCH(Summary!O$31,'Required Capacity (Hide)'!$E$63:$E$77,0),1),"0.0")&amp;" "&amp;$B$7)</f>
        <v>#N/A</v>
      </c>
      <c r="P33" s="10" t="e">
        <f>IF(P3="By Week",TEXT('Required Capacity (Hide)'!DM5,"0.0")&amp;" "&amp;$B$7,TEXT(INDEX('Required Capacity (Hide)'!$F$63:$G$77,MATCH(Summary!P$31,'Required Capacity (Hide)'!$E$63:$E$77,0),1),"0.0")&amp;" "&amp;$B$7)</f>
        <v>#N/A</v>
      </c>
      <c r="Q33" s="7"/>
    </row>
    <row r="35" spans="1:31" ht="15" thickBot="1" x14ac:dyDescent="0.4">
      <c r="A35" s="60" t="s">
        <v>107</v>
      </c>
    </row>
    <row r="36" spans="1:31" ht="29" customHeight="1" thickBot="1" x14ac:dyDescent="0.4">
      <c r="B36" s="103" t="str" cm="1">
        <f t="array" ref="B36">IF(B4="All Caseloads",INDEX(Setup!$A$20:$A$34,COLUMN(A6),1),B4)</f>
        <v>Caseload 1</v>
      </c>
      <c r="C36" s="103" t="str" cm="1">
        <f t="array" ref="C36">INDEX(Setup!$A$20:$A$34,COLUMN(B6),1)</f>
        <v>Caseload 2</v>
      </c>
      <c r="D36" s="103" t="str" cm="1">
        <f t="array" ref="D36">INDEX(Setup!$A$20:$A$34,COLUMN(C6),1)</f>
        <v>Caseload 3</v>
      </c>
      <c r="E36" s="103" t="str" cm="1">
        <f t="array" ref="E36">INDEX(Setup!$A$20:$A$34,COLUMN(D6),1)</f>
        <v>Caseload 4</v>
      </c>
      <c r="F36" s="103" t="str" cm="1">
        <f t="array" ref="F36">INDEX(Setup!$A$20:$A$34,COLUMN(E6),1)</f>
        <v>Caseload 5</v>
      </c>
      <c r="G36" s="103" t="str" cm="1">
        <f t="array" ref="G36">INDEX(Setup!$A$20:$A$34,COLUMN(F6),1)</f>
        <v>Caseload 6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180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0.0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0.0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0.0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181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183</v>
      </c>
    </row>
    <row r="43" spans="1:31" ht="15" thickBot="1" x14ac:dyDescent="0.4"/>
    <row r="44" spans="1:31" ht="15" thickBot="1" x14ac:dyDescent="0.4">
      <c r="A44" s="63" t="s">
        <v>61</v>
      </c>
      <c r="B44" s="17" t="s">
        <v>199</v>
      </c>
    </row>
    <row r="45" spans="1:31" ht="15" hidden="1" thickBot="1" x14ac:dyDescent="0.4">
      <c r="A45" s="63" t="s">
        <v>62</v>
      </c>
      <c r="B45" s="17" t="s">
        <v>63</v>
      </c>
    </row>
    <row r="68" spans="1:17" ht="15" thickBot="1" x14ac:dyDescent="0.4">
      <c r="A68" s="60" t="s">
        <v>104</v>
      </c>
    </row>
    <row r="69" spans="1:17" ht="29.5" thickBot="1" x14ac:dyDescent="0.4">
      <c r="B69" s="103" t="str" cm="1">
        <f t="array" ref="B69">IF(B4="All Caseloads",INDEX(Setup!$A$20:$A$34,COLUMN(A1),1),B4)</f>
        <v>Caseload 1</v>
      </c>
      <c r="C69" s="103" t="str" cm="1">
        <f t="array" ref="C69">INDEX(Setup!$A$20:$A$34,COLUMN(B39),1)</f>
        <v>Caseload 2</v>
      </c>
      <c r="D69" s="103" t="str" cm="1">
        <f t="array" ref="D69">INDEX(Setup!$A$20:$A$34,COLUMN(C39),1)</f>
        <v>Caseload 3</v>
      </c>
      <c r="E69" s="103" t="str" cm="1">
        <f t="array" ref="E69">INDEX(Setup!$A$20:$A$34,COLUMN(D39),1)</f>
        <v>Caseload 4</v>
      </c>
      <c r="F69" s="103" t="str" cm="1">
        <f t="array" ref="F69">INDEX(Setup!$A$20:$A$34,COLUMN(E39),1)</f>
        <v>Caseload 5</v>
      </c>
      <c r="G69" s="103" t="str" cm="1">
        <f t="array" ref="G69">INDEX(Setup!$A$20:$A$34,COLUMN(F39),1)</f>
        <v>Caseload 6</v>
      </c>
      <c r="H69" s="103" t="str" cm="1">
        <f t="array" ref="H69">INDEX(Setup!$A$20:$A$34,COLUMN(G39),1)</f>
        <v>Caseload 7</v>
      </c>
      <c r="I69" s="103" t="str" cm="1">
        <f t="array" ref="I69">INDEX(Setup!$A$20:$A$34,COLUMN(H39),1)</f>
        <v>Caseload 8</v>
      </c>
      <c r="J69" s="103" t="str" cm="1">
        <f t="array" ref="J69">INDEX(Setup!$A$20:$A$34,COLUMN(I39),1)</f>
        <v>Caseload 9</v>
      </c>
      <c r="K69" s="103" t="str" cm="1">
        <f t="array" ref="K69">INDEX(Setup!$A$20:$A$34,COLUMN(J39),1)</f>
        <v>Caseload 10</v>
      </c>
      <c r="L69" s="103" t="str" cm="1">
        <f t="array" ref="L69">INDEX(Setup!$A$20:$A$34,COLUMN(K39),1)</f>
        <v>Caseload 11</v>
      </c>
      <c r="M69" s="103" t="str" cm="1">
        <f t="array" ref="M69">INDEX(Setup!$A$20:$A$34,COLUMN(L39),1)</f>
        <v>Caseload 12</v>
      </c>
      <c r="N69" s="103" t="str" cm="1">
        <f t="array" ref="N69">INDEX(Setup!$A$20:$A$34,COLUMN(M39),1)</f>
        <v>Caseload 13</v>
      </c>
      <c r="O69" s="103" t="str" cm="1">
        <f t="array" ref="O69">INDEX(Setup!$A$20:$A$34,COLUMN(N39),1)</f>
        <v>Caseload 14</v>
      </c>
      <c r="P69" s="103" t="str" cm="1">
        <f t="array" ref="P69">INDEX(Setup!$A$20:$A$34,COLUMN(O39),1)</f>
        <v>Caseload 15</v>
      </c>
      <c r="Q69" s="140" t="s">
        <v>185</v>
      </c>
    </row>
    <row r="70" spans="1:17" ht="15" thickBot="1" x14ac:dyDescent="0.4">
      <c r="A70" s="116" t="s">
        <v>194</v>
      </c>
      <c r="B70" s="138">
        <f>INDEX('Waiting List Config'!$C$5:$O$20,MATCH(Summary!B$69,'Waiting List Config'!$B$5:$B$20,0),2)</f>
        <v>0</v>
      </c>
      <c r="C70" s="138">
        <f>INDEX('Waiting List Config'!$C$5:$O$20,MATCH(Summary!C$69,'Waiting List Config'!$B$5:$B$20,0),2)</f>
        <v>0</v>
      </c>
      <c r="D70" s="138">
        <f>INDEX('Waiting List Config'!$C$5:$O$20,MATCH(Summary!D$69,'Waiting List Config'!$B$5:$B$20,0),2)</f>
        <v>0</v>
      </c>
      <c r="E70" s="138">
        <f>INDEX('Waiting List Config'!$C$5:$O$20,MATCH(Summary!E$69,'Waiting List Config'!$B$5:$B$20,0),2)</f>
        <v>0</v>
      </c>
      <c r="F70" s="138">
        <f>INDEX('Waiting List Config'!$C$5:$O$20,MATCH(Summary!F$69,'Waiting List Config'!$B$5:$B$20,0),2)</f>
        <v>0</v>
      </c>
      <c r="G70" s="138">
        <f>INDEX('Waiting List Config'!$C$5:$O$20,MATCH(Summary!G$69,'Waiting List Config'!$B$5:$B$20,0),2)</f>
        <v>0</v>
      </c>
      <c r="H70" s="138">
        <f>INDEX('Waiting List Config'!$C$5:$O$20,MATCH(Summary!H$69,'Waiting List Config'!$B$5:$B$20,0),2)</f>
        <v>0</v>
      </c>
      <c r="I70" s="138">
        <f>INDEX('Waiting List Config'!$C$5:$O$20,MATCH(Summary!I$69,'Waiting List Config'!$B$5:$B$20,0),2)</f>
        <v>0</v>
      </c>
      <c r="J70" s="138">
        <f>INDEX('Waiting List Config'!$C$5:$O$20,MATCH(Summary!J$69,'Waiting List Config'!$B$5:$B$20,0),2)</f>
        <v>0</v>
      </c>
      <c r="K70" s="138">
        <f>INDEX('Waiting List Config'!$C$5:$O$20,MATCH(Summary!K$69,'Waiting List Config'!$B$5:$B$20,0),2)</f>
        <v>0</v>
      </c>
      <c r="L70" s="138">
        <f>INDEX('Waiting List Config'!$C$5:$O$20,MATCH(Summary!L$69,'Waiting List Config'!$B$5:$B$20,0),2)</f>
        <v>0</v>
      </c>
      <c r="M70" s="138">
        <f>INDEX('Waiting List Config'!$C$5:$O$20,MATCH(Summary!M$69,'Waiting List Config'!$B$5:$B$20,0),2)</f>
        <v>0</v>
      </c>
      <c r="N70" s="138">
        <f>INDEX('Waiting List Config'!$C$5:$O$20,MATCH(Summary!N$69,'Waiting List Config'!$B$5:$B$20,0),2)</f>
        <v>0</v>
      </c>
      <c r="O70" s="138">
        <f>INDEX('Waiting List Config'!$C$5:$O$20,MATCH(Summary!O$69,'Waiting List Config'!$B$5:$B$20,0),2)</f>
        <v>0</v>
      </c>
      <c r="P70" s="138">
        <f>INDEX('Waiting List Config'!$C$5:$O$20,MATCH(Summary!P$69,'Waiting List Config'!$B$5:$B$20,0),2)</f>
        <v>0</v>
      </c>
      <c r="Q70" s="138">
        <f>INDEX('Waiting List Config'!$C$5:$O$20,MATCH(Summary!Q$69,'Waiting List Config'!$B$5:$B$20,0),2)</f>
        <v>0</v>
      </c>
    </row>
    <row r="71" spans="1:17" ht="15" thickBot="1" x14ac:dyDescent="0.4">
      <c r="A71" s="116" t="s">
        <v>193</v>
      </c>
      <c r="B71" s="138" t="str">
        <f>INDEX('Waiting List Config'!$C$5:$O$20,MATCH(Summary!B$69,'Waiting List Config'!$B$5:$B$20,0),7)</f>
        <v/>
      </c>
      <c r="C71" s="138" t="str">
        <f>INDEX('Waiting List Config'!$C$5:$O$20,MATCH(Summary!C$69,'Waiting List Config'!$B$5:$B$20,0),7)</f>
        <v/>
      </c>
      <c r="D71" s="138" t="str">
        <f>INDEX('Waiting List Config'!$C$5:$O$20,MATCH(Summary!D$69,'Waiting List Config'!$B$5:$B$20,0),7)</f>
        <v/>
      </c>
      <c r="E71" s="138" t="str">
        <f>INDEX('Waiting List Config'!$C$5:$O$20,MATCH(Summary!E$69,'Waiting List Config'!$B$5:$B$20,0),7)</f>
        <v/>
      </c>
      <c r="F71" s="138" t="str">
        <f>INDEX('Waiting List Config'!$C$5:$O$20,MATCH(Summary!F$69,'Waiting List Config'!$B$5:$B$20,0),7)</f>
        <v/>
      </c>
      <c r="G71" s="138" t="str">
        <f>INDEX('Waiting List Config'!$C$5:$O$20,MATCH(Summary!G$69,'Waiting List Config'!$B$5:$B$20,0),7)</f>
        <v/>
      </c>
      <c r="H71" s="138" t="str">
        <f>INDEX('Waiting List Config'!$C$5:$O$20,MATCH(Summary!H$69,'Waiting List Config'!$B$5:$B$20,0),7)</f>
        <v/>
      </c>
      <c r="I71" s="138" t="str">
        <f>INDEX('Waiting List Config'!$C$5:$O$20,MATCH(Summary!I$69,'Waiting List Config'!$B$5:$B$20,0),7)</f>
        <v/>
      </c>
      <c r="J71" s="138" t="str">
        <f>INDEX('Waiting List Config'!$C$5:$O$20,MATCH(Summary!J$69,'Waiting List Config'!$B$5:$B$20,0),7)</f>
        <v/>
      </c>
      <c r="K71" s="138" t="str">
        <f>INDEX('Waiting List Config'!$C$5:$O$20,MATCH(Summary!K$69,'Waiting List Config'!$B$5:$B$20,0),7)</f>
        <v/>
      </c>
      <c r="L71" s="138" t="str">
        <f>INDEX('Waiting List Config'!$C$5:$O$20,MATCH(Summary!L$69,'Waiting List Config'!$B$5:$B$20,0),7)</f>
        <v/>
      </c>
      <c r="M71" s="138" t="str">
        <f>INDEX('Waiting List Config'!$C$5:$O$20,MATCH(Summary!M$69,'Waiting List Config'!$B$5:$B$20,0),7)</f>
        <v/>
      </c>
      <c r="N71" s="138" t="str">
        <f>INDEX('Waiting List Config'!$C$5:$O$20,MATCH(Summary!N$69,'Waiting List Config'!$B$5:$B$20,0),7)</f>
        <v/>
      </c>
      <c r="O71" s="138" t="str">
        <f>INDEX('Waiting List Config'!$C$5:$O$20,MATCH(Summary!O$69,'Waiting List Config'!$B$5:$B$20,0),7)</f>
        <v/>
      </c>
      <c r="P71" s="138" t="str">
        <f>INDEX('Waiting List Config'!$C$5:$O$20,MATCH(Summary!P$69,'Waiting List Config'!$B$5:$B$20,0),7)</f>
        <v/>
      </c>
      <c r="Q71" s="138" t="str">
        <f>INDEX('Waiting List Config'!$C$5:$O$20,MATCH(Summary!Q$69,'Waiting List Config'!$B$5:$B$20,0),7)</f>
        <v/>
      </c>
    </row>
    <row r="72" spans="1:17" ht="29.5" thickBot="1" x14ac:dyDescent="0.4">
      <c r="A72" s="116" t="s">
        <v>195</v>
      </c>
      <c r="B72" s="138" t="str">
        <f>INDEX('Waiting List Config'!$C$5:$O$20,MATCH(Summary!B$69,'Waiting List Config'!$B$5:$B$20,0),13)</f>
        <v>0 - 0</v>
      </c>
      <c r="C72" s="138" t="str">
        <f>INDEX('Waiting List Config'!$C$5:$O$20,MATCH(Summary!C$69,'Waiting List Config'!$B$5:$B$20,0),13)</f>
        <v>0 - 0</v>
      </c>
      <c r="D72" s="138" t="str">
        <f>INDEX('Waiting List Config'!$C$5:$O$20,MATCH(Summary!D$69,'Waiting List Config'!$B$5:$B$20,0),13)</f>
        <v>0 - 0</v>
      </c>
      <c r="E72" s="138" t="str">
        <f>INDEX('Waiting List Config'!$C$5:$O$20,MATCH(Summary!E$69,'Waiting List Config'!$B$5:$B$20,0),13)</f>
        <v>0 - 0</v>
      </c>
      <c r="F72" s="138" t="str">
        <f>INDEX('Waiting List Config'!$C$5:$O$20,MATCH(Summary!F$69,'Waiting List Config'!$B$5:$B$20,0),13)</f>
        <v>0 - 0</v>
      </c>
      <c r="G72" s="138" t="str">
        <f>INDEX('Waiting List Config'!$C$5:$O$20,MATCH(Summary!G$69,'Waiting List Config'!$B$5:$B$20,0),13)</f>
        <v>0 - 0</v>
      </c>
      <c r="H72" s="138" t="str">
        <f>INDEX('Waiting List Config'!$C$5:$O$20,MATCH(Summary!H$69,'Waiting List Config'!$B$5:$B$20,0),13)</f>
        <v>0 - 0</v>
      </c>
      <c r="I72" s="138" t="str">
        <f>INDEX('Waiting List Config'!$C$5:$O$20,MATCH(Summary!I$69,'Waiting List Config'!$B$5:$B$20,0),13)</f>
        <v>0 - 0</v>
      </c>
      <c r="J72" s="138" t="str">
        <f>INDEX('Waiting List Config'!$C$5:$O$20,MATCH(Summary!J$69,'Waiting List Config'!$B$5:$B$20,0),13)</f>
        <v>0 - 0</v>
      </c>
      <c r="K72" s="138" t="str">
        <f>INDEX('Waiting List Config'!$C$5:$O$20,MATCH(Summary!K$69,'Waiting List Config'!$B$5:$B$20,0),13)</f>
        <v>0 - 0</v>
      </c>
      <c r="L72" s="138" t="str">
        <f>INDEX('Waiting List Config'!$C$5:$O$20,MATCH(Summary!L$69,'Waiting List Config'!$B$5:$B$20,0),13)</f>
        <v>0 - 0</v>
      </c>
      <c r="M72" s="138" t="str">
        <f>INDEX('Waiting List Config'!$C$5:$O$20,MATCH(Summary!M$69,'Waiting List Config'!$B$5:$B$20,0),13)</f>
        <v>0 - 0</v>
      </c>
      <c r="N72" s="138" t="str">
        <f>INDEX('Waiting List Config'!$C$5:$O$20,MATCH(Summary!N$69,'Waiting List Config'!$B$5:$B$20,0),13)</f>
        <v>0 - 0</v>
      </c>
      <c r="O72" s="138" t="str">
        <f>INDEX('Waiting List Config'!$C$5:$O$20,MATCH(Summary!O$69,'Waiting List Config'!$B$5:$B$20,0),13)</f>
        <v>0 - 0</v>
      </c>
      <c r="P72" s="138" t="str">
        <f>INDEX('Waiting List Config'!$C$5:$O$20,MATCH(Summary!P$69,'Waiting List Config'!$B$5:$B$20,0),13)</f>
        <v>0 - 0</v>
      </c>
      <c r="Q72" s="139" t="str">
        <f>INDEX('Waiting List Config'!$C$5:$O$20,MATCH(Summary!Q$69,'Waiting List Config'!$B$5:$B$20,0),13)</f>
        <v>0 - 0</v>
      </c>
    </row>
    <row r="73" spans="1:17" ht="44" thickBot="1" x14ac:dyDescent="0.4">
      <c r="A73" s="137" t="s">
        <v>196</v>
      </c>
      <c r="B73" s="139" t="str">
        <f>INDEX('Waiting List Config'!$B$5:$U$20,MATCH(Summary!B$69,'Waiting List Config'!$B$5:$B$20,0),19)</f>
        <v>0 - 0</v>
      </c>
      <c r="C73" s="139" t="str">
        <f>INDEX('Waiting List Config'!$B$5:$U$20,MATCH(Summary!C$69,'Waiting List Config'!$B$5:$B$20,0),19)</f>
        <v>0 - 0</v>
      </c>
      <c r="D73" s="139" t="str">
        <f>INDEX('Waiting List Config'!$B$5:$U$20,MATCH(Summary!D$69,'Waiting List Config'!$B$5:$B$20,0),19)</f>
        <v>0 - 0</v>
      </c>
      <c r="E73" s="139" t="str">
        <f>INDEX('Waiting List Config'!$B$5:$U$20,MATCH(Summary!E$69,'Waiting List Config'!$B$5:$B$20,0),19)</f>
        <v>0 - 0</v>
      </c>
      <c r="F73" s="139" t="str">
        <f>INDEX('Waiting List Config'!$B$5:$U$20,MATCH(Summary!F$69,'Waiting List Config'!$B$5:$B$20,0),19)</f>
        <v>0 - 0</v>
      </c>
      <c r="G73" s="139" t="str">
        <f>INDEX('Waiting List Config'!$B$5:$U$20,MATCH(Summary!G$69,'Waiting List Config'!$B$5:$B$20,0),19)</f>
        <v>0 - 0</v>
      </c>
      <c r="H73" s="139" t="str">
        <f>INDEX('Waiting List Config'!$B$5:$U$20,MATCH(Summary!H$69,'Waiting List Config'!$B$5:$B$20,0),19)</f>
        <v>0 - 0</v>
      </c>
      <c r="I73" s="139" t="str">
        <f>INDEX('Waiting List Config'!$B$5:$U$20,MATCH(Summary!I$69,'Waiting List Config'!$B$5:$B$20,0),19)</f>
        <v>0 - 0</v>
      </c>
      <c r="J73" s="139" t="str">
        <f>INDEX('Waiting List Config'!$B$5:$U$20,MATCH(Summary!J$69,'Waiting List Config'!$B$5:$B$20,0),19)</f>
        <v>0 - 0</v>
      </c>
      <c r="K73" s="139" t="str">
        <f>INDEX('Waiting List Config'!$B$5:$U$20,MATCH(Summary!K$69,'Waiting List Config'!$B$5:$B$20,0),19)</f>
        <v>0 - 0</v>
      </c>
      <c r="L73" s="139" t="str">
        <f>INDEX('Waiting List Config'!$B$5:$U$20,MATCH(Summary!L$69,'Waiting List Config'!$B$5:$B$20,0),19)</f>
        <v>0 - 0</v>
      </c>
      <c r="M73" s="139" t="str">
        <f>INDEX('Waiting List Config'!$B$5:$U$20,MATCH(Summary!M$69,'Waiting List Config'!$B$5:$B$20,0),19)</f>
        <v>0 - 0</v>
      </c>
      <c r="N73" s="139" t="str">
        <f>INDEX('Waiting List Config'!$B$5:$U$20,MATCH(Summary!N$69,'Waiting List Config'!$B$5:$B$20,0),19)</f>
        <v>0 - 0</v>
      </c>
      <c r="O73" s="139" t="str">
        <f>INDEX('Waiting List Config'!$B$5:$U$20,MATCH(Summary!O$69,'Waiting List Config'!$B$5:$B$20,0),19)</f>
        <v>0 - 0</v>
      </c>
      <c r="P73" s="139" t="str">
        <f>INDEX('Waiting List Config'!$B$5:$U$20,MATCH(Summary!P$69,'Waiting List Config'!$B$5:$B$20,0),19)</f>
        <v>0 - 0</v>
      </c>
      <c r="Q73" s="102"/>
    </row>
    <row r="74" spans="1:17" ht="44" thickBot="1" x14ac:dyDescent="0.4">
      <c r="A74" s="116" t="s">
        <v>197</v>
      </c>
      <c r="B74" s="139" t="str">
        <f>INDEX('Waiting List Config'!$B$5:$U$20,MATCH(Summary!B$69,'Waiting List Config'!$B$5:$B$20,0),20)</f>
        <v>0 - 0</v>
      </c>
      <c r="C74" s="139" t="str">
        <f>INDEX('Waiting List Config'!$B$5:$U$20,MATCH(Summary!C$69,'Waiting List Config'!$B$5:$B$20,0),20)</f>
        <v>0 - 0</v>
      </c>
      <c r="D74" s="139" t="str">
        <f>INDEX('Waiting List Config'!$B$5:$U$20,MATCH(Summary!D$69,'Waiting List Config'!$B$5:$B$20,0),20)</f>
        <v>0 - 0</v>
      </c>
      <c r="E74" s="139" t="str">
        <f>INDEX('Waiting List Config'!$B$5:$U$20,MATCH(Summary!E$69,'Waiting List Config'!$B$5:$B$20,0),20)</f>
        <v>0 - 0</v>
      </c>
      <c r="F74" s="139" t="str">
        <f>INDEX('Waiting List Config'!$B$5:$U$20,MATCH(Summary!F$69,'Waiting List Config'!$B$5:$B$20,0),20)</f>
        <v>0 - 0</v>
      </c>
      <c r="G74" s="139" t="str">
        <f>INDEX('Waiting List Config'!$B$5:$U$20,MATCH(Summary!G$69,'Waiting List Config'!$B$5:$B$20,0),20)</f>
        <v>0 - 0</v>
      </c>
      <c r="H74" s="139" t="str">
        <f>INDEX('Waiting List Config'!$B$5:$U$20,MATCH(Summary!H$69,'Waiting List Config'!$B$5:$B$20,0),20)</f>
        <v>0 - 0</v>
      </c>
      <c r="I74" s="139" t="str">
        <f>INDEX('Waiting List Config'!$B$5:$U$20,MATCH(Summary!I$69,'Waiting List Config'!$B$5:$B$20,0),20)</f>
        <v>0 - 0</v>
      </c>
      <c r="J74" s="139" t="str">
        <f>INDEX('Waiting List Config'!$B$5:$U$20,MATCH(Summary!J$69,'Waiting List Config'!$B$5:$B$20,0),20)</f>
        <v>0 - 0</v>
      </c>
      <c r="K74" s="139" t="str">
        <f>INDEX('Waiting List Config'!$B$5:$U$20,MATCH(Summary!K$69,'Waiting List Config'!$B$5:$B$20,0),20)</f>
        <v>0 - 0</v>
      </c>
      <c r="L74" s="139" t="str">
        <f>INDEX('Waiting List Config'!$B$5:$U$20,MATCH(Summary!L$69,'Waiting List Config'!$B$5:$B$20,0),20)</f>
        <v>0 - 0</v>
      </c>
      <c r="M74" s="139" t="str">
        <f>INDEX('Waiting List Config'!$B$5:$U$20,MATCH(Summary!M$69,'Waiting List Config'!$B$5:$B$20,0),20)</f>
        <v>0 - 0</v>
      </c>
      <c r="N74" s="139" t="str">
        <f>INDEX('Waiting List Config'!$B$5:$U$20,MATCH(Summary!N$69,'Waiting List Config'!$B$5:$B$20,0),20)</f>
        <v>0 - 0</v>
      </c>
      <c r="O74" s="139" t="str">
        <f>INDEX('Waiting List Config'!$B$5:$U$20,MATCH(Summary!O$69,'Waiting List Config'!$B$5:$B$20,0),20)</f>
        <v>0 - 0</v>
      </c>
      <c r="P74" s="139" t="str">
        <f>INDEX('Waiting List Config'!$B$5:$U$20,MATCH(Summary!P$69,'Waiting List Config'!$B$5:$B$20,0),20)</f>
        <v>0 - 0</v>
      </c>
      <c r="Q74" s="102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30" sqref="D30:E39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143</v>
      </c>
      <c r="I1" s="60" t="s">
        <v>160</v>
      </c>
    </row>
    <row r="2" spans="1:16" ht="15" thickBot="1" x14ac:dyDescent="0.4">
      <c r="I2" s="126" t="s">
        <v>61</v>
      </c>
      <c r="J2" s="128" t="s">
        <v>142</v>
      </c>
      <c r="K2" s="5"/>
      <c r="L2" s="115" t="s">
        <v>62</v>
      </c>
      <c r="M2" s="127" t="s">
        <v>63</v>
      </c>
      <c r="N2" s="5"/>
      <c r="O2" s="115" t="s">
        <v>90</v>
      </c>
      <c r="P2" s="127" t="s">
        <v>93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144</v>
      </c>
      <c r="C5" s="103" t="s">
        <v>145</v>
      </c>
      <c r="D5" s="103" t="s">
        <v>146</v>
      </c>
      <c r="E5" s="103" t="s">
        <v>147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Caseload 1</v>
      </c>
      <c r="B6" s="41" t="e">
        <f>INDEX('Required Capacity (Hide)'!$B$5:$C$19,MATCH(Planning!$A6,'Required Capacity (Hide)'!$A$5:$A$19,0),1)</f>
        <v>#N/A</v>
      </c>
      <c r="C6" s="75" t="e">
        <f>INDEX('Required Capacity (Hide)'!$B$5:$C$19,MATCH(Planning!$A6,'Required Capacity (Hide)'!$A$5:$A$19,0),2)</f>
        <v>#N/A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Caseload 2</v>
      </c>
      <c r="B7" s="52" t="e">
        <f>INDEX('Required Capacity (Hide)'!$B$5:$C$19,MATCH(Planning!$A7,'Required Capacity (Hide)'!$A$5:$A$19,0),1)</f>
        <v>#N/A</v>
      </c>
      <c r="C7" s="76" t="e">
        <f>INDEX('Required Capacity (Hide)'!$B$5:$C$19,MATCH(Planning!$A7,'Required Capacity (Hide)'!$A$5:$A$19,0),2)</f>
        <v>#N/A</v>
      </c>
      <c r="D7" s="79"/>
      <c r="E7" s="23"/>
      <c r="F7" s="82"/>
      <c r="G7" s="83"/>
    </row>
    <row r="8" spans="1:16" x14ac:dyDescent="0.35">
      <c r="A8" s="52" t="str">
        <f>Setup!A22</f>
        <v>Caseload 3</v>
      </c>
      <c r="B8" s="52" t="e">
        <f>INDEX('Required Capacity (Hide)'!$B$5:$C$19,MATCH(Planning!$A8,'Required Capacity (Hide)'!$A$5:$A$19,0),1)</f>
        <v>#N/A</v>
      </c>
      <c r="C8" s="76" t="e">
        <f>INDEX('Required Capacity (Hide)'!$B$5:$C$19,MATCH(Planning!$A8,'Required Capacity (Hide)'!$A$5:$A$19,0),2)</f>
        <v>#N/A</v>
      </c>
      <c r="D8" s="79"/>
      <c r="E8" s="23"/>
      <c r="F8" s="82"/>
      <c r="G8" s="83"/>
    </row>
    <row r="9" spans="1:16" x14ac:dyDescent="0.35">
      <c r="A9" s="52" t="str">
        <f>Setup!A23</f>
        <v>Caseload 4</v>
      </c>
      <c r="B9" s="52" t="e">
        <f>INDEX('Required Capacity (Hide)'!$B$5:$C$19,MATCH(Planning!$A9,'Required Capacity (Hide)'!$A$5:$A$19,0),1)</f>
        <v>#N/A</v>
      </c>
      <c r="C9" s="76" t="e">
        <f>INDEX('Required Capacity (Hide)'!$B$5:$C$19,MATCH(Planning!$A9,'Required Capacity (Hide)'!$A$5:$A$19,0),2)</f>
        <v>#N/A</v>
      </c>
      <c r="D9" s="79"/>
      <c r="E9" s="23"/>
      <c r="F9" s="82"/>
      <c r="G9" s="83"/>
    </row>
    <row r="10" spans="1:16" x14ac:dyDescent="0.35">
      <c r="A10" s="52" t="str">
        <f>Setup!A24</f>
        <v>Caseload 5</v>
      </c>
      <c r="B10" s="52" t="e">
        <f>INDEX('Required Capacity (Hide)'!$B$5:$C$19,MATCH(Planning!$A10,'Required Capacity (Hide)'!$A$5:$A$19,0),1)</f>
        <v>#N/A</v>
      </c>
      <c r="C10" s="76" t="e">
        <f>INDEX('Required Capacity (Hide)'!$B$5:$C$19,MATCH(Planning!$A10,'Required Capacity (Hide)'!$A$5:$A$19,0),2)</f>
        <v>#N/A</v>
      </c>
      <c r="D10" s="79"/>
      <c r="E10" s="23"/>
      <c r="F10" s="82"/>
      <c r="G10" s="83"/>
    </row>
    <row r="11" spans="1:16" x14ac:dyDescent="0.35">
      <c r="A11" s="52" t="str">
        <f>Setup!A25</f>
        <v>Caseload 6</v>
      </c>
      <c r="B11" s="52" t="e">
        <f>INDEX('Required Capacity (Hide)'!$B$5:$C$19,MATCH(Planning!$A11,'Required Capacity (Hide)'!$A$5:$A$19,0),1)</f>
        <v>#N/A</v>
      </c>
      <c r="C11" s="76" t="e">
        <f>INDEX('Required Capacity (Hide)'!$B$5:$C$19,MATCH(Planning!$A11,'Required Capacity (Hide)'!$A$5:$A$19,0),2)</f>
        <v>#N/A</v>
      </c>
      <c r="D11" s="79"/>
      <c r="E11" s="23"/>
      <c r="F11" s="39" t="e">
        <v>#DIV/0!</v>
      </c>
      <c r="G11" s="6">
        <v>1</v>
      </c>
    </row>
    <row r="12" spans="1:16" x14ac:dyDescent="0.35">
      <c r="A12" s="52" t="str">
        <f>Setup!A26</f>
        <v>Caseload 7</v>
      </c>
      <c r="B12" s="52" t="e">
        <f>INDEX('Required Capacity (Hide)'!$B$5:$C$19,MATCH(Planning!$A12,'Required Capacity (Hide)'!$A$5:$A$19,0),1)</f>
        <v>#N/A</v>
      </c>
      <c r="C12" s="76" t="e">
        <f>INDEX('Required Capacity (Hide)'!$B$5:$C$19,MATCH(Planning!$A12,'Required Capacity (Hide)'!$A$5:$A$19,0),2)</f>
        <v>#N/A</v>
      </c>
      <c r="D12" s="79"/>
      <c r="E12" s="23"/>
      <c r="F12" s="39" t="e">
        <v>#DIV/0!</v>
      </c>
      <c r="G12" s="6">
        <v>1</v>
      </c>
    </row>
    <row r="13" spans="1:16" x14ac:dyDescent="0.35">
      <c r="A13" s="52" t="str">
        <f>Setup!A27</f>
        <v>Caseload 8</v>
      </c>
      <c r="B13" s="52" t="e">
        <f>INDEX('Required Capacity (Hide)'!$B$5:$C$19,MATCH(Planning!$A13,'Required Capacity (Hide)'!$A$5:$A$19,0),1)</f>
        <v>#N/A</v>
      </c>
      <c r="C13" s="76" t="e">
        <f>INDEX('Required Capacity (Hide)'!$B$5:$C$19,MATCH(Planning!$A13,'Required Capacity (Hide)'!$A$5:$A$19,0),2)</f>
        <v>#N/A</v>
      </c>
      <c r="D13" s="79"/>
      <c r="E13" s="23"/>
      <c r="F13" s="39" t="e">
        <v>#DIV/0!</v>
      </c>
      <c r="G13" s="6">
        <v>1</v>
      </c>
    </row>
    <row r="14" spans="1:16" x14ac:dyDescent="0.35">
      <c r="A14" s="52" t="str">
        <f>Setup!A28</f>
        <v>Caseload 9</v>
      </c>
      <c r="B14" s="52" t="e">
        <f>INDEX('Required Capacity (Hide)'!$B$5:$C$19,MATCH(Planning!$A14,'Required Capacity (Hide)'!$A$5:$A$19,0),1)</f>
        <v>#N/A</v>
      </c>
      <c r="C14" s="76" t="e">
        <f>INDEX('Required Capacity (Hide)'!$B$5:$C$19,MATCH(Planning!$A14,'Required Capacity (Hide)'!$A$5:$A$19,0),2)</f>
        <v>#N/A</v>
      </c>
      <c r="D14" s="79"/>
      <c r="E14" s="23"/>
      <c r="F14" s="39" t="e">
        <v>#DIV/0!</v>
      </c>
      <c r="G14" s="6">
        <v>1</v>
      </c>
    </row>
    <row r="15" spans="1:16" x14ac:dyDescent="0.35">
      <c r="A15" s="52" t="str">
        <f>Setup!A29</f>
        <v>Caseload 10</v>
      </c>
      <c r="B15" s="52" t="e">
        <f>INDEX('Required Capacity (Hide)'!$B$5:$C$19,MATCH(Planning!$A15,'Required Capacity (Hide)'!$A$5:$A$19,0),1)</f>
        <v>#N/A</v>
      </c>
      <c r="C15" s="76" t="e">
        <f>INDEX('Required Capacity (Hide)'!$B$5:$C$19,MATCH(Planning!$A15,'Required Capacity (Hide)'!$A$5:$A$19,0),2)</f>
        <v>#N/A</v>
      </c>
      <c r="D15" s="79"/>
      <c r="E15" s="23"/>
      <c r="F15" s="39" t="e">
        <v>#DIV/0!</v>
      </c>
      <c r="G15" s="6">
        <v>1</v>
      </c>
    </row>
    <row r="16" spans="1:16" x14ac:dyDescent="0.35">
      <c r="A16" s="52" t="str">
        <f>Setup!A30</f>
        <v>Caseload 11</v>
      </c>
      <c r="B16" s="52" t="e">
        <f>INDEX('Required Capacity (Hide)'!$B$5:$C$19,MATCH(Planning!$A16,'Required Capacity (Hide)'!$A$5:$A$19,0),1)</f>
        <v>#N/A</v>
      </c>
      <c r="C16" s="76" t="e">
        <f>INDEX('Required Capacity (Hide)'!$B$5:$C$19,MATCH(Planning!$A16,'Required Capacity (Hide)'!$A$5:$A$19,0),2)</f>
        <v>#N/A</v>
      </c>
      <c r="D16" s="79"/>
      <c r="E16" s="23"/>
      <c r="F16" s="39" t="e">
        <v>#DIV/0!</v>
      </c>
      <c r="G16" s="6">
        <v>1</v>
      </c>
    </row>
    <row r="17" spans="1:7" x14ac:dyDescent="0.35">
      <c r="A17" s="52" t="str">
        <f>Setup!A31</f>
        <v>Caseload 12</v>
      </c>
      <c r="B17" s="52" t="e">
        <f>INDEX('Required Capacity (Hide)'!$B$5:$C$19,MATCH(Planning!$A17,'Required Capacity (Hide)'!$A$5:$A$19,0),1)</f>
        <v>#N/A</v>
      </c>
      <c r="C17" s="76" t="e">
        <f>INDEX('Required Capacity (Hide)'!$B$5:$C$19,MATCH(Planning!$A17,'Required Capacity (Hide)'!$A$5:$A$19,0),2)</f>
        <v>#N/A</v>
      </c>
      <c r="D17" s="79"/>
      <c r="E17" s="23"/>
      <c r="F17" s="39" t="e">
        <v>#DIV/0!</v>
      </c>
      <c r="G17" s="6">
        <v>1</v>
      </c>
    </row>
    <row r="18" spans="1:7" x14ac:dyDescent="0.35">
      <c r="A18" s="52" t="str">
        <f>Setup!A32</f>
        <v>Caseload 13</v>
      </c>
      <c r="B18" s="52" t="e">
        <f>INDEX('Required Capacity (Hide)'!$B$5:$C$19,MATCH(Planning!$A18,'Required Capacity (Hide)'!$A$5:$A$19,0),1)</f>
        <v>#N/A</v>
      </c>
      <c r="C18" s="76" t="e">
        <f>INDEX('Required Capacity (Hide)'!$B$5:$C$19,MATCH(Planning!$A18,'Required Capacity (Hide)'!$A$5:$A$19,0),2)</f>
        <v>#N/A</v>
      </c>
      <c r="D18" s="79"/>
      <c r="E18" s="23"/>
      <c r="F18" s="39" t="e">
        <v>#DIV/0!</v>
      </c>
      <c r="G18" s="6">
        <v>1</v>
      </c>
    </row>
    <row r="19" spans="1:7" x14ac:dyDescent="0.35">
      <c r="A19" s="52" t="str">
        <f>Setup!A33</f>
        <v>Caseload 14</v>
      </c>
      <c r="B19" s="52" t="e">
        <f>INDEX('Required Capacity (Hide)'!$B$5:$C$19,MATCH(Planning!$A19,'Required Capacity (Hide)'!$A$5:$A$19,0),1)</f>
        <v>#N/A</v>
      </c>
      <c r="C19" s="76" t="e">
        <f>INDEX('Required Capacity (Hide)'!$B$5:$C$19,MATCH(Planning!$A19,'Required Capacity (Hide)'!$A$5:$A$19,0),2)</f>
        <v>#N/A</v>
      </c>
      <c r="D19" s="79"/>
      <c r="E19" s="23"/>
      <c r="F19" s="39" t="e">
        <v>#DIV/0!</v>
      </c>
      <c r="G19" s="6">
        <v>1</v>
      </c>
    </row>
    <row r="20" spans="1:7" ht="15" thickBot="1" x14ac:dyDescent="0.4">
      <c r="A20" s="53" t="str">
        <f>Setup!A34</f>
        <v>Caseload 15</v>
      </c>
      <c r="B20" s="53" t="e">
        <f>INDEX('Required Capacity (Hide)'!$B$5:$C$19,MATCH(Planning!$A20,'Required Capacity (Hide)'!$A$5:$A$19,0),1)</f>
        <v>#N/A</v>
      </c>
      <c r="C20" s="77" t="e">
        <f>INDEX('Required Capacity (Hide)'!$B$5:$C$19,MATCH(Planning!$A20,'Required Capacity (Hide)'!$A$5:$A$19,0),2)</f>
        <v>#N/A</v>
      </c>
      <c r="D20" s="84"/>
      <c r="E20" s="74"/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150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154</v>
      </c>
      <c r="C24" s="103" t="s">
        <v>192</v>
      </c>
      <c r="D24" s="103" t="s">
        <v>156</v>
      </c>
      <c r="E24" s="103" t="s">
        <v>157</v>
      </c>
      <c r="F24" s="70"/>
      <c r="G24" s="70"/>
    </row>
    <row r="25" spans="1:7" x14ac:dyDescent="0.35">
      <c r="A25" s="52" t="str">
        <f>Setup!A20</f>
        <v>Caseload 1</v>
      </c>
      <c r="B25" s="88">
        <f>INDEX('Planning Backing (Hide)'!$B$21:$C$35,MATCH(A25,'Planning Backing (Hide)'!$A$21:$A$35,0),1)</f>
        <v>0</v>
      </c>
      <c r="C25" s="89">
        <f>INDEX('Planning Backing (Hide)'!$B$21:$C$35,MATCH(A25,'Planning Backing (Hide)'!$A$21:$A$35,0),2)</f>
        <v>0</v>
      </c>
      <c r="D25" s="90"/>
      <c r="E25" s="91"/>
      <c r="F25" s="80"/>
      <c r="G25" s="81"/>
    </row>
    <row r="26" spans="1:7" x14ac:dyDescent="0.35">
      <c r="A26" s="52" t="str">
        <f>Setup!A21</f>
        <v>Caseload 2</v>
      </c>
      <c r="B26" s="92">
        <f>INDEX('Planning Backing (Hide)'!$B$21:$C$35,MATCH(A26,'Planning Backing (Hide)'!$A$21:$A$35,0),1)</f>
        <v>0</v>
      </c>
      <c r="C26" s="93">
        <f>INDEX('Planning Backing (Hide)'!$B$21:$C$35,MATCH(A26,'Planning Backing (Hide)'!$A$21:$A$35,0),2)</f>
        <v>0</v>
      </c>
      <c r="D26" s="94"/>
      <c r="E26" s="95"/>
      <c r="F26" s="82"/>
      <c r="G26" s="83"/>
    </row>
    <row r="27" spans="1:7" x14ac:dyDescent="0.35">
      <c r="A27" s="52" t="str">
        <f>Setup!A22</f>
        <v>Caseload 3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0</v>
      </c>
      <c r="D27" s="94"/>
      <c r="E27" s="95"/>
      <c r="F27" s="82"/>
      <c r="G27" s="83"/>
    </row>
    <row r="28" spans="1:7" x14ac:dyDescent="0.35">
      <c r="A28" s="52" t="str">
        <f>Setup!A23</f>
        <v>Caseload 4</v>
      </c>
      <c r="B28" s="92">
        <f>INDEX('Planning Backing (Hide)'!$B$21:$C$35,MATCH(A28,'Planning Backing (Hide)'!$A$21:$A$35,0),1)</f>
        <v>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x14ac:dyDescent="0.35">
      <c r="A29" s="52" t="str">
        <f>Setup!A24</f>
        <v>Caseload 5</v>
      </c>
      <c r="B29" s="92">
        <f>INDEX('Planning Backing (Hide)'!$B$21:$C$35,MATCH(A29,'Planning Backing (Hide)'!$A$21:$A$35,0),1)</f>
        <v>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/>
      <c r="E30" s="23"/>
      <c r="F30" s="39"/>
      <c r="G30" s="6"/>
    </row>
    <row r="31" spans="1:7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/>
      <c r="E31" s="23"/>
      <c r="F31" s="39"/>
      <c r="G31" s="6"/>
    </row>
    <row r="32" spans="1:7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/>
      <c r="E32" s="23"/>
      <c r="F32" s="39"/>
      <c r="G32" s="6"/>
    </row>
    <row r="33" spans="1:7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/>
      <c r="E33" s="23"/>
      <c r="F33" s="39"/>
      <c r="G33" s="6"/>
    </row>
    <row r="34" spans="1:7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/>
      <c r="E34" s="23"/>
      <c r="F34" s="39"/>
      <c r="G34" s="6"/>
    </row>
    <row r="35" spans="1:7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/>
      <c r="E35" s="23"/>
      <c r="F35" s="39"/>
      <c r="G35" s="6"/>
    </row>
    <row r="36" spans="1:7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/>
      <c r="E36" s="23"/>
      <c r="F36" s="39"/>
      <c r="G36" s="6"/>
    </row>
    <row r="37" spans="1:7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/>
      <c r="E37" s="23"/>
      <c r="F37" s="39"/>
      <c r="G37" s="6"/>
    </row>
    <row r="38" spans="1:7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/>
      <c r="E38" s="23"/>
      <c r="F38" s="39"/>
      <c r="G38" s="6"/>
    </row>
    <row r="39" spans="1:7" ht="15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/>
      <c r="E39" s="74"/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188</v>
      </c>
      <c r="B41" s="5"/>
      <c r="C41" s="5"/>
      <c r="D41" s="5"/>
      <c r="E41" s="5"/>
    </row>
    <row r="42" spans="1:7" ht="15" thickBot="1" x14ac:dyDescent="0.4">
      <c r="A42" s="129" t="s">
        <v>189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45</v>
      </c>
      <c r="C43" s="103" t="s">
        <v>186</v>
      </c>
      <c r="D43" s="103" t="s">
        <v>187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161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151</v>
      </c>
      <c r="C62" s="103" t="s">
        <v>152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Caseload 1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0</v>
      </c>
      <c r="D63" s="11"/>
      <c r="E63" s="11"/>
    </row>
    <row r="64" spans="1:7" x14ac:dyDescent="0.35">
      <c r="A64" s="52" t="str">
        <f>Setup!A21</f>
        <v>Caseload 2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0</v>
      </c>
      <c r="D64" s="39"/>
      <c r="E64" s="39"/>
    </row>
    <row r="65" spans="1:5" x14ac:dyDescent="0.35">
      <c r="A65" s="52" t="str">
        <f>Setup!A22</f>
        <v>Caseload 3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0</v>
      </c>
      <c r="D65" s="39"/>
      <c r="E65" s="39"/>
    </row>
    <row r="66" spans="1:5" x14ac:dyDescent="0.35">
      <c r="A66" s="52" t="str">
        <f>Setup!A23</f>
        <v>Caseload 4</v>
      </c>
      <c r="B66" s="92">
        <f>INDEX('Capacity Backing (Hide)'!$H$261:$J$275,MATCH(Planning!$A66,'Capacity Backing (Hide)'!$A$261:$A$275,0),1)</f>
        <v>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x14ac:dyDescent="0.35">
      <c r="A67" s="52" t="str">
        <f>Setup!A24</f>
        <v>Caseload 5</v>
      </c>
      <c r="B67" s="92">
        <f>INDEX('Capacity Backing (Hide)'!$H$261:$J$275,MATCH(Planning!$A67,'Capacity Backing (Hide)'!$A$261:$A$275,0),1)</f>
        <v>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153</v>
      </c>
      <c r="I1" s="3" t="s">
        <v>56</v>
      </c>
      <c r="J1" t="str" cm="1">
        <f t="array" ref="J1">INDEX($A$4:$A$18,ROUNDUP(COLUMN(A1)/6,0),1)</f>
        <v>Caseload 1</v>
      </c>
      <c r="K1" t="str" cm="1">
        <f t="array" ref="K1">INDEX($A$4:$A$18,ROUNDUP(COLUMN(B1)/6,0),1)</f>
        <v>Caseload 1</v>
      </c>
      <c r="L1" t="str" cm="1">
        <f t="array" ref="L1">INDEX($A$4:$A$18,ROUNDUP(COLUMN(C1)/6,0),1)</f>
        <v>Caseload 1</v>
      </c>
      <c r="M1" t="str" cm="1">
        <f t="array" ref="M1">INDEX($A$4:$A$18,ROUNDUP(COLUMN(D1)/6,0),1)</f>
        <v>Caseload 1</v>
      </c>
      <c r="N1" t="str" cm="1">
        <f t="array" ref="N1">INDEX($A$4:$A$18,ROUNDUP(COLUMN(E1)/6,0),1)</f>
        <v>Caseload 1</v>
      </c>
      <c r="O1" t="str" cm="1">
        <f t="array" ref="O1">INDEX($A$4:$A$18,ROUNDUP(COLUMN(F1)/6,0),1)</f>
        <v>Caseload 1</v>
      </c>
      <c r="P1" t="str" cm="1">
        <f t="array" ref="P1">INDEX($A$4:$A$18,ROUNDUP(COLUMN(G1)/6,0),1)</f>
        <v>Caseload 2</v>
      </c>
      <c r="Q1" t="str" cm="1">
        <f t="array" ref="Q1">INDEX($A$4:$A$18,ROUNDUP(COLUMN(H1)/6,0),1)</f>
        <v>Caseload 2</v>
      </c>
      <c r="R1" t="str" cm="1">
        <f t="array" ref="R1">INDEX($A$4:$A$18,ROUNDUP(COLUMN(I1)/6,0),1)</f>
        <v>Caseload 2</v>
      </c>
      <c r="S1" t="str" cm="1">
        <f t="array" ref="S1">INDEX($A$4:$A$18,ROUNDUP(COLUMN(J1)/6,0),1)</f>
        <v>Caseload 2</v>
      </c>
      <c r="T1" t="str" cm="1">
        <f t="array" ref="T1">INDEX($A$4:$A$18,ROUNDUP(COLUMN(K1)/6,0),1)</f>
        <v>Caseload 2</v>
      </c>
      <c r="U1" t="str" cm="1">
        <f t="array" ref="U1">INDEX($A$4:$A$18,ROUNDUP(COLUMN(L1)/6,0),1)</f>
        <v>Caseload 2</v>
      </c>
      <c r="V1" t="str" cm="1">
        <f t="array" ref="V1">INDEX($A$4:$A$18,ROUNDUP(COLUMN(M1)/6,0),1)</f>
        <v>Caseload 3</v>
      </c>
      <c r="W1" t="str" cm="1">
        <f t="array" ref="W1">INDEX($A$4:$A$18,ROUNDUP(COLUMN(N1)/6,0),1)</f>
        <v>Caseload 3</v>
      </c>
      <c r="X1" t="str" cm="1">
        <f t="array" ref="X1">INDEX($A$4:$A$18,ROUNDUP(COLUMN(O1)/6,0),1)</f>
        <v>Caseload 3</v>
      </c>
      <c r="Y1" t="str" cm="1">
        <f t="array" ref="Y1">INDEX($A$4:$A$18,ROUNDUP(COLUMN(P1)/6,0),1)</f>
        <v>Caseload 3</v>
      </c>
      <c r="Z1" t="str" cm="1">
        <f t="array" ref="Z1">INDEX($A$4:$A$18,ROUNDUP(COLUMN(Q1)/6,0),1)</f>
        <v>Caseload 3</v>
      </c>
      <c r="AA1" t="str" cm="1">
        <f t="array" ref="AA1">INDEX($A$4:$A$18,ROUNDUP(COLUMN(R1)/6,0),1)</f>
        <v>Caseload 3</v>
      </c>
      <c r="AB1" t="str" cm="1">
        <f t="array" ref="AB1">INDEX($A$4:$A$18,ROUNDUP(COLUMN(S1)/6,0),1)</f>
        <v>Caseload 4</v>
      </c>
      <c r="AC1" t="str" cm="1">
        <f t="array" ref="AC1">INDEX($A$4:$A$18,ROUNDUP(COLUMN(T1)/6,0),1)</f>
        <v>Caseload 4</v>
      </c>
      <c r="AD1" t="str" cm="1">
        <f t="array" ref="AD1">INDEX($A$4:$A$18,ROUNDUP(COLUMN(U1)/6,0),1)</f>
        <v>Caseload 4</v>
      </c>
      <c r="AE1" t="str" cm="1">
        <f t="array" ref="AE1">INDEX($A$4:$A$18,ROUNDUP(COLUMN(V1)/6,0),1)</f>
        <v>Caseload 4</v>
      </c>
      <c r="AF1" t="str" cm="1">
        <f t="array" ref="AF1">INDEX($A$4:$A$18,ROUNDUP(COLUMN(W1)/6,0),1)</f>
        <v>Caseload 4</v>
      </c>
      <c r="AG1" t="str" cm="1">
        <f t="array" ref="AG1">INDEX($A$4:$A$18,ROUNDUP(COLUMN(X1)/6,0),1)</f>
        <v>Caseload 4</v>
      </c>
      <c r="AH1" t="str" cm="1">
        <f t="array" ref="AH1">INDEX($A$4:$A$18,ROUNDUP(COLUMN(Y1)/6,0),1)</f>
        <v>Caseload 5</v>
      </c>
      <c r="AI1" t="str" cm="1">
        <f t="array" ref="AI1">INDEX($A$4:$A$18,ROUNDUP(COLUMN(Z1)/6,0),1)</f>
        <v>Caseload 5</v>
      </c>
      <c r="AJ1" t="str" cm="1">
        <f t="array" ref="AJ1">INDEX($A$4:$A$18,ROUNDUP(COLUMN(AA1)/6,0),1)</f>
        <v>Caseload 5</v>
      </c>
      <c r="AK1" t="str" cm="1">
        <f t="array" ref="AK1">INDEX($A$4:$A$18,ROUNDUP(COLUMN(AB1)/6,0),1)</f>
        <v>Caseload 5</v>
      </c>
      <c r="AL1" t="str" cm="1">
        <f t="array" ref="AL1">INDEX($A$4:$A$18,ROUNDUP(COLUMN(AC1)/6,0),1)</f>
        <v>Caseload 5</v>
      </c>
      <c r="AM1" t="str" cm="1">
        <f t="array" ref="AM1">INDEX($A$4:$A$18,ROUNDUP(COLUMN(AD1)/6,0),1)</f>
        <v>Caseload 5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142</v>
      </c>
      <c r="CW1" s="3" t="s">
        <v>142</v>
      </c>
      <c r="CX1" s="3" t="s">
        <v>142</v>
      </c>
      <c r="CY1" s="3" t="s">
        <v>142</v>
      </c>
      <c r="CZ1" s="3" t="s">
        <v>142</v>
      </c>
      <c r="DA1" s="3" t="s">
        <v>142</v>
      </c>
    </row>
    <row r="2" spans="1:105" ht="15" thickBot="1" x14ac:dyDescent="0.4">
      <c r="I2" s="7"/>
      <c r="J2" s="7" t="s">
        <v>58</v>
      </c>
      <c r="K2" s="6" t="s">
        <v>58</v>
      </c>
      <c r="L2" s="7" t="s">
        <v>50</v>
      </c>
      <c r="M2" s="6" t="s">
        <v>50</v>
      </c>
      <c r="N2" s="19" t="s">
        <v>63</v>
      </c>
      <c r="O2" s="23" t="s">
        <v>63</v>
      </c>
      <c r="P2" s="7" t="s">
        <v>58</v>
      </c>
      <c r="Q2" s="6" t="s">
        <v>58</v>
      </c>
      <c r="R2" s="7" t="s">
        <v>50</v>
      </c>
      <c r="S2" s="6" t="s">
        <v>50</v>
      </c>
      <c r="T2" s="19" t="s">
        <v>63</v>
      </c>
      <c r="U2" s="23" t="s">
        <v>63</v>
      </c>
      <c r="V2" s="7" t="s">
        <v>58</v>
      </c>
      <c r="W2" s="6" t="s">
        <v>58</v>
      </c>
      <c r="X2" s="7" t="s">
        <v>50</v>
      </c>
      <c r="Y2" s="6" t="s">
        <v>50</v>
      </c>
      <c r="Z2" s="19" t="s">
        <v>63</v>
      </c>
      <c r="AA2" s="23" t="s">
        <v>63</v>
      </c>
      <c r="AB2" s="7" t="s">
        <v>58</v>
      </c>
      <c r="AC2" s="6" t="s">
        <v>58</v>
      </c>
      <c r="AD2" s="7" t="s">
        <v>50</v>
      </c>
      <c r="AE2" s="6" t="s">
        <v>50</v>
      </c>
      <c r="AF2" s="19" t="s">
        <v>63</v>
      </c>
      <c r="AG2" s="23" t="s">
        <v>63</v>
      </c>
      <c r="AH2" s="7" t="s">
        <v>58</v>
      </c>
      <c r="AI2" s="6" t="s">
        <v>58</v>
      </c>
      <c r="AJ2" s="7" t="s">
        <v>50</v>
      </c>
      <c r="AK2" s="6" t="s">
        <v>50</v>
      </c>
      <c r="AL2" s="19" t="s">
        <v>63</v>
      </c>
      <c r="AM2" s="23" t="s">
        <v>63</v>
      </c>
      <c r="AN2" s="7" t="s">
        <v>58</v>
      </c>
      <c r="AO2" s="6" t="s">
        <v>58</v>
      </c>
      <c r="AP2" s="7" t="s">
        <v>50</v>
      </c>
      <c r="AQ2" s="6" t="s">
        <v>50</v>
      </c>
      <c r="AR2" s="19" t="s">
        <v>63</v>
      </c>
      <c r="AS2" s="23" t="s">
        <v>63</v>
      </c>
      <c r="AT2" s="7" t="s">
        <v>58</v>
      </c>
      <c r="AU2" s="6" t="s">
        <v>58</v>
      </c>
      <c r="AV2" s="7" t="s">
        <v>50</v>
      </c>
      <c r="AW2" s="6" t="s">
        <v>50</v>
      </c>
      <c r="AX2" s="19" t="s">
        <v>63</v>
      </c>
      <c r="AY2" s="23" t="s">
        <v>63</v>
      </c>
      <c r="AZ2" s="7" t="s">
        <v>58</v>
      </c>
      <c r="BA2" s="6" t="s">
        <v>58</v>
      </c>
      <c r="BB2" s="7" t="s">
        <v>50</v>
      </c>
      <c r="BC2" s="6" t="s">
        <v>50</v>
      </c>
      <c r="BD2" s="19" t="s">
        <v>63</v>
      </c>
      <c r="BE2" s="23" t="s">
        <v>63</v>
      </c>
      <c r="BF2" s="7" t="s">
        <v>58</v>
      </c>
      <c r="BG2" s="6" t="s">
        <v>58</v>
      </c>
      <c r="BH2" s="7" t="s">
        <v>50</v>
      </c>
      <c r="BI2" s="6" t="s">
        <v>50</v>
      </c>
      <c r="BJ2" s="19" t="s">
        <v>63</v>
      </c>
      <c r="BK2" s="23" t="s">
        <v>63</v>
      </c>
      <c r="BL2" s="7" t="s">
        <v>58</v>
      </c>
      <c r="BM2" s="6" t="s">
        <v>58</v>
      </c>
      <c r="BN2" s="7" t="s">
        <v>50</v>
      </c>
      <c r="BO2" s="6" t="s">
        <v>50</v>
      </c>
      <c r="BP2" s="19" t="s">
        <v>63</v>
      </c>
      <c r="BQ2" s="23" t="s">
        <v>63</v>
      </c>
      <c r="BR2" s="7" t="s">
        <v>58</v>
      </c>
      <c r="BS2" s="6" t="s">
        <v>58</v>
      </c>
      <c r="BT2" s="7" t="s">
        <v>50</v>
      </c>
      <c r="BU2" s="6" t="s">
        <v>50</v>
      </c>
      <c r="BV2" s="19" t="s">
        <v>63</v>
      </c>
      <c r="BW2" s="23" t="s">
        <v>63</v>
      </c>
      <c r="BX2" s="7" t="s">
        <v>58</v>
      </c>
      <c r="BY2" s="6" t="s">
        <v>58</v>
      </c>
      <c r="BZ2" s="7" t="s">
        <v>50</v>
      </c>
      <c r="CA2" s="6" t="s">
        <v>50</v>
      </c>
      <c r="CB2" s="19" t="s">
        <v>63</v>
      </c>
      <c r="CC2" s="23" t="s">
        <v>63</v>
      </c>
      <c r="CD2" s="7" t="s">
        <v>58</v>
      </c>
      <c r="CE2" s="6" t="s">
        <v>58</v>
      </c>
      <c r="CF2" s="7" t="s">
        <v>50</v>
      </c>
      <c r="CG2" s="6" t="s">
        <v>50</v>
      </c>
      <c r="CH2" s="19" t="s">
        <v>63</v>
      </c>
      <c r="CI2" s="23" t="s">
        <v>63</v>
      </c>
      <c r="CJ2" s="7" t="s">
        <v>58</v>
      </c>
      <c r="CK2" s="6" t="s">
        <v>58</v>
      </c>
      <c r="CL2" s="7" t="s">
        <v>50</v>
      </c>
      <c r="CM2" s="6" t="s">
        <v>50</v>
      </c>
      <c r="CN2" s="19" t="s">
        <v>63</v>
      </c>
      <c r="CO2" s="23" t="s">
        <v>63</v>
      </c>
      <c r="CP2" s="7" t="s">
        <v>58</v>
      </c>
      <c r="CQ2" s="6" t="s">
        <v>58</v>
      </c>
      <c r="CR2" s="7" t="s">
        <v>50</v>
      </c>
      <c r="CS2" s="6" t="s">
        <v>50</v>
      </c>
      <c r="CT2" s="19" t="s">
        <v>63</v>
      </c>
      <c r="CU2" s="23" t="s">
        <v>63</v>
      </c>
      <c r="CV2" s="7" t="s">
        <v>58</v>
      </c>
      <c r="CW2" s="6" t="s">
        <v>58</v>
      </c>
      <c r="CX2" s="7" t="s">
        <v>50</v>
      </c>
      <c r="CY2" s="6" t="s">
        <v>50</v>
      </c>
      <c r="CZ2" s="19" t="s">
        <v>63</v>
      </c>
      <c r="DA2" s="23" t="s">
        <v>63</v>
      </c>
    </row>
    <row r="3" spans="1:105" ht="58.5" thickBot="1" x14ac:dyDescent="0.4">
      <c r="A3" t="s">
        <v>44</v>
      </c>
      <c r="B3" s="71" t="s">
        <v>144</v>
      </c>
      <c r="C3" s="71" t="s">
        <v>145</v>
      </c>
      <c r="D3" s="71" t="s">
        <v>146</v>
      </c>
      <c r="E3" s="71" t="s">
        <v>147</v>
      </c>
      <c r="F3" s="71" t="s">
        <v>148</v>
      </c>
      <c r="G3" s="71" t="s">
        <v>149</v>
      </c>
      <c r="I3" s="7"/>
      <c r="J3" s="29">
        <f>INDEX($D$21:$E$35,MATCH(J$1,$A$21:$A$35,0),1)/IF(Summary!$B$7="Minutes",1,60)</f>
        <v>0</v>
      </c>
      <c r="K3" s="31"/>
      <c r="L3" s="29">
        <f>INDEX($D$21:$E$35,MATCH(J$1,$A$21:$A$35,0),2)/IF(Summary!$B$7="Minutes",1,60)</f>
        <v>0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</v>
      </c>
      <c r="Y3" s="31"/>
      <c r="Z3" s="30"/>
      <c r="AA3" s="31"/>
      <c r="AB3" s="29">
        <f>INDEX($D$21:$E$35,MATCH(AB$1,$A$21:$A$35,0),1)/IF(Summary!$B$7="Minutes",1,60)</f>
        <v>0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0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Caseload 1</v>
      </c>
      <c r="B4" t="e">
        <f>INDEX('Required Capacity (Hide)'!$B$5:$C$19,MATCH('Planning Backing (Hide)'!$A4,'Required Capacity (Hide)'!$A$5:$A$19,0),1)</f>
        <v>#N/A</v>
      </c>
      <c r="C4" t="e">
        <f>INDEX('Required Capacity (Hide)'!$B$5:$C$19,MATCH('Planning Backing (Hide)'!$A4,'Required Capacity (Hide)'!$A$5:$A$19,0),2)</f>
        <v>#N/A</v>
      </c>
      <c r="D4" t="e">
        <f>IF(Planning!D6="",'Planning Backing (Hide)'!B4,Planning!D6)</f>
        <v>#N/A</v>
      </c>
      <c r="E4" t="e">
        <f>IF(Planning!E6="",'Planning Backing (Hide)'!C4,Planning!E6)</f>
        <v>#N/A</v>
      </c>
      <c r="F4">
        <v>1</v>
      </c>
      <c r="G4">
        <v>1.0000000000000002</v>
      </c>
      <c r="I4" s="17" t="s">
        <v>57</v>
      </c>
      <c r="J4" s="24" t="s">
        <v>59</v>
      </c>
      <c r="K4" s="26" t="s">
        <v>60</v>
      </c>
      <c r="L4" s="24" t="s">
        <v>59</v>
      </c>
      <c r="M4" s="26" t="s">
        <v>60</v>
      </c>
      <c r="N4" s="25" t="s">
        <v>51</v>
      </c>
      <c r="O4" s="26" t="s">
        <v>60</v>
      </c>
      <c r="P4" s="24" t="s">
        <v>59</v>
      </c>
      <c r="Q4" s="26" t="s">
        <v>60</v>
      </c>
      <c r="R4" s="24" t="s">
        <v>59</v>
      </c>
      <c r="S4" s="26" t="s">
        <v>60</v>
      </c>
      <c r="T4" s="25" t="s">
        <v>51</v>
      </c>
      <c r="U4" s="26" t="s">
        <v>60</v>
      </c>
      <c r="V4" s="24" t="s">
        <v>59</v>
      </c>
      <c r="W4" s="26" t="s">
        <v>60</v>
      </c>
      <c r="X4" s="24" t="s">
        <v>59</v>
      </c>
      <c r="Y4" s="26" t="s">
        <v>60</v>
      </c>
      <c r="Z4" s="25" t="s">
        <v>51</v>
      </c>
      <c r="AA4" s="26" t="s">
        <v>60</v>
      </c>
      <c r="AB4" s="24" t="s">
        <v>59</v>
      </c>
      <c r="AC4" s="26" t="s">
        <v>60</v>
      </c>
      <c r="AD4" s="24" t="s">
        <v>59</v>
      </c>
      <c r="AE4" s="26" t="s">
        <v>60</v>
      </c>
      <c r="AF4" s="25" t="s">
        <v>51</v>
      </c>
      <c r="AG4" s="26" t="s">
        <v>60</v>
      </c>
      <c r="AH4" s="24" t="s">
        <v>59</v>
      </c>
      <c r="AI4" s="26" t="s">
        <v>60</v>
      </c>
      <c r="AJ4" s="24" t="s">
        <v>59</v>
      </c>
      <c r="AK4" s="26" t="s">
        <v>60</v>
      </c>
      <c r="AL4" s="25" t="s">
        <v>51</v>
      </c>
      <c r="AM4" s="26" t="s">
        <v>60</v>
      </c>
      <c r="AN4" s="24" t="s">
        <v>59</v>
      </c>
      <c r="AO4" s="26" t="s">
        <v>60</v>
      </c>
      <c r="AP4" s="24" t="s">
        <v>59</v>
      </c>
      <c r="AQ4" s="26" t="s">
        <v>60</v>
      </c>
      <c r="AR4" s="25" t="s">
        <v>51</v>
      </c>
      <c r="AS4" s="26" t="s">
        <v>60</v>
      </c>
      <c r="AT4" s="24" t="s">
        <v>59</v>
      </c>
      <c r="AU4" s="26" t="s">
        <v>60</v>
      </c>
      <c r="AV4" s="24" t="s">
        <v>59</v>
      </c>
      <c r="AW4" s="26" t="s">
        <v>60</v>
      </c>
      <c r="AX4" s="25" t="s">
        <v>51</v>
      </c>
      <c r="AY4" s="26" t="s">
        <v>60</v>
      </c>
      <c r="AZ4" s="24" t="s">
        <v>59</v>
      </c>
      <c r="BA4" s="26" t="s">
        <v>60</v>
      </c>
      <c r="BB4" s="24" t="s">
        <v>59</v>
      </c>
      <c r="BC4" s="26" t="s">
        <v>60</v>
      </c>
      <c r="BD4" s="25" t="s">
        <v>51</v>
      </c>
      <c r="BE4" s="26" t="s">
        <v>60</v>
      </c>
      <c r="BF4" s="24" t="s">
        <v>59</v>
      </c>
      <c r="BG4" s="26" t="s">
        <v>60</v>
      </c>
      <c r="BH4" s="24" t="s">
        <v>59</v>
      </c>
      <c r="BI4" s="26" t="s">
        <v>60</v>
      </c>
      <c r="BJ4" s="25" t="s">
        <v>51</v>
      </c>
      <c r="BK4" s="26" t="s">
        <v>60</v>
      </c>
      <c r="BL4" s="24" t="s">
        <v>59</v>
      </c>
      <c r="BM4" s="26" t="s">
        <v>60</v>
      </c>
      <c r="BN4" s="24" t="s">
        <v>59</v>
      </c>
      <c r="BO4" s="26" t="s">
        <v>60</v>
      </c>
      <c r="BP4" s="25" t="s">
        <v>51</v>
      </c>
      <c r="BQ4" s="26" t="s">
        <v>60</v>
      </c>
      <c r="BR4" s="24" t="s">
        <v>59</v>
      </c>
      <c r="BS4" s="26" t="s">
        <v>60</v>
      </c>
      <c r="BT4" s="24" t="s">
        <v>59</v>
      </c>
      <c r="BU4" s="26" t="s">
        <v>60</v>
      </c>
      <c r="BV4" s="25" t="s">
        <v>51</v>
      </c>
      <c r="BW4" s="26" t="s">
        <v>60</v>
      </c>
      <c r="BX4" s="24" t="s">
        <v>59</v>
      </c>
      <c r="BY4" s="26" t="s">
        <v>60</v>
      </c>
      <c r="BZ4" s="24" t="s">
        <v>59</v>
      </c>
      <c r="CA4" s="26" t="s">
        <v>60</v>
      </c>
      <c r="CB4" s="25" t="s">
        <v>51</v>
      </c>
      <c r="CC4" s="26" t="s">
        <v>60</v>
      </c>
      <c r="CD4" s="24" t="s">
        <v>59</v>
      </c>
      <c r="CE4" s="26" t="s">
        <v>60</v>
      </c>
      <c r="CF4" s="24" t="s">
        <v>59</v>
      </c>
      <c r="CG4" s="26" t="s">
        <v>60</v>
      </c>
      <c r="CH4" s="25" t="s">
        <v>51</v>
      </c>
      <c r="CI4" s="26" t="s">
        <v>60</v>
      </c>
      <c r="CJ4" s="24" t="s">
        <v>59</v>
      </c>
      <c r="CK4" s="26" t="s">
        <v>60</v>
      </c>
      <c r="CL4" s="24" t="s">
        <v>59</v>
      </c>
      <c r="CM4" s="26" t="s">
        <v>60</v>
      </c>
      <c r="CN4" s="25" t="s">
        <v>51</v>
      </c>
      <c r="CO4" s="26" t="s">
        <v>60</v>
      </c>
      <c r="CP4" s="24" t="s">
        <v>59</v>
      </c>
      <c r="CQ4" s="26" t="s">
        <v>60</v>
      </c>
      <c r="CR4" s="24" t="s">
        <v>59</v>
      </c>
      <c r="CS4" s="26" t="s">
        <v>60</v>
      </c>
      <c r="CT4" s="25" t="s">
        <v>51</v>
      </c>
      <c r="CU4" s="26" t="s">
        <v>60</v>
      </c>
      <c r="CV4" s="24" t="s">
        <v>51</v>
      </c>
      <c r="CW4" s="26" t="s">
        <v>60</v>
      </c>
      <c r="CX4" s="24" t="s">
        <v>51</v>
      </c>
      <c r="CY4" s="26" t="s">
        <v>60</v>
      </c>
      <c r="CZ4" s="25" t="s">
        <v>51</v>
      </c>
      <c r="DA4" s="26" t="s">
        <v>60</v>
      </c>
    </row>
    <row r="5" spans="1:105" x14ac:dyDescent="0.35">
      <c r="A5" t="str">
        <f>Setup!A21</f>
        <v>Caseload 2</v>
      </c>
      <c r="B5" t="e">
        <f>INDEX('Required Capacity (Hide)'!$B$5:$C$19,MATCH('Planning Backing (Hide)'!$A5,'Required Capacity (Hide)'!$A$5:$A$19,0),1)</f>
        <v>#N/A</v>
      </c>
      <c r="C5" t="e">
        <f>INDEX('Required Capacity (Hide)'!$B$5:$C$19,MATCH('Planning Backing (Hide)'!$A5,'Required Capacity (Hide)'!$A$5:$A$19,0),2)</f>
        <v>#N/A</v>
      </c>
      <c r="D5" t="e">
        <f>IF(Planning!D7="",'Planning Backing (Hide)'!B5,Planning!D7)</f>
        <v>#N/A</v>
      </c>
      <c r="E5" t="e">
        <f>IF(Planning!E7="",'Planning Backing (Hide)'!C5,Planning!E7)</f>
        <v>#N/A</v>
      </c>
      <c r="F5">
        <v>1</v>
      </c>
      <c r="G5">
        <v>1</v>
      </c>
      <c r="I5" s="12" t="e" vm="2">
        <f ca="1">'Required Capacity (Hide)'!E5</f>
        <v>#VALUE!</v>
      </c>
      <c r="J5" t="e">
        <f>INDEX($D$4:$E$18,MATCH(J$1,$A$4:$A$18,0),1)*J$3</f>
        <v>#N/A</v>
      </c>
      <c r="K5" t="e">
        <f>INDEX($D$4:$E$18,MATCH(J$1,$A$4:$A$18,0),2)*J$3</f>
        <v>#N/A</v>
      </c>
      <c r="L5" t="e">
        <f>INDEX($D$4:$E$18,MATCH(L$1,$A$4:$A$18,0),1)*L$3</f>
        <v>#N/A</v>
      </c>
      <c r="M5" t="e">
        <f>INDEX($D$4:$E$18,MATCH(L$1,$A$4:$A$18,0),2)*L$3</f>
        <v>#N/A</v>
      </c>
      <c r="N5" t="e">
        <f>SUMIF(J$4:M$4,N$4,J5:M5)</f>
        <v>#N/A</v>
      </c>
      <c r="O5" t="e">
        <f>SUMIF(J$4:M$4,O$4,J5:M5)</f>
        <v>#N/A</v>
      </c>
      <c r="P5" t="e">
        <f>INDEX($D$4:$E$18,MATCH(P$1,$A$4:$A$18,0),1)*P$3</f>
        <v>#N/A</v>
      </c>
      <c r="Q5" t="e">
        <f>INDEX($D$4:$E$18,MATCH(P$1,$A$4:$A$18,0),2)*P$3</f>
        <v>#N/A</v>
      </c>
      <c r="R5" t="e">
        <f>INDEX($D$4:$E$18,MATCH(R$1,$A$4:$A$18,0),1)*R$3</f>
        <v>#N/A</v>
      </c>
      <c r="S5" t="e">
        <f>INDEX($D$4:$E$18,MATCH(R$1,$A$4:$A$18,0),2)*R$3</f>
        <v>#N/A</v>
      </c>
      <c r="T5" t="e">
        <f>SUMIF(P$4:S$4,T$4,P5:S5)</f>
        <v>#N/A</v>
      </c>
      <c r="U5" t="e">
        <f>SUMIF(P$4:S$4,U$4,P5:S5)</f>
        <v>#N/A</v>
      </c>
      <c r="V5" t="e">
        <f>INDEX($D$4:$E$18,MATCH(V$1,$A$4:$A$18,0),1)*V$3</f>
        <v>#N/A</v>
      </c>
      <c r="W5" t="e">
        <f>INDEX($D$4:$E$18,MATCH(V$1,$A$4:$A$18,0),2)*V$3</f>
        <v>#N/A</v>
      </c>
      <c r="X5" t="e">
        <f>INDEX($D$4:$E$18,MATCH(X$1,$A$4:$A$18,0),1)*X$3</f>
        <v>#N/A</v>
      </c>
      <c r="Y5" t="e">
        <f>INDEX($D$4:$E$18,MATCH(X$1,$A$4:$A$18,0),2)*X$3</f>
        <v>#N/A</v>
      </c>
      <c r="Z5" t="e">
        <f>SUMIF(V$4:Y$4,Z$4,V5:Y5)</f>
        <v>#N/A</v>
      </c>
      <c r="AA5" t="e">
        <f>SUMIF(V$4:Y$4,AA$4,V5:Y5)</f>
        <v>#N/A</v>
      </c>
      <c r="AB5" t="e">
        <f>INDEX($D$4:$E$18,MATCH(AB$1,$A$4:$A$18,0),1)*AB$3</f>
        <v>#N/A</v>
      </c>
      <c r="AC5" t="e">
        <f>INDEX($D$4:$E$18,MATCH(AB$1,$A$4:$A$18,0),2)*AB$3</f>
        <v>#N/A</v>
      </c>
      <c r="AD5" t="e">
        <f>INDEX($D$4:$E$18,MATCH(AD$1,$A$4:$A$18,0),1)*AD$3</f>
        <v>#N/A</v>
      </c>
      <c r="AE5" t="e">
        <f>INDEX($D$4:$E$18,MATCH(AD$1,$A$4:$A$18,0),2)*AD$3</f>
        <v>#N/A</v>
      </c>
      <c r="AF5" t="e">
        <f>SUMIF(AB$4:AE$4,AF$4,AB5:AE5)</f>
        <v>#N/A</v>
      </c>
      <c r="AG5" t="e">
        <f>SUMIF(AB$4:AE$4,AG$4,AB5:AE5)</f>
        <v>#N/A</v>
      </c>
      <c r="AH5" t="e">
        <f>INDEX($D$4:$E$18,MATCH(AH$1,$A$4:$A$18,0),1)*AH$3</f>
        <v>#N/A</v>
      </c>
      <c r="AI5" t="e">
        <f>INDEX($D$4:$E$18,MATCH(AH$1,$A$4:$A$18,0),2)*AH$3</f>
        <v>#N/A</v>
      </c>
      <c r="AJ5" t="e">
        <f>INDEX($D$4:$E$18,MATCH(AJ$1,$A$4:$A$18,0),1)*AJ$3</f>
        <v>#N/A</v>
      </c>
      <c r="AK5" t="e">
        <f>INDEX($D$4:$E$18,MATCH(AJ$1,$A$4:$A$18,0),2)*AJ$3</f>
        <v>#N/A</v>
      </c>
      <c r="AL5" t="e">
        <f>SUMIF(AH$4:AK$4,AL$4,AH5:AK5)</f>
        <v>#N/A</v>
      </c>
      <c r="AM5" t="e">
        <f>SUMIF(AH$4:AK$4,AM$4,AH5:AK5)</f>
        <v>#N/A</v>
      </c>
      <c r="AN5" t="e">
        <f>INDEX($D$4:$E$18,MATCH(AN$1,$A$4:$A$18,0),1)*AN$3</f>
        <v>#N/A</v>
      </c>
      <c r="AO5" t="e">
        <f>INDEX($D$4:$E$18,MATCH(AN$1,$A$4:$A$18,0),2)*AN$3</f>
        <v>#N/A</v>
      </c>
      <c r="AP5" t="e">
        <f>INDEX($D$4:$E$18,MATCH(AP$1,$A$4:$A$18,0),1)*AP$3</f>
        <v>#N/A</v>
      </c>
      <c r="AQ5" t="e">
        <f>INDEX($D$4:$E$18,MATCH(AP$1,$A$4:$A$18,0),2)*AP$3</f>
        <v>#N/A</v>
      </c>
      <c r="AR5" t="e">
        <f>SUMIF(AN$4:AQ$4,AR$4,AN5:AQ5)</f>
        <v>#N/A</v>
      </c>
      <c r="AS5" t="e">
        <f>SUMIF(AN$4:AQ$4,AS$4,AN5:AQ5)</f>
        <v>#N/A</v>
      </c>
      <c r="AT5" t="e">
        <f>INDEX($D$4:$E$18,MATCH(AT$1,$A$4:$A$18,0),1)*AT$3</f>
        <v>#N/A</v>
      </c>
      <c r="AU5" t="e">
        <f>INDEX($D$4:$E$18,MATCH(AT$1,$A$4:$A$18,0),2)*AT$3</f>
        <v>#N/A</v>
      </c>
      <c r="AV5" t="e">
        <f>INDEX($D$4:$E$18,MATCH(AV$1,$A$4:$A$18,0),1)*AV$3</f>
        <v>#N/A</v>
      </c>
      <c r="AW5" t="e">
        <f>INDEX($D$4:$E$18,MATCH(AV$1,$A$4:$A$18,0),2)*AV$3</f>
        <v>#N/A</v>
      </c>
      <c r="AX5" t="e">
        <f>SUMIF(AT$4:AW$4,AX$4,AT5:AW5)</f>
        <v>#N/A</v>
      </c>
      <c r="AY5" t="e">
        <f>SUMIF(AT$4:AW$4,AY$4,AT5:AW5)</f>
        <v>#N/A</v>
      </c>
      <c r="AZ5" t="e">
        <f>INDEX($D$4:$E$18,MATCH(AZ$1,$A$4:$A$18,0),1)*AZ$3</f>
        <v>#N/A</v>
      </c>
      <c r="BA5" t="e">
        <f>INDEX($D$4:$E$18,MATCH(AZ$1,$A$4:$A$18,0),2)*AZ$3</f>
        <v>#N/A</v>
      </c>
      <c r="BB5" t="e">
        <f>INDEX($D$4:$E$18,MATCH(BB$1,$A$4:$A$18,0),1)*BB$3</f>
        <v>#N/A</v>
      </c>
      <c r="BC5" t="e">
        <f>INDEX($D$4:$E$18,MATCH(BB$1,$A$4:$A$18,0),2)*BB$3</f>
        <v>#N/A</v>
      </c>
      <c r="BD5" t="e">
        <f>SUMIF(AZ$4:BC$4,BD$4,AZ5:BC5)</f>
        <v>#N/A</v>
      </c>
      <c r="BE5" t="e">
        <f>SUMIF(AZ$4:BC$4,BE$4,AZ5:BC5)</f>
        <v>#N/A</v>
      </c>
      <c r="BF5" t="e">
        <f>INDEX($D$4:$E$18,MATCH(BF$1,$A$4:$A$18,0),1)*BF$3</f>
        <v>#N/A</v>
      </c>
      <c r="BG5" t="e">
        <f>INDEX($D$4:$E$18,MATCH(BF$1,$A$4:$A$18,0),2)*BF$3</f>
        <v>#N/A</v>
      </c>
      <c r="BH5" t="e">
        <f>INDEX($D$4:$E$18,MATCH(BH$1,$A$4:$A$18,0),1)*BH$3</f>
        <v>#N/A</v>
      </c>
      <c r="BI5" t="e">
        <f>INDEX($D$4:$E$18,MATCH(BH$1,$A$4:$A$18,0),2)*BH$3</f>
        <v>#N/A</v>
      </c>
      <c r="BJ5" t="e">
        <f>SUMIF(BF$4:BI$4,BJ$4,BF5:BI5)</f>
        <v>#N/A</v>
      </c>
      <c r="BK5" t="e">
        <f>SUMIF(BF$4:BI$4,BK$4,BF5:BI5)</f>
        <v>#N/A</v>
      </c>
      <c r="BL5" t="e">
        <f>INDEX($D$4:$E$18,MATCH(BL$1,$A$4:$A$18,0),1)*BL$3</f>
        <v>#N/A</v>
      </c>
      <c r="BM5" t="e">
        <f>INDEX($D$4:$E$18,MATCH(BL$1,$A$4:$A$18,0),2)*BL$3</f>
        <v>#N/A</v>
      </c>
      <c r="BN5" t="e">
        <f>INDEX($D$4:$E$18,MATCH(BN$1,$A$4:$A$18,0),1)*BN$3</f>
        <v>#N/A</v>
      </c>
      <c r="BO5" t="e">
        <f>INDEX($D$4:$E$18,MATCH(BN$1,$A$4:$A$18,0),2)*BN$3</f>
        <v>#N/A</v>
      </c>
      <c r="BP5" t="e">
        <f>SUMIF(BL$4:BO$4,BP$4,BL5:BO5)</f>
        <v>#N/A</v>
      </c>
      <c r="BQ5" t="e">
        <f>SUMIF(BL$4:BO$4,BQ$4,BL5:BO5)</f>
        <v>#N/A</v>
      </c>
      <c r="BR5" t="e">
        <f>INDEX($D$4:$E$18,MATCH(BR$1,$A$4:$A$18,0),1)*BR$3</f>
        <v>#N/A</v>
      </c>
      <c r="BS5" t="e">
        <f>INDEX($D$4:$E$18,MATCH(BR$1,$A$4:$A$18,0),2)*BR$3</f>
        <v>#N/A</v>
      </c>
      <c r="BT5" t="e">
        <f>INDEX($D$4:$E$18,MATCH(BT$1,$A$4:$A$18,0),1)*BT$3</f>
        <v>#N/A</v>
      </c>
      <c r="BU5" t="e">
        <f>INDEX($D$4:$E$18,MATCH(BT$1,$A$4:$A$18,0),2)*BT$3</f>
        <v>#N/A</v>
      </c>
      <c r="BV5" t="e">
        <f>SUMIF(BR$4:BU$4,BV$4,BR5:BU5)</f>
        <v>#N/A</v>
      </c>
      <c r="BW5" t="e">
        <f>SUMIF(BR$4:BU$4,BW$4,BR5:BU5)</f>
        <v>#N/A</v>
      </c>
      <c r="BX5" t="e">
        <f>INDEX($D$4:$E$18,MATCH(BX$1,$A$4:$A$18,0),1)*BX$3</f>
        <v>#N/A</v>
      </c>
      <c r="BY5" t="e">
        <f>INDEX($D$4:$E$18,MATCH(BX$1,$A$4:$A$18,0),2)*BX$3</f>
        <v>#N/A</v>
      </c>
      <c r="BZ5" t="e">
        <f>INDEX($D$4:$E$18,MATCH(BZ$1,$A$4:$A$18,0),1)*BZ$3</f>
        <v>#N/A</v>
      </c>
      <c r="CA5" t="e">
        <f>INDEX($D$4:$E$18,MATCH(BZ$1,$A$4:$A$18,0),2)*BZ$3</f>
        <v>#N/A</v>
      </c>
      <c r="CB5" t="e">
        <f>SUMIF(BX$4:CA$4,CB$4,BX5:CA5)</f>
        <v>#N/A</v>
      </c>
      <c r="CC5" t="e">
        <f>SUMIF(BX$4:CA$4,CC$4,BX5:CA5)</f>
        <v>#N/A</v>
      </c>
      <c r="CD5" t="e">
        <f>INDEX($D$4:$E$18,MATCH(CD$1,$A$4:$A$18,0),1)*CD$3</f>
        <v>#N/A</v>
      </c>
      <c r="CE5" t="e">
        <f>INDEX($D$4:$E$18,MATCH(CD$1,$A$4:$A$18,0),2)*CD$3</f>
        <v>#N/A</v>
      </c>
      <c r="CF5" t="e">
        <f>INDEX($D$4:$E$18,MATCH(CF$1,$A$4:$A$18,0),1)*CF$3</f>
        <v>#N/A</v>
      </c>
      <c r="CG5" t="e">
        <f>INDEX($D$4:$E$18,MATCH(CF$1,$A$4:$A$18,0),2)*CF$3</f>
        <v>#N/A</v>
      </c>
      <c r="CH5" t="e">
        <f>SUMIF(CD$4:CG$4,CH$4,CD5:CG5)</f>
        <v>#N/A</v>
      </c>
      <c r="CI5" t="e">
        <f>SUMIF(CD$4:CG$4,CI$4,CD5:CG5)</f>
        <v>#N/A</v>
      </c>
      <c r="CJ5" t="e">
        <f>INDEX($D$4:$E$18,MATCH(CJ$1,$A$4:$A$18,0),1)*CJ$3</f>
        <v>#N/A</v>
      </c>
      <c r="CK5" t="e">
        <f>INDEX($D$4:$E$18,MATCH(CJ$1,$A$4:$A$18,0),2)*CJ$3</f>
        <v>#N/A</v>
      </c>
      <c r="CL5" t="e">
        <f>INDEX($D$4:$E$18,MATCH(CL$1,$A$4:$A$18,0),1)*CL$3</f>
        <v>#N/A</v>
      </c>
      <c r="CM5" t="e">
        <f>INDEX($D$4:$E$18,MATCH(CL$1,$A$4:$A$18,0),2)*CL$3</f>
        <v>#N/A</v>
      </c>
      <c r="CN5" t="e">
        <f>SUMIF(CJ$4:CM$4,CN$4,CJ5:CM5)</f>
        <v>#N/A</v>
      </c>
      <c r="CO5" t="e">
        <f>SUMIF(CJ$4:CM$4,CO$4,CJ5:CM5)</f>
        <v>#N/A</v>
      </c>
      <c r="CP5" t="e">
        <f>INDEX($D$4:$E$18,MATCH(CP$1,$A$4:$A$18,0),1)*CP$3</f>
        <v>#N/A</v>
      </c>
      <c r="CQ5" t="e">
        <f>INDEX($D$4:$E$18,MATCH(CP$1,$A$4:$A$18,0),2)*CP$3</f>
        <v>#N/A</v>
      </c>
      <c r="CR5" t="e">
        <f>INDEX($D$4:$E$18,MATCH(CR$1,$A$4:$A$18,0),1)*CR$3</f>
        <v>#N/A</v>
      </c>
      <c r="CS5" t="e">
        <f>INDEX($D$4:$E$18,MATCH(CR$1,$A$4:$A$18,0),2)*CR$3</f>
        <v>#N/A</v>
      </c>
      <c r="CT5" t="e">
        <f>SUMIF(CP$4:CS$4,CT$4,CP5:CS5)</f>
        <v>#N/A</v>
      </c>
      <c r="CU5" t="e">
        <f>SUMIF(CP$4:CS$4,CU$4,CP5:CS5)</f>
        <v>#N/A</v>
      </c>
      <c r="CV5" t="e">
        <f t="shared" ref="CV5:CY5" si="0">SUMIFS($J5:$CU5,$J$2:$CU$2,CV$2,$J$4:$CU$4,CV$4)</f>
        <v>#N/A</v>
      </c>
      <c r="CW5" t="e">
        <f t="shared" si="0"/>
        <v>#N/A</v>
      </c>
      <c r="CX5" t="e">
        <f t="shared" si="0"/>
        <v>#N/A</v>
      </c>
      <c r="CY5" t="e">
        <f t="shared" si="0"/>
        <v>#N/A</v>
      </c>
      <c r="CZ5" t="e">
        <f>SUMIFS($J5:$CU5,$J$2:$CU$2,CZ$2,$J$4:$CU$4,CZ$4)</f>
        <v>#N/A</v>
      </c>
      <c r="DA5" t="e">
        <f>SUMIFS($J5:$CU5,$J$2:$CU$2,DA$2,$J$4:$CU$4,DA$4)</f>
        <v>#N/A</v>
      </c>
    </row>
    <row r="6" spans="1:105" x14ac:dyDescent="0.35">
      <c r="A6" t="str">
        <f>Setup!A22</f>
        <v>Caseload 3</v>
      </c>
      <c r="B6" t="e">
        <f>INDEX('Required Capacity (Hide)'!$B$5:$C$19,MATCH('Planning Backing (Hide)'!$A6,'Required Capacity (Hide)'!$A$5:$A$19,0),1)</f>
        <v>#N/A</v>
      </c>
      <c r="C6" t="e">
        <f>INDEX('Required Capacity (Hide)'!$B$5:$C$19,MATCH('Planning Backing (Hide)'!$A6,'Required Capacity (Hide)'!$A$5:$A$19,0),2)</f>
        <v>#N/A</v>
      </c>
      <c r="D6" t="e">
        <f>IF(Planning!D8="",'Planning Backing (Hide)'!B6,Planning!D8)</f>
        <v>#N/A</v>
      </c>
      <c r="E6" t="e">
        <f>IF(Planning!E8="",'Planning Backing (Hide)'!C6,Planning!E8)</f>
        <v>#N/A</v>
      </c>
      <c r="F6">
        <v>1</v>
      </c>
      <c r="G6">
        <v>1</v>
      </c>
      <c r="I6" s="12" t="e" vm="2">
        <f ca="1">'Required Capacity (Hide)'!E6</f>
        <v>#VALUE!</v>
      </c>
      <c r="J6" t="e">
        <f t="shared" ref="J6:J56" si="1">INDEX($D$4:$E$18,MATCH(J$1,$A$4:$A$18,0),1)*J$3</f>
        <v>#N/A</v>
      </c>
      <c r="K6" t="e">
        <f t="shared" ref="K6:K56" si="2">INDEX($D$4:$E$18,MATCH(J$1,$A$4:$A$18,0),2)*J$3</f>
        <v>#N/A</v>
      </c>
      <c r="L6" t="e">
        <f t="shared" ref="L6:L56" si="3">INDEX($D$4:$E$18,MATCH(L$1,$A$4:$A$18,0),1)*L$3</f>
        <v>#N/A</v>
      </c>
      <c r="M6" t="e">
        <f t="shared" ref="M6:M56" si="4">INDEX($D$4:$E$18,MATCH(L$1,$A$4:$A$18,0),2)*L$3</f>
        <v>#N/A</v>
      </c>
      <c r="N6" t="e">
        <f t="shared" ref="N6:N56" si="5">SUMIF(J$4:M$4,N$4,J6:M6)</f>
        <v>#N/A</v>
      </c>
      <c r="O6" t="e">
        <f t="shared" ref="O6:O56" si="6">SUMIF(J$4:M$4,O$4,J6:M6)</f>
        <v>#N/A</v>
      </c>
      <c r="P6" t="e">
        <f t="shared" ref="P6:P56" si="7">INDEX($D$4:$E$18,MATCH(P$1,$A$4:$A$18,0),1)*P$3</f>
        <v>#N/A</v>
      </c>
      <c r="Q6" t="e">
        <f t="shared" ref="Q6:Q56" si="8">INDEX($D$4:$E$18,MATCH(P$1,$A$4:$A$18,0),2)*P$3</f>
        <v>#N/A</v>
      </c>
      <c r="R6" t="e">
        <f t="shared" ref="R6:R56" si="9">INDEX($D$4:$E$18,MATCH(R$1,$A$4:$A$18,0),1)*R$3</f>
        <v>#N/A</v>
      </c>
      <c r="S6" t="e">
        <f t="shared" ref="S6:S56" si="10">INDEX($D$4:$E$18,MATCH(R$1,$A$4:$A$18,0),2)*R$3</f>
        <v>#N/A</v>
      </c>
      <c r="T6" t="e">
        <f t="shared" ref="T6:T56" si="11">SUMIF(P$4:S$4,T$4,P6:S6)</f>
        <v>#N/A</v>
      </c>
      <c r="U6" t="e">
        <f t="shared" ref="U6:U56" si="12">SUMIF(P$4:S$4,U$4,P6:S6)</f>
        <v>#N/A</v>
      </c>
      <c r="V6" t="e">
        <f t="shared" ref="V6:V56" si="13">INDEX($D$4:$E$18,MATCH(V$1,$A$4:$A$18,0),1)*V$3</f>
        <v>#N/A</v>
      </c>
      <c r="W6" t="e">
        <f t="shared" ref="W6:W56" si="14">INDEX($D$4:$E$18,MATCH(V$1,$A$4:$A$18,0),2)*V$3</f>
        <v>#N/A</v>
      </c>
      <c r="X6" t="e">
        <f t="shared" ref="X6:X56" si="15">INDEX($D$4:$E$18,MATCH(X$1,$A$4:$A$18,0),1)*X$3</f>
        <v>#N/A</v>
      </c>
      <c r="Y6" t="e">
        <f t="shared" ref="Y6:Y56" si="16">INDEX($D$4:$E$18,MATCH(X$1,$A$4:$A$18,0),2)*X$3</f>
        <v>#N/A</v>
      </c>
      <c r="Z6" t="e">
        <f t="shared" ref="Z6:Z56" si="17">SUMIF(V$4:Y$4,Z$4,V6:Y6)</f>
        <v>#N/A</v>
      </c>
      <c r="AA6" t="e">
        <f t="shared" ref="AA6:AA56" si="18">SUMIF(V$4:Y$4,AA$4,V6:Y6)</f>
        <v>#N/A</v>
      </c>
      <c r="AB6" t="e">
        <f t="shared" ref="AB6:AB56" si="19">INDEX($D$4:$E$18,MATCH(AB$1,$A$4:$A$18,0),1)*AB$3</f>
        <v>#N/A</v>
      </c>
      <c r="AC6" t="e">
        <f t="shared" ref="AC6:AC56" si="20">INDEX($D$4:$E$18,MATCH(AB$1,$A$4:$A$18,0),2)*AB$3</f>
        <v>#N/A</v>
      </c>
      <c r="AD6" t="e">
        <f t="shared" ref="AD6:AD56" si="21">INDEX($D$4:$E$18,MATCH(AD$1,$A$4:$A$18,0),1)*AD$3</f>
        <v>#N/A</v>
      </c>
      <c r="AE6" t="e">
        <f t="shared" ref="AE6:AE56" si="22">INDEX($D$4:$E$18,MATCH(AD$1,$A$4:$A$18,0),2)*AD$3</f>
        <v>#N/A</v>
      </c>
      <c r="AF6" t="e">
        <f t="shared" ref="AF6:AF56" si="23">SUMIF(AB$4:AE$4,AF$4,AB6:AE6)</f>
        <v>#N/A</v>
      </c>
      <c r="AG6" t="e">
        <f t="shared" ref="AG6:AG56" si="24">SUMIF(AB$4:AE$4,AG$4,AB6:AE6)</f>
        <v>#N/A</v>
      </c>
      <c r="AH6" t="e">
        <f t="shared" ref="AH6:AH56" si="25">INDEX($D$4:$E$18,MATCH(AH$1,$A$4:$A$18,0),1)*AH$3</f>
        <v>#N/A</v>
      </c>
      <c r="AI6" t="e">
        <f t="shared" ref="AI6:AI56" si="26">INDEX($D$4:$E$18,MATCH(AH$1,$A$4:$A$18,0),2)*AH$3</f>
        <v>#N/A</v>
      </c>
      <c r="AJ6" t="e">
        <f t="shared" ref="AJ6:AJ56" si="27">INDEX($D$4:$E$18,MATCH(AJ$1,$A$4:$A$18,0),1)*AJ$3</f>
        <v>#N/A</v>
      </c>
      <c r="AK6" t="e">
        <f t="shared" ref="AK6:AK56" si="28">INDEX($D$4:$E$18,MATCH(AJ$1,$A$4:$A$18,0),2)*AJ$3</f>
        <v>#N/A</v>
      </c>
      <c r="AL6" t="e">
        <f t="shared" ref="AL6:AL56" si="29">SUMIF(AH$4:AK$4,AL$4,AH6:AK6)</f>
        <v>#N/A</v>
      </c>
      <c r="AM6" t="e">
        <f t="shared" ref="AM6:AM56" si="30">SUMIF(AH$4:AK$4,AM$4,AH6:AK6)</f>
        <v>#N/A</v>
      </c>
      <c r="AN6" t="e">
        <f t="shared" ref="AN6:AN56" si="31">INDEX($D$4:$E$18,MATCH(AN$1,$A$4:$A$18,0),1)*AN$3</f>
        <v>#N/A</v>
      </c>
      <c r="AO6" t="e">
        <f t="shared" ref="AO6:AO56" si="32">INDEX($D$4:$E$18,MATCH(AN$1,$A$4:$A$18,0),2)*AN$3</f>
        <v>#N/A</v>
      </c>
      <c r="AP6" t="e">
        <f t="shared" ref="AP6:AP56" si="33">INDEX($D$4:$E$18,MATCH(AP$1,$A$4:$A$18,0),1)*AP$3</f>
        <v>#N/A</v>
      </c>
      <c r="AQ6" t="e">
        <f t="shared" ref="AQ6:AQ56" si="34">INDEX($D$4:$E$18,MATCH(AP$1,$A$4:$A$18,0),2)*AP$3</f>
        <v>#N/A</v>
      </c>
      <c r="AR6" t="e">
        <f t="shared" ref="AR6:AR56" si="35">SUMIF(AN$4:AQ$4,AR$4,AN6:AQ6)</f>
        <v>#N/A</v>
      </c>
      <c r="AS6" t="e">
        <f t="shared" ref="AS6:AS56" si="36">SUMIF(AN$4:AQ$4,AS$4,AN6:AQ6)</f>
        <v>#N/A</v>
      </c>
      <c r="AT6" t="e">
        <f t="shared" ref="AT6:AT56" si="37">INDEX($D$4:$E$18,MATCH(AT$1,$A$4:$A$18,0),1)*AT$3</f>
        <v>#N/A</v>
      </c>
      <c r="AU6" t="e">
        <f t="shared" ref="AU6:AU56" si="38">INDEX($D$4:$E$18,MATCH(AT$1,$A$4:$A$18,0),2)*AT$3</f>
        <v>#N/A</v>
      </c>
      <c r="AV6" t="e">
        <f t="shared" ref="AV6:AV56" si="39">INDEX($D$4:$E$18,MATCH(AV$1,$A$4:$A$18,0),1)*AV$3</f>
        <v>#N/A</v>
      </c>
      <c r="AW6" t="e">
        <f t="shared" ref="AW6:AW56" si="40">INDEX($D$4:$E$18,MATCH(AV$1,$A$4:$A$18,0),2)*AV$3</f>
        <v>#N/A</v>
      </c>
      <c r="AX6" t="e">
        <f t="shared" ref="AX6:AX56" si="41">SUMIF(AT$4:AW$4,AX$4,AT6:AW6)</f>
        <v>#N/A</v>
      </c>
      <c r="AY6" t="e">
        <f t="shared" ref="AY6:AY56" si="42">SUMIF(AT$4:AW$4,AY$4,AT6:AW6)</f>
        <v>#N/A</v>
      </c>
      <c r="AZ6" t="e">
        <f t="shared" ref="AZ6:AZ56" si="43">INDEX($D$4:$E$18,MATCH(AZ$1,$A$4:$A$18,0),1)*AZ$3</f>
        <v>#N/A</v>
      </c>
      <c r="BA6" t="e">
        <f t="shared" ref="BA6:BA56" si="44">INDEX($D$4:$E$18,MATCH(AZ$1,$A$4:$A$18,0),2)*AZ$3</f>
        <v>#N/A</v>
      </c>
      <c r="BB6" t="e">
        <f t="shared" ref="BB6:BB56" si="45">INDEX($D$4:$E$18,MATCH(BB$1,$A$4:$A$18,0),1)*BB$3</f>
        <v>#N/A</v>
      </c>
      <c r="BC6" t="e">
        <f t="shared" ref="BC6:BC56" si="46">INDEX($D$4:$E$18,MATCH(BB$1,$A$4:$A$18,0),2)*BB$3</f>
        <v>#N/A</v>
      </c>
      <c r="BD6" t="e">
        <f t="shared" ref="BD6:BD56" si="47">SUMIF(AZ$4:BC$4,BD$4,AZ6:BC6)</f>
        <v>#N/A</v>
      </c>
      <c r="BE6" t="e">
        <f t="shared" ref="BE6:BE56" si="48">SUMIF(AZ$4:BC$4,BE$4,AZ6:BC6)</f>
        <v>#N/A</v>
      </c>
      <c r="BF6" t="e">
        <f t="shared" ref="BF6:BF56" si="49">INDEX($D$4:$E$18,MATCH(BF$1,$A$4:$A$18,0),1)*BF$3</f>
        <v>#N/A</v>
      </c>
      <c r="BG6" t="e">
        <f t="shared" ref="BG6:BG56" si="50">INDEX($D$4:$E$18,MATCH(BF$1,$A$4:$A$18,0),2)*BF$3</f>
        <v>#N/A</v>
      </c>
      <c r="BH6" t="e">
        <f t="shared" ref="BH6:BH56" si="51">INDEX($D$4:$E$18,MATCH(BH$1,$A$4:$A$18,0),1)*BH$3</f>
        <v>#N/A</v>
      </c>
      <c r="BI6" t="e">
        <f t="shared" ref="BI6:BI56" si="52">INDEX($D$4:$E$18,MATCH(BH$1,$A$4:$A$18,0),2)*BH$3</f>
        <v>#N/A</v>
      </c>
      <c r="BJ6" t="e">
        <f t="shared" ref="BJ6:BJ56" si="53">SUMIF(BF$4:BI$4,BJ$4,BF6:BI6)</f>
        <v>#N/A</v>
      </c>
      <c r="BK6" t="e">
        <f t="shared" ref="BK6:BK56" si="54">SUMIF(BF$4:BI$4,BK$4,BF6:BI6)</f>
        <v>#N/A</v>
      </c>
      <c r="BL6" t="e">
        <f t="shared" ref="BL6:BL56" si="55">INDEX($D$4:$E$18,MATCH(BL$1,$A$4:$A$18,0),1)*BL$3</f>
        <v>#N/A</v>
      </c>
      <c r="BM6" t="e">
        <f t="shared" ref="BM6:BM56" si="56">INDEX($D$4:$E$18,MATCH(BL$1,$A$4:$A$18,0),2)*BL$3</f>
        <v>#N/A</v>
      </c>
      <c r="BN6" t="e">
        <f t="shared" ref="BN6:BN56" si="57">INDEX($D$4:$E$18,MATCH(BN$1,$A$4:$A$18,0),1)*BN$3</f>
        <v>#N/A</v>
      </c>
      <c r="BO6" t="e">
        <f t="shared" ref="BO6:BO56" si="58">INDEX($D$4:$E$18,MATCH(BN$1,$A$4:$A$18,0),2)*BN$3</f>
        <v>#N/A</v>
      </c>
      <c r="BP6" t="e">
        <f t="shared" ref="BP6:BP56" si="59">SUMIF(BL$4:BO$4,BP$4,BL6:BO6)</f>
        <v>#N/A</v>
      </c>
      <c r="BQ6" t="e">
        <f t="shared" ref="BQ6:BQ56" si="60">SUMIF(BL$4:BO$4,BQ$4,BL6:BO6)</f>
        <v>#N/A</v>
      </c>
      <c r="BR6" t="e">
        <f t="shared" ref="BR6:BR56" si="61">INDEX($D$4:$E$18,MATCH(BR$1,$A$4:$A$18,0),1)*BR$3</f>
        <v>#N/A</v>
      </c>
      <c r="BS6" t="e">
        <f t="shared" ref="BS6:BS56" si="62">INDEX($D$4:$E$18,MATCH(BR$1,$A$4:$A$18,0),2)*BR$3</f>
        <v>#N/A</v>
      </c>
      <c r="BT6" t="e">
        <f t="shared" ref="BT6:BT56" si="63">INDEX($D$4:$E$18,MATCH(BT$1,$A$4:$A$18,0),1)*BT$3</f>
        <v>#N/A</v>
      </c>
      <c r="BU6" t="e">
        <f t="shared" ref="BU6:BU56" si="64">INDEX($D$4:$E$18,MATCH(BT$1,$A$4:$A$18,0),2)*BT$3</f>
        <v>#N/A</v>
      </c>
      <c r="BV6" t="e">
        <f t="shared" ref="BV6:BV56" si="65">SUMIF(BR$4:BU$4,BV$4,BR6:BU6)</f>
        <v>#N/A</v>
      </c>
      <c r="BW6" t="e">
        <f t="shared" ref="BW6:BW56" si="66">SUMIF(BR$4:BU$4,BW$4,BR6:BU6)</f>
        <v>#N/A</v>
      </c>
      <c r="BX6" t="e">
        <f t="shared" ref="BX6:BX56" si="67">INDEX($D$4:$E$18,MATCH(BX$1,$A$4:$A$18,0),1)*BX$3</f>
        <v>#N/A</v>
      </c>
      <c r="BY6" t="e">
        <f t="shared" ref="BY6:BY56" si="68">INDEX($D$4:$E$18,MATCH(BX$1,$A$4:$A$18,0),2)*BX$3</f>
        <v>#N/A</v>
      </c>
      <c r="BZ6" t="e">
        <f t="shared" ref="BZ6:BZ56" si="69">INDEX($D$4:$E$18,MATCH(BZ$1,$A$4:$A$18,0),1)*BZ$3</f>
        <v>#N/A</v>
      </c>
      <c r="CA6" t="e">
        <f t="shared" ref="CA6:CA56" si="70">INDEX($D$4:$E$18,MATCH(BZ$1,$A$4:$A$18,0),2)*BZ$3</f>
        <v>#N/A</v>
      </c>
      <c r="CB6" t="e">
        <f t="shared" ref="CB6:CB56" si="71">SUMIF(BX$4:CA$4,CB$4,BX6:CA6)</f>
        <v>#N/A</v>
      </c>
      <c r="CC6" t="e">
        <f t="shared" ref="CC6:CC56" si="72">SUMIF(BX$4:CA$4,CC$4,BX6:CA6)</f>
        <v>#N/A</v>
      </c>
      <c r="CD6" t="e">
        <f t="shared" ref="CD6:CD56" si="73">INDEX($D$4:$E$18,MATCH(CD$1,$A$4:$A$18,0),1)*CD$3</f>
        <v>#N/A</v>
      </c>
      <c r="CE6" t="e">
        <f t="shared" ref="CE6:CE56" si="74">INDEX($D$4:$E$18,MATCH(CD$1,$A$4:$A$18,0),2)*CD$3</f>
        <v>#N/A</v>
      </c>
      <c r="CF6" t="e">
        <f t="shared" ref="CF6:CF56" si="75">INDEX($D$4:$E$18,MATCH(CF$1,$A$4:$A$18,0),1)*CF$3</f>
        <v>#N/A</v>
      </c>
      <c r="CG6" t="e">
        <f t="shared" ref="CG6:CG56" si="76">INDEX($D$4:$E$18,MATCH(CF$1,$A$4:$A$18,0),2)*CF$3</f>
        <v>#N/A</v>
      </c>
      <c r="CH6" t="e">
        <f t="shared" ref="CH6:CH56" si="77">SUMIF(CD$4:CG$4,CH$4,CD6:CG6)</f>
        <v>#N/A</v>
      </c>
      <c r="CI6" t="e">
        <f t="shared" ref="CI6:CI56" si="78">SUMIF(CD$4:CG$4,CI$4,CD6:CG6)</f>
        <v>#N/A</v>
      </c>
      <c r="CJ6" t="e">
        <f t="shared" ref="CJ6:CJ56" si="79">INDEX($D$4:$E$18,MATCH(CJ$1,$A$4:$A$18,0),1)*CJ$3</f>
        <v>#N/A</v>
      </c>
      <c r="CK6" t="e">
        <f t="shared" ref="CK6:CK56" si="80">INDEX($D$4:$E$18,MATCH(CJ$1,$A$4:$A$18,0),2)*CJ$3</f>
        <v>#N/A</v>
      </c>
      <c r="CL6" t="e">
        <f t="shared" ref="CL6:CL56" si="81">INDEX($D$4:$E$18,MATCH(CL$1,$A$4:$A$18,0),1)*CL$3</f>
        <v>#N/A</v>
      </c>
      <c r="CM6" t="e">
        <f t="shared" ref="CM6:CM56" si="82">INDEX($D$4:$E$18,MATCH(CL$1,$A$4:$A$18,0),2)*CL$3</f>
        <v>#N/A</v>
      </c>
      <c r="CN6" t="e">
        <f t="shared" ref="CN6:CN56" si="83">SUMIF(CJ$4:CM$4,CN$4,CJ6:CM6)</f>
        <v>#N/A</v>
      </c>
      <c r="CO6" t="e">
        <f t="shared" ref="CO6:CO56" si="84">SUMIF(CJ$4:CM$4,CO$4,CJ6:CM6)</f>
        <v>#N/A</v>
      </c>
      <c r="CP6" t="e">
        <f t="shared" ref="CP6:CP56" si="85">INDEX($D$4:$E$18,MATCH(CP$1,$A$4:$A$18,0),1)*CP$3</f>
        <v>#N/A</v>
      </c>
      <c r="CQ6" t="e">
        <f t="shared" ref="CQ6:CQ56" si="86">INDEX($D$4:$E$18,MATCH(CP$1,$A$4:$A$18,0),2)*CP$3</f>
        <v>#N/A</v>
      </c>
      <c r="CR6" t="e">
        <f t="shared" ref="CR6:CR56" si="87">INDEX($D$4:$E$18,MATCH(CR$1,$A$4:$A$18,0),1)*CR$3</f>
        <v>#N/A</v>
      </c>
      <c r="CS6" t="e">
        <f t="shared" ref="CS6:CS56" si="88">INDEX($D$4:$E$18,MATCH(CR$1,$A$4:$A$18,0),2)*CR$3</f>
        <v>#N/A</v>
      </c>
      <c r="CT6" t="e">
        <f t="shared" ref="CT6:CT56" si="89">SUMIF(CP$4:CS$4,CT$4,CP6:CS6)</f>
        <v>#N/A</v>
      </c>
      <c r="CU6" t="e">
        <f t="shared" ref="CU6:CU56" si="90">SUMIF(CP$4:CS$4,CU$4,CP6:CS6)</f>
        <v>#N/A</v>
      </c>
      <c r="CV6" t="e">
        <f t="shared" ref="CV6:CY56" si="91">SUMIFS($J6:$CS6,$J$2:$CS$2,CV$2,$J$4:$CS$4,CV$4)</f>
        <v>#N/A</v>
      </c>
      <c r="CW6" t="e">
        <f t="shared" si="91"/>
        <v>#N/A</v>
      </c>
      <c r="CX6" t="e">
        <f t="shared" ref="CX6:CY20" si="92">SUMIFS($J6:$CS6,$J$2:$CS$2,CX$2,$J$4:$CS$4,CX$4)</f>
        <v>#N/A</v>
      </c>
      <c r="CY6" t="e">
        <f t="shared" si="92"/>
        <v>#N/A</v>
      </c>
      <c r="CZ6" t="e">
        <f t="shared" ref="CZ6:DA56" si="93">SUMIFS($J6:$CU6,$J$2:$CU$2,CZ$2,$J$4:$CU$4,CZ$4)</f>
        <v>#N/A</v>
      </c>
      <c r="DA6" t="e">
        <f t="shared" si="93"/>
        <v>#N/A</v>
      </c>
    </row>
    <row r="7" spans="1:105" x14ac:dyDescent="0.35">
      <c r="A7" t="str">
        <f>Setup!A23</f>
        <v>Caseload 4</v>
      </c>
      <c r="B7" t="e">
        <f>INDEX('Required Capacity (Hide)'!$B$5:$C$19,MATCH('Planning Backing (Hide)'!$A7,'Required Capacity (Hide)'!$A$5:$A$19,0),1)</f>
        <v>#N/A</v>
      </c>
      <c r="C7" t="e">
        <f>INDEX('Required Capacity (Hide)'!$B$5:$C$19,MATCH('Planning Backing (Hide)'!$A7,'Required Capacity (Hide)'!$A$5:$A$19,0),2)</f>
        <v>#N/A</v>
      </c>
      <c r="D7" t="e">
        <f>IF(Planning!D9="",'Planning Backing (Hide)'!B7,Planning!D9)</f>
        <v>#N/A</v>
      </c>
      <c r="E7" t="e">
        <f>IF(Planning!E9="",'Planning Backing (Hide)'!C7,Planning!E9)</f>
        <v>#N/A</v>
      </c>
      <c r="F7">
        <v>1</v>
      </c>
      <c r="G7">
        <v>1</v>
      </c>
      <c r="I7" s="12" t="e" vm="2">
        <f ca="1">'Required Capacity (Hide)'!E7</f>
        <v>#VALUE!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  <c r="CA7" t="e">
        <f t="shared" si="70"/>
        <v>#N/A</v>
      </c>
      <c r="CB7" t="e">
        <f t="shared" si="71"/>
        <v>#N/A</v>
      </c>
      <c r="CC7" t="e">
        <f t="shared" si="72"/>
        <v>#N/A</v>
      </c>
      <c r="CD7" t="e">
        <f t="shared" si="73"/>
        <v>#N/A</v>
      </c>
      <c r="CE7" t="e">
        <f t="shared" si="74"/>
        <v>#N/A</v>
      </c>
      <c r="CF7" t="e">
        <f t="shared" si="75"/>
        <v>#N/A</v>
      </c>
      <c r="CG7" t="e">
        <f t="shared" si="76"/>
        <v>#N/A</v>
      </c>
      <c r="CH7" t="e">
        <f t="shared" si="77"/>
        <v>#N/A</v>
      </c>
      <c r="CI7" t="e">
        <f t="shared" si="78"/>
        <v>#N/A</v>
      </c>
      <c r="CJ7" t="e">
        <f t="shared" si="79"/>
        <v>#N/A</v>
      </c>
      <c r="CK7" t="e">
        <f t="shared" si="80"/>
        <v>#N/A</v>
      </c>
      <c r="CL7" t="e">
        <f t="shared" si="81"/>
        <v>#N/A</v>
      </c>
      <c r="CM7" t="e">
        <f t="shared" si="82"/>
        <v>#N/A</v>
      </c>
      <c r="CN7" t="e">
        <f t="shared" si="83"/>
        <v>#N/A</v>
      </c>
      <c r="CO7" t="e">
        <f t="shared" si="84"/>
        <v>#N/A</v>
      </c>
      <c r="CP7" t="e">
        <f t="shared" si="85"/>
        <v>#N/A</v>
      </c>
      <c r="CQ7" t="e">
        <f t="shared" si="86"/>
        <v>#N/A</v>
      </c>
      <c r="CR7" t="e">
        <f t="shared" si="87"/>
        <v>#N/A</v>
      </c>
      <c r="CS7" t="e">
        <f t="shared" si="88"/>
        <v>#N/A</v>
      </c>
      <c r="CT7" t="e">
        <f t="shared" si="89"/>
        <v>#N/A</v>
      </c>
      <c r="CU7" t="e">
        <f t="shared" si="90"/>
        <v>#N/A</v>
      </c>
      <c r="CV7" t="e">
        <f t="shared" si="91"/>
        <v>#N/A</v>
      </c>
      <c r="CW7" t="e">
        <f t="shared" si="91"/>
        <v>#N/A</v>
      </c>
      <c r="CX7" t="e">
        <f t="shared" si="92"/>
        <v>#N/A</v>
      </c>
      <c r="CY7" t="e">
        <f t="shared" si="92"/>
        <v>#N/A</v>
      </c>
      <c r="CZ7" t="e">
        <f t="shared" si="93"/>
        <v>#N/A</v>
      </c>
      <c r="DA7" t="e">
        <f t="shared" si="93"/>
        <v>#N/A</v>
      </c>
    </row>
    <row r="8" spans="1:105" x14ac:dyDescent="0.35">
      <c r="A8" t="str">
        <f>Setup!A24</f>
        <v>Caseload 5</v>
      </c>
      <c r="B8" t="e">
        <f>INDEX('Required Capacity (Hide)'!$B$5:$C$19,MATCH('Planning Backing (Hide)'!$A8,'Required Capacity (Hide)'!$A$5:$A$19,0),1)</f>
        <v>#N/A</v>
      </c>
      <c r="C8" t="e">
        <f>INDEX('Required Capacity (Hide)'!$B$5:$C$19,MATCH('Planning Backing (Hide)'!$A8,'Required Capacity (Hide)'!$A$5:$A$19,0),2)</f>
        <v>#N/A</v>
      </c>
      <c r="D8" t="e">
        <f>IF(Planning!D10="",'Planning Backing (Hide)'!B8,Planning!D10)</f>
        <v>#N/A</v>
      </c>
      <c r="E8" t="e">
        <f>IF(Planning!E10="",'Planning Backing (Hide)'!C8,Planning!E10)</f>
        <v>#N/A</v>
      </c>
      <c r="F8">
        <v>1</v>
      </c>
      <c r="G8">
        <v>1</v>
      </c>
      <c r="I8" s="12" t="e" vm="2">
        <f ca="1">'Required Capacity (Hide)'!E8</f>
        <v>#VALUE!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  <c r="CA8" t="e">
        <f t="shared" si="70"/>
        <v>#N/A</v>
      </c>
      <c r="CB8" t="e">
        <f t="shared" si="71"/>
        <v>#N/A</v>
      </c>
      <c r="CC8" t="e">
        <f t="shared" si="72"/>
        <v>#N/A</v>
      </c>
      <c r="CD8" t="e">
        <f t="shared" si="73"/>
        <v>#N/A</v>
      </c>
      <c r="CE8" t="e">
        <f t="shared" si="74"/>
        <v>#N/A</v>
      </c>
      <c r="CF8" t="e">
        <f t="shared" si="75"/>
        <v>#N/A</v>
      </c>
      <c r="CG8" t="e">
        <f t="shared" si="76"/>
        <v>#N/A</v>
      </c>
      <c r="CH8" t="e">
        <f t="shared" si="77"/>
        <v>#N/A</v>
      </c>
      <c r="CI8" t="e">
        <f t="shared" si="78"/>
        <v>#N/A</v>
      </c>
      <c r="CJ8" t="e">
        <f t="shared" si="79"/>
        <v>#N/A</v>
      </c>
      <c r="CK8" t="e">
        <f t="shared" si="80"/>
        <v>#N/A</v>
      </c>
      <c r="CL8" t="e">
        <f t="shared" si="81"/>
        <v>#N/A</v>
      </c>
      <c r="CM8" t="e">
        <f t="shared" si="82"/>
        <v>#N/A</v>
      </c>
      <c r="CN8" t="e">
        <f t="shared" si="83"/>
        <v>#N/A</v>
      </c>
      <c r="CO8" t="e">
        <f t="shared" si="84"/>
        <v>#N/A</v>
      </c>
      <c r="CP8" t="e">
        <f t="shared" si="85"/>
        <v>#N/A</v>
      </c>
      <c r="CQ8" t="e">
        <f t="shared" si="86"/>
        <v>#N/A</v>
      </c>
      <c r="CR8" t="e">
        <f t="shared" si="87"/>
        <v>#N/A</v>
      </c>
      <c r="CS8" t="e">
        <f t="shared" si="88"/>
        <v>#N/A</v>
      </c>
      <c r="CT8" t="e">
        <f t="shared" si="89"/>
        <v>#N/A</v>
      </c>
      <c r="CU8" t="e">
        <f t="shared" si="90"/>
        <v>#N/A</v>
      </c>
      <c r="CV8" t="e">
        <f t="shared" si="91"/>
        <v>#N/A</v>
      </c>
      <c r="CW8" t="e">
        <f t="shared" si="91"/>
        <v>#N/A</v>
      </c>
      <c r="CX8" t="e">
        <f t="shared" si="92"/>
        <v>#N/A</v>
      </c>
      <c r="CY8" t="e">
        <f t="shared" si="92"/>
        <v>#N/A</v>
      </c>
      <c r="CZ8" t="e">
        <f t="shared" si="93"/>
        <v>#N/A</v>
      </c>
      <c r="DA8" t="e">
        <f t="shared" si="93"/>
        <v>#N/A</v>
      </c>
    </row>
    <row r="9" spans="1:105" x14ac:dyDescent="0.35">
      <c r="A9" t="str">
        <f>Setup!A25</f>
        <v>Caseload 6</v>
      </c>
      <c r="B9" t="e">
        <f>INDEX('Required Capacity (Hide)'!$B$5:$C$19,MATCH('Planning Backing (Hide)'!$A9,'Required Capacity (Hide)'!$A$5:$A$19,0),1)</f>
        <v>#N/A</v>
      </c>
      <c r="C9" t="e">
        <f>INDEX('Required Capacity (Hide)'!$B$5:$C$19,MATCH('Planning Backing (Hide)'!$A9,'Required Capacity (Hide)'!$A$5:$A$19,0),2)</f>
        <v>#N/A</v>
      </c>
      <c r="D9" t="e">
        <f>IF(Planning!D11="",'Planning Backing (Hide)'!B9,Planning!D11)</f>
        <v>#N/A</v>
      </c>
      <c r="E9" t="e">
        <f>IF(Planning!E11="",'Planning Backing (Hide)'!C9,Planning!E11)</f>
        <v>#N/A</v>
      </c>
      <c r="F9">
        <v>1</v>
      </c>
      <c r="G9">
        <v>1</v>
      </c>
      <c r="I9" s="12" t="e" vm="2">
        <f ca="1">'Required Capacity (Hide)'!E9</f>
        <v>#VALUE!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  <c r="CA9" t="e">
        <f t="shared" si="70"/>
        <v>#N/A</v>
      </c>
      <c r="CB9" t="e">
        <f t="shared" si="71"/>
        <v>#N/A</v>
      </c>
      <c r="CC9" t="e">
        <f t="shared" si="72"/>
        <v>#N/A</v>
      </c>
      <c r="CD9" t="e">
        <f t="shared" si="73"/>
        <v>#N/A</v>
      </c>
      <c r="CE9" t="e">
        <f t="shared" si="74"/>
        <v>#N/A</v>
      </c>
      <c r="CF9" t="e">
        <f t="shared" si="75"/>
        <v>#N/A</v>
      </c>
      <c r="CG9" t="e">
        <f t="shared" si="76"/>
        <v>#N/A</v>
      </c>
      <c r="CH9" t="e">
        <f t="shared" si="77"/>
        <v>#N/A</v>
      </c>
      <c r="CI9" t="e">
        <f t="shared" si="78"/>
        <v>#N/A</v>
      </c>
      <c r="CJ9" t="e">
        <f t="shared" si="79"/>
        <v>#N/A</v>
      </c>
      <c r="CK9" t="e">
        <f t="shared" si="80"/>
        <v>#N/A</v>
      </c>
      <c r="CL9" t="e">
        <f t="shared" si="81"/>
        <v>#N/A</v>
      </c>
      <c r="CM9" t="e">
        <f t="shared" si="82"/>
        <v>#N/A</v>
      </c>
      <c r="CN9" t="e">
        <f t="shared" si="83"/>
        <v>#N/A</v>
      </c>
      <c r="CO9" t="e">
        <f t="shared" si="84"/>
        <v>#N/A</v>
      </c>
      <c r="CP9" t="e">
        <f t="shared" si="85"/>
        <v>#N/A</v>
      </c>
      <c r="CQ9" t="e">
        <f t="shared" si="86"/>
        <v>#N/A</v>
      </c>
      <c r="CR9" t="e">
        <f t="shared" si="87"/>
        <v>#N/A</v>
      </c>
      <c r="CS9" t="e">
        <f t="shared" si="88"/>
        <v>#N/A</v>
      </c>
      <c r="CT9" t="e">
        <f t="shared" si="89"/>
        <v>#N/A</v>
      </c>
      <c r="CU9" t="e">
        <f t="shared" si="90"/>
        <v>#N/A</v>
      </c>
      <c r="CV9" t="e">
        <f t="shared" si="91"/>
        <v>#N/A</v>
      </c>
      <c r="CW9" t="e">
        <f t="shared" si="91"/>
        <v>#N/A</v>
      </c>
      <c r="CX9" t="e">
        <f t="shared" si="92"/>
        <v>#N/A</v>
      </c>
      <c r="CY9" t="e">
        <f t="shared" si="92"/>
        <v>#N/A</v>
      </c>
      <c r="CZ9" t="e">
        <f t="shared" si="93"/>
        <v>#N/A</v>
      </c>
      <c r="DA9" t="e">
        <f t="shared" si="93"/>
        <v>#N/A</v>
      </c>
    </row>
    <row r="10" spans="1:105" x14ac:dyDescent="0.35">
      <c r="A10" t="str">
        <f>Setup!A26</f>
        <v>Caseload 7</v>
      </c>
      <c r="B10" t="e">
        <f>INDEX('Required Capacity (Hide)'!$B$5:$C$19,MATCH('Planning Backing (Hide)'!$A10,'Required Capacity (Hide)'!$A$5:$A$19,0),1)</f>
        <v>#N/A</v>
      </c>
      <c r="C10" t="e">
        <f>INDEX('Required Capacity (Hide)'!$B$5:$C$19,MATCH('Planning Backing (Hide)'!$A10,'Required Capacity (Hide)'!$A$5:$A$19,0),2)</f>
        <v>#N/A</v>
      </c>
      <c r="D10" t="e">
        <f>IF(Planning!D12="",'Planning Backing (Hide)'!B10,Planning!D12)</f>
        <v>#N/A</v>
      </c>
      <c r="E10" t="e">
        <f>IF(Planning!E12="",'Planning Backing (Hide)'!C10,Planning!E12)</f>
        <v>#N/A</v>
      </c>
      <c r="F10">
        <v>1</v>
      </c>
      <c r="G10">
        <v>1</v>
      </c>
      <c r="I10" s="12" t="e" vm="2">
        <f ca="1">'Required Capacity (Hide)'!E10</f>
        <v>#VALUE!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  <c r="CA10" t="e">
        <f t="shared" si="70"/>
        <v>#N/A</v>
      </c>
      <c r="CB10" t="e">
        <f t="shared" si="71"/>
        <v>#N/A</v>
      </c>
      <c r="CC10" t="e">
        <f t="shared" si="72"/>
        <v>#N/A</v>
      </c>
      <c r="CD10" t="e">
        <f t="shared" si="73"/>
        <v>#N/A</v>
      </c>
      <c r="CE10" t="e">
        <f t="shared" si="74"/>
        <v>#N/A</v>
      </c>
      <c r="CF10" t="e">
        <f t="shared" si="75"/>
        <v>#N/A</v>
      </c>
      <c r="CG10" t="e">
        <f t="shared" si="76"/>
        <v>#N/A</v>
      </c>
      <c r="CH10" t="e">
        <f t="shared" si="77"/>
        <v>#N/A</v>
      </c>
      <c r="CI10" t="e">
        <f t="shared" si="78"/>
        <v>#N/A</v>
      </c>
      <c r="CJ10" t="e">
        <f t="shared" si="79"/>
        <v>#N/A</v>
      </c>
      <c r="CK10" t="e">
        <f t="shared" si="80"/>
        <v>#N/A</v>
      </c>
      <c r="CL10" t="e">
        <f t="shared" si="81"/>
        <v>#N/A</v>
      </c>
      <c r="CM10" t="e">
        <f t="shared" si="82"/>
        <v>#N/A</v>
      </c>
      <c r="CN10" t="e">
        <f t="shared" si="83"/>
        <v>#N/A</v>
      </c>
      <c r="CO10" t="e">
        <f t="shared" si="84"/>
        <v>#N/A</v>
      </c>
      <c r="CP10" t="e">
        <f t="shared" si="85"/>
        <v>#N/A</v>
      </c>
      <c r="CQ10" t="e">
        <f t="shared" si="86"/>
        <v>#N/A</v>
      </c>
      <c r="CR10" t="e">
        <f t="shared" si="87"/>
        <v>#N/A</v>
      </c>
      <c r="CS10" t="e">
        <f t="shared" si="88"/>
        <v>#N/A</v>
      </c>
      <c r="CT10" t="e">
        <f t="shared" si="89"/>
        <v>#N/A</v>
      </c>
      <c r="CU10" t="e">
        <f t="shared" si="90"/>
        <v>#N/A</v>
      </c>
      <c r="CV10" t="e">
        <f t="shared" si="91"/>
        <v>#N/A</v>
      </c>
      <c r="CW10" t="e">
        <f t="shared" si="91"/>
        <v>#N/A</v>
      </c>
      <c r="CX10" t="e">
        <f t="shared" si="92"/>
        <v>#N/A</v>
      </c>
      <c r="CY10" t="e">
        <f t="shared" si="92"/>
        <v>#N/A</v>
      </c>
      <c r="CZ10" t="e">
        <f t="shared" si="93"/>
        <v>#N/A</v>
      </c>
      <c r="DA10" t="e">
        <f t="shared" si="93"/>
        <v>#N/A</v>
      </c>
    </row>
    <row r="11" spans="1:105" x14ac:dyDescent="0.35">
      <c r="A11" t="str">
        <f>Setup!A27</f>
        <v>Caseload 8</v>
      </c>
      <c r="B11" t="e">
        <f>INDEX('Required Capacity (Hide)'!$B$5:$C$19,MATCH('Planning Backing (Hide)'!$A11,'Required Capacity (Hide)'!$A$5:$A$19,0),1)</f>
        <v>#N/A</v>
      </c>
      <c r="C11" t="e">
        <f>INDEX('Required Capacity (Hide)'!$B$5:$C$19,MATCH('Planning Backing (Hide)'!$A11,'Required Capacity (Hide)'!$A$5:$A$19,0),2)</f>
        <v>#N/A</v>
      </c>
      <c r="D11" t="e">
        <f>IF(Planning!D13="",'Planning Backing (Hide)'!B11,Planning!D13)</f>
        <v>#N/A</v>
      </c>
      <c r="E11" t="e">
        <f>IF(Planning!E13="",'Planning Backing (Hide)'!C11,Planning!E13)</f>
        <v>#N/A</v>
      </c>
      <c r="F11">
        <v>1</v>
      </c>
      <c r="G11">
        <v>1</v>
      </c>
      <c r="I11" s="12" t="e" vm="2">
        <f ca="1">'Required Capacity (Hide)'!E11</f>
        <v>#VALUE!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  <c r="CA11" t="e">
        <f t="shared" si="70"/>
        <v>#N/A</v>
      </c>
      <c r="CB11" t="e">
        <f t="shared" si="71"/>
        <v>#N/A</v>
      </c>
      <c r="CC11" t="e">
        <f t="shared" si="72"/>
        <v>#N/A</v>
      </c>
      <c r="CD11" t="e">
        <f t="shared" si="73"/>
        <v>#N/A</v>
      </c>
      <c r="CE11" t="e">
        <f t="shared" si="74"/>
        <v>#N/A</v>
      </c>
      <c r="CF11" t="e">
        <f t="shared" si="75"/>
        <v>#N/A</v>
      </c>
      <c r="CG11" t="e">
        <f t="shared" si="76"/>
        <v>#N/A</v>
      </c>
      <c r="CH11" t="e">
        <f t="shared" si="77"/>
        <v>#N/A</v>
      </c>
      <c r="CI11" t="e">
        <f t="shared" si="78"/>
        <v>#N/A</v>
      </c>
      <c r="CJ11" t="e">
        <f t="shared" si="79"/>
        <v>#N/A</v>
      </c>
      <c r="CK11" t="e">
        <f t="shared" si="80"/>
        <v>#N/A</v>
      </c>
      <c r="CL11" t="e">
        <f t="shared" si="81"/>
        <v>#N/A</v>
      </c>
      <c r="CM11" t="e">
        <f t="shared" si="82"/>
        <v>#N/A</v>
      </c>
      <c r="CN11" t="e">
        <f t="shared" si="83"/>
        <v>#N/A</v>
      </c>
      <c r="CO11" t="e">
        <f t="shared" si="84"/>
        <v>#N/A</v>
      </c>
      <c r="CP11" t="e">
        <f t="shared" si="85"/>
        <v>#N/A</v>
      </c>
      <c r="CQ11" t="e">
        <f t="shared" si="86"/>
        <v>#N/A</v>
      </c>
      <c r="CR11" t="e">
        <f t="shared" si="87"/>
        <v>#N/A</v>
      </c>
      <c r="CS11" t="e">
        <f t="shared" si="88"/>
        <v>#N/A</v>
      </c>
      <c r="CT11" t="e">
        <f t="shared" si="89"/>
        <v>#N/A</v>
      </c>
      <c r="CU11" t="e">
        <f t="shared" si="90"/>
        <v>#N/A</v>
      </c>
      <c r="CV11" t="e">
        <f t="shared" si="91"/>
        <v>#N/A</v>
      </c>
      <c r="CW11" t="e">
        <f t="shared" si="91"/>
        <v>#N/A</v>
      </c>
      <c r="CX11" t="e">
        <f t="shared" si="92"/>
        <v>#N/A</v>
      </c>
      <c r="CY11" t="e">
        <f t="shared" si="92"/>
        <v>#N/A</v>
      </c>
      <c r="CZ11" t="e">
        <f t="shared" si="93"/>
        <v>#N/A</v>
      </c>
      <c r="DA11" t="e">
        <f t="shared" si="93"/>
        <v>#N/A</v>
      </c>
    </row>
    <row r="12" spans="1:105" x14ac:dyDescent="0.35">
      <c r="A12" t="str">
        <f>Setup!A28</f>
        <v>Caseload 9</v>
      </c>
      <c r="B12" t="e">
        <f>INDEX('Required Capacity (Hide)'!$B$5:$C$19,MATCH('Planning Backing (Hide)'!$A12,'Required Capacity (Hide)'!$A$5:$A$19,0),1)</f>
        <v>#N/A</v>
      </c>
      <c r="C12" t="e">
        <f>INDEX('Required Capacity (Hide)'!$B$5:$C$19,MATCH('Planning Backing (Hide)'!$A12,'Required Capacity (Hide)'!$A$5:$A$19,0),2)</f>
        <v>#N/A</v>
      </c>
      <c r="D12" t="e">
        <f>IF(Planning!D14="",'Planning Backing (Hide)'!B12,Planning!D14)</f>
        <v>#N/A</v>
      </c>
      <c r="E12" t="e">
        <f>IF(Planning!E14="",'Planning Backing (Hide)'!C12,Planning!E14)</f>
        <v>#N/A</v>
      </c>
      <c r="F12">
        <v>1</v>
      </c>
      <c r="G12">
        <v>1</v>
      </c>
      <c r="I12" s="12" t="e" vm="2">
        <f ca="1">'Required Capacity (Hide)'!E12</f>
        <v>#VALUE!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  <c r="CA12" t="e">
        <f t="shared" si="70"/>
        <v>#N/A</v>
      </c>
      <c r="CB12" t="e">
        <f t="shared" si="71"/>
        <v>#N/A</v>
      </c>
      <c r="CC12" t="e">
        <f t="shared" si="72"/>
        <v>#N/A</v>
      </c>
      <c r="CD12" t="e">
        <f t="shared" si="73"/>
        <v>#N/A</v>
      </c>
      <c r="CE12" t="e">
        <f t="shared" si="74"/>
        <v>#N/A</v>
      </c>
      <c r="CF12" t="e">
        <f t="shared" si="75"/>
        <v>#N/A</v>
      </c>
      <c r="CG12" t="e">
        <f t="shared" si="76"/>
        <v>#N/A</v>
      </c>
      <c r="CH12" t="e">
        <f t="shared" si="77"/>
        <v>#N/A</v>
      </c>
      <c r="CI12" t="e">
        <f t="shared" si="78"/>
        <v>#N/A</v>
      </c>
      <c r="CJ12" t="e">
        <f t="shared" si="79"/>
        <v>#N/A</v>
      </c>
      <c r="CK12" t="e">
        <f t="shared" si="80"/>
        <v>#N/A</v>
      </c>
      <c r="CL12" t="e">
        <f t="shared" si="81"/>
        <v>#N/A</v>
      </c>
      <c r="CM12" t="e">
        <f t="shared" si="82"/>
        <v>#N/A</v>
      </c>
      <c r="CN12" t="e">
        <f t="shared" si="83"/>
        <v>#N/A</v>
      </c>
      <c r="CO12" t="e">
        <f t="shared" si="84"/>
        <v>#N/A</v>
      </c>
      <c r="CP12" t="e">
        <f t="shared" si="85"/>
        <v>#N/A</v>
      </c>
      <c r="CQ12" t="e">
        <f t="shared" si="86"/>
        <v>#N/A</v>
      </c>
      <c r="CR12" t="e">
        <f t="shared" si="87"/>
        <v>#N/A</v>
      </c>
      <c r="CS12" t="e">
        <f t="shared" si="88"/>
        <v>#N/A</v>
      </c>
      <c r="CT12" t="e">
        <f t="shared" si="89"/>
        <v>#N/A</v>
      </c>
      <c r="CU12" t="e">
        <f t="shared" si="90"/>
        <v>#N/A</v>
      </c>
      <c r="CV12" t="e">
        <f t="shared" si="91"/>
        <v>#N/A</v>
      </c>
      <c r="CW12" t="e">
        <f t="shared" si="91"/>
        <v>#N/A</v>
      </c>
      <c r="CX12" t="e">
        <f t="shared" si="92"/>
        <v>#N/A</v>
      </c>
      <c r="CY12" t="e">
        <f t="shared" si="92"/>
        <v>#N/A</v>
      </c>
      <c r="CZ12" t="e">
        <f t="shared" si="93"/>
        <v>#N/A</v>
      </c>
      <c r="DA12" t="e">
        <f t="shared" si="93"/>
        <v>#N/A</v>
      </c>
    </row>
    <row r="13" spans="1:105" x14ac:dyDescent="0.35">
      <c r="A13" t="str">
        <f>Setup!A29</f>
        <v>Caseload 10</v>
      </c>
      <c r="B13" t="e">
        <f>INDEX('Required Capacity (Hide)'!$B$5:$C$19,MATCH('Planning Backing (Hide)'!$A13,'Required Capacity (Hide)'!$A$5:$A$19,0),1)</f>
        <v>#N/A</v>
      </c>
      <c r="C13" t="e">
        <f>INDEX('Required Capacity (Hide)'!$B$5:$C$19,MATCH('Planning Backing (Hide)'!$A13,'Required Capacity (Hide)'!$A$5:$A$19,0),2)</f>
        <v>#N/A</v>
      </c>
      <c r="D13" t="e">
        <f>IF(Planning!D15="",'Planning Backing (Hide)'!B13,Planning!D15)</f>
        <v>#N/A</v>
      </c>
      <c r="E13" t="e">
        <f>IF(Planning!E15="",'Planning Backing (Hide)'!C13,Planning!E15)</f>
        <v>#N/A</v>
      </c>
      <c r="F13">
        <v>1</v>
      </c>
      <c r="G13">
        <v>1</v>
      </c>
      <c r="I13" s="12" t="e" vm="2">
        <f ca="1">'Required Capacity (Hide)'!E13</f>
        <v>#VALUE!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  <c r="CA13" t="e">
        <f t="shared" si="70"/>
        <v>#N/A</v>
      </c>
      <c r="CB13" t="e">
        <f t="shared" si="71"/>
        <v>#N/A</v>
      </c>
      <c r="CC13" t="e">
        <f t="shared" si="72"/>
        <v>#N/A</v>
      </c>
      <c r="CD13" t="e">
        <f t="shared" si="73"/>
        <v>#N/A</v>
      </c>
      <c r="CE13" t="e">
        <f t="shared" si="74"/>
        <v>#N/A</v>
      </c>
      <c r="CF13" t="e">
        <f t="shared" si="75"/>
        <v>#N/A</v>
      </c>
      <c r="CG13" t="e">
        <f t="shared" si="76"/>
        <v>#N/A</v>
      </c>
      <c r="CH13" t="e">
        <f t="shared" si="77"/>
        <v>#N/A</v>
      </c>
      <c r="CI13" t="e">
        <f t="shared" si="78"/>
        <v>#N/A</v>
      </c>
      <c r="CJ13" t="e">
        <f t="shared" si="79"/>
        <v>#N/A</v>
      </c>
      <c r="CK13" t="e">
        <f t="shared" si="80"/>
        <v>#N/A</v>
      </c>
      <c r="CL13" t="e">
        <f t="shared" si="81"/>
        <v>#N/A</v>
      </c>
      <c r="CM13" t="e">
        <f t="shared" si="82"/>
        <v>#N/A</v>
      </c>
      <c r="CN13" t="e">
        <f t="shared" si="83"/>
        <v>#N/A</v>
      </c>
      <c r="CO13" t="e">
        <f t="shared" si="84"/>
        <v>#N/A</v>
      </c>
      <c r="CP13" t="e">
        <f t="shared" si="85"/>
        <v>#N/A</v>
      </c>
      <c r="CQ13" t="e">
        <f t="shared" si="86"/>
        <v>#N/A</v>
      </c>
      <c r="CR13" t="e">
        <f t="shared" si="87"/>
        <v>#N/A</v>
      </c>
      <c r="CS13" t="e">
        <f t="shared" si="88"/>
        <v>#N/A</v>
      </c>
      <c r="CT13" t="e">
        <f t="shared" si="89"/>
        <v>#N/A</v>
      </c>
      <c r="CU13" t="e">
        <f t="shared" si="90"/>
        <v>#N/A</v>
      </c>
      <c r="CV13" t="e">
        <f t="shared" si="91"/>
        <v>#N/A</v>
      </c>
      <c r="CW13" t="e">
        <f t="shared" si="91"/>
        <v>#N/A</v>
      </c>
      <c r="CX13" t="e">
        <f t="shared" si="92"/>
        <v>#N/A</v>
      </c>
      <c r="CY13" t="e">
        <f t="shared" si="92"/>
        <v>#N/A</v>
      </c>
      <c r="CZ13" t="e">
        <f t="shared" si="93"/>
        <v>#N/A</v>
      </c>
      <c r="DA13" t="e">
        <f t="shared" si="93"/>
        <v>#N/A</v>
      </c>
    </row>
    <row r="14" spans="1:105" x14ac:dyDescent="0.35">
      <c r="A14" t="str">
        <f>Setup!A30</f>
        <v>Caseload 11</v>
      </c>
      <c r="B14" t="e">
        <f>INDEX('Required Capacity (Hide)'!$B$5:$C$19,MATCH('Planning Backing (Hide)'!$A14,'Required Capacity (Hide)'!$A$5:$A$19,0),1)</f>
        <v>#N/A</v>
      </c>
      <c r="C14" t="e">
        <f>INDEX('Required Capacity (Hide)'!$B$5:$C$19,MATCH('Planning Backing (Hide)'!$A14,'Required Capacity (Hide)'!$A$5:$A$19,0),2)</f>
        <v>#N/A</v>
      </c>
      <c r="D14" t="e">
        <f>IF(Planning!D16="",'Planning Backing (Hide)'!B14,Planning!D16)</f>
        <v>#N/A</v>
      </c>
      <c r="E14" t="e">
        <f>IF(Planning!E16="",'Planning Backing (Hide)'!C14,Planning!E16)</f>
        <v>#N/A</v>
      </c>
      <c r="F14">
        <v>1</v>
      </c>
      <c r="G14">
        <v>1</v>
      </c>
      <c r="I14" s="12" t="e" vm="2">
        <f ca="1">'Required Capacity (Hide)'!E14</f>
        <v>#VALUE!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  <c r="CA14" t="e">
        <f t="shared" si="70"/>
        <v>#N/A</v>
      </c>
      <c r="CB14" t="e">
        <f t="shared" si="71"/>
        <v>#N/A</v>
      </c>
      <c r="CC14" t="e">
        <f t="shared" si="72"/>
        <v>#N/A</v>
      </c>
      <c r="CD14" t="e">
        <f t="shared" si="73"/>
        <v>#N/A</v>
      </c>
      <c r="CE14" t="e">
        <f t="shared" si="74"/>
        <v>#N/A</v>
      </c>
      <c r="CF14" t="e">
        <f t="shared" si="75"/>
        <v>#N/A</v>
      </c>
      <c r="CG14" t="e">
        <f t="shared" si="76"/>
        <v>#N/A</v>
      </c>
      <c r="CH14" t="e">
        <f t="shared" si="77"/>
        <v>#N/A</v>
      </c>
      <c r="CI14" t="e">
        <f t="shared" si="78"/>
        <v>#N/A</v>
      </c>
      <c r="CJ14" t="e">
        <f t="shared" si="79"/>
        <v>#N/A</v>
      </c>
      <c r="CK14" t="e">
        <f t="shared" si="80"/>
        <v>#N/A</v>
      </c>
      <c r="CL14" t="e">
        <f t="shared" si="81"/>
        <v>#N/A</v>
      </c>
      <c r="CM14" t="e">
        <f t="shared" si="82"/>
        <v>#N/A</v>
      </c>
      <c r="CN14" t="e">
        <f t="shared" si="83"/>
        <v>#N/A</v>
      </c>
      <c r="CO14" t="e">
        <f t="shared" si="84"/>
        <v>#N/A</v>
      </c>
      <c r="CP14" t="e">
        <f t="shared" si="85"/>
        <v>#N/A</v>
      </c>
      <c r="CQ14" t="e">
        <f t="shared" si="86"/>
        <v>#N/A</v>
      </c>
      <c r="CR14" t="e">
        <f t="shared" si="87"/>
        <v>#N/A</v>
      </c>
      <c r="CS14" t="e">
        <f t="shared" si="88"/>
        <v>#N/A</v>
      </c>
      <c r="CT14" t="e">
        <f t="shared" si="89"/>
        <v>#N/A</v>
      </c>
      <c r="CU14" t="e">
        <f t="shared" si="90"/>
        <v>#N/A</v>
      </c>
      <c r="CV14" t="e">
        <f t="shared" si="91"/>
        <v>#N/A</v>
      </c>
      <c r="CW14" t="e">
        <f t="shared" si="91"/>
        <v>#N/A</v>
      </c>
      <c r="CX14" t="e">
        <f t="shared" si="92"/>
        <v>#N/A</v>
      </c>
      <c r="CY14" t="e">
        <f t="shared" si="92"/>
        <v>#N/A</v>
      </c>
      <c r="CZ14" t="e">
        <f t="shared" si="93"/>
        <v>#N/A</v>
      </c>
      <c r="DA14" t="e">
        <f t="shared" si="93"/>
        <v>#N/A</v>
      </c>
    </row>
    <row r="15" spans="1:105" x14ac:dyDescent="0.35">
      <c r="A15" t="str">
        <f>Setup!A31</f>
        <v>Caseload 12</v>
      </c>
      <c r="B15" t="e">
        <f>INDEX('Required Capacity (Hide)'!$B$5:$C$19,MATCH('Planning Backing (Hide)'!$A15,'Required Capacity (Hide)'!$A$5:$A$19,0),1)</f>
        <v>#N/A</v>
      </c>
      <c r="C15" t="e">
        <f>INDEX('Required Capacity (Hide)'!$B$5:$C$19,MATCH('Planning Backing (Hide)'!$A15,'Required Capacity (Hide)'!$A$5:$A$19,0),2)</f>
        <v>#N/A</v>
      </c>
      <c r="D15" t="e">
        <f>IF(Planning!D17="",'Planning Backing (Hide)'!B15,Planning!D17)</f>
        <v>#N/A</v>
      </c>
      <c r="E15" t="e">
        <f>IF(Planning!E17="",'Planning Backing (Hide)'!C15,Planning!E17)</f>
        <v>#N/A</v>
      </c>
      <c r="F15">
        <v>1</v>
      </c>
      <c r="G15">
        <v>1</v>
      </c>
      <c r="I15" s="12" t="e" vm="2">
        <f ca="1">'Required Capacity (Hide)'!E15</f>
        <v>#VALUE!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  <c r="CA15" t="e">
        <f t="shared" si="70"/>
        <v>#N/A</v>
      </c>
      <c r="CB15" t="e">
        <f t="shared" si="71"/>
        <v>#N/A</v>
      </c>
      <c r="CC15" t="e">
        <f t="shared" si="72"/>
        <v>#N/A</v>
      </c>
      <c r="CD15" t="e">
        <f t="shared" si="73"/>
        <v>#N/A</v>
      </c>
      <c r="CE15" t="e">
        <f t="shared" si="74"/>
        <v>#N/A</v>
      </c>
      <c r="CF15" t="e">
        <f t="shared" si="75"/>
        <v>#N/A</v>
      </c>
      <c r="CG15" t="e">
        <f t="shared" si="76"/>
        <v>#N/A</v>
      </c>
      <c r="CH15" t="e">
        <f t="shared" si="77"/>
        <v>#N/A</v>
      </c>
      <c r="CI15" t="e">
        <f t="shared" si="78"/>
        <v>#N/A</v>
      </c>
      <c r="CJ15" t="e">
        <f t="shared" si="79"/>
        <v>#N/A</v>
      </c>
      <c r="CK15" t="e">
        <f t="shared" si="80"/>
        <v>#N/A</v>
      </c>
      <c r="CL15" t="e">
        <f t="shared" si="81"/>
        <v>#N/A</v>
      </c>
      <c r="CM15" t="e">
        <f t="shared" si="82"/>
        <v>#N/A</v>
      </c>
      <c r="CN15" t="e">
        <f t="shared" si="83"/>
        <v>#N/A</v>
      </c>
      <c r="CO15" t="e">
        <f t="shared" si="84"/>
        <v>#N/A</v>
      </c>
      <c r="CP15" t="e">
        <f t="shared" si="85"/>
        <v>#N/A</v>
      </c>
      <c r="CQ15" t="e">
        <f t="shared" si="86"/>
        <v>#N/A</v>
      </c>
      <c r="CR15" t="e">
        <f t="shared" si="87"/>
        <v>#N/A</v>
      </c>
      <c r="CS15" t="e">
        <f t="shared" si="88"/>
        <v>#N/A</v>
      </c>
      <c r="CT15" t="e">
        <f t="shared" si="89"/>
        <v>#N/A</v>
      </c>
      <c r="CU15" t="e">
        <f t="shared" si="90"/>
        <v>#N/A</v>
      </c>
      <c r="CV15" t="e">
        <f t="shared" si="91"/>
        <v>#N/A</v>
      </c>
      <c r="CW15" t="e">
        <f t="shared" si="91"/>
        <v>#N/A</v>
      </c>
      <c r="CX15" t="e">
        <f t="shared" si="92"/>
        <v>#N/A</v>
      </c>
      <c r="CY15" t="e">
        <f t="shared" si="92"/>
        <v>#N/A</v>
      </c>
      <c r="CZ15" t="e">
        <f t="shared" si="93"/>
        <v>#N/A</v>
      </c>
      <c r="DA15" t="e">
        <f t="shared" si="93"/>
        <v>#N/A</v>
      </c>
    </row>
    <row r="16" spans="1:105" x14ac:dyDescent="0.35">
      <c r="A16" t="str">
        <f>Setup!A32</f>
        <v>Caseload 13</v>
      </c>
      <c r="B16" t="e">
        <f>INDEX('Required Capacity (Hide)'!$B$5:$C$19,MATCH('Planning Backing (Hide)'!$A16,'Required Capacity (Hide)'!$A$5:$A$19,0),1)</f>
        <v>#N/A</v>
      </c>
      <c r="C16" t="e">
        <f>INDEX('Required Capacity (Hide)'!$B$5:$C$19,MATCH('Planning Backing (Hide)'!$A16,'Required Capacity (Hide)'!$A$5:$A$19,0),2)</f>
        <v>#N/A</v>
      </c>
      <c r="D16" t="e">
        <f>IF(Planning!D18="",'Planning Backing (Hide)'!B16,Planning!D18)</f>
        <v>#N/A</v>
      </c>
      <c r="E16" t="e">
        <f>IF(Planning!E18="",'Planning Backing (Hide)'!C16,Planning!E18)</f>
        <v>#N/A</v>
      </c>
      <c r="F16">
        <v>1</v>
      </c>
      <c r="G16">
        <v>1</v>
      </c>
      <c r="I16" s="12" t="e" vm="2">
        <f ca="1">'Required Capacity (Hide)'!E16</f>
        <v>#VALUE!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  <c r="CA16" t="e">
        <f t="shared" si="70"/>
        <v>#N/A</v>
      </c>
      <c r="CB16" t="e">
        <f t="shared" si="71"/>
        <v>#N/A</v>
      </c>
      <c r="CC16" t="e">
        <f t="shared" si="72"/>
        <v>#N/A</v>
      </c>
      <c r="CD16" t="e">
        <f t="shared" si="73"/>
        <v>#N/A</v>
      </c>
      <c r="CE16" t="e">
        <f t="shared" si="74"/>
        <v>#N/A</v>
      </c>
      <c r="CF16" t="e">
        <f t="shared" si="75"/>
        <v>#N/A</v>
      </c>
      <c r="CG16" t="e">
        <f t="shared" si="76"/>
        <v>#N/A</v>
      </c>
      <c r="CH16" t="e">
        <f t="shared" si="77"/>
        <v>#N/A</v>
      </c>
      <c r="CI16" t="e">
        <f t="shared" si="78"/>
        <v>#N/A</v>
      </c>
      <c r="CJ16" t="e">
        <f t="shared" si="79"/>
        <v>#N/A</v>
      </c>
      <c r="CK16" t="e">
        <f t="shared" si="80"/>
        <v>#N/A</v>
      </c>
      <c r="CL16" t="e">
        <f t="shared" si="81"/>
        <v>#N/A</v>
      </c>
      <c r="CM16" t="e">
        <f t="shared" si="82"/>
        <v>#N/A</v>
      </c>
      <c r="CN16" t="e">
        <f t="shared" si="83"/>
        <v>#N/A</v>
      </c>
      <c r="CO16" t="e">
        <f t="shared" si="84"/>
        <v>#N/A</v>
      </c>
      <c r="CP16" t="e">
        <f t="shared" si="85"/>
        <v>#N/A</v>
      </c>
      <c r="CQ16" t="e">
        <f t="shared" si="86"/>
        <v>#N/A</v>
      </c>
      <c r="CR16" t="e">
        <f t="shared" si="87"/>
        <v>#N/A</v>
      </c>
      <c r="CS16" t="e">
        <f t="shared" si="88"/>
        <v>#N/A</v>
      </c>
      <c r="CT16" t="e">
        <f t="shared" si="89"/>
        <v>#N/A</v>
      </c>
      <c r="CU16" t="e">
        <f t="shared" si="90"/>
        <v>#N/A</v>
      </c>
      <c r="CV16" t="e">
        <f t="shared" si="91"/>
        <v>#N/A</v>
      </c>
      <c r="CW16" t="e">
        <f t="shared" si="91"/>
        <v>#N/A</v>
      </c>
      <c r="CX16" t="e">
        <f t="shared" si="92"/>
        <v>#N/A</v>
      </c>
      <c r="CY16" t="e">
        <f t="shared" si="92"/>
        <v>#N/A</v>
      </c>
      <c r="CZ16" t="e">
        <f t="shared" si="93"/>
        <v>#N/A</v>
      </c>
      <c r="DA16" t="e">
        <f t="shared" si="93"/>
        <v>#N/A</v>
      </c>
    </row>
    <row r="17" spans="1:105" x14ac:dyDescent="0.35">
      <c r="A17" t="str">
        <f>Setup!A33</f>
        <v>Caseload 14</v>
      </c>
      <c r="B17" t="e">
        <f>INDEX('Required Capacity (Hide)'!$B$5:$C$19,MATCH('Planning Backing (Hide)'!$A17,'Required Capacity (Hide)'!$A$5:$A$19,0),1)</f>
        <v>#N/A</v>
      </c>
      <c r="C17" t="e">
        <f>INDEX('Required Capacity (Hide)'!$B$5:$C$19,MATCH('Planning Backing (Hide)'!$A17,'Required Capacity (Hide)'!$A$5:$A$19,0),2)</f>
        <v>#N/A</v>
      </c>
      <c r="D17" t="e">
        <f>IF(Planning!D19="",'Planning Backing (Hide)'!B17,Planning!D19)</f>
        <v>#N/A</v>
      </c>
      <c r="E17" t="e">
        <f>IF(Planning!E19="",'Planning Backing (Hide)'!C17,Planning!E19)</f>
        <v>#N/A</v>
      </c>
      <c r="F17">
        <v>1</v>
      </c>
      <c r="G17">
        <v>1</v>
      </c>
      <c r="I17" s="12" t="e" vm="2">
        <f ca="1">'Required Capacity (Hide)'!E17</f>
        <v>#VALUE!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  <c r="CA17" t="e">
        <f t="shared" si="70"/>
        <v>#N/A</v>
      </c>
      <c r="CB17" t="e">
        <f t="shared" si="71"/>
        <v>#N/A</v>
      </c>
      <c r="CC17" t="e">
        <f t="shared" si="72"/>
        <v>#N/A</v>
      </c>
      <c r="CD17" t="e">
        <f t="shared" si="73"/>
        <v>#N/A</v>
      </c>
      <c r="CE17" t="e">
        <f t="shared" si="74"/>
        <v>#N/A</v>
      </c>
      <c r="CF17" t="e">
        <f t="shared" si="75"/>
        <v>#N/A</v>
      </c>
      <c r="CG17" t="e">
        <f t="shared" si="76"/>
        <v>#N/A</v>
      </c>
      <c r="CH17" t="e">
        <f t="shared" si="77"/>
        <v>#N/A</v>
      </c>
      <c r="CI17" t="e">
        <f t="shared" si="78"/>
        <v>#N/A</v>
      </c>
      <c r="CJ17" t="e">
        <f t="shared" si="79"/>
        <v>#N/A</v>
      </c>
      <c r="CK17" t="e">
        <f t="shared" si="80"/>
        <v>#N/A</v>
      </c>
      <c r="CL17" t="e">
        <f t="shared" si="81"/>
        <v>#N/A</v>
      </c>
      <c r="CM17" t="e">
        <f t="shared" si="82"/>
        <v>#N/A</v>
      </c>
      <c r="CN17" t="e">
        <f t="shared" si="83"/>
        <v>#N/A</v>
      </c>
      <c r="CO17" t="e">
        <f t="shared" si="84"/>
        <v>#N/A</v>
      </c>
      <c r="CP17" t="e">
        <f t="shared" si="85"/>
        <v>#N/A</v>
      </c>
      <c r="CQ17" t="e">
        <f t="shared" si="86"/>
        <v>#N/A</v>
      </c>
      <c r="CR17" t="e">
        <f t="shared" si="87"/>
        <v>#N/A</v>
      </c>
      <c r="CS17" t="e">
        <f t="shared" si="88"/>
        <v>#N/A</v>
      </c>
      <c r="CT17" t="e">
        <f t="shared" si="89"/>
        <v>#N/A</v>
      </c>
      <c r="CU17" t="e">
        <f t="shared" si="90"/>
        <v>#N/A</v>
      </c>
      <c r="CV17" t="e">
        <f t="shared" si="91"/>
        <v>#N/A</v>
      </c>
      <c r="CW17" t="e">
        <f t="shared" si="91"/>
        <v>#N/A</v>
      </c>
      <c r="CX17" t="e">
        <f t="shared" si="92"/>
        <v>#N/A</v>
      </c>
      <c r="CY17" t="e">
        <f t="shared" si="92"/>
        <v>#N/A</v>
      </c>
      <c r="CZ17" t="e">
        <f t="shared" si="93"/>
        <v>#N/A</v>
      </c>
      <c r="DA17" t="e">
        <f t="shared" si="93"/>
        <v>#N/A</v>
      </c>
    </row>
    <row r="18" spans="1:105" x14ac:dyDescent="0.35">
      <c r="A18" t="str">
        <f>Setup!A34</f>
        <v>Caseload 15</v>
      </c>
      <c r="B18" t="e">
        <f>INDEX('Required Capacity (Hide)'!$B$5:$C$19,MATCH('Planning Backing (Hide)'!$A18,'Required Capacity (Hide)'!$A$5:$A$19,0),1)</f>
        <v>#N/A</v>
      </c>
      <c r="C18" t="e">
        <f>INDEX('Required Capacity (Hide)'!$B$5:$C$19,MATCH('Planning Backing (Hide)'!$A18,'Required Capacity (Hide)'!$A$5:$A$19,0),2)</f>
        <v>#N/A</v>
      </c>
      <c r="D18" t="e">
        <f>IF(Planning!D20="",'Planning Backing (Hide)'!B18,Planning!D20)</f>
        <v>#N/A</v>
      </c>
      <c r="E18" t="e">
        <f>IF(Planning!E20="",'Planning Backing (Hide)'!C18,Planning!E20)</f>
        <v>#N/A</v>
      </c>
      <c r="F18">
        <v>1</v>
      </c>
      <c r="G18">
        <v>1</v>
      </c>
      <c r="I18" s="12" t="e" vm="2">
        <f ca="1">'Required Capacity (Hide)'!E18</f>
        <v>#VALUE!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  <c r="CA18" t="e">
        <f t="shared" si="70"/>
        <v>#N/A</v>
      </c>
      <c r="CB18" t="e">
        <f t="shared" si="71"/>
        <v>#N/A</v>
      </c>
      <c r="CC18" t="e">
        <f t="shared" si="72"/>
        <v>#N/A</v>
      </c>
      <c r="CD18" t="e">
        <f t="shared" si="73"/>
        <v>#N/A</v>
      </c>
      <c r="CE18" t="e">
        <f t="shared" si="74"/>
        <v>#N/A</v>
      </c>
      <c r="CF18" t="e">
        <f t="shared" si="75"/>
        <v>#N/A</v>
      </c>
      <c r="CG18" t="e">
        <f t="shared" si="76"/>
        <v>#N/A</v>
      </c>
      <c r="CH18" t="e">
        <f t="shared" si="77"/>
        <v>#N/A</v>
      </c>
      <c r="CI18" t="e">
        <f t="shared" si="78"/>
        <v>#N/A</v>
      </c>
      <c r="CJ18" t="e">
        <f t="shared" si="79"/>
        <v>#N/A</v>
      </c>
      <c r="CK18" t="e">
        <f t="shared" si="80"/>
        <v>#N/A</v>
      </c>
      <c r="CL18" t="e">
        <f t="shared" si="81"/>
        <v>#N/A</v>
      </c>
      <c r="CM18" t="e">
        <f t="shared" si="82"/>
        <v>#N/A</v>
      </c>
      <c r="CN18" t="e">
        <f t="shared" si="83"/>
        <v>#N/A</v>
      </c>
      <c r="CO18" t="e">
        <f t="shared" si="84"/>
        <v>#N/A</v>
      </c>
      <c r="CP18" t="e">
        <f t="shared" si="85"/>
        <v>#N/A</v>
      </c>
      <c r="CQ18" t="e">
        <f t="shared" si="86"/>
        <v>#N/A</v>
      </c>
      <c r="CR18" t="e">
        <f t="shared" si="87"/>
        <v>#N/A</v>
      </c>
      <c r="CS18" t="e">
        <f t="shared" si="88"/>
        <v>#N/A</v>
      </c>
      <c r="CT18" t="e">
        <f t="shared" si="89"/>
        <v>#N/A</v>
      </c>
      <c r="CU18" t="e">
        <f t="shared" si="90"/>
        <v>#N/A</v>
      </c>
      <c r="CV18" t="e">
        <f t="shared" si="91"/>
        <v>#N/A</v>
      </c>
      <c r="CW18" t="e">
        <f t="shared" si="91"/>
        <v>#N/A</v>
      </c>
      <c r="CX18" t="e">
        <f t="shared" si="92"/>
        <v>#N/A</v>
      </c>
      <c r="CY18" t="e">
        <f t="shared" si="92"/>
        <v>#N/A</v>
      </c>
      <c r="CZ18" t="e">
        <f t="shared" si="93"/>
        <v>#N/A</v>
      </c>
      <c r="DA18" t="e">
        <f t="shared" si="93"/>
        <v>#N/A</v>
      </c>
    </row>
    <row r="19" spans="1:105" x14ac:dyDescent="0.35">
      <c r="I19" s="12" t="e" vm="2">
        <f ca="1">'Required Capacity (Hide)'!E19</f>
        <v>#VALUE!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  <c r="CA19" t="e">
        <f t="shared" si="70"/>
        <v>#N/A</v>
      </c>
      <c r="CB19" t="e">
        <f t="shared" si="71"/>
        <v>#N/A</v>
      </c>
      <c r="CC19" t="e">
        <f t="shared" si="72"/>
        <v>#N/A</v>
      </c>
      <c r="CD19" t="e">
        <f t="shared" si="73"/>
        <v>#N/A</v>
      </c>
      <c r="CE19" t="e">
        <f t="shared" si="74"/>
        <v>#N/A</v>
      </c>
      <c r="CF19" t="e">
        <f t="shared" si="75"/>
        <v>#N/A</v>
      </c>
      <c r="CG19" t="e">
        <f t="shared" si="76"/>
        <v>#N/A</v>
      </c>
      <c r="CH19" t="e">
        <f t="shared" si="77"/>
        <v>#N/A</v>
      </c>
      <c r="CI19" t="e">
        <f t="shared" si="78"/>
        <v>#N/A</v>
      </c>
      <c r="CJ19" t="e">
        <f t="shared" si="79"/>
        <v>#N/A</v>
      </c>
      <c r="CK19" t="e">
        <f t="shared" si="80"/>
        <v>#N/A</v>
      </c>
      <c r="CL19" t="e">
        <f t="shared" si="81"/>
        <v>#N/A</v>
      </c>
      <c r="CM19" t="e">
        <f t="shared" si="82"/>
        <v>#N/A</v>
      </c>
      <c r="CN19" t="e">
        <f t="shared" si="83"/>
        <v>#N/A</v>
      </c>
      <c r="CO19" t="e">
        <f t="shared" si="84"/>
        <v>#N/A</v>
      </c>
      <c r="CP19" t="e">
        <f t="shared" si="85"/>
        <v>#N/A</v>
      </c>
      <c r="CQ19" t="e">
        <f t="shared" si="86"/>
        <v>#N/A</v>
      </c>
      <c r="CR19" t="e">
        <f t="shared" si="87"/>
        <v>#N/A</v>
      </c>
      <c r="CS19" t="e">
        <f t="shared" si="88"/>
        <v>#N/A</v>
      </c>
      <c r="CT19" t="e">
        <f t="shared" si="89"/>
        <v>#N/A</v>
      </c>
      <c r="CU19" t="e">
        <f t="shared" si="90"/>
        <v>#N/A</v>
      </c>
      <c r="CV19" t="e">
        <f t="shared" si="91"/>
        <v>#N/A</v>
      </c>
      <c r="CW19" t="e">
        <f t="shared" si="91"/>
        <v>#N/A</v>
      </c>
      <c r="CX19" t="e">
        <f t="shared" si="92"/>
        <v>#N/A</v>
      </c>
      <c r="CY19" t="e">
        <f t="shared" si="92"/>
        <v>#N/A</v>
      </c>
      <c r="CZ19" t="e">
        <f t="shared" si="93"/>
        <v>#N/A</v>
      </c>
      <c r="DA19" t="e">
        <f t="shared" si="93"/>
        <v>#N/A</v>
      </c>
    </row>
    <row r="20" spans="1:105" ht="87" x14ac:dyDescent="0.35">
      <c r="A20" t="s">
        <v>44</v>
      </c>
      <c r="B20" s="71" t="s">
        <v>154</v>
      </c>
      <c r="C20" s="71" t="s">
        <v>155</v>
      </c>
      <c r="D20" s="71" t="s">
        <v>156</v>
      </c>
      <c r="E20" s="71" t="s">
        <v>157</v>
      </c>
      <c r="F20" s="71" t="s">
        <v>158</v>
      </c>
      <c r="G20" s="71" t="s">
        <v>159</v>
      </c>
      <c r="I20" s="12" t="e" vm="2">
        <f ca="1">'Required Capacity (Hide)'!E20</f>
        <v>#VALUE!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  <c r="CA20" t="e">
        <f t="shared" si="70"/>
        <v>#N/A</v>
      </c>
      <c r="CB20" t="e">
        <f t="shared" si="71"/>
        <v>#N/A</v>
      </c>
      <c r="CC20" t="e">
        <f t="shared" si="72"/>
        <v>#N/A</v>
      </c>
      <c r="CD20" t="e">
        <f t="shared" si="73"/>
        <v>#N/A</v>
      </c>
      <c r="CE20" t="e">
        <f t="shared" si="74"/>
        <v>#N/A</v>
      </c>
      <c r="CF20" t="e">
        <f t="shared" si="75"/>
        <v>#N/A</v>
      </c>
      <c r="CG20" t="e">
        <f t="shared" si="76"/>
        <v>#N/A</v>
      </c>
      <c r="CH20" t="e">
        <f t="shared" si="77"/>
        <v>#N/A</v>
      </c>
      <c r="CI20" t="e">
        <f t="shared" si="78"/>
        <v>#N/A</v>
      </c>
      <c r="CJ20" t="e">
        <f t="shared" si="79"/>
        <v>#N/A</v>
      </c>
      <c r="CK20" t="e">
        <f t="shared" si="80"/>
        <v>#N/A</v>
      </c>
      <c r="CL20" t="e">
        <f t="shared" si="81"/>
        <v>#N/A</v>
      </c>
      <c r="CM20" t="e">
        <f t="shared" si="82"/>
        <v>#N/A</v>
      </c>
      <c r="CN20" t="e">
        <f t="shared" si="83"/>
        <v>#N/A</v>
      </c>
      <c r="CO20" t="e">
        <f t="shared" si="84"/>
        <v>#N/A</v>
      </c>
      <c r="CP20" t="e">
        <f t="shared" si="85"/>
        <v>#N/A</v>
      </c>
      <c r="CQ20" t="e">
        <f t="shared" si="86"/>
        <v>#N/A</v>
      </c>
      <c r="CR20" t="e">
        <f t="shared" si="87"/>
        <v>#N/A</v>
      </c>
      <c r="CS20" t="e">
        <f t="shared" si="88"/>
        <v>#N/A</v>
      </c>
      <c r="CT20" t="e">
        <f t="shared" si="89"/>
        <v>#N/A</v>
      </c>
      <c r="CU20" t="e">
        <f t="shared" si="90"/>
        <v>#N/A</v>
      </c>
      <c r="CV20" t="e">
        <f t="shared" si="91"/>
        <v>#N/A</v>
      </c>
      <c r="CW20" t="e">
        <f t="shared" si="91"/>
        <v>#N/A</v>
      </c>
      <c r="CX20" t="e">
        <f t="shared" si="92"/>
        <v>#N/A</v>
      </c>
      <c r="CY20" t="e">
        <f t="shared" si="92"/>
        <v>#N/A</v>
      </c>
      <c r="CZ20" t="e">
        <f t="shared" si="93"/>
        <v>#N/A</v>
      </c>
      <c r="DA20" t="e">
        <f t="shared" si="93"/>
        <v>#N/A</v>
      </c>
    </row>
    <row r="21" spans="1:105" x14ac:dyDescent="0.35">
      <c r="A21" t="str">
        <f>Setup!A20</f>
        <v>Caseload 1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 t="e" vm="2">
        <f ca="1">'Required Capacity (Hide)'!E21</f>
        <v>#VALUE!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  <c r="CA21" t="e">
        <f t="shared" si="70"/>
        <v>#N/A</v>
      </c>
      <c r="CB21" t="e">
        <f t="shared" si="71"/>
        <v>#N/A</v>
      </c>
      <c r="CC21" t="e">
        <f t="shared" si="72"/>
        <v>#N/A</v>
      </c>
      <c r="CD21" t="e">
        <f t="shared" si="73"/>
        <v>#N/A</v>
      </c>
      <c r="CE21" t="e">
        <f t="shared" si="74"/>
        <v>#N/A</v>
      </c>
      <c r="CF21" t="e">
        <f t="shared" si="75"/>
        <v>#N/A</v>
      </c>
      <c r="CG21" t="e">
        <f t="shared" si="76"/>
        <v>#N/A</v>
      </c>
      <c r="CH21" t="e">
        <f t="shared" si="77"/>
        <v>#N/A</v>
      </c>
      <c r="CI21" t="e">
        <f t="shared" si="78"/>
        <v>#N/A</v>
      </c>
      <c r="CJ21" t="e">
        <f t="shared" si="79"/>
        <v>#N/A</v>
      </c>
      <c r="CK21" t="e">
        <f t="shared" si="80"/>
        <v>#N/A</v>
      </c>
      <c r="CL21" t="e">
        <f t="shared" si="81"/>
        <v>#N/A</v>
      </c>
      <c r="CM21" t="e">
        <f t="shared" si="82"/>
        <v>#N/A</v>
      </c>
      <c r="CN21" t="e">
        <f t="shared" si="83"/>
        <v>#N/A</v>
      </c>
      <c r="CO21" t="e">
        <f t="shared" si="84"/>
        <v>#N/A</v>
      </c>
      <c r="CP21" t="e">
        <f t="shared" si="85"/>
        <v>#N/A</v>
      </c>
      <c r="CQ21" t="e">
        <f t="shared" si="86"/>
        <v>#N/A</v>
      </c>
      <c r="CR21" t="e">
        <f t="shared" si="87"/>
        <v>#N/A</v>
      </c>
      <c r="CS21" t="e">
        <f t="shared" si="88"/>
        <v>#N/A</v>
      </c>
      <c r="CT21" t="e">
        <f t="shared" si="89"/>
        <v>#N/A</v>
      </c>
      <c r="CU21" t="e">
        <f t="shared" si="90"/>
        <v>#N/A</v>
      </c>
      <c r="CV21" t="e">
        <f t="shared" si="91"/>
        <v>#N/A</v>
      </c>
      <c r="CW21" t="e">
        <f t="shared" si="91"/>
        <v>#N/A</v>
      </c>
      <c r="CX21" t="e">
        <f t="shared" si="91"/>
        <v>#N/A</v>
      </c>
      <c r="CY21" t="e">
        <f t="shared" si="91"/>
        <v>#N/A</v>
      </c>
      <c r="CZ21" t="e">
        <f t="shared" si="93"/>
        <v>#N/A</v>
      </c>
      <c r="DA21" t="e">
        <f t="shared" si="93"/>
        <v>#N/A</v>
      </c>
    </row>
    <row r="22" spans="1:105" x14ac:dyDescent="0.35">
      <c r="A22" t="str">
        <f>Setup!A21</f>
        <v>Caseload 2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 t="e" vm="2">
        <f ca="1">'Required Capacity (Hide)'!E22</f>
        <v>#VALUE!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  <c r="CA22" t="e">
        <f t="shared" si="70"/>
        <v>#N/A</v>
      </c>
      <c r="CB22" t="e">
        <f t="shared" si="71"/>
        <v>#N/A</v>
      </c>
      <c r="CC22" t="e">
        <f t="shared" si="72"/>
        <v>#N/A</v>
      </c>
      <c r="CD22" t="e">
        <f t="shared" si="73"/>
        <v>#N/A</v>
      </c>
      <c r="CE22" t="e">
        <f t="shared" si="74"/>
        <v>#N/A</v>
      </c>
      <c r="CF22" t="e">
        <f t="shared" si="75"/>
        <v>#N/A</v>
      </c>
      <c r="CG22" t="e">
        <f t="shared" si="76"/>
        <v>#N/A</v>
      </c>
      <c r="CH22" t="e">
        <f t="shared" si="77"/>
        <v>#N/A</v>
      </c>
      <c r="CI22" t="e">
        <f t="shared" si="78"/>
        <v>#N/A</v>
      </c>
      <c r="CJ22" t="e">
        <f t="shared" si="79"/>
        <v>#N/A</v>
      </c>
      <c r="CK22" t="e">
        <f t="shared" si="80"/>
        <v>#N/A</v>
      </c>
      <c r="CL22" t="e">
        <f t="shared" si="81"/>
        <v>#N/A</v>
      </c>
      <c r="CM22" t="e">
        <f t="shared" si="82"/>
        <v>#N/A</v>
      </c>
      <c r="CN22" t="e">
        <f t="shared" si="83"/>
        <v>#N/A</v>
      </c>
      <c r="CO22" t="e">
        <f t="shared" si="84"/>
        <v>#N/A</v>
      </c>
      <c r="CP22" t="e">
        <f t="shared" si="85"/>
        <v>#N/A</v>
      </c>
      <c r="CQ22" t="e">
        <f t="shared" si="86"/>
        <v>#N/A</v>
      </c>
      <c r="CR22" t="e">
        <f t="shared" si="87"/>
        <v>#N/A</v>
      </c>
      <c r="CS22" t="e">
        <f t="shared" si="88"/>
        <v>#N/A</v>
      </c>
      <c r="CT22" t="e">
        <f t="shared" si="89"/>
        <v>#N/A</v>
      </c>
      <c r="CU22" t="e">
        <f t="shared" si="90"/>
        <v>#N/A</v>
      </c>
      <c r="CV22" t="e">
        <f t="shared" si="91"/>
        <v>#N/A</v>
      </c>
      <c r="CW22" t="e">
        <f t="shared" si="91"/>
        <v>#N/A</v>
      </c>
      <c r="CX22" t="e">
        <f t="shared" si="91"/>
        <v>#N/A</v>
      </c>
      <c r="CY22" t="e">
        <f t="shared" si="91"/>
        <v>#N/A</v>
      </c>
      <c r="CZ22" t="e">
        <f t="shared" si="93"/>
        <v>#N/A</v>
      </c>
      <c r="DA22" t="e">
        <f t="shared" si="93"/>
        <v>#N/A</v>
      </c>
    </row>
    <row r="23" spans="1:105" x14ac:dyDescent="0.35">
      <c r="A23" t="str">
        <f>Setup!A22</f>
        <v>Caseload 3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 t="e" vm="2">
        <f ca="1">'Required Capacity (Hide)'!E23</f>
        <v>#VALUE!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  <c r="CA23" t="e">
        <f t="shared" si="70"/>
        <v>#N/A</v>
      </c>
      <c r="CB23" t="e">
        <f t="shared" si="71"/>
        <v>#N/A</v>
      </c>
      <c r="CC23" t="e">
        <f t="shared" si="72"/>
        <v>#N/A</v>
      </c>
      <c r="CD23" t="e">
        <f t="shared" si="73"/>
        <v>#N/A</v>
      </c>
      <c r="CE23" t="e">
        <f t="shared" si="74"/>
        <v>#N/A</v>
      </c>
      <c r="CF23" t="e">
        <f t="shared" si="75"/>
        <v>#N/A</v>
      </c>
      <c r="CG23" t="e">
        <f t="shared" si="76"/>
        <v>#N/A</v>
      </c>
      <c r="CH23" t="e">
        <f t="shared" si="77"/>
        <v>#N/A</v>
      </c>
      <c r="CI23" t="e">
        <f t="shared" si="78"/>
        <v>#N/A</v>
      </c>
      <c r="CJ23" t="e">
        <f t="shared" si="79"/>
        <v>#N/A</v>
      </c>
      <c r="CK23" t="e">
        <f t="shared" si="80"/>
        <v>#N/A</v>
      </c>
      <c r="CL23" t="e">
        <f t="shared" si="81"/>
        <v>#N/A</v>
      </c>
      <c r="CM23" t="e">
        <f t="shared" si="82"/>
        <v>#N/A</v>
      </c>
      <c r="CN23" t="e">
        <f t="shared" si="83"/>
        <v>#N/A</v>
      </c>
      <c r="CO23" t="e">
        <f t="shared" si="84"/>
        <v>#N/A</v>
      </c>
      <c r="CP23" t="e">
        <f t="shared" si="85"/>
        <v>#N/A</v>
      </c>
      <c r="CQ23" t="e">
        <f t="shared" si="86"/>
        <v>#N/A</v>
      </c>
      <c r="CR23" t="e">
        <f t="shared" si="87"/>
        <v>#N/A</v>
      </c>
      <c r="CS23" t="e">
        <f t="shared" si="88"/>
        <v>#N/A</v>
      </c>
      <c r="CT23" t="e">
        <f t="shared" si="89"/>
        <v>#N/A</v>
      </c>
      <c r="CU23" t="e">
        <f t="shared" si="90"/>
        <v>#N/A</v>
      </c>
      <c r="CV23" t="e">
        <f t="shared" si="91"/>
        <v>#N/A</v>
      </c>
      <c r="CW23" t="e">
        <f t="shared" si="91"/>
        <v>#N/A</v>
      </c>
      <c r="CX23" t="e">
        <f t="shared" si="91"/>
        <v>#N/A</v>
      </c>
      <c r="CY23" t="e">
        <f t="shared" si="91"/>
        <v>#N/A</v>
      </c>
      <c r="CZ23" t="e">
        <f t="shared" si="93"/>
        <v>#N/A</v>
      </c>
      <c r="DA23" t="e">
        <f t="shared" si="93"/>
        <v>#N/A</v>
      </c>
    </row>
    <row r="24" spans="1:105" x14ac:dyDescent="0.35">
      <c r="A24" t="str">
        <f>Setup!A23</f>
        <v>Caseload 4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 t="e" vm="2">
        <f ca="1">'Required Capacity (Hide)'!E24</f>
        <v>#VALUE!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  <c r="CA24" t="e">
        <f t="shared" si="70"/>
        <v>#N/A</v>
      </c>
      <c r="CB24" t="e">
        <f t="shared" si="71"/>
        <v>#N/A</v>
      </c>
      <c r="CC24" t="e">
        <f t="shared" si="72"/>
        <v>#N/A</v>
      </c>
      <c r="CD24" t="e">
        <f t="shared" si="73"/>
        <v>#N/A</v>
      </c>
      <c r="CE24" t="e">
        <f t="shared" si="74"/>
        <v>#N/A</v>
      </c>
      <c r="CF24" t="e">
        <f t="shared" si="75"/>
        <v>#N/A</v>
      </c>
      <c r="CG24" t="e">
        <f t="shared" si="76"/>
        <v>#N/A</v>
      </c>
      <c r="CH24" t="e">
        <f t="shared" si="77"/>
        <v>#N/A</v>
      </c>
      <c r="CI24" t="e">
        <f t="shared" si="78"/>
        <v>#N/A</v>
      </c>
      <c r="CJ24" t="e">
        <f t="shared" si="79"/>
        <v>#N/A</v>
      </c>
      <c r="CK24" t="e">
        <f t="shared" si="80"/>
        <v>#N/A</v>
      </c>
      <c r="CL24" t="e">
        <f t="shared" si="81"/>
        <v>#N/A</v>
      </c>
      <c r="CM24" t="e">
        <f t="shared" si="82"/>
        <v>#N/A</v>
      </c>
      <c r="CN24" t="e">
        <f t="shared" si="83"/>
        <v>#N/A</v>
      </c>
      <c r="CO24" t="e">
        <f t="shared" si="84"/>
        <v>#N/A</v>
      </c>
      <c r="CP24" t="e">
        <f t="shared" si="85"/>
        <v>#N/A</v>
      </c>
      <c r="CQ24" t="e">
        <f t="shared" si="86"/>
        <v>#N/A</v>
      </c>
      <c r="CR24" t="e">
        <f t="shared" si="87"/>
        <v>#N/A</v>
      </c>
      <c r="CS24" t="e">
        <f t="shared" si="88"/>
        <v>#N/A</v>
      </c>
      <c r="CT24" t="e">
        <f t="shared" si="89"/>
        <v>#N/A</v>
      </c>
      <c r="CU24" t="e">
        <f t="shared" si="90"/>
        <v>#N/A</v>
      </c>
      <c r="CV24" t="e">
        <f t="shared" si="91"/>
        <v>#N/A</v>
      </c>
      <c r="CW24" t="e">
        <f t="shared" si="91"/>
        <v>#N/A</v>
      </c>
      <c r="CX24" t="e">
        <f t="shared" si="91"/>
        <v>#N/A</v>
      </c>
      <c r="CY24" t="e">
        <f t="shared" si="91"/>
        <v>#N/A</v>
      </c>
      <c r="CZ24" t="e">
        <f t="shared" si="93"/>
        <v>#N/A</v>
      </c>
      <c r="DA24" t="e">
        <f t="shared" si="93"/>
        <v>#N/A</v>
      </c>
    </row>
    <row r="25" spans="1:105" x14ac:dyDescent="0.35">
      <c r="A25" t="str">
        <f>Setup!A24</f>
        <v>Caseload 5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 t="e" vm="2">
        <f ca="1">'Required Capacity (Hide)'!E25</f>
        <v>#VALUE!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  <c r="CA25" t="e">
        <f t="shared" si="70"/>
        <v>#N/A</v>
      </c>
      <c r="CB25" t="e">
        <f t="shared" si="71"/>
        <v>#N/A</v>
      </c>
      <c r="CC25" t="e">
        <f t="shared" si="72"/>
        <v>#N/A</v>
      </c>
      <c r="CD25" t="e">
        <f t="shared" si="73"/>
        <v>#N/A</v>
      </c>
      <c r="CE25" t="e">
        <f t="shared" si="74"/>
        <v>#N/A</v>
      </c>
      <c r="CF25" t="e">
        <f t="shared" si="75"/>
        <v>#N/A</v>
      </c>
      <c r="CG25" t="e">
        <f t="shared" si="76"/>
        <v>#N/A</v>
      </c>
      <c r="CH25" t="e">
        <f t="shared" si="77"/>
        <v>#N/A</v>
      </c>
      <c r="CI25" t="e">
        <f t="shared" si="78"/>
        <v>#N/A</v>
      </c>
      <c r="CJ25" t="e">
        <f t="shared" si="79"/>
        <v>#N/A</v>
      </c>
      <c r="CK25" t="e">
        <f t="shared" si="80"/>
        <v>#N/A</v>
      </c>
      <c r="CL25" t="e">
        <f t="shared" si="81"/>
        <v>#N/A</v>
      </c>
      <c r="CM25" t="e">
        <f t="shared" si="82"/>
        <v>#N/A</v>
      </c>
      <c r="CN25" t="e">
        <f t="shared" si="83"/>
        <v>#N/A</v>
      </c>
      <c r="CO25" t="e">
        <f t="shared" si="84"/>
        <v>#N/A</v>
      </c>
      <c r="CP25" t="e">
        <f t="shared" si="85"/>
        <v>#N/A</v>
      </c>
      <c r="CQ25" t="e">
        <f t="shared" si="86"/>
        <v>#N/A</v>
      </c>
      <c r="CR25" t="e">
        <f t="shared" si="87"/>
        <v>#N/A</v>
      </c>
      <c r="CS25" t="e">
        <f t="shared" si="88"/>
        <v>#N/A</v>
      </c>
      <c r="CT25" t="e">
        <f t="shared" si="89"/>
        <v>#N/A</v>
      </c>
      <c r="CU25" t="e">
        <f t="shared" si="90"/>
        <v>#N/A</v>
      </c>
      <c r="CV25" t="e">
        <f t="shared" si="91"/>
        <v>#N/A</v>
      </c>
      <c r="CW25" t="e">
        <f t="shared" si="91"/>
        <v>#N/A</v>
      </c>
      <c r="CX25" t="e">
        <f t="shared" si="91"/>
        <v>#N/A</v>
      </c>
      <c r="CY25" t="e">
        <f t="shared" si="91"/>
        <v>#N/A</v>
      </c>
      <c r="CZ25" t="e">
        <f t="shared" si="93"/>
        <v>#N/A</v>
      </c>
      <c r="DA25" t="e">
        <f t="shared" si="93"/>
        <v>#N/A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 t="e" vm="2">
        <f ca="1">'Required Capacity (Hide)'!E26</f>
        <v>#VALUE!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  <c r="CA26" t="e">
        <f t="shared" si="70"/>
        <v>#N/A</v>
      </c>
      <c r="CB26" t="e">
        <f t="shared" si="71"/>
        <v>#N/A</v>
      </c>
      <c r="CC26" t="e">
        <f t="shared" si="72"/>
        <v>#N/A</v>
      </c>
      <c r="CD26" t="e">
        <f t="shared" si="73"/>
        <v>#N/A</v>
      </c>
      <c r="CE26" t="e">
        <f t="shared" si="74"/>
        <v>#N/A</v>
      </c>
      <c r="CF26" t="e">
        <f t="shared" si="75"/>
        <v>#N/A</v>
      </c>
      <c r="CG26" t="e">
        <f t="shared" si="76"/>
        <v>#N/A</v>
      </c>
      <c r="CH26" t="e">
        <f t="shared" si="77"/>
        <v>#N/A</v>
      </c>
      <c r="CI26" t="e">
        <f t="shared" si="78"/>
        <v>#N/A</v>
      </c>
      <c r="CJ26" t="e">
        <f t="shared" si="79"/>
        <v>#N/A</v>
      </c>
      <c r="CK26" t="e">
        <f t="shared" si="80"/>
        <v>#N/A</v>
      </c>
      <c r="CL26" t="e">
        <f t="shared" si="81"/>
        <v>#N/A</v>
      </c>
      <c r="CM26" t="e">
        <f t="shared" si="82"/>
        <v>#N/A</v>
      </c>
      <c r="CN26" t="e">
        <f t="shared" si="83"/>
        <v>#N/A</v>
      </c>
      <c r="CO26" t="e">
        <f t="shared" si="84"/>
        <v>#N/A</v>
      </c>
      <c r="CP26" t="e">
        <f t="shared" si="85"/>
        <v>#N/A</v>
      </c>
      <c r="CQ26" t="e">
        <f t="shared" si="86"/>
        <v>#N/A</v>
      </c>
      <c r="CR26" t="e">
        <f t="shared" si="87"/>
        <v>#N/A</v>
      </c>
      <c r="CS26" t="e">
        <f t="shared" si="88"/>
        <v>#N/A</v>
      </c>
      <c r="CT26" t="e">
        <f t="shared" si="89"/>
        <v>#N/A</v>
      </c>
      <c r="CU26" t="e">
        <f t="shared" si="90"/>
        <v>#N/A</v>
      </c>
      <c r="CV26" t="e">
        <f t="shared" si="91"/>
        <v>#N/A</v>
      </c>
      <c r="CW26" t="e">
        <f t="shared" si="91"/>
        <v>#N/A</v>
      </c>
      <c r="CX26" t="e">
        <f t="shared" si="91"/>
        <v>#N/A</v>
      </c>
      <c r="CY26" t="e">
        <f t="shared" si="91"/>
        <v>#N/A</v>
      </c>
      <c r="CZ26" t="e">
        <f t="shared" si="93"/>
        <v>#N/A</v>
      </c>
      <c r="DA26" t="e">
        <f t="shared" si="93"/>
        <v>#N/A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 t="e" vm="2">
        <f ca="1">'Required Capacity (Hide)'!E27</f>
        <v>#VALUE!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  <c r="CA27" t="e">
        <f t="shared" si="70"/>
        <v>#N/A</v>
      </c>
      <c r="CB27" t="e">
        <f t="shared" si="71"/>
        <v>#N/A</v>
      </c>
      <c r="CC27" t="e">
        <f t="shared" si="72"/>
        <v>#N/A</v>
      </c>
      <c r="CD27" t="e">
        <f t="shared" si="73"/>
        <v>#N/A</v>
      </c>
      <c r="CE27" t="e">
        <f t="shared" si="74"/>
        <v>#N/A</v>
      </c>
      <c r="CF27" t="e">
        <f t="shared" si="75"/>
        <v>#N/A</v>
      </c>
      <c r="CG27" t="e">
        <f t="shared" si="76"/>
        <v>#N/A</v>
      </c>
      <c r="CH27" t="e">
        <f t="shared" si="77"/>
        <v>#N/A</v>
      </c>
      <c r="CI27" t="e">
        <f t="shared" si="78"/>
        <v>#N/A</v>
      </c>
      <c r="CJ27" t="e">
        <f t="shared" si="79"/>
        <v>#N/A</v>
      </c>
      <c r="CK27" t="e">
        <f t="shared" si="80"/>
        <v>#N/A</v>
      </c>
      <c r="CL27" t="e">
        <f t="shared" si="81"/>
        <v>#N/A</v>
      </c>
      <c r="CM27" t="e">
        <f t="shared" si="82"/>
        <v>#N/A</v>
      </c>
      <c r="CN27" t="e">
        <f t="shared" si="83"/>
        <v>#N/A</v>
      </c>
      <c r="CO27" t="e">
        <f t="shared" si="84"/>
        <v>#N/A</v>
      </c>
      <c r="CP27" t="e">
        <f t="shared" si="85"/>
        <v>#N/A</v>
      </c>
      <c r="CQ27" t="e">
        <f t="shared" si="86"/>
        <v>#N/A</v>
      </c>
      <c r="CR27" t="e">
        <f t="shared" si="87"/>
        <v>#N/A</v>
      </c>
      <c r="CS27" t="e">
        <f t="shared" si="88"/>
        <v>#N/A</v>
      </c>
      <c r="CT27" t="e">
        <f t="shared" si="89"/>
        <v>#N/A</v>
      </c>
      <c r="CU27" t="e">
        <f t="shared" si="90"/>
        <v>#N/A</v>
      </c>
      <c r="CV27" t="e">
        <f t="shared" si="91"/>
        <v>#N/A</v>
      </c>
      <c r="CW27" t="e">
        <f t="shared" si="91"/>
        <v>#N/A</v>
      </c>
      <c r="CX27" t="e">
        <f t="shared" si="91"/>
        <v>#N/A</v>
      </c>
      <c r="CY27" t="e">
        <f t="shared" si="91"/>
        <v>#N/A</v>
      </c>
      <c r="CZ27" t="e">
        <f t="shared" si="93"/>
        <v>#N/A</v>
      </c>
      <c r="DA27" t="e">
        <f t="shared" si="93"/>
        <v>#N/A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 t="e" vm="2">
        <f ca="1">'Required Capacity (Hide)'!E28</f>
        <v>#VALUE!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  <c r="CA28" t="e">
        <f t="shared" si="70"/>
        <v>#N/A</v>
      </c>
      <c r="CB28" t="e">
        <f t="shared" si="71"/>
        <v>#N/A</v>
      </c>
      <c r="CC28" t="e">
        <f t="shared" si="72"/>
        <v>#N/A</v>
      </c>
      <c r="CD28" t="e">
        <f t="shared" si="73"/>
        <v>#N/A</v>
      </c>
      <c r="CE28" t="e">
        <f t="shared" si="74"/>
        <v>#N/A</v>
      </c>
      <c r="CF28" t="e">
        <f t="shared" si="75"/>
        <v>#N/A</v>
      </c>
      <c r="CG28" t="e">
        <f t="shared" si="76"/>
        <v>#N/A</v>
      </c>
      <c r="CH28" t="e">
        <f t="shared" si="77"/>
        <v>#N/A</v>
      </c>
      <c r="CI28" t="e">
        <f t="shared" si="78"/>
        <v>#N/A</v>
      </c>
      <c r="CJ28" t="e">
        <f t="shared" si="79"/>
        <v>#N/A</v>
      </c>
      <c r="CK28" t="e">
        <f t="shared" si="80"/>
        <v>#N/A</v>
      </c>
      <c r="CL28" t="e">
        <f t="shared" si="81"/>
        <v>#N/A</v>
      </c>
      <c r="CM28" t="e">
        <f t="shared" si="82"/>
        <v>#N/A</v>
      </c>
      <c r="CN28" t="e">
        <f t="shared" si="83"/>
        <v>#N/A</v>
      </c>
      <c r="CO28" t="e">
        <f t="shared" si="84"/>
        <v>#N/A</v>
      </c>
      <c r="CP28" t="e">
        <f t="shared" si="85"/>
        <v>#N/A</v>
      </c>
      <c r="CQ28" t="e">
        <f t="shared" si="86"/>
        <v>#N/A</v>
      </c>
      <c r="CR28" t="e">
        <f t="shared" si="87"/>
        <v>#N/A</v>
      </c>
      <c r="CS28" t="e">
        <f t="shared" si="88"/>
        <v>#N/A</v>
      </c>
      <c r="CT28" t="e">
        <f t="shared" si="89"/>
        <v>#N/A</v>
      </c>
      <c r="CU28" t="e">
        <f t="shared" si="90"/>
        <v>#N/A</v>
      </c>
      <c r="CV28" t="e">
        <f t="shared" si="91"/>
        <v>#N/A</v>
      </c>
      <c r="CW28" t="e">
        <f t="shared" si="91"/>
        <v>#N/A</v>
      </c>
      <c r="CX28" t="e">
        <f t="shared" si="91"/>
        <v>#N/A</v>
      </c>
      <c r="CY28" t="e">
        <f t="shared" si="91"/>
        <v>#N/A</v>
      </c>
      <c r="CZ28" t="e">
        <f t="shared" si="93"/>
        <v>#N/A</v>
      </c>
      <c r="DA28" t="e">
        <f t="shared" si="93"/>
        <v>#N/A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 t="e" vm="2">
        <f ca="1">'Required Capacity (Hide)'!E29</f>
        <v>#VALUE!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  <c r="CA29" t="e">
        <f t="shared" si="70"/>
        <v>#N/A</v>
      </c>
      <c r="CB29" t="e">
        <f t="shared" si="71"/>
        <v>#N/A</v>
      </c>
      <c r="CC29" t="e">
        <f t="shared" si="72"/>
        <v>#N/A</v>
      </c>
      <c r="CD29" t="e">
        <f t="shared" si="73"/>
        <v>#N/A</v>
      </c>
      <c r="CE29" t="e">
        <f t="shared" si="74"/>
        <v>#N/A</v>
      </c>
      <c r="CF29" t="e">
        <f t="shared" si="75"/>
        <v>#N/A</v>
      </c>
      <c r="CG29" t="e">
        <f t="shared" si="76"/>
        <v>#N/A</v>
      </c>
      <c r="CH29" t="e">
        <f t="shared" si="77"/>
        <v>#N/A</v>
      </c>
      <c r="CI29" t="e">
        <f t="shared" si="78"/>
        <v>#N/A</v>
      </c>
      <c r="CJ29" t="e">
        <f t="shared" si="79"/>
        <v>#N/A</v>
      </c>
      <c r="CK29" t="e">
        <f t="shared" si="80"/>
        <v>#N/A</v>
      </c>
      <c r="CL29" t="e">
        <f t="shared" si="81"/>
        <v>#N/A</v>
      </c>
      <c r="CM29" t="e">
        <f t="shared" si="82"/>
        <v>#N/A</v>
      </c>
      <c r="CN29" t="e">
        <f t="shared" si="83"/>
        <v>#N/A</v>
      </c>
      <c r="CO29" t="e">
        <f t="shared" si="84"/>
        <v>#N/A</v>
      </c>
      <c r="CP29" t="e">
        <f t="shared" si="85"/>
        <v>#N/A</v>
      </c>
      <c r="CQ29" t="e">
        <f t="shared" si="86"/>
        <v>#N/A</v>
      </c>
      <c r="CR29" t="e">
        <f t="shared" si="87"/>
        <v>#N/A</v>
      </c>
      <c r="CS29" t="e">
        <f t="shared" si="88"/>
        <v>#N/A</v>
      </c>
      <c r="CT29" t="e">
        <f t="shared" si="89"/>
        <v>#N/A</v>
      </c>
      <c r="CU29" t="e">
        <f t="shared" si="90"/>
        <v>#N/A</v>
      </c>
      <c r="CV29" t="e">
        <f t="shared" si="91"/>
        <v>#N/A</v>
      </c>
      <c r="CW29" t="e">
        <f t="shared" si="91"/>
        <v>#N/A</v>
      </c>
      <c r="CX29" t="e">
        <f t="shared" si="91"/>
        <v>#N/A</v>
      </c>
      <c r="CY29" t="e">
        <f t="shared" si="91"/>
        <v>#N/A</v>
      </c>
      <c r="CZ29" t="e">
        <f t="shared" si="93"/>
        <v>#N/A</v>
      </c>
      <c r="DA29" t="e">
        <f t="shared" si="93"/>
        <v>#N/A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 t="e" vm="2">
        <f ca="1">'Required Capacity (Hide)'!E30</f>
        <v>#VALUE!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  <c r="CA30" t="e">
        <f t="shared" si="70"/>
        <v>#N/A</v>
      </c>
      <c r="CB30" t="e">
        <f t="shared" si="71"/>
        <v>#N/A</v>
      </c>
      <c r="CC30" t="e">
        <f t="shared" si="72"/>
        <v>#N/A</v>
      </c>
      <c r="CD30" t="e">
        <f t="shared" si="73"/>
        <v>#N/A</v>
      </c>
      <c r="CE30" t="e">
        <f t="shared" si="74"/>
        <v>#N/A</v>
      </c>
      <c r="CF30" t="e">
        <f t="shared" si="75"/>
        <v>#N/A</v>
      </c>
      <c r="CG30" t="e">
        <f t="shared" si="76"/>
        <v>#N/A</v>
      </c>
      <c r="CH30" t="e">
        <f t="shared" si="77"/>
        <v>#N/A</v>
      </c>
      <c r="CI30" t="e">
        <f t="shared" si="78"/>
        <v>#N/A</v>
      </c>
      <c r="CJ30" t="e">
        <f t="shared" si="79"/>
        <v>#N/A</v>
      </c>
      <c r="CK30" t="e">
        <f t="shared" si="80"/>
        <v>#N/A</v>
      </c>
      <c r="CL30" t="e">
        <f t="shared" si="81"/>
        <v>#N/A</v>
      </c>
      <c r="CM30" t="e">
        <f t="shared" si="82"/>
        <v>#N/A</v>
      </c>
      <c r="CN30" t="e">
        <f t="shared" si="83"/>
        <v>#N/A</v>
      </c>
      <c r="CO30" t="e">
        <f t="shared" si="84"/>
        <v>#N/A</v>
      </c>
      <c r="CP30" t="e">
        <f t="shared" si="85"/>
        <v>#N/A</v>
      </c>
      <c r="CQ30" t="e">
        <f t="shared" si="86"/>
        <v>#N/A</v>
      </c>
      <c r="CR30" t="e">
        <f t="shared" si="87"/>
        <v>#N/A</v>
      </c>
      <c r="CS30" t="e">
        <f t="shared" si="88"/>
        <v>#N/A</v>
      </c>
      <c r="CT30" t="e">
        <f t="shared" si="89"/>
        <v>#N/A</v>
      </c>
      <c r="CU30" t="e">
        <f t="shared" si="90"/>
        <v>#N/A</v>
      </c>
      <c r="CV30" t="e">
        <f t="shared" si="91"/>
        <v>#N/A</v>
      </c>
      <c r="CW30" t="e">
        <f t="shared" si="91"/>
        <v>#N/A</v>
      </c>
      <c r="CX30" t="e">
        <f t="shared" si="91"/>
        <v>#N/A</v>
      </c>
      <c r="CY30" t="e">
        <f t="shared" si="91"/>
        <v>#N/A</v>
      </c>
      <c r="CZ30" t="e">
        <f t="shared" si="93"/>
        <v>#N/A</v>
      </c>
      <c r="DA30" t="e">
        <f t="shared" si="93"/>
        <v>#N/A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 t="e" vm="2">
        <f ca="1">'Required Capacity (Hide)'!E31</f>
        <v>#VALUE!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  <c r="CA31" t="e">
        <f t="shared" si="70"/>
        <v>#N/A</v>
      </c>
      <c r="CB31" t="e">
        <f t="shared" si="71"/>
        <v>#N/A</v>
      </c>
      <c r="CC31" t="e">
        <f t="shared" si="72"/>
        <v>#N/A</v>
      </c>
      <c r="CD31" t="e">
        <f t="shared" si="73"/>
        <v>#N/A</v>
      </c>
      <c r="CE31" t="e">
        <f t="shared" si="74"/>
        <v>#N/A</v>
      </c>
      <c r="CF31" t="e">
        <f t="shared" si="75"/>
        <v>#N/A</v>
      </c>
      <c r="CG31" t="e">
        <f t="shared" si="76"/>
        <v>#N/A</v>
      </c>
      <c r="CH31" t="e">
        <f t="shared" si="77"/>
        <v>#N/A</v>
      </c>
      <c r="CI31" t="e">
        <f t="shared" si="78"/>
        <v>#N/A</v>
      </c>
      <c r="CJ31" t="e">
        <f t="shared" si="79"/>
        <v>#N/A</v>
      </c>
      <c r="CK31" t="e">
        <f t="shared" si="80"/>
        <v>#N/A</v>
      </c>
      <c r="CL31" t="e">
        <f t="shared" si="81"/>
        <v>#N/A</v>
      </c>
      <c r="CM31" t="e">
        <f t="shared" si="82"/>
        <v>#N/A</v>
      </c>
      <c r="CN31" t="e">
        <f t="shared" si="83"/>
        <v>#N/A</v>
      </c>
      <c r="CO31" t="e">
        <f t="shared" si="84"/>
        <v>#N/A</v>
      </c>
      <c r="CP31" t="e">
        <f t="shared" si="85"/>
        <v>#N/A</v>
      </c>
      <c r="CQ31" t="e">
        <f t="shared" si="86"/>
        <v>#N/A</v>
      </c>
      <c r="CR31" t="e">
        <f t="shared" si="87"/>
        <v>#N/A</v>
      </c>
      <c r="CS31" t="e">
        <f t="shared" si="88"/>
        <v>#N/A</v>
      </c>
      <c r="CT31" t="e">
        <f t="shared" si="89"/>
        <v>#N/A</v>
      </c>
      <c r="CU31" t="e">
        <f t="shared" si="90"/>
        <v>#N/A</v>
      </c>
      <c r="CV31" t="e">
        <f t="shared" si="91"/>
        <v>#N/A</v>
      </c>
      <c r="CW31" t="e">
        <f t="shared" si="91"/>
        <v>#N/A</v>
      </c>
      <c r="CX31" t="e">
        <f t="shared" si="91"/>
        <v>#N/A</v>
      </c>
      <c r="CY31" t="e">
        <f t="shared" si="91"/>
        <v>#N/A</v>
      </c>
      <c r="CZ31" t="e">
        <f t="shared" si="93"/>
        <v>#N/A</v>
      </c>
      <c r="DA31" t="e">
        <f t="shared" si="93"/>
        <v>#N/A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 t="e" vm="2">
        <f ca="1">'Required Capacity (Hide)'!E32</f>
        <v>#VALUE!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  <c r="CA32" t="e">
        <f t="shared" si="70"/>
        <v>#N/A</v>
      </c>
      <c r="CB32" t="e">
        <f t="shared" si="71"/>
        <v>#N/A</v>
      </c>
      <c r="CC32" t="e">
        <f t="shared" si="72"/>
        <v>#N/A</v>
      </c>
      <c r="CD32" t="e">
        <f t="shared" si="73"/>
        <v>#N/A</v>
      </c>
      <c r="CE32" t="e">
        <f t="shared" si="74"/>
        <v>#N/A</v>
      </c>
      <c r="CF32" t="e">
        <f t="shared" si="75"/>
        <v>#N/A</v>
      </c>
      <c r="CG32" t="e">
        <f t="shared" si="76"/>
        <v>#N/A</v>
      </c>
      <c r="CH32" t="e">
        <f t="shared" si="77"/>
        <v>#N/A</v>
      </c>
      <c r="CI32" t="e">
        <f t="shared" si="78"/>
        <v>#N/A</v>
      </c>
      <c r="CJ32" t="e">
        <f t="shared" si="79"/>
        <v>#N/A</v>
      </c>
      <c r="CK32" t="e">
        <f t="shared" si="80"/>
        <v>#N/A</v>
      </c>
      <c r="CL32" t="e">
        <f t="shared" si="81"/>
        <v>#N/A</v>
      </c>
      <c r="CM32" t="e">
        <f t="shared" si="82"/>
        <v>#N/A</v>
      </c>
      <c r="CN32" t="e">
        <f t="shared" si="83"/>
        <v>#N/A</v>
      </c>
      <c r="CO32" t="e">
        <f t="shared" si="84"/>
        <v>#N/A</v>
      </c>
      <c r="CP32" t="e">
        <f t="shared" si="85"/>
        <v>#N/A</v>
      </c>
      <c r="CQ32" t="e">
        <f t="shared" si="86"/>
        <v>#N/A</v>
      </c>
      <c r="CR32" t="e">
        <f t="shared" si="87"/>
        <v>#N/A</v>
      </c>
      <c r="CS32" t="e">
        <f t="shared" si="88"/>
        <v>#N/A</v>
      </c>
      <c r="CT32" t="e">
        <f t="shared" si="89"/>
        <v>#N/A</v>
      </c>
      <c r="CU32" t="e">
        <f t="shared" si="90"/>
        <v>#N/A</v>
      </c>
      <c r="CV32" t="e">
        <f t="shared" si="91"/>
        <v>#N/A</v>
      </c>
      <c r="CW32" t="e">
        <f t="shared" si="91"/>
        <v>#N/A</v>
      </c>
      <c r="CX32" t="e">
        <f t="shared" si="91"/>
        <v>#N/A</v>
      </c>
      <c r="CY32" t="e">
        <f t="shared" si="91"/>
        <v>#N/A</v>
      </c>
      <c r="CZ32" t="e">
        <f t="shared" si="93"/>
        <v>#N/A</v>
      </c>
      <c r="DA32" t="e">
        <f t="shared" si="93"/>
        <v>#N/A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 t="e" vm="2">
        <f ca="1">'Required Capacity (Hide)'!E33</f>
        <v>#VALUE!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  <c r="CA33" t="e">
        <f t="shared" si="70"/>
        <v>#N/A</v>
      </c>
      <c r="CB33" t="e">
        <f t="shared" si="71"/>
        <v>#N/A</v>
      </c>
      <c r="CC33" t="e">
        <f t="shared" si="72"/>
        <v>#N/A</v>
      </c>
      <c r="CD33" t="e">
        <f t="shared" si="73"/>
        <v>#N/A</v>
      </c>
      <c r="CE33" t="e">
        <f t="shared" si="74"/>
        <v>#N/A</v>
      </c>
      <c r="CF33" t="e">
        <f t="shared" si="75"/>
        <v>#N/A</v>
      </c>
      <c r="CG33" t="e">
        <f t="shared" si="76"/>
        <v>#N/A</v>
      </c>
      <c r="CH33" t="e">
        <f t="shared" si="77"/>
        <v>#N/A</v>
      </c>
      <c r="CI33" t="e">
        <f t="shared" si="78"/>
        <v>#N/A</v>
      </c>
      <c r="CJ33" t="e">
        <f t="shared" si="79"/>
        <v>#N/A</v>
      </c>
      <c r="CK33" t="e">
        <f t="shared" si="80"/>
        <v>#N/A</v>
      </c>
      <c r="CL33" t="e">
        <f t="shared" si="81"/>
        <v>#N/A</v>
      </c>
      <c r="CM33" t="e">
        <f t="shared" si="82"/>
        <v>#N/A</v>
      </c>
      <c r="CN33" t="e">
        <f t="shared" si="83"/>
        <v>#N/A</v>
      </c>
      <c r="CO33" t="e">
        <f t="shared" si="84"/>
        <v>#N/A</v>
      </c>
      <c r="CP33" t="e">
        <f t="shared" si="85"/>
        <v>#N/A</v>
      </c>
      <c r="CQ33" t="e">
        <f t="shared" si="86"/>
        <v>#N/A</v>
      </c>
      <c r="CR33" t="e">
        <f t="shared" si="87"/>
        <v>#N/A</v>
      </c>
      <c r="CS33" t="e">
        <f t="shared" si="88"/>
        <v>#N/A</v>
      </c>
      <c r="CT33" t="e">
        <f t="shared" si="89"/>
        <v>#N/A</v>
      </c>
      <c r="CU33" t="e">
        <f t="shared" si="90"/>
        <v>#N/A</v>
      </c>
      <c r="CV33" t="e">
        <f t="shared" si="91"/>
        <v>#N/A</v>
      </c>
      <c r="CW33" t="e">
        <f t="shared" si="91"/>
        <v>#N/A</v>
      </c>
      <c r="CX33" t="e">
        <f t="shared" si="91"/>
        <v>#N/A</v>
      </c>
      <c r="CY33" t="e">
        <f t="shared" si="91"/>
        <v>#N/A</v>
      </c>
      <c r="CZ33" t="e">
        <f t="shared" si="93"/>
        <v>#N/A</v>
      </c>
      <c r="DA33" t="e">
        <f t="shared" si="93"/>
        <v>#N/A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 t="e" vm="2">
        <f ca="1">'Required Capacity (Hide)'!E34</f>
        <v>#VALUE!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  <c r="CA34" t="e">
        <f t="shared" si="70"/>
        <v>#N/A</v>
      </c>
      <c r="CB34" t="e">
        <f t="shared" si="71"/>
        <v>#N/A</v>
      </c>
      <c r="CC34" t="e">
        <f t="shared" si="72"/>
        <v>#N/A</v>
      </c>
      <c r="CD34" t="e">
        <f t="shared" si="73"/>
        <v>#N/A</v>
      </c>
      <c r="CE34" t="e">
        <f t="shared" si="74"/>
        <v>#N/A</v>
      </c>
      <c r="CF34" t="e">
        <f t="shared" si="75"/>
        <v>#N/A</v>
      </c>
      <c r="CG34" t="e">
        <f t="shared" si="76"/>
        <v>#N/A</v>
      </c>
      <c r="CH34" t="e">
        <f t="shared" si="77"/>
        <v>#N/A</v>
      </c>
      <c r="CI34" t="e">
        <f t="shared" si="78"/>
        <v>#N/A</v>
      </c>
      <c r="CJ34" t="e">
        <f t="shared" si="79"/>
        <v>#N/A</v>
      </c>
      <c r="CK34" t="e">
        <f t="shared" si="80"/>
        <v>#N/A</v>
      </c>
      <c r="CL34" t="e">
        <f t="shared" si="81"/>
        <v>#N/A</v>
      </c>
      <c r="CM34" t="e">
        <f t="shared" si="82"/>
        <v>#N/A</v>
      </c>
      <c r="CN34" t="e">
        <f t="shared" si="83"/>
        <v>#N/A</v>
      </c>
      <c r="CO34" t="e">
        <f t="shared" si="84"/>
        <v>#N/A</v>
      </c>
      <c r="CP34" t="e">
        <f t="shared" si="85"/>
        <v>#N/A</v>
      </c>
      <c r="CQ34" t="e">
        <f t="shared" si="86"/>
        <v>#N/A</v>
      </c>
      <c r="CR34" t="e">
        <f t="shared" si="87"/>
        <v>#N/A</v>
      </c>
      <c r="CS34" t="e">
        <f t="shared" si="88"/>
        <v>#N/A</v>
      </c>
      <c r="CT34" t="e">
        <f t="shared" si="89"/>
        <v>#N/A</v>
      </c>
      <c r="CU34" t="e">
        <f t="shared" si="90"/>
        <v>#N/A</v>
      </c>
      <c r="CV34" t="e">
        <f t="shared" si="91"/>
        <v>#N/A</v>
      </c>
      <c r="CW34" t="e">
        <f t="shared" si="91"/>
        <v>#N/A</v>
      </c>
      <c r="CX34" t="e">
        <f t="shared" si="91"/>
        <v>#N/A</v>
      </c>
      <c r="CY34" t="e">
        <f t="shared" si="91"/>
        <v>#N/A</v>
      </c>
      <c r="CZ34" t="e">
        <f t="shared" si="93"/>
        <v>#N/A</v>
      </c>
      <c r="DA34" t="e">
        <f t="shared" si="93"/>
        <v>#N/A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 t="e" vm="2">
        <f ca="1">'Required Capacity (Hide)'!E35</f>
        <v>#VALUE!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  <c r="CA35" t="e">
        <f t="shared" si="70"/>
        <v>#N/A</v>
      </c>
      <c r="CB35" t="e">
        <f t="shared" si="71"/>
        <v>#N/A</v>
      </c>
      <c r="CC35" t="e">
        <f t="shared" si="72"/>
        <v>#N/A</v>
      </c>
      <c r="CD35" t="e">
        <f t="shared" si="73"/>
        <v>#N/A</v>
      </c>
      <c r="CE35" t="e">
        <f t="shared" si="74"/>
        <v>#N/A</v>
      </c>
      <c r="CF35" t="e">
        <f t="shared" si="75"/>
        <v>#N/A</v>
      </c>
      <c r="CG35" t="e">
        <f t="shared" si="76"/>
        <v>#N/A</v>
      </c>
      <c r="CH35" t="e">
        <f t="shared" si="77"/>
        <v>#N/A</v>
      </c>
      <c r="CI35" t="e">
        <f t="shared" si="78"/>
        <v>#N/A</v>
      </c>
      <c r="CJ35" t="e">
        <f t="shared" si="79"/>
        <v>#N/A</v>
      </c>
      <c r="CK35" t="e">
        <f t="shared" si="80"/>
        <v>#N/A</v>
      </c>
      <c r="CL35" t="e">
        <f t="shared" si="81"/>
        <v>#N/A</v>
      </c>
      <c r="CM35" t="e">
        <f t="shared" si="82"/>
        <v>#N/A</v>
      </c>
      <c r="CN35" t="e">
        <f t="shared" si="83"/>
        <v>#N/A</v>
      </c>
      <c r="CO35" t="e">
        <f t="shared" si="84"/>
        <v>#N/A</v>
      </c>
      <c r="CP35" t="e">
        <f t="shared" si="85"/>
        <v>#N/A</v>
      </c>
      <c r="CQ35" t="e">
        <f t="shared" si="86"/>
        <v>#N/A</v>
      </c>
      <c r="CR35" t="e">
        <f t="shared" si="87"/>
        <v>#N/A</v>
      </c>
      <c r="CS35" t="e">
        <f t="shared" si="88"/>
        <v>#N/A</v>
      </c>
      <c r="CT35" t="e">
        <f t="shared" si="89"/>
        <v>#N/A</v>
      </c>
      <c r="CU35" t="e">
        <f t="shared" si="90"/>
        <v>#N/A</v>
      </c>
      <c r="CV35" t="e">
        <f t="shared" si="91"/>
        <v>#N/A</v>
      </c>
      <c r="CW35" t="e">
        <f t="shared" si="91"/>
        <v>#N/A</v>
      </c>
      <c r="CX35" t="e">
        <f t="shared" si="91"/>
        <v>#N/A</v>
      </c>
      <c r="CY35" t="e">
        <f t="shared" si="91"/>
        <v>#N/A</v>
      </c>
      <c r="CZ35" t="e">
        <f t="shared" si="93"/>
        <v>#N/A</v>
      </c>
      <c r="DA35" t="e">
        <f t="shared" si="93"/>
        <v>#N/A</v>
      </c>
    </row>
    <row r="36" spans="1:105" x14ac:dyDescent="0.35">
      <c r="I36" s="12" t="e" vm="2">
        <f ca="1">'Required Capacity (Hide)'!E36</f>
        <v>#VALUE!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  <c r="CA36" t="e">
        <f t="shared" si="70"/>
        <v>#N/A</v>
      </c>
      <c r="CB36" t="e">
        <f t="shared" si="71"/>
        <v>#N/A</v>
      </c>
      <c r="CC36" t="e">
        <f t="shared" si="72"/>
        <v>#N/A</v>
      </c>
      <c r="CD36" t="e">
        <f t="shared" si="73"/>
        <v>#N/A</v>
      </c>
      <c r="CE36" t="e">
        <f t="shared" si="74"/>
        <v>#N/A</v>
      </c>
      <c r="CF36" t="e">
        <f t="shared" si="75"/>
        <v>#N/A</v>
      </c>
      <c r="CG36" t="e">
        <f t="shared" si="76"/>
        <v>#N/A</v>
      </c>
      <c r="CH36" t="e">
        <f t="shared" si="77"/>
        <v>#N/A</v>
      </c>
      <c r="CI36" t="e">
        <f t="shared" si="78"/>
        <v>#N/A</v>
      </c>
      <c r="CJ36" t="e">
        <f t="shared" si="79"/>
        <v>#N/A</v>
      </c>
      <c r="CK36" t="e">
        <f t="shared" si="80"/>
        <v>#N/A</v>
      </c>
      <c r="CL36" t="e">
        <f t="shared" si="81"/>
        <v>#N/A</v>
      </c>
      <c r="CM36" t="e">
        <f t="shared" si="82"/>
        <v>#N/A</v>
      </c>
      <c r="CN36" t="e">
        <f t="shared" si="83"/>
        <v>#N/A</v>
      </c>
      <c r="CO36" t="e">
        <f t="shared" si="84"/>
        <v>#N/A</v>
      </c>
      <c r="CP36" t="e">
        <f t="shared" si="85"/>
        <v>#N/A</v>
      </c>
      <c r="CQ36" t="e">
        <f t="shared" si="86"/>
        <v>#N/A</v>
      </c>
      <c r="CR36" t="e">
        <f t="shared" si="87"/>
        <v>#N/A</v>
      </c>
      <c r="CS36" t="e">
        <f t="shared" si="88"/>
        <v>#N/A</v>
      </c>
      <c r="CT36" t="e">
        <f t="shared" si="89"/>
        <v>#N/A</v>
      </c>
      <c r="CU36" t="e">
        <f t="shared" si="90"/>
        <v>#N/A</v>
      </c>
      <c r="CV36" t="e">
        <f t="shared" si="91"/>
        <v>#N/A</v>
      </c>
      <c r="CW36" t="e">
        <f t="shared" si="91"/>
        <v>#N/A</v>
      </c>
      <c r="CX36" t="e">
        <f t="shared" si="91"/>
        <v>#N/A</v>
      </c>
      <c r="CY36" t="e">
        <f t="shared" si="91"/>
        <v>#N/A</v>
      </c>
      <c r="CZ36" t="e">
        <f t="shared" si="93"/>
        <v>#N/A</v>
      </c>
      <c r="DA36" t="e">
        <f t="shared" si="93"/>
        <v>#N/A</v>
      </c>
    </row>
    <row r="37" spans="1:105" x14ac:dyDescent="0.35">
      <c r="I37" s="12" t="e" vm="2">
        <f ca="1">'Required Capacity (Hide)'!E37</f>
        <v>#VALUE!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  <c r="CA37" t="e">
        <f t="shared" si="70"/>
        <v>#N/A</v>
      </c>
      <c r="CB37" t="e">
        <f t="shared" si="71"/>
        <v>#N/A</v>
      </c>
      <c r="CC37" t="e">
        <f t="shared" si="72"/>
        <v>#N/A</v>
      </c>
      <c r="CD37" t="e">
        <f t="shared" si="73"/>
        <v>#N/A</v>
      </c>
      <c r="CE37" t="e">
        <f t="shared" si="74"/>
        <v>#N/A</v>
      </c>
      <c r="CF37" t="e">
        <f t="shared" si="75"/>
        <v>#N/A</v>
      </c>
      <c r="CG37" t="e">
        <f t="shared" si="76"/>
        <v>#N/A</v>
      </c>
      <c r="CH37" t="e">
        <f t="shared" si="77"/>
        <v>#N/A</v>
      </c>
      <c r="CI37" t="e">
        <f t="shared" si="78"/>
        <v>#N/A</v>
      </c>
      <c r="CJ37" t="e">
        <f t="shared" si="79"/>
        <v>#N/A</v>
      </c>
      <c r="CK37" t="e">
        <f t="shared" si="80"/>
        <v>#N/A</v>
      </c>
      <c r="CL37" t="e">
        <f t="shared" si="81"/>
        <v>#N/A</v>
      </c>
      <c r="CM37" t="e">
        <f t="shared" si="82"/>
        <v>#N/A</v>
      </c>
      <c r="CN37" t="e">
        <f t="shared" si="83"/>
        <v>#N/A</v>
      </c>
      <c r="CO37" t="e">
        <f t="shared" si="84"/>
        <v>#N/A</v>
      </c>
      <c r="CP37" t="e">
        <f t="shared" si="85"/>
        <v>#N/A</v>
      </c>
      <c r="CQ37" t="e">
        <f t="shared" si="86"/>
        <v>#N/A</v>
      </c>
      <c r="CR37" t="e">
        <f t="shared" si="87"/>
        <v>#N/A</v>
      </c>
      <c r="CS37" t="e">
        <f t="shared" si="88"/>
        <v>#N/A</v>
      </c>
      <c r="CT37" t="e">
        <f t="shared" si="89"/>
        <v>#N/A</v>
      </c>
      <c r="CU37" t="e">
        <f t="shared" si="90"/>
        <v>#N/A</v>
      </c>
      <c r="CV37" t="e">
        <f t="shared" si="91"/>
        <v>#N/A</v>
      </c>
      <c r="CW37" t="e">
        <f t="shared" si="91"/>
        <v>#N/A</v>
      </c>
      <c r="CX37" t="e">
        <f t="shared" si="91"/>
        <v>#N/A</v>
      </c>
      <c r="CY37" t="e">
        <f t="shared" si="91"/>
        <v>#N/A</v>
      </c>
      <c r="CZ37" t="e">
        <f t="shared" si="93"/>
        <v>#N/A</v>
      </c>
      <c r="DA37" t="e">
        <f t="shared" si="93"/>
        <v>#N/A</v>
      </c>
    </row>
    <row r="38" spans="1:105" x14ac:dyDescent="0.35">
      <c r="I38" s="12" t="e" vm="2">
        <f ca="1">'Required Capacity (Hide)'!E38</f>
        <v>#VALUE!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  <c r="CA38" t="e">
        <f t="shared" si="70"/>
        <v>#N/A</v>
      </c>
      <c r="CB38" t="e">
        <f t="shared" si="71"/>
        <v>#N/A</v>
      </c>
      <c r="CC38" t="e">
        <f t="shared" si="72"/>
        <v>#N/A</v>
      </c>
      <c r="CD38" t="e">
        <f t="shared" si="73"/>
        <v>#N/A</v>
      </c>
      <c r="CE38" t="e">
        <f t="shared" si="74"/>
        <v>#N/A</v>
      </c>
      <c r="CF38" t="e">
        <f t="shared" si="75"/>
        <v>#N/A</v>
      </c>
      <c r="CG38" t="e">
        <f t="shared" si="76"/>
        <v>#N/A</v>
      </c>
      <c r="CH38" t="e">
        <f t="shared" si="77"/>
        <v>#N/A</v>
      </c>
      <c r="CI38" t="e">
        <f t="shared" si="78"/>
        <v>#N/A</v>
      </c>
      <c r="CJ38" t="e">
        <f t="shared" si="79"/>
        <v>#N/A</v>
      </c>
      <c r="CK38" t="e">
        <f t="shared" si="80"/>
        <v>#N/A</v>
      </c>
      <c r="CL38" t="e">
        <f t="shared" si="81"/>
        <v>#N/A</v>
      </c>
      <c r="CM38" t="e">
        <f t="shared" si="82"/>
        <v>#N/A</v>
      </c>
      <c r="CN38" t="e">
        <f t="shared" si="83"/>
        <v>#N/A</v>
      </c>
      <c r="CO38" t="e">
        <f t="shared" si="84"/>
        <v>#N/A</v>
      </c>
      <c r="CP38" t="e">
        <f t="shared" si="85"/>
        <v>#N/A</v>
      </c>
      <c r="CQ38" t="e">
        <f t="shared" si="86"/>
        <v>#N/A</v>
      </c>
      <c r="CR38" t="e">
        <f t="shared" si="87"/>
        <v>#N/A</v>
      </c>
      <c r="CS38" t="e">
        <f t="shared" si="88"/>
        <v>#N/A</v>
      </c>
      <c r="CT38" t="e">
        <f t="shared" si="89"/>
        <v>#N/A</v>
      </c>
      <c r="CU38" t="e">
        <f t="shared" si="90"/>
        <v>#N/A</v>
      </c>
      <c r="CV38" t="e">
        <f t="shared" si="91"/>
        <v>#N/A</v>
      </c>
      <c r="CW38" t="e">
        <f t="shared" si="91"/>
        <v>#N/A</v>
      </c>
      <c r="CX38" t="e">
        <f t="shared" si="91"/>
        <v>#N/A</v>
      </c>
      <c r="CY38" t="e">
        <f t="shared" si="91"/>
        <v>#N/A</v>
      </c>
      <c r="CZ38" t="e">
        <f t="shared" si="93"/>
        <v>#N/A</v>
      </c>
      <c r="DA38" t="e">
        <f t="shared" si="93"/>
        <v>#N/A</v>
      </c>
    </row>
    <row r="39" spans="1:105" x14ac:dyDescent="0.35">
      <c r="I39" s="12" t="e" vm="2">
        <f ca="1">'Required Capacity (Hide)'!E39</f>
        <v>#VALUE!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  <c r="CA39" t="e">
        <f t="shared" si="70"/>
        <v>#N/A</v>
      </c>
      <c r="CB39" t="e">
        <f t="shared" si="71"/>
        <v>#N/A</v>
      </c>
      <c r="CC39" t="e">
        <f t="shared" si="72"/>
        <v>#N/A</v>
      </c>
      <c r="CD39" t="e">
        <f t="shared" si="73"/>
        <v>#N/A</v>
      </c>
      <c r="CE39" t="e">
        <f t="shared" si="74"/>
        <v>#N/A</v>
      </c>
      <c r="CF39" t="e">
        <f t="shared" si="75"/>
        <v>#N/A</v>
      </c>
      <c r="CG39" t="e">
        <f t="shared" si="76"/>
        <v>#N/A</v>
      </c>
      <c r="CH39" t="e">
        <f t="shared" si="77"/>
        <v>#N/A</v>
      </c>
      <c r="CI39" t="e">
        <f t="shared" si="78"/>
        <v>#N/A</v>
      </c>
      <c r="CJ39" t="e">
        <f t="shared" si="79"/>
        <v>#N/A</v>
      </c>
      <c r="CK39" t="e">
        <f t="shared" si="80"/>
        <v>#N/A</v>
      </c>
      <c r="CL39" t="e">
        <f t="shared" si="81"/>
        <v>#N/A</v>
      </c>
      <c r="CM39" t="e">
        <f t="shared" si="82"/>
        <v>#N/A</v>
      </c>
      <c r="CN39" t="e">
        <f t="shared" si="83"/>
        <v>#N/A</v>
      </c>
      <c r="CO39" t="e">
        <f t="shared" si="84"/>
        <v>#N/A</v>
      </c>
      <c r="CP39" t="e">
        <f t="shared" si="85"/>
        <v>#N/A</v>
      </c>
      <c r="CQ39" t="e">
        <f t="shared" si="86"/>
        <v>#N/A</v>
      </c>
      <c r="CR39" t="e">
        <f t="shared" si="87"/>
        <v>#N/A</v>
      </c>
      <c r="CS39" t="e">
        <f t="shared" si="88"/>
        <v>#N/A</v>
      </c>
      <c r="CT39" t="e">
        <f t="shared" si="89"/>
        <v>#N/A</v>
      </c>
      <c r="CU39" t="e">
        <f t="shared" si="90"/>
        <v>#N/A</v>
      </c>
      <c r="CV39" t="e">
        <f t="shared" si="91"/>
        <v>#N/A</v>
      </c>
      <c r="CW39" t="e">
        <f t="shared" si="91"/>
        <v>#N/A</v>
      </c>
      <c r="CX39" t="e">
        <f t="shared" si="91"/>
        <v>#N/A</v>
      </c>
      <c r="CY39" t="e">
        <f t="shared" si="91"/>
        <v>#N/A</v>
      </c>
      <c r="CZ39" t="e">
        <f t="shared" si="93"/>
        <v>#N/A</v>
      </c>
      <c r="DA39" t="e">
        <f t="shared" si="93"/>
        <v>#N/A</v>
      </c>
    </row>
    <row r="40" spans="1:105" x14ac:dyDescent="0.35">
      <c r="I40" s="12" t="e" vm="2">
        <f ca="1">'Required Capacity (Hide)'!E40</f>
        <v>#VALUE!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  <c r="CA40" t="e">
        <f t="shared" si="70"/>
        <v>#N/A</v>
      </c>
      <c r="CB40" t="e">
        <f t="shared" si="71"/>
        <v>#N/A</v>
      </c>
      <c r="CC40" t="e">
        <f t="shared" si="72"/>
        <v>#N/A</v>
      </c>
      <c r="CD40" t="e">
        <f t="shared" si="73"/>
        <v>#N/A</v>
      </c>
      <c r="CE40" t="e">
        <f t="shared" si="74"/>
        <v>#N/A</v>
      </c>
      <c r="CF40" t="e">
        <f t="shared" si="75"/>
        <v>#N/A</v>
      </c>
      <c r="CG40" t="e">
        <f t="shared" si="76"/>
        <v>#N/A</v>
      </c>
      <c r="CH40" t="e">
        <f t="shared" si="77"/>
        <v>#N/A</v>
      </c>
      <c r="CI40" t="e">
        <f t="shared" si="78"/>
        <v>#N/A</v>
      </c>
      <c r="CJ40" t="e">
        <f t="shared" si="79"/>
        <v>#N/A</v>
      </c>
      <c r="CK40" t="e">
        <f t="shared" si="80"/>
        <v>#N/A</v>
      </c>
      <c r="CL40" t="e">
        <f t="shared" si="81"/>
        <v>#N/A</v>
      </c>
      <c r="CM40" t="e">
        <f t="shared" si="82"/>
        <v>#N/A</v>
      </c>
      <c r="CN40" t="e">
        <f t="shared" si="83"/>
        <v>#N/A</v>
      </c>
      <c r="CO40" t="e">
        <f t="shared" si="84"/>
        <v>#N/A</v>
      </c>
      <c r="CP40" t="e">
        <f t="shared" si="85"/>
        <v>#N/A</v>
      </c>
      <c r="CQ40" t="e">
        <f t="shared" si="86"/>
        <v>#N/A</v>
      </c>
      <c r="CR40" t="e">
        <f t="shared" si="87"/>
        <v>#N/A</v>
      </c>
      <c r="CS40" t="e">
        <f t="shared" si="88"/>
        <v>#N/A</v>
      </c>
      <c r="CT40" t="e">
        <f t="shared" si="89"/>
        <v>#N/A</v>
      </c>
      <c r="CU40" t="e">
        <f t="shared" si="90"/>
        <v>#N/A</v>
      </c>
      <c r="CV40" t="e">
        <f t="shared" si="91"/>
        <v>#N/A</v>
      </c>
      <c r="CW40" t="e">
        <f t="shared" si="91"/>
        <v>#N/A</v>
      </c>
      <c r="CX40" t="e">
        <f t="shared" si="91"/>
        <v>#N/A</v>
      </c>
      <c r="CY40" t="e">
        <f t="shared" si="91"/>
        <v>#N/A</v>
      </c>
      <c r="CZ40" t="e">
        <f t="shared" si="93"/>
        <v>#N/A</v>
      </c>
      <c r="DA40" t="e">
        <f t="shared" si="93"/>
        <v>#N/A</v>
      </c>
    </row>
    <row r="41" spans="1:105" x14ac:dyDescent="0.35">
      <c r="I41" s="12" t="e" vm="2">
        <f ca="1">'Required Capacity (Hide)'!E41</f>
        <v>#VALUE!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  <c r="CA41" t="e">
        <f t="shared" si="70"/>
        <v>#N/A</v>
      </c>
      <c r="CB41" t="e">
        <f t="shared" si="71"/>
        <v>#N/A</v>
      </c>
      <c r="CC41" t="e">
        <f t="shared" si="72"/>
        <v>#N/A</v>
      </c>
      <c r="CD41" t="e">
        <f t="shared" si="73"/>
        <v>#N/A</v>
      </c>
      <c r="CE41" t="e">
        <f t="shared" si="74"/>
        <v>#N/A</v>
      </c>
      <c r="CF41" t="e">
        <f t="shared" si="75"/>
        <v>#N/A</v>
      </c>
      <c r="CG41" t="e">
        <f t="shared" si="76"/>
        <v>#N/A</v>
      </c>
      <c r="CH41" t="e">
        <f t="shared" si="77"/>
        <v>#N/A</v>
      </c>
      <c r="CI41" t="e">
        <f t="shared" si="78"/>
        <v>#N/A</v>
      </c>
      <c r="CJ41" t="e">
        <f t="shared" si="79"/>
        <v>#N/A</v>
      </c>
      <c r="CK41" t="e">
        <f t="shared" si="80"/>
        <v>#N/A</v>
      </c>
      <c r="CL41" t="e">
        <f t="shared" si="81"/>
        <v>#N/A</v>
      </c>
      <c r="CM41" t="e">
        <f t="shared" si="82"/>
        <v>#N/A</v>
      </c>
      <c r="CN41" t="e">
        <f t="shared" si="83"/>
        <v>#N/A</v>
      </c>
      <c r="CO41" t="e">
        <f t="shared" si="84"/>
        <v>#N/A</v>
      </c>
      <c r="CP41" t="e">
        <f t="shared" si="85"/>
        <v>#N/A</v>
      </c>
      <c r="CQ41" t="e">
        <f t="shared" si="86"/>
        <v>#N/A</v>
      </c>
      <c r="CR41" t="e">
        <f t="shared" si="87"/>
        <v>#N/A</v>
      </c>
      <c r="CS41" t="e">
        <f t="shared" si="88"/>
        <v>#N/A</v>
      </c>
      <c r="CT41" t="e">
        <f t="shared" si="89"/>
        <v>#N/A</v>
      </c>
      <c r="CU41" t="e">
        <f t="shared" si="90"/>
        <v>#N/A</v>
      </c>
      <c r="CV41" t="e">
        <f t="shared" si="91"/>
        <v>#N/A</v>
      </c>
      <c r="CW41" t="e">
        <f t="shared" si="91"/>
        <v>#N/A</v>
      </c>
      <c r="CX41" t="e">
        <f t="shared" si="91"/>
        <v>#N/A</v>
      </c>
      <c r="CY41" t="e">
        <f t="shared" si="91"/>
        <v>#N/A</v>
      </c>
      <c r="CZ41" t="e">
        <f t="shared" si="93"/>
        <v>#N/A</v>
      </c>
      <c r="DA41" t="e">
        <f t="shared" si="93"/>
        <v>#N/A</v>
      </c>
    </row>
    <row r="42" spans="1:105" x14ac:dyDescent="0.35">
      <c r="I42" s="12" t="e" vm="2">
        <f ca="1">'Required Capacity (Hide)'!E42</f>
        <v>#VALUE!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  <c r="CA42" t="e">
        <f t="shared" si="70"/>
        <v>#N/A</v>
      </c>
      <c r="CB42" t="e">
        <f t="shared" si="71"/>
        <v>#N/A</v>
      </c>
      <c r="CC42" t="e">
        <f t="shared" si="72"/>
        <v>#N/A</v>
      </c>
      <c r="CD42" t="e">
        <f t="shared" si="73"/>
        <v>#N/A</v>
      </c>
      <c r="CE42" t="e">
        <f t="shared" si="74"/>
        <v>#N/A</v>
      </c>
      <c r="CF42" t="e">
        <f t="shared" si="75"/>
        <v>#N/A</v>
      </c>
      <c r="CG42" t="e">
        <f t="shared" si="76"/>
        <v>#N/A</v>
      </c>
      <c r="CH42" t="e">
        <f t="shared" si="77"/>
        <v>#N/A</v>
      </c>
      <c r="CI42" t="e">
        <f t="shared" si="78"/>
        <v>#N/A</v>
      </c>
      <c r="CJ42" t="e">
        <f t="shared" si="79"/>
        <v>#N/A</v>
      </c>
      <c r="CK42" t="e">
        <f t="shared" si="80"/>
        <v>#N/A</v>
      </c>
      <c r="CL42" t="e">
        <f t="shared" si="81"/>
        <v>#N/A</v>
      </c>
      <c r="CM42" t="e">
        <f t="shared" si="82"/>
        <v>#N/A</v>
      </c>
      <c r="CN42" t="e">
        <f t="shared" si="83"/>
        <v>#N/A</v>
      </c>
      <c r="CO42" t="e">
        <f t="shared" si="84"/>
        <v>#N/A</v>
      </c>
      <c r="CP42" t="e">
        <f t="shared" si="85"/>
        <v>#N/A</v>
      </c>
      <c r="CQ42" t="e">
        <f t="shared" si="86"/>
        <v>#N/A</v>
      </c>
      <c r="CR42" t="e">
        <f t="shared" si="87"/>
        <v>#N/A</v>
      </c>
      <c r="CS42" t="e">
        <f t="shared" si="88"/>
        <v>#N/A</v>
      </c>
      <c r="CT42" t="e">
        <f t="shared" si="89"/>
        <v>#N/A</v>
      </c>
      <c r="CU42" t="e">
        <f t="shared" si="90"/>
        <v>#N/A</v>
      </c>
      <c r="CV42" t="e">
        <f t="shared" si="91"/>
        <v>#N/A</v>
      </c>
      <c r="CW42" t="e">
        <f t="shared" si="91"/>
        <v>#N/A</v>
      </c>
      <c r="CX42" t="e">
        <f t="shared" si="91"/>
        <v>#N/A</v>
      </c>
      <c r="CY42" t="e">
        <f t="shared" si="91"/>
        <v>#N/A</v>
      </c>
      <c r="CZ42" t="e">
        <f t="shared" si="93"/>
        <v>#N/A</v>
      </c>
      <c r="DA42" t="e">
        <f t="shared" si="93"/>
        <v>#N/A</v>
      </c>
    </row>
    <row r="43" spans="1:105" x14ac:dyDescent="0.35">
      <c r="I43" s="12" t="e" vm="2">
        <f ca="1">'Required Capacity (Hide)'!E43</f>
        <v>#VALUE!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  <c r="CA43" t="e">
        <f t="shared" si="70"/>
        <v>#N/A</v>
      </c>
      <c r="CB43" t="e">
        <f t="shared" si="71"/>
        <v>#N/A</v>
      </c>
      <c r="CC43" t="e">
        <f t="shared" si="72"/>
        <v>#N/A</v>
      </c>
      <c r="CD43" t="e">
        <f t="shared" si="73"/>
        <v>#N/A</v>
      </c>
      <c r="CE43" t="e">
        <f t="shared" si="74"/>
        <v>#N/A</v>
      </c>
      <c r="CF43" t="e">
        <f t="shared" si="75"/>
        <v>#N/A</v>
      </c>
      <c r="CG43" t="e">
        <f t="shared" si="76"/>
        <v>#N/A</v>
      </c>
      <c r="CH43" t="e">
        <f t="shared" si="77"/>
        <v>#N/A</v>
      </c>
      <c r="CI43" t="e">
        <f t="shared" si="78"/>
        <v>#N/A</v>
      </c>
      <c r="CJ43" t="e">
        <f t="shared" si="79"/>
        <v>#N/A</v>
      </c>
      <c r="CK43" t="e">
        <f t="shared" si="80"/>
        <v>#N/A</v>
      </c>
      <c r="CL43" t="e">
        <f t="shared" si="81"/>
        <v>#N/A</v>
      </c>
      <c r="CM43" t="e">
        <f t="shared" si="82"/>
        <v>#N/A</v>
      </c>
      <c r="CN43" t="e">
        <f t="shared" si="83"/>
        <v>#N/A</v>
      </c>
      <c r="CO43" t="e">
        <f t="shared" si="84"/>
        <v>#N/A</v>
      </c>
      <c r="CP43" t="e">
        <f t="shared" si="85"/>
        <v>#N/A</v>
      </c>
      <c r="CQ43" t="e">
        <f t="shared" si="86"/>
        <v>#N/A</v>
      </c>
      <c r="CR43" t="e">
        <f t="shared" si="87"/>
        <v>#N/A</v>
      </c>
      <c r="CS43" t="e">
        <f t="shared" si="88"/>
        <v>#N/A</v>
      </c>
      <c r="CT43" t="e">
        <f t="shared" si="89"/>
        <v>#N/A</v>
      </c>
      <c r="CU43" t="e">
        <f t="shared" si="90"/>
        <v>#N/A</v>
      </c>
      <c r="CV43" t="e">
        <f t="shared" si="91"/>
        <v>#N/A</v>
      </c>
      <c r="CW43" t="e">
        <f t="shared" si="91"/>
        <v>#N/A</v>
      </c>
      <c r="CX43" t="e">
        <f t="shared" si="91"/>
        <v>#N/A</v>
      </c>
      <c r="CY43" t="e">
        <f t="shared" si="91"/>
        <v>#N/A</v>
      </c>
      <c r="CZ43" t="e">
        <f t="shared" si="93"/>
        <v>#N/A</v>
      </c>
      <c r="DA43" t="e">
        <f t="shared" si="93"/>
        <v>#N/A</v>
      </c>
    </row>
    <row r="44" spans="1:105" x14ac:dyDescent="0.35">
      <c r="I44" s="12" t="e" vm="2">
        <f ca="1">'Required Capacity (Hide)'!E44</f>
        <v>#VALUE!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  <c r="CA44" t="e">
        <f t="shared" si="70"/>
        <v>#N/A</v>
      </c>
      <c r="CB44" t="e">
        <f t="shared" si="71"/>
        <v>#N/A</v>
      </c>
      <c r="CC44" t="e">
        <f t="shared" si="72"/>
        <v>#N/A</v>
      </c>
      <c r="CD44" t="e">
        <f t="shared" si="73"/>
        <v>#N/A</v>
      </c>
      <c r="CE44" t="e">
        <f t="shared" si="74"/>
        <v>#N/A</v>
      </c>
      <c r="CF44" t="e">
        <f t="shared" si="75"/>
        <v>#N/A</v>
      </c>
      <c r="CG44" t="e">
        <f t="shared" si="76"/>
        <v>#N/A</v>
      </c>
      <c r="CH44" t="e">
        <f t="shared" si="77"/>
        <v>#N/A</v>
      </c>
      <c r="CI44" t="e">
        <f t="shared" si="78"/>
        <v>#N/A</v>
      </c>
      <c r="CJ44" t="e">
        <f t="shared" si="79"/>
        <v>#N/A</v>
      </c>
      <c r="CK44" t="e">
        <f t="shared" si="80"/>
        <v>#N/A</v>
      </c>
      <c r="CL44" t="e">
        <f t="shared" si="81"/>
        <v>#N/A</v>
      </c>
      <c r="CM44" t="e">
        <f t="shared" si="82"/>
        <v>#N/A</v>
      </c>
      <c r="CN44" t="e">
        <f t="shared" si="83"/>
        <v>#N/A</v>
      </c>
      <c r="CO44" t="e">
        <f t="shared" si="84"/>
        <v>#N/A</v>
      </c>
      <c r="CP44" t="e">
        <f t="shared" si="85"/>
        <v>#N/A</v>
      </c>
      <c r="CQ44" t="e">
        <f t="shared" si="86"/>
        <v>#N/A</v>
      </c>
      <c r="CR44" t="e">
        <f t="shared" si="87"/>
        <v>#N/A</v>
      </c>
      <c r="CS44" t="e">
        <f t="shared" si="88"/>
        <v>#N/A</v>
      </c>
      <c r="CT44" t="e">
        <f t="shared" si="89"/>
        <v>#N/A</v>
      </c>
      <c r="CU44" t="e">
        <f t="shared" si="90"/>
        <v>#N/A</v>
      </c>
      <c r="CV44" t="e">
        <f t="shared" si="91"/>
        <v>#N/A</v>
      </c>
      <c r="CW44" t="e">
        <f t="shared" si="91"/>
        <v>#N/A</v>
      </c>
      <c r="CX44" t="e">
        <f t="shared" si="91"/>
        <v>#N/A</v>
      </c>
      <c r="CY44" t="e">
        <f t="shared" si="91"/>
        <v>#N/A</v>
      </c>
      <c r="CZ44" t="e">
        <f t="shared" si="93"/>
        <v>#N/A</v>
      </c>
      <c r="DA44" t="e">
        <f t="shared" si="93"/>
        <v>#N/A</v>
      </c>
    </row>
    <row r="45" spans="1:105" x14ac:dyDescent="0.35">
      <c r="I45" s="12" t="e" vm="2">
        <f ca="1">'Required Capacity (Hide)'!E45</f>
        <v>#VALUE!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  <c r="CA45" t="e">
        <f t="shared" si="70"/>
        <v>#N/A</v>
      </c>
      <c r="CB45" t="e">
        <f t="shared" si="71"/>
        <v>#N/A</v>
      </c>
      <c r="CC45" t="e">
        <f t="shared" si="72"/>
        <v>#N/A</v>
      </c>
      <c r="CD45" t="e">
        <f t="shared" si="73"/>
        <v>#N/A</v>
      </c>
      <c r="CE45" t="e">
        <f t="shared" si="74"/>
        <v>#N/A</v>
      </c>
      <c r="CF45" t="e">
        <f t="shared" si="75"/>
        <v>#N/A</v>
      </c>
      <c r="CG45" t="e">
        <f t="shared" si="76"/>
        <v>#N/A</v>
      </c>
      <c r="CH45" t="e">
        <f t="shared" si="77"/>
        <v>#N/A</v>
      </c>
      <c r="CI45" t="e">
        <f t="shared" si="78"/>
        <v>#N/A</v>
      </c>
      <c r="CJ45" t="e">
        <f t="shared" si="79"/>
        <v>#N/A</v>
      </c>
      <c r="CK45" t="e">
        <f t="shared" si="80"/>
        <v>#N/A</v>
      </c>
      <c r="CL45" t="e">
        <f t="shared" si="81"/>
        <v>#N/A</v>
      </c>
      <c r="CM45" t="e">
        <f t="shared" si="82"/>
        <v>#N/A</v>
      </c>
      <c r="CN45" t="e">
        <f t="shared" si="83"/>
        <v>#N/A</v>
      </c>
      <c r="CO45" t="e">
        <f t="shared" si="84"/>
        <v>#N/A</v>
      </c>
      <c r="CP45" t="e">
        <f t="shared" si="85"/>
        <v>#N/A</v>
      </c>
      <c r="CQ45" t="e">
        <f t="shared" si="86"/>
        <v>#N/A</v>
      </c>
      <c r="CR45" t="e">
        <f t="shared" si="87"/>
        <v>#N/A</v>
      </c>
      <c r="CS45" t="e">
        <f t="shared" si="88"/>
        <v>#N/A</v>
      </c>
      <c r="CT45" t="e">
        <f t="shared" si="89"/>
        <v>#N/A</v>
      </c>
      <c r="CU45" t="e">
        <f t="shared" si="90"/>
        <v>#N/A</v>
      </c>
      <c r="CV45" t="e">
        <f t="shared" si="91"/>
        <v>#N/A</v>
      </c>
      <c r="CW45" t="e">
        <f t="shared" si="91"/>
        <v>#N/A</v>
      </c>
      <c r="CX45" t="e">
        <f t="shared" si="91"/>
        <v>#N/A</v>
      </c>
      <c r="CY45" t="e">
        <f t="shared" si="91"/>
        <v>#N/A</v>
      </c>
      <c r="CZ45" t="e">
        <f t="shared" si="93"/>
        <v>#N/A</v>
      </c>
      <c r="DA45" t="e">
        <f t="shared" si="93"/>
        <v>#N/A</v>
      </c>
    </row>
    <row r="46" spans="1:105" x14ac:dyDescent="0.35">
      <c r="I46" s="12" t="e" vm="2">
        <f ca="1">'Required Capacity (Hide)'!E46</f>
        <v>#VALUE!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  <c r="CA46" t="e">
        <f t="shared" si="70"/>
        <v>#N/A</v>
      </c>
      <c r="CB46" t="e">
        <f t="shared" si="71"/>
        <v>#N/A</v>
      </c>
      <c r="CC46" t="e">
        <f t="shared" si="72"/>
        <v>#N/A</v>
      </c>
      <c r="CD46" t="e">
        <f t="shared" si="73"/>
        <v>#N/A</v>
      </c>
      <c r="CE46" t="e">
        <f t="shared" si="74"/>
        <v>#N/A</v>
      </c>
      <c r="CF46" t="e">
        <f t="shared" si="75"/>
        <v>#N/A</v>
      </c>
      <c r="CG46" t="e">
        <f t="shared" si="76"/>
        <v>#N/A</v>
      </c>
      <c r="CH46" t="e">
        <f t="shared" si="77"/>
        <v>#N/A</v>
      </c>
      <c r="CI46" t="e">
        <f t="shared" si="78"/>
        <v>#N/A</v>
      </c>
      <c r="CJ46" t="e">
        <f t="shared" si="79"/>
        <v>#N/A</v>
      </c>
      <c r="CK46" t="e">
        <f t="shared" si="80"/>
        <v>#N/A</v>
      </c>
      <c r="CL46" t="e">
        <f t="shared" si="81"/>
        <v>#N/A</v>
      </c>
      <c r="CM46" t="e">
        <f t="shared" si="82"/>
        <v>#N/A</v>
      </c>
      <c r="CN46" t="e">
        <f t="shared" si="83"/>
        <v>#N/A</v>
      </c>
      <c r="CO46" t="e">
        <f t="shared" si="84"/>
        <v>#N/A</v>
      </c>
      <c r="CP46" t="e">
        <f t="shared" si="85"/>
        <v>#N/A</v>
      </c>
      <c r="CQ46" t="e">
        <f t="shared" si="86"/>
        <v>#N/A</v>
      </c>
      <c r="CR46" t="e">
        <f t="shared" si="87"/>
        <v>#N/A</v>
      </c>
      <c r="CS46" t="e">
        <f t="shared" si="88"/>
        <v>#N/A</v>
      </c>
      <c r="CT46" t="e">
        <f t="shared" si="89"/>
        <v>#N/A</v>
      </c>
      <c r="CU46" t="e">
        <f t="shared" si="90"/>
        <v>#N/A</v>
      </c>
      <c r="CV46" t="e">
        <f t="shared" si="91"/>
        <v>#N/A</v>
      </c>
      <c r="CW46" t="e">
        <f t="shared" si="91"/>
        <v>#N/A</v>
      </c>
      <c r="CX46" t="e">
        <f t="shared" si="91"/>
        <v>#N/A</v>
      </c>
      <c r="CY46" t="e">
        <f t="shared" si="91"/>
        <v>#N/A</v>
      </c>
      <c r="CZ46" t="e">
        <f t="shared" si="93"/>
        <v>#N/A</v>
      </c>
      <c r="DA46" t="e">
        <f t="shared" si="93"/>
        <v>#N/A</v>
      </c>
    </row>
    <row r="47" spans="1:105" x14ac:dyDescent="0.35">
      <c r="I47" s="12" t="e" vm="2">
        <f ca="1">'Required Capacity (Hide)'!E47</f>
        <v>#VALUE!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  <c r="CA47" t="e">
        <f t="shared" si="70"/>
        <v>#N/A</v>
      </c>
      <c r="CB47" t="e">
        <f t="shared" si="71"/>
        <v>#N/A</v>
      </c>
      <c r="CC47" t="e">
        <f t="shared" si="72"/>
        <v>#N/A</v>
      </c>
      <c r="CD47" t="e">
        <f t="shared" si="73"/>
        <v>#N/A</v>
      </c>
      <c r="CE47" t="e">
        <f t="shared" si="74"/>
        <v>#N/A</v>
      </c>
      <c r="CF47" t="e">
        <f t="shared" si="75"/>
        <v>#N/A</v>
      </c>
      <c r="CG47" t="e">
        <f t="shared" si="76"/>
        <v>#N/A</v>
      </c>
      <c r="CH47" t="e">
        <f t="shared" si="77"/>
        <v>#N/A</v>
      </c>
      <c r="CI47" t="e">
        <f t="shared" si="78"/>
        <v>#N/A</v>
      </c>
      <c r="CJ47" t="e">
        <f t="shared" si="79"/>
        <v>#N/A</v>
      </c>
      <c r="CK47" t="e">
        <f t="shared" si="80"/>
        <v>#N/A</v>
      </c>
      <c r="CL47" t="e">
        <f t="shared" si="81"/>
        <v>#N/A</v>
      </c>
      <c r="CM47" t="e">
        <f t="shared" si="82"/>
        <v>#N/A</v>
      </c>
      <c r="CN47" t="e">
        <f t="shared" si="83"/>
        <v>#N/A</v>
      </c>
      <c r="CO47" t="e">
        <f t="shared" si="84"/>
        <v>#N/A</v>
      </c>
      <c r="CP47" t="e">
        <f t="shared" si="85"/>
        <v>#N/A</v>
      </c>
      <c r="CQ47" t="e">
        <f t="shared" si="86"/>
        <v>#N/A</v>
      </c>
      <c r="CR47" t="e">
        <f t="shared" si="87"/>
        <v>#N/A</v>
      </c>
      <c r="CS47" t="e">
        <f t="shared" si="88"/>
        <v>#N/A</v>
      </c>
      <c r="CT47" t="e">
        <f t="shared" si="89"/>
        <v>#N/A</v>
      </c>
      <c r="CU47" t="e">
        <f t="shared" si="90"/>
        <v>#N/A</v>
      </c>
      <c r="CV47" t="e">
        <f t="shared" si="91"/>
        <v>#N/A</v>
      </c>
      <c r="CW47" t="e">
        <f t="shared" si="91"/>
        <v>#N/A</v>
      </c>
      <c r="CX47" t="e">
        <f t="shared" si="91"/>
        <v>#N/A</v>
      </c>
      <c r="CY47" t="e">
        <f t="shared" si="91"/>
        <v>#N/A</v>
      </c>
      <c r="CZ47" t="e">
        <f t="shared" si="93"/>
        <v>#N/A</v>
      </c>
      <c r="DA47" t="e">
        <f t="shared" si="93"/>
        <v>#N/A</v>
      </c>
    </row>
    <row r="48" spans="1:105" x14ac:dyDescent="0.35">
      <c r="I48" s="12" t="e" vm="2">
        <f ca="1">'Required Capacity (Hide)'!E48</f>
        <v>#VALUE!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  <c r="CA48" t="e">
        <f t="shared" si="70"/>
        <v>#N/A</v>
      </c>
      <c r="CB48" t="e">
        <f t="shared" si="71"/>
        <v>#N/A</v>
      </c>
      <c r="CC48" t="e">
        <f t="shared" si="72"/>
        <v>#N/A</v>
      </c>
      <c r="CD48" t="e">
        <f t="shared" si="73"/>
        <v>#N/A</v>
      </c>
      <c r="CE48" t="e">
        <f t="shared" si="74"/>
        <v>#N/A</v>
      </c>
      <c r="CF48" t="e">
        <f t="shared" si="75"/>
        <v>#N/A</v>
      </c>
      <c r="CG48" t="e">
        <f t="shared" si="76"/>
        <v>#N/A</v>
      </c>
      <c r="CH48" t="e">
        <f t="shared" si="77"/>
        <v>#N/A</v>
      </c>
      <c r="CI48" t="e">
        <f t="shared" si="78"/>
        <v>#N/A</v>
      </c>
      <c r="CJ48" t="e">
        <f t="shared" si="79"/>
        <v>#N/A</v>
      </c>
      <c r="CK48" t="e">
        <f t="shared" si="80"/>
        <v>#N/A</v>
      </c>
      <c r="CL48" t="e">
        <f t="shared" si="81"/>
        <v>#N/A</v>
      </c>
      <c r="CM48" t="e">
        <f t="shared" si="82"/>
        <v>#N/A</v>
      </c>
      <c r="CN48" t="e">
        <f t="shared" si="83"/>
        <v>#N/A</v>
      </c>
      <c r="CO48" t="e">
        <f t="shared" si="84"/>
        <v>#N/A</v>
      </c>
      <c r="CP48" t="e">
        <f t="shared" si="85"/>
        <v>#N/A</v>
      </c>
      <c r="CQ48" t="e">
        <f t="shared" si="86"/>
        <v>#N/A</v>
      </c>
      <c r="CR48" t="e">
        <f t="shared" si="87"/>
        <v>#N/A</v>
      </c>
      <c r="CS48" t="e">
        <f t="shared" si="88"/>
        <v>#N/A</v>
      </c>
      <c r="CT48" t="e">
        <f t="shared" si="89"/>
        <v>#N/A</v>
      </c>
      <c r="CU48" t="e">
        <f t="shared" si="90"/>
        <v>#N/A</v>
      </c>
      <c r="CV48" t="e">
        <f t="shared" si="91"/>
        <v>#N/A</v>
      </c>
      <c r="CW48" t="e">
        <f t="shared" si="91"/>
        <v>#N/A</v>
      </c>
      <c r="CX48" t="e">
        <f t="shared" si="91"/>
        <v>#N/A</v>
      </c>
      <c r="CY48" t="e">
        <f t="shared" si="91"/>
        <v>#N/A</v>
      </c>
      <c r="CZ48" t="e">
        <f t="shared" si="93"/>
        <v>#N/A</v>
      </c>
      <c r="DA48" t="e">
        <f t="shared" si="93"/>
        <v>#N/A</v>
      </c>
    </row>
    <row r="49" spans="8:105" x14ac:dyDescent="0.35">
      <c r="I49" s="12" t="e" vm="2">
        <f ca="1">'Required Capacity (Hide)'!E49</f>
        <v>#VALUE!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  <c r="CA49" t="e">
        <f t="shared" si="70"/>
        <v>#N/A</v>
      </c>
      <c r="CB49" t="e">
        <f t="shared" si="71"/>
        <v>#N/A</v>
      </c>
      <c r="CC49" t="e">
        <f t="shared" si="72"/>
        <v>#N/A</v>
      </c>
      <c r="CD49" t="e">
        <f t="shared" si="73"/>
        <v>#N/A</v>
      </c>
      <c r="CE49" t="e">
        <f t="shared" si="74"/>
        <v>#N/A</v>
      </c>
      <c r="CF49" t="e">
        <f t="shared" si="75"/>
        <v>#N/A</v>
      </c>
      <c r="CG49" t="e">
        <f t="shared" si="76"/>
        <v>#N/A</v>
      </c>
      <c r="CH49" t="e">
        <f t="shared" si="77"/>
        <v>#N/A</v>
      </c>
      <c r="CI49" t="e">
        <f t="shared" si="78"/>
        <v>#N/A</v>
      </c>
      <c r="CJ49" t="e">
        <f t="shared" si="79"/>
        <v>#N/A</v>
      </c>
      <c r="CK49" t="e">
        <f t="shared" si="80"/>
        <v>#N/A</v>
      </c>
      <c r="CL49" t="e">
        <f t="shared" si="81"/>
        <v>#N/A</v>
      </c>
      <c r="CM49" t="e">
        <f t="shared" si="82"/>
        <v>#N/A</v>
      </c>
      <c r="CN49" t="e">
        <f t="shared" si="83"/>
        <v>#N/A</v>
      </c>
      <c r="CO49" t="e">
        <f t="shared" si="84"/>
        <v>#N/A</v>
      </c>
      <c r="CP49" t="e">
        <f t="shared" si="85"/>
        <v>#N/A</v>
      </c>
      <c r="CQ49" t="e">
        <f t="shared" si="86"/>
        <v>#N/A</v>
      </c>
      <c r="CR49" t="e">
        <f t="shared" si="87"/>
        <v>#N/A</v>
      </c>
      <c r="CS49" t="e">
        <f t="shared" si="88"/>
        <v>#N/A</v>
      </c>
      <c r="CT49" t="e">
        <f t="shared" si="89"/>
        <v>#N/A</v>
      </c>
      <c r="CU49" t="e">
        <f t="shared" si="90"/>
        <v>#N/A</v>
      </c>
      <c r="CV49" t="e">
        <f t="shared" si="91"/>
        <v>#N/A</v>
      </c>
      <c r="CW49" t="e">
        <f t="shared" si="91"/>
        <v>#N/A</v>
      </c>
      <c r="CX49" t="e">
        <f t="shared" si="91"/>
        <v>#N/A</v>
      </c>
      <c r="CY49" t="e">
        <f t="shared" si="91"/>
        <v>#N/A</v>
      </c>
      <c r="CZ49" t="e">
        <f t="shared" si="93"/>
        <v>#N/A</v>
      </c>
      <c r="DA49" t="e">
        <f t="shared" si="93"/>
        <v>#N/A</v>
      </c>
    </row>
    <row r="50" spans="8:105" x14ac:dyDescent="0.35">
      <c r="I50" s="12" t="e" vm="2">
        <f ca="1">'Required Capacity (Hide)'!E50</f>
        <v>#VALUE!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  <c r="CA50" t="e">
        <f t="shared" si="70"/>
        <v>#N/A</v>
      </c>
      <c r="CB50" t="e">
        <f t="shared" si="71"/>
        <v>#N/A</v>
      </c>
      <c r="CC50" t="e">
        <f t="shared" si="72"/>
        <v>#N/A</v>
      </c>
      <c r="CD50" t="e">
        <f t="shared" si="73"/>
        <v>#N/A</v>
      </c>
      <c r="CE50" t="e">
        <f t="shared" si="74"/>
        <v>#N/A</v>
      </c>
      <c r="CF50" t="e">
        <f t="shared" si="75"/>
        <v>#N/A</v>
      </c>
      <c r="CG50" t="e">
        <f t="shared" si="76"/>
        <v>#N/A</v>
      </c>
      <c r="CH50" t="e">
        <f t="shared" si="77"/>
        <v>#N/A</v>
      </c>
      <c r="CI50" t="e">
        <f t="shared" si="78"/>
        <v>#N/A</v>
      </c>
      <c r="CJ50" t="e">
        <f t="shared" si="79"/>
        <v>#N/A</v>
      </c>
      <c r="CK50" t="e">
        <f t="shared" si="80"/>
        <v>#N/A</v>
      </c>
      <c r="CL50" t="e">
        <f t="shared" si="81"/>
        <v>#N/A</v>
      </c>
      <c r="CM50" t="e">
        <f t="shared" si="82"/>
        <v>#N/A</v>
      </c>
      <c r="CN50" t="e">
        <f t="shared" si="83"/>
        <v>#N/A</v>
      </c>
      <c r="CO50" t="e">
        <f t="shared" si="84"/>
        <v>#N/A</v>
      </c>
      <c r="CP50" t="e">
        <f t="shared" si="85"/>
        <v>#N/A</v>
      </c>
      <c r="CQ50" t="e">
        <f t="shared" si="86"/>
        <v>#N/A</v>
      </c>
      <c r="CR50" t="e">
        <f t="shared" si="87"/>
        <v>#N/A</v>
      </c>
      <c r="CS50" t="e">
        <f t="shared" si="88"/>
        <v>#N/A</v>
      </c>
      <c r="CT50" t="e">
        <f t="shared" si="89"/>
        <v>#N/A</v>
      </c>
      <c r="CU50" t="e">
        <f t="shared" si="90"/>
        <v>#N/A</v>
      </c>
      <c r="CV50" t="e">
        <f t="shared" si="91"/>
        <v>#N/A</v>
      </c>
      <c r="CW50" t="e">
        <f t="shared" si="91"/>
        <v>#N/A</v>
      </c>
      <c r="CX50" t="e">
        <f t="shared" si="91"/>
        <v>#N/A</v>
      </c>
      <c r="CY50" t="e">
        <f t="shared" si="91"/>
        <v>#N/A</v>
      </c>
      <c r="CZ50" t="e">
        <f t="shared" si="93"/>
        <v>#N/A</v>
      </c>
      <c r="DA50" t="e">
        <f t="shared" si="93"/>
        <v>#N/A</v>
      </c>
    </row>
    <row r="51" spans="8:105" x14ac:dyDescent="0.35">
      <c r="I51" s="12" t="e" vm="2">
        <f ca="1">'Required Capacity (Hide)'!E51</f>
        <v>#VALUE!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  <c r="CA51" t="e">
        <f t="shared" si="70"/>
        <v>#N/A</v>
      </c>
      <c r="CB51" t="e">
        <f t="shared" si="71"/>
        <v>#N/A</v>
      </c>
      <c r="CC51" t="e">
        <f t="shared" si="72"/>
        <v>#N/A</v>
      </c>
      <c r="CD51" t="e">
        <f t="shared" si="73"/>
        <v>#N/A</v>
      </c>
      <c r="CE51" t="e">
        <f t="shared" si="74"/>
        <v>#N/A</v>
      </c>
      <c r="CF51" t="e">
        <f t="shared" si="75"/>
        <v>#N/A</v>
      </c>
      <c r="CG51" t="e">
        <f t="shared" si="76"/>
        <v>#N/A</v>
      </c>
      <c r="CH51" t="e">
        <f t="shared" si="77"/>
        <v>#N/A</v>
      </c>
      <c r="CI51" t="e">
        <f t="shared" si="78"/>
        <v>#N/A</v>
      </c>
      <c r="CJ51" t="e">
        <f t="shared" si="79"/>
        <v>#N/A</v>
      </c>
      <c r="CK51" t="e">
        <f t="shared" si="80"/>
        <v>#N/A</v>
      </c>
      <c r="CL51" t="e">
        <f t="shared" si="81"/>
        <v>#N/A</v>
      </c>
      <c r="CM51" t="e">
        <f t="shared" si="82"/>
        <v>#N/A</v>
      </c>
      <c r="CN51" t="e">
        <f t="shared" si="83"/>
        <v>#N/A</v>
      </c>
      <c r="CO51" t="e">
        <f t="shared" si="84"/>
        <v>#N/A</v>
      </c>
      <c r="CP51" t="e">
        <f t="shared" si="85"/>
        <v>#N/A</v>
      </c>
      <c r="CQ51" t="e">
        <f t="shared" si="86"/>
        <v>#N/A</v>
      </c>
      <c r="CR51" t="e">
        <f t="shared" si="87"/>
        <v>#N/A</v>
      </c>
      <c r="CS51" t="e">
        <f t="shared" si="88"/>
        <v>#N/A</v>
      </c>
      <c r="CT51" t="e">
        <f t="shared" si="89"/>
        <v>#N/A</v>
      </c>
      <c r="CU51" t="e">
        <f t="shared" si="90"/>
        <v>#N/A</v>
      </c>
      <c r="CV51" t="e">
        <f t="shared" si="91"/>
        <v>#N/A</v>
      </c>
      <c r="CW51" t="e">
        <f t="shared" si="91"/>
        <v>#N/A</v>
      </c>
      <c r="CX51" t="e">
        <f t="shared" si="91"/>
        <v>#N/A</v>
      </c>
      <c r="CY51" t="e">
        <f t="shared" si="91"/>
        <v>#N/A</v>
      </c>
      <c r="CZ51" t="e">
        <f t="shared" si="93"/>
        <v>#N/A</v>
      </c>
      <c r="DA51" t="e">
        <f t="shared" si="93"/>
        <v>#N/A</v>
      </c>
    </row>
    <row r="52" spans="8:105" x14ac:dyDescent="0.35">
      <c r="I52" s="12" t="e" vm="2">
        <f ca="1">'Required Capacity (Hide)'!E52</f>
        <v>#VALUE!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  <c r="CA52" t="e">
        <f t="shared" si="70"/>
        <v>#N/A</v>
      </c>
      <c r="CB52" t="e">
        <f t="shared" si="71"/>
        <v>#N/A</v>
      </c>
      <c r="CC52" t="e">
        <f t="shared" si="72"/>
        <v>#N/A</v>
      </c>
      <c r="CD52" t="e">
        <f t="shared" si="73"/>
        <v>#N/A</v>
      </c>
      <c r="CE52" t="e">
        <f t="shared" si="74"/>
        <v>#N/A</v>
      </c>
      <c r="CF52" t="e">
        <f t="shared" si="75"/>
        <v>#N/A</v>
      </c>
      <c r="CG52" t="e">
        <f t="shared" si="76"/>
        <v>#N/A</v>
      </c>
      <c r="CH52" t="e">
        <f t="shared" si="77"/>
        <v>#N/A</v>
      </c>
      <c r="CI52" t="e">
        <f t="shared" si="78"/>
        <v>#N/A</v>
      </c>
      <c r="CJ52" t="e">
        <f t="shared" si="79"/>
        <v>#N/A</v>
      </c>
      <c r="CK52" t="e">
        <f t="shared" si="80"/>
        <v>#N/A</v>
      </c>
      <c r="CL52" t="e">
        <f t="shared" si="81"/>
        <v>#N/A</v>
      </c>
      <c r="CM52" t="e">
        <f t="shared" si="82"/>
        <v>#N/A</v>
      </c>
      <c r="CN52" t="e">
        <f t="shared" si="83"/>
        <v>#N/A</v>
      </c>
      <c r="CO52" t="e">
        <f t="shared" si="84"/>
        <v>#N/A</v>
      </c>
      <c r="CP52" t="e">
        <f t="shared" si="85"/>
        <v>#N/A</v>
      </c>
      <c r="CQ52" t="e">
        <f t="shared" si="86"/>
        <v>#N/A</v>
      </c>
      <c r="CR52" t="e">
        <f t="shared" si="87"/>
        <v>#N/A</v>
      </c>
      <c r="CS52" t="e">
        <f t="shared" si="88"/>
        <v>#N/A</v>
      </c>
      <c r="CT52" t="e">
        <f t="shared" si="89"/>
        <v>#N/A</v>
      </c>
      <c r="CU52" t="e">
        <f t="shared" si="90"/>
        <v>#N/A</v>
      </c>
      <c r="CV52" t="e">
        <f t="shared" si="91"/>
        <v>#N/A</v>
      </c>
      <c r="CW52" t="e">
        <f t="shared" si="91"/>
        <v>#N/A</v>
      </c>
      <c r="CX52" t="e">
        <f t="shared" si="91"/>
        <v>#N/A</v>
      </c>
      <c r="CY52" t="e">
        <f t="shared" si="91"/>
        <v>#N/A</v>
      </c>
      <c r="CZ52" t="e">
        <f t="shared" si="93"/>
        <v>#N/A</v>
      </c>
      <c r="DA52" t="e">
        <f t="shared" si="93"/>
        <v>#N/A</v>
      </c>
    </row>
    <row r="53" spans="8:105" x14ac:dyDescent="0.35">
      <c r="I53" s="12" t="e" vm="2">
        <f ca="1">'Required Capacity (Hide)'!E53</f>
        <v>#VALUE!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  <c r="CA53" t="e">
        <f t="shared" si="70"/>
        <v>#N/A</v>
      </c>
      <c r="CB53" t="e">
        <f t="shared" si="71"/>
        <v>#N/A</v>
      </c>
      <c r="CC53" t="e">
        <f t="shared" si="72"/>
        <v>#N/A</v>
      </c>
      <c r="CD53" t="e">
        <f t="shared" si="73"/>
        <v>#N/A</v>
      </c>
      <c r="CE53" t="e">
        <f t="shared" si="74"/>
        <v>#N/A</v>
      </c>
      <c r="CF53" t="e">
        <f t="shared" si="75"/>
        <v>#N/A</v>
      </c>
      <c r="CG53" t="e">
        <f t="shared" si="76"/>
        <v>#N/A</v>
      </c>
      <c r="CH53" t="e">
        <f t="shared" si="77"/>
        <v>#N/A</v>
      </c>
      <c r="CI53" t="e">
        <f t="shared" si="78"/>
        <v>#N/A</v>
      </c>
      <c r="CJ53" t="e">
        <f t="shared" si="79"/>
        <v>#N/A</v>
      </c>
      <c r="CK53" t="e">
        <f t="shared" si="80"/>
        <v>#N/A</v>
      </c>
      <c r="CL53" t="e">
        <f t="shared" si="81"/>
        <v>#N/A</v>
      </c>
      <c r="CM53" t="e">
        <f t="shared" si="82"/>
        <v>#N/A</v>
      </c>
      <c r="CN53" t="e">
        <f t="shared" si="83"/>
        <v>#N/A</v>
      </c>
      <c r="CO53" t="e">
        <f t="shared" si="84"/>
        <v>#N/A</v>
      </c>
      <c r="CP53" t="e">
        <f t="shared" si="85"/>
        <v>#N/A</v>
      </c>
      <c r="CQ53" t="e">
        <f t="shared" si="86"/>
        <v>#N/A</v>
      </c>
      <c r="CR53" t="e">
        <f t="shared" si="87"/>
        <v>#N/A</v>
      </c>
      <c r="CS53" t="e">
        <f t="shared" si="88"/>
        <v>#N/A</v>
      </c>
      <c r="CT53" t="e">
        <f t="shared" si="89"/>
        <v>#N/A</v>
      </c>
      <c r="CU53" t="e">
        <f t="shared" si="90"/>
        <v>#N/A</v>
      </c>
      <c r="CV53" t="e">
        <f t="shared" si="91"/>
        <v>#N/A</v>
      </c>
      <c r="CW53" t="e">
        <f t="shared" si="91"/>
        <v>#N/A</v>
      </c>
      <c r="CX53" t="e">
        <f t="shared" si="91"/>
        <v>#N/A</v>
      </c>
      <c r="CY53" t="e">
        <f t="shared" si="91"/>
        <v>#N/A</v>
      </c>
      <c r="CZ53" t="e">
        <f t="shared" si="93"/>
        <v>#N/A</v>
      </c>
      <c r="DA53" t="e">
        <f t="shared" si="93"/>
        <v>#N/A</v>
      </c>
    </row>
    <row r="54" spans="8:105" x14ac:dyDescent="0.35">
      <c r="I54" s="12" t="e" vm="2">
        <f ca="1">'Required Capacity (Hide)'!E54</f>
        <v>#VALUE!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  <c r="CA54" t="e">
        <f t="shared" si="70"/>
        <v>#N/A</v>
      </c>
      <c r="CB54" t="e">
        <f t="shared" si="71"/>
        <v>#N/A</v>
      </c>
      <c r="CC54" t="e">
        <f t="shared" si="72"/>
        <v>#N/A</v>
      </c>
      <c r="CD54" t="e">
        <f t="shared" si="73"/>
        <v>#N/A</v>
      </c>
      <c r="CE54" t="e">
        <f t="shared" si="74"/>
        <v>#N/A</v>
      </c>
      <c r="CF54" t="e">
        <f t="shared" si="75"/>
        <v>#N/A</v>
      </c>
      <c r="CG54" t="e">
        <f t="shared" si="76"/>
        <v>#N/A</v>
      </c>
      <c r="CH54" t="e">
        <f t="shared" si="77"/>
        <v>#N/A</v>
      </c>
      <c r="CI54" t="e">
        <f t="shared" si="78"/>
        <v>#N/A</v>
      </c>
      <c r="CJ54" t="e">
        <f t="shared" si="79"/>
        <v>#N/A</v>
      </c>
      <c r="CK54" t="e">
        <f t="shared" si="80"/>
        <v>#N/A</v>
      </c>
      <c r="CL54" t="e">
        <f t="shared" si="81"/>
        <v>#N/A</v>
      </c>
      <c r="CM54" t="e">
        <f t="shared" si="82"/>
        <v>#N/A</v>
      </c>
      <c r="CN54" t="e">
        <f t="shared" si="83"/>
        <v>#N/A</v>
      </c>
      <c r="CO54" t="e">
        <f t="shared" si="84"/>
        <v>#N/A</v>
      </c>
      <c r="CP54" t="e">
        <f t="shared" si="85"/>
        <v>#N/A</v>
      </c>
      <c r="CQ54" t="e">
        <f t="shared" si="86"/>
        <v>#N/A</v>
      </c>
      <c r="CR54" t="e">
        <f t="shared" si="87"/>
        <v>#N/A</v>
      </c>
      <c r="CS54" t="e">
        <f t="shared" si="88"/>
        <v>#N/A</v>
      </c>
      <c r="CT54" t="e">
        <f t="shared" si="89"/>
        <v>#N/A</v>
      </c>
      <c r="CU54" t="e">
        <f t="shared" si="90"/>
        <v>#N/A</v>
      </c>
      <c r="CV54" t="e">
        <f t="shared" si="91"/>
        <v>#N/A</v>
      </c>
      <c r="CW54" t="e">
        <f t="shared" si="91"/>
        <v>#N/A</v>
      </c>
      <c r="CX54" t="e">
        <f t="shared" si="91"/>
        <v>#N/A</v>
      </c>
      <c r="CY54" t="e">
        <f t="shared" si="91"/>
        <v>#N/A</v>
      </c>
      <c r="CZ54" t="e">
        <f t="shared" si="93"/>
        <v>#N/A</v>
      </c>
      <c r="DA54" t="e">
        <f t="shared" si="93"/>
        <v>#N/A</v>
      </c>
    </row>
    <row r="55" spans="8:105" x14ac:dyDescent="0.35">
      <c r="I55" s="12" t="e" vm="2">
        <f ca="1">'Required Capacity (Hide)'!E55</f>
        <v>#VALUE!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  <c r="CA55" t="e">
        <f t="shared" si="70"/>
        <v>#N/A</v>
      </c>
      <c r="CB55" t="e">
        <f t="shared" si="71"/>
        <v>#N/A</v>
      </c>
      <c r="CC55" t="e">
        <f t="shared" si="72"/>
        <v>#N/A</v>
      </c>
      <c r="CD55" t="e">
        <f t="shared" si="73"/>
        <v>#N/A</v>
      </c>
      <c r="CE55" t="e">
        <f t="shared" si="74"/>
        <v>#N/A</v>
      </c>
      <c r="CF55" t="e">
        <f t="shared" si="75"/>
        <v>#N/A</v>
      </c>
      <c r="CG55" t="e">
        <f t="shared" si="76"/>
        <v>#N/A</v>
      </c>
      <c r="CH55" t="e">
        <f t="shared" si="77"/>
        <v>#N/A</v>
      </c>
      <c r="CI55" t="e">
        <f t="shared" si="78"/>
        <v>#N/A</v>
      </c>
      <c r="CJ55" t="e">
        <f t="shared" si="79"/>
        <v>#N/A</v>
      </c>
      <c r="CK55" t="e">
        <f t="shared" si="80"/>
        <v>#N/A</v>
      </c>
      <c r="CL55" t="e">
        <f t="shared" si="81"/>
        <v>#N/A</v>
      </c>
      <c r="CM55" t="e">
        <f t="shared" si="82"/>
        <v>#N/A</v>
      </c>
      <c r="CN55" t="e">
        <f t="shared" si="83"/>
        <v>#N/A</v>
      </c>
      <c r="CO55" t="e">
        <f t="shared" si="84"/>
        <v>#N/A</v>
      </c>
      <c r="CP55" t="e">
        <f t="shared" si="85"/>
        <v>#N/A</v>
      </c>
      <c r="CQ55" t="e">
        <f t="shared" si="86"/>
        <v>#N/A</v>
      </c>
      <c r="CR55" t="e">
        <f t="shared" si="87"/>
        <v>#N/A</v>
      </c>
      <c r="CS55" t="e">
        <f t="shared" si="88"/>
        <v>#N/A</v>
      </c>
      <c r="CT55" t="e">
        <f t="shared" si="89"/>
        <v>#N/A</v>
      </c>
      <c r="CU55" t="e">
        <f t="shared" si="90"/>
        <v>#N/A</v>
      </c>
      <c r="CV55" t="e">
        <f t="shared" si="91"/>
        <v>#N/A</v>
      </c>
      <c r="CW55" t="e">
        <f t="shared" si="91"/>
        <v>#N/A</v>
      </c>
      <c r="CX55" t="e">
        <f t="shared" si="91"/>
        <v>#N/A</v>
      </c>
      <c r="CY55" t="e">
        <f t="shared" si="91"/>
        <v>#N/A</v>
      </c>
      <c r="CZ55" t="e">
        <f t="shared" si="93"/>
        <v>#N/A</v>
      </c>
      <c r="DA55" t="e">
        <f t="shared" si="93"/>
        <v>#N/A</v>
      </c>
    </row>
    <row r="56" spans="8:105" ht="15" thickBot="1" x14ac:dyDescent="0.4">
      <c r="I56" s="13" t="e" vm="2">
        <f ca="1">'Required Capacity (Hide)'!E56</f>
        <v>#VALUE!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  <c r="CA56" t="e">
        <f t="shared" si="70"/>
        <v>#N/A</v>
      </c>
      <c r="CB56" t="e">
        <f t="shared" si="71"/>
        <v>#N/A</v>
      </c>
      <c r="CC56" t="e">
        <f t="shared" si="72"/>
        <v>#N/A</v>
      </c>
      <c r="CD56" t="e">
        <f t="shared" si="73"/>
        <v>#N/A</v>
      </c>
      <c r="CE56" t="e">
        <f t="shared" si="74"/>
        <v>#N/A</v>
      </c>
      <c r="CF56" t="e">
        <f t="shared" si="75"/>
        <v>#N/A</v>
      </c>
      <c r="CG56" t="e">
        <f t="shared" si="76"/>
        <v>#N/A</v>
      </c>
      <c r="CH56" t="e">
        <f t="shared" si="77"/>
        <v>#N/A</v>
      </c>
      <c r="CI56" t="e">
        <f t="shared" si="78"/>
        <v>#N/A</v>
      </c>
      <c r="CJ56" t="e">
        <f t="shared" si="79"/>
        <v>#N/A</v>
      </c>
      <c r="CK56" t="e">
        <f t="shared" si="80"/>
        <v>#N/A</v>
      </c>
      <c r="CL56" t="e">
        <f t="shared" si="81"/>
        <v>#N/A</v>
      </c>
      <c r="CM56" t="e">
        <f t="shared" si="82"/>
        <v>#N/A</v>
      </c>
      <c r="CN56" t="e">
        <f t="shared" si="83"/>
        <v>#N/A</v>
      </c>
      <c r="CO56" t="e">
        <f t="shared" si="84"/>
        <v>#N/A</v>
      </c>
      <c r="CP56" t="e">
        <f t="shared" si="85"/>
        <v>#N/A</v>
      </c>
      <c r="CQ56" t="e">
        <f t="shared" si="86"/>
        <v>#N/A</v>
      </c>
      <c r="CR56" t="e">
        <f t="shared" si="87"/>
        <v>#N/A</v>
      </c>
      <c r="CS56" t="e">
        <f t="shared" si="88"/>
        <v>#N/A</v>
      </c>
      <c r="CT56" t="e">
        <f t="shared" si="89"/>
        <v>#N/A</v>
      </c>
      <c r="CU56" t="e">
        <f t="shared" si="90"/>
        <v>#N/A</v>
      </c>
      <c r="CV56" t="e">
        <f t="shared" si="91"/>
        <v>#N/A</v>
      </c>
      <c r="CW56" t="e">
        <f t="shared" si="91"/>
        <v>#N/A</v>
      </c>
      <c r="CX56" t="e">
        <f t="shared" si="91"/>
        <v>#N/A</v>
      </c>
      <c r="CY56" t="e">
        <f t="shared" si="91"/>
        <v>#N/A</v>
      </c>
      <c r="CZ56" t="e">
        <f t="shared" si="93"/>
        <v>#N/A</v>
      </c>
      <c r="DA56" t="e">
        <f t="shared" si="93"/>
        <v>#N/A</v>
      </c>
    </row>
    <row r="58" spans="8:105" x14ac:dyDescent="0.35">
      <c r="H58" t="s">
        <v>125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126</v>
      </c>
      <c r="J59" s="5" t="e">
        <f>AVERAGE(J5:J56)</f>
        <v>#N/A</v>
      </c>
      <c r="K59" s="5" t="e">
        <f>AVERAGE(K5:K56)-J59</f>
        <v>#N/A</v>
      </c>
      <c r="L59" s="5" t="e">
        <f t="shared" ref="L59" si="96">AVERAGE(L5:L56)</f>
        <v>#N/A</v>
      </c>
      <c r="M59" s="5" t="e">
        <f t="shared" ref="M59" si="97">AVERAGE(M5:M56)-L59</f>
        <v>#N/A</v>
      </c>
      <c r="N59" s="5" t="e">
        <f t="shared" ref="N59" si="98">AVERAGE(N5:N56)</f>
        <v>#N/A</v>
      </c>
      <c r="O59" s="5" t="e">
        <f t="shared" ref="O59" si="99">AVERAGE(O5:O56)-N59</f>
        <v>#N/A</v>
      </c>
      <c r="P59" s="5" t="e">
        <f t="shared" ref="P59" si="100">AVERAGE(P5:P56)</f>
        <v>#N/A</v>
      </c>
      <c r="Q59" s="5" t="e">
        <f t="shared" ref="Q59" si="101">AVERAGE(Q5:Q56)-P59</f>
        <v>#N/A</v>
      </c>
      <c r="R59" s="5" t="e">
        <f t="shared" ref="R59" si="102">AVERAGE(R5:R56)</f>
        <v>#N/A</v>
      </c>
      <c r="S59" s="5" t="e">
        <f t="shared" ref="S59" si="103">AVERAGE(S5:S56)-R59</f>
        <v>#N/A</v>
      </c>
      <c r="T59" s="5" t="e">
        <f t="shared" ref="T59" si="104">AVERAGE(T5:T56)</f>
        <v>#N/A</v>
      </c>
      <c r="U59" s="5" t="e">
        <f t="shared" ref="U59" si="105">AVERAGE(U5:U56)-T59</f>
        <v>#N/A</v>
      </c>
      <c r="V59" s="5" t="e">
        <f t="shared" ref="V59" si="106">AVERAGE(V5:V56)</f>
        <v>#N/A</v>
      </c>
      <c r="W59" s="5" t="e">
        <f t="shared" ref="W59" si="107">AVERAGE(W5:W56)-V59</f>
        <v>#N/A</v>
      </c>
      <c r="X59" s="5" t="e">
        <f t="shared" ref="X59" si="108">AVERAGE(X5:X56)</f>
        <v>#N/A</v>
      </c>
      <c r="Y59" s="5" t="e">
        <f t="shared" ref="Y59" si="109">AVERAGE(Y5:Y56)-X59</f>
        <v>#N/A</v>
      </c>
      <c r="Z59" s="5" t="e">
        <f t="shared" ref="Z59" si="110">AVERAGE(Z5:Z56)</f>
        <v>#N/A</v>
      </c>
      <c r="AA59" s="5" t="e">
        <f t="shared" ref="AA59" si="111">AVERAGE(AA5:AA56)-Z59</f>
        <v>#N/A</v>
      </c>
      <c r="AB59" s="5" t="e">
        <f t="shared" ref="AB59" si="112">AVERAGE(AB5:AB56)</f>
        <v>#N/A</v>
      </c>
      <c r="AC59" s="5" t="e">
        <f t="shared" ref="AC59" si="113">AVERAGE(AC5:AC56)-AB59</f>
        <v>#N/A</v>
      </c>
      <c r="AD59" s="5" t="e">
        <f t="shared" ref="AD59" si="114">AVERAGE(AD5:AD56)</f>
        <v>#N/A</v>
      </c>
      <c r="AE59" s="5" t="e">
        <f t="shared" ref="AE59" si="115">AVERAGE(AE5:AE56)-AD59</f>
        <v>#N/A</v>
      </c>
      <c r="AF59" s="5" t="e">
        <f t="shared" ref="AF59" si="116">AVERAGE(AF5:AF56)</f>
        <v>#N/A</v>
      </c>
      <c r="AG59" s="5" t="e">
        <f t="shared" ref="AG59" si="117">AVERAGE(AG5:AG56)-AF59</f>
        <v>#N/A</v>
      </c>
      <c r="AH59" s="5" t="e">
        <f t="shared" ref="AH59" si="118">AVERAGE(AH5:AH56)</f>
        <v>#N/A</v>
      </c>
      <c r="AI59" s="5" t="e">
        <f t="shared" ref="AI59" si="119">AVERAGE(AI5:AI56)-AH59</f>
        <v>#N/A</v>
      </c>
      <c r="AJ59" s="5" t="e">
        <f t="shared" ref="AJ59" si="120">AVERAGE(AJ5:AJ56)</f>
        <v>#N/A</v>
      </c>
      <c r="AK59" s="5" t="e">
        <f t="shared" ref="AK59" si="121">AVERAGE(AK5:AK56)-AJ59</f>
        <v>#N/A</v>
      </c>
      <c r="AL59" s="5" t="e">
        <f t="shared" ref="AL59" si="122">AVERAGE(AL5:AL56)</f>
        <v>#N/A</v>
      </c>
      <c r="AM59" s="5" t="e">
        <f t="shared" ref="AM59" si="123">AVERAGE(AM5:AM56)-AL59</f>
        <v>#N/A</v>
      </c>
      <c r="AN59" s="5" t="e">
        <f t="shared" ref="AN59" si="124">AVERAGE(AN5:AN56)</f>
        <v>#N/A</v>
      </c>
      <c r="AO59" s="5" t="e">
        <f t="shared" ref="AO59" si="125">AVERAGE(AO5:AO56)-AN59</f>
        <v>#N/A</v>
      </c>
      <c r="AP59" s="5" t="e">
        <f t="shared" ref="AP59" si="126">AVERAGE(AP5:AP56)</f>
        <v>#N/A</v>
      </c>
      <c r="AQ59" s="5" t="e">
        <f t="shared" ref="AQ59" si="127">AVERAGE(AQ5:AQ56)-AP59</f>
        <v>#N/A</v>
      </c>
      <c r="AR59" s="5" t="e">
        <f t="shared" ref="AR59" si="128">AVERAGE(AR5:AR56)</f>
        <v>#N/A</v>
      </c>
      <c r="AS59" s="5" t="e">
        <f t="shared" ref="AS59" si="129">AVERAGE(AS5:AS56)-AR59</f>
        <v>#N/A</v>
      </c>
      <c r="AT59" s="5" t="e">
        <f t="shared" ref="AT59" si="130">AVERAGE(AT5:AT56)</f>
        <v>#N/A</v>
      </c>
      <c r="AU59" s="5" t="e">
        <f t="shared" ref="AU59" si="131">AVERAGE(AU5:AU56)-AT59</f>
        <v>#N/A</v>
      </c>
      <c r="AV59" s="5" t="e">
        <f t="shared" ref="AV59" si="132">AVERAGE(AV5:AV56)</f>
        <v>#N/A</v>
      </c>
      <c r="AW59" s="5" t="e">
        <f t="shared" ref="AW59" si="133">AVERAGE(AW5:AW56)-AV59</f>
        <v>#N/A</v>
      </c>
      <c r="AX59" s="5" t="e">
        <f t="shared" ref="AX59" si="134">AVERAGE(AX5:AX56)</f>
        <v>#N/A</v>
      </c>
      <c r="AY59" s="5" t="e">
        <f t="shared" ref="AY59" si="135">AVERAGE(AY5:AY56)-AX59</f>
        <v>#N/A</v>
      </c>
      <c r="AZ59" s="5" t="e">
        <f t="shared" ref="AZ59" si="136">AVERAGE(AZ5:AZ56)</f>
        <v>#N/A</v>
      </c>
      <c r="BA59" s="5" t="e">
        <f t="shared" ref="BA59" si="137">AVERAGE(BA5:BA56)-AZ59</f>
        <v>#N/A</v>
      </c>
      <c r="BB59" s="5" t="e">
        <f t="shared" ref="BB59" si="138">AVERAGE(BB5:BB56)</f>
        <v>#N/A</v>
      </c>
      <c r="BC59" s="5" t="e">
        <f t="shared" ref="BC59" si="139">AVERAGE(BC5:BC56)-BB59</f>
        <v>#N/A</v>
      </c>
      <c r="BD59" s="5" t="e">
        <f t="shared" ref="BD59" si="140">AVERAGE(BD5:BD56)</f>
        <v>#N/A</v>
      </c>
      <c r="BE59" s="5" t="e">
        <f t="shared" ref="BE59" si="141">AVERAGE(BE5:BE56)-BD59</f>
        <v>#N/A</v>
      </c>
      <c r="BF59" s="5" t="e">
        <f t="shared" ref="BF59" si="142">AVERAGE(BF5:BF56)</f>
        <v>#N/A</v>
      </c>
      <c r="BG59" s="5" t="e">
        <f t="shared" ref="BG59" si="143">AVERAGE(BG5:BG56)-BF59</f>
        <v>#N/A</v>
      </c>
      <c r="BH59" s="5" t="e">
        <f t="shared" ref="BH59" si="144">AVERAGE(BH5:BH56)</f>
        <v>#N/A</v>
      </c>
      <c r="BI59" s="5" t="e">
        <f t="shared" ref="BI59" si="145">AVERAGE(BI5:BI56)-BH59</f>
        <v>#N/A</v>
      </c>
      <c r="BJ59" s="5" t="e">
        <f t="shared" ref="BJ59" si="146">AVERAGE(BJ5:BJ56)</f>
        <v>#N/A</v>
      </c>
      <c r="BK59" s="5" t="e">
        <f t="shared" ref="BK59" si="147">AVERAGE(BK5:BK56)-BJ59</f>
        <v>#N/A</v>
      </c>
      <c r="BL59" s="5" t="e">
        <f t="shared" ref="BL59" si="148">AVERAGE(BL5:BL56)</f>
        <v>#N/A</v>
      </c>
      <c r="BM59" s="5" t="e">
        <f t="shared" ref="BM59" si="149">AVERAGE(BM5:BM56)-BL59</f>
        <v>#N/A</v>
      </c>
      <c r="BN59" s="5" t="e">
        <f t="shared" ref="BN59" si="150">AVERAGE(BN5:BN56)</f>
        <v>#N/A</v>
      </c>
      <c r="BO59" s="5" t="e">
        <f t="shared" ref="BO59" si="151">AVERAGE(BO5:BO56)-BN59</f>
        <v>#N/A</v>
      </c>
      <c r="BP59" s="5" t="e">
        <f t="shared" ref="BP59" si="152">AVERAGE(BP5:BP56)</f>
        <v>#N/A</v>
      </c>
      <c r="BQ59" s="5" t="e">
        <f t="shared" ref="BQ59" si="153">AVERAGE(BQ5:BQ56)-BP59</f>
        <v>#N/A</v>
      </c>
      <c r="BR59" s="5" t="e">
        <f t="shared" ref="BR59" si="154">AVERAGE(BR5:BR56)</f>
        <v>#N/A</v>
      </c>
      <c r="BS59" s="5" t="e">
        <f t="shared" ref="BS59" si="155">AVERAGE(BS5:BS56)-BR59</f>
        <v>#N/A</v>
      </c>
      <c r="BT59" s="5" t="e">
        <f t="shared" ref="BT59" si="156">AVERAGE(BT5:BT56)</f>
        <v>#N/A</v>
      </c>
      <c r="BU59" s="5" t="e">
        <f t="shared" ref="BU59" si="157">AVERAGE(BU5:BU56)-BT59</f>
        <v>#N/A</v>
      </c>
      <c r="BV59" s="5" t="e">
        <f t="shared" ref="BV59" si="158">AVERAGE(BV5:BV56)</f>
        <v>#N/A</v>
      </c>
      <c r="BW59" s="5" t="e">
        <f t="shared" ref="BW59" si="159">AVERAGE(BW5:BW56)-BV59</f>
        <v>#N/A</v>
      </c>
      <c r="BX59" s="5" t="e">
        <f t="shared" ref="BX59" si="160">AVERAGE(BX5:BX56)</f>
        <v>#N/A</v>
      </c>
      <c r="BY59" s="5" t="e">
        <f t="shared" ref="BY59" si="161">AVERAGE(BY5:BY56)-BX59</f>
        <v>#N/A</v>
      </c>
      <c r="BZ59" s="5" t="e">
        <f t="shared" ref="BZ59" si="162">AVERAGE(BZ5:BZ56)</f>
        <v>#N/A</v>
      </c>
      <c r="CA59" s="5" t="e">
        <f t="shared" ref="CA59" si="163">AVERAGE(CA5:CA56)-BZ59</f>
        <v>#N/A</v>
      </c>
      <c r="CB59" s="5" t="e">
        <f t="shared" ref="CB59" si="164">AVERAGE(CB5:CB56)</f>
        <v>#N/A</v>
      </c>
      <c r="CC59" s="5" t="e">
        <f t="shared" ref="CC59" si="165">AVERAGE(CC5:CC56)-CB59</f>
        <v>#N/A</v>
      </c>
      <c r="CD59" s="5" t="e">
        <f t="shared" ref="CD59" si="166">AVERAGE(CD5:CD56)</f>
        <v>#N/A</v>
      </c>
      <c r="CE59" s="5" t="e">
        <f t="shared" ref="CE59" si="167">AVERAGE(CE5:CE56)-CD59</f>
        <v>#N/A</v>
      </c>
      <c r="CF59" s="5" t="e">
        <f t="shared" ref="CF59" si="168">AVERAGE(CF5:CF56)</f>
        <v>#N/A</v>
      </c>
      <c r="CG59" s="5" t="e">
        <f t="shared" ref="CG59" si="169">AVERAGE(CG5:CG56)-CF59</f>
        <v>#N/A</v>
      </c>
      <c r="CH59" s="5" t="e">
        <f t="shared" ref="CH59" si="170">AVERAGE(CH5:CH56)</f>
        <v>#N/A</v>
      </c>
      <c r="CI59" s="5" t="e">
        <f t="shared" ref="CI59" si="171">AVERAGE(CI5:CI56)-CH59</f>
        <v>#N/A</v>
      </c>
      <c r="CJ59" s="5" t="e">
        <f t="shared" ref="CJ59" si="172">AVERAGE(CJ5:CJ56)</f>
        <v>#N/A</v>
      </c>
      <c r="CK59" s="5" t="e">
        <f t="shared" ref="CK59" si="173">AVERAGE(CK5:CK56)-CJ59</f>
        <v>#N/A</v>
      </c>
      <c r="CL59" s="5" t="e">
        <f t="shared" ref="CL59" si="174">AVERAGE(CL5:CL56)</f>
        <v>#N/A</v>
      </c>
      <c r="CM59" s="5" t="e">
        <f t="shared" ref="CM59" si="175">AVERAGE(CM5:CM56)-CL59</f>
        <v>#N/A</v>
      </c>
      <c r="CN59" s="5" t="e">
        <f t="shared" ref="CN59" si="176">AVERAGE(CN5:CN56)</f>
        <v>#N/A</v>
      </c>
      <c r="CO59" s="5" t="e">
        <f t="shared" ref="CO59" si="177">AVERAGE(CO5:CO56)-CN59</f>
        <v>#N/A</v>
      </c>
      <c r="CP59" s="5" t="e">
        <f t="shared" ref="CP59" si="178">AVERAGE(CP5:CP56)</f>
        <v>#N/A</v>
      </c>
      <c r="CQ59" s="5" t="e">
        <f t="shared" ref="CQ59" si="179">AVERAGE(CQ5:CQ56)-CP59</f>
        <v>#N/A</v>
      </c>
      <c r="CR59" s="5" t="e">
        <f t="shared" ref="CR59" si="180">AVERAGE(CR5:CR56)</f>
        <v>#N/A</v>
      </c>
      <c r="CS59" s="5" t="e">
        <f t="shared" ref="CS59" si="181">AVERAGE(CS5:CS56)-CR59</f>
        <v>#N/A</v>
      </c>
      <c r="CT59" s="5" t="e">
        <f t="shared" ref="CT59" si="182">AVERAGE(CT5:CT56)</f>
        <v>#N/A</v>
      </c>
      <c r="CU59" s="5" t="e">
        <f t="shared" ref="CU59" si="183">AVERAGE(CU5:CU56)-CT59</f>
        <v>#N/A</v>
      </c>
    </row>
    <row r="62" spans="8:105" x14ac:dyDescent="0.35">
      <c r="H62" t="s">
        <v>127</v>
      </c>
      <c r="I62" s="14"/>
      <c r="J62" s="5" t="s">
        <v>59</v>
      </c>
      <c r="K62" s="5" t="s">
        <v>43</v>
      </c>
    </row>
    <row r="63" spans="8:105" x14ac:dyDescent="0.35">
      <c r="I63" s="14" t="str">
        <f>'Data Validation (Hide)'!B2</f>
        <v>Caseload 1</v>
      </c>
      <c r="J63" s="5" t="e" cm="1">
        <f t="array" ref="J63">INDEX($J$59:$DA$60,1,MATCH(1,($I63=$J$1:$CU$1)*($J$62=$J$4:$CU$4)*(Planning!$M$2=$J$2:$CU$2),0))</f>
        <v>#N/A</v>
      </c>
      <c r="K63" s="5" t="e" cm="1">
        <f t="array" ref="K63">INDEX($J$59:$DA$60,1,MATCH(1,($I63=$J$1:$CU$1)*($K$62=$J$58:$CU$58)*(Planning!$M$2=$J$2:$CU$2),0))</f>
        <v>#N/A</v>
      </c>
    </row>
    <row r="64" spans="8:105" x14ac:dyDescent="0.35">
      <c r="I64" s="14" t="str">
        <f>'Data Validation (Hide)'!B3</f>
        <v>Caseload 2</v>
      </c>
      <c r="J64" s="5" t="e" cm="1">
        <f t="array" ref="J64">INDEX($J$59:$DA$60,1,MATCH(1,($I64=$J$1:$CU$1)*($J$62=$J$4:$CU$4)*(Planning!$M$2=$J$2:$CU$2),0))</f>
        <v>#N/A</v>
      </c>
      <c r="K64" s="5" t="e" cm="1">
        <f t="array" ref="K64">INDEX($J$59:$DA$60,1,MATCH(1,($I64=$J$1:$CU$1)*($K$62=$J$58:$CU$58)*(Planning!$M$2=$J$2:$CU$2),0))</f>
        <v>#N/A</v>
      </c>
    </row>
    <row r="65" spans="1:11" x14ac:dyDescent="0.35">
      <c r="I65" s="14" t="str">
        <f>'Data Validation (Hide)'!B4</f>
        <v>Caseload 3</v>
      </c>
      <c r="J65" s="5" t="e" cm="1">
        <f t="array" ref="J65">INDEX($J$59:$DA$60,1,MATCH(1,($I65=$J$1:$CU$1)*($J$62=$J$4:$CU$4)*(Planning!$M$2=$J$2:$CU$2),0))</f>
        <v>#N/A</v>
      </c>
      <c r="K65" s="5" t="e" cm="1">
        <f t="array" ref="K65">INDEX($J$59:$DA$60,1,MATCH(1,($I65=$J$1:$CU$1)*($K$62=$J$58:$CU$58)*(Planning!$M$2=$J$2:$CU$2),0))</f>
        <v>#N/A</v>
      </c>
    </row>
    <row r="66" spans="1:11" x14ac:dyDescent="0.35">
      <c r="I66" s="14" t="str">
        <f>'Data Validation (Hide)'!B5</f>
        <v>Caseload 4</v>
      </c>
      <c r="J66" s="5" t="e" cm="1">
        <f t="array" ref="J66">INDEX($J$59:$DA$60,1,MATCH(1,($I66=$J$1:$CU$1)*($J$62=$J$4:$CU$4)*(Planning!$M$2=$J$2:$CU$2),0))</f>
        <v>#N/A</v>
      </c>
      <c r="K66" s="5" t="e" cm="1">
        <f t="array" ref="K66">INDEX($J$59:$DA$60,1,MATCH(1,($I66=$J$1:$CU$1)*($K$62=$J$58:$CU$58)*(Planning!$M$2=$J$2:$CU$2),0))</f>
        <v>#N/A</v>
      </c>
    </row>
    <row r="67" spans="1:11" x14ac:dyDescent="0.35">
      <c r="I67" s="14" t="str">
        <f>'Data Validation (Hide)'!B6</f>
        <v>Caseload 5</v>
      </c>
      <c r="J67" s="5" t="e" cm="1">
        <f t="array" ref="J67">INDEX($J$59:$DA$60,1,MATCH(1,($I67=$J$1:$CU$1)*($J$62=$J$4:$CU$4)*(Planning!$M$2=$J$2:$CU$2),0))</f>
        <v>#N/A</v>
      </c>
      <c r="K67" s="5" t="e" cm="1">
        <f t="array" ref="K67">INDEX($J$59:$DA$60,1,MATCH(1,($I67=$J$1:$CU$1)*($K$62=$J$58:$CU$58)*(Planning!$M$2=$J$2:$CU$2),0))</f>
        <v>#N/A</v>
      </c>
    </row>
    <row r="68" spans="1:11" hidden="1" x14ac:dyDescent="0.35">
      <c r="I68" s="14" t="str">
        <f>'Data Validation (Hide)'!B7</f>
        <v>Caseload 6</v>
      </c>
      <c r="J68" t="e" cm="1">
        <f t="array" ref="J68">INDEX($J$59:$DA$60,1,MATCH(1,($I68=$J$1:$CU$1)*($J$62=$J$4:$CU$4)*(Planning!$M$2=$J$2:$CU$2),0))</f>
        <v>#N/A</v>
      </c>
      <c r="K68" s="5" t="e" cm="1">
        <f t="array" ref="K68">INDEX($J$59:$DA$60,1,MATCH(1,($I68=$J$1:$CU$1)*($K$62=$J$58:$CU$58)*(Planning!$M$2=$J$2:$CU$2),0))</f>
        <v>#N/A</v>
      </c>
    </row>
    <row r="69" spans="1:11" hidden="1" x14ac:dyDescent="0.35">
      <c r="I69" s="14" t="str">
        <f>'Data Validation (Hide)'!B8</f>
        <v>Caseload 7</v>
      </c>
      <c r="J69" t="e" cm="1">
        <f t="array" ref="J69">INDEX($J$59:$DA$60,1,MATCH(1,($I69=$J$1:$CU$1)*($J$62=$J$4:$CU$4)*(Planning!$M$2=$J$2:$CU$2),0))</f>
        <v>#N/A</v>
      </c>
      <c r="K69" s="5" t="e" cm="1">
        <f t="array" ref="K69">INDEX($J$59:$DA$60,1,MATCH(1,($I69=$J$1:$CU$1)*($K$62=$J$58:$CU$58)*(Planning!$M$2=$J$2:$CU$2),0))</f>
        <v>#N/A</v>
      </c>
    </row>
    <row r="70" spans="1:11" hidden="1" x14ac:dyDescent="0.35">
      <c r="I70" s="14" t="str">
        <f>'Data Validation (Hide)'!B9</f>
        <v>Caseload 8</v>
      </c>
      <c r="J70" t="e" cm="1">
        <f t="array" ref="J70">INDEX($J$59:$DA$60,1,MATCH(1,($I70=$J$1:$CU$1)*($J$62=$J$4:$CU$4)*(Planning!$M$2=$J$2:$CU$2),0))</f>
        <v>#N/A</v>
      </c>
      <c r="K70" s="5" t="e" cm="1">
        <f t="array" ref="K70">INDEX($J$59:$DA$60,1,MATCH(1,($I70=$J$1:$CU$1)*($K$62=$J$58:$CU$58)*(Planning!$M$2=$J$2:$CU$2),0))</f>
        <v>#N/A</v>
      </c>
    </row>
    <row r="71" spans="1:11" hidden="1" x14ac:dyDescent="0.35">
      <c r="I71" s="14" t="str">
        <f>'Data Validation (Hide)'!B10</f>
        <v>Caseload 9</v>
      </c>
      <c r="J71" t="e" cm="1">
        <f t="array" ref="J71">INDEX($J$59:$DA$60,1,MATCH(1,($I71=$J$1:$CU$1)*($J$62=$J$4:$CU$4)*(Planning!$M$2=$J$2:$CU$2),0))</f>
        <v>#N/A</v>
      </c>
      <c r="K71" s="5" t="e" cm="1">
        <f t="array" ref="K71">INDEX($J$59:$DA$60,1,MATCH(1,($I71=$J$1:$CU$1)*($K$62=$J$58:$CU$58)*(Planning!$M$2=$J$2:$CU$2),0))</f>
        <v>#N/A</v>
      </c>
    </row>
    <row r="72" spans="1:11" hidden="1" x14ac:dyDescent="0.35">
      <c r="I72" s="14" t="str">
        <f>'Data Validation (Hide)'!B11</f>
        <v>Caseload 10</v>
      </c>
      <c r="J72" t="e" cm="1">
        <f t="array" ref="J72">INDEX($J$59:$DA$60,1,MATCH(1,($I72=$J$1:$CU$1)*($J$62=$J$4:$CU$4)*(Planning!$M$2=$J$2:$CU$2),0))</f>
        <v>#N/A</v>
      </c>
      <c r="K72" s="5" t="e" cm="1">
        <f t="array" ref="K72">INDEX($J$59:$DA$60,1,MATCH(1,($I72=$J$1:$CU$1)*($K$62=$J$58:$CU$58)*(Planning!$M$2=$J$2:$CU$2),0))</f>
        <v>#N/A</v>
      </c>
    </row>
    <row r="73" spans="1:11" hidden="1" x14ac:dyDescent="0.35">
      <c r="I73" s="14" t="str">
        <f>'Data Validation (Hide)'!B12</f>
        <v>Caseload 11</v>
      </c>
      <c r="J73" t="e" cm="1">
        <f t="array" ref="J73">INDEX($J$59:$DA$60,1,MATCH(1,($I73=$J$1:$CU$1)*($J$62=$J$4:$CU$4)*(Planning!$M$2=$J$2:$CU$2),0))</f>
        <v>#N/A</v>
      </c>
      <c r="K73" s="5" t="e" cm="1">
        <f t="array" ref="K73">INDEX($J$59:$DA$60,1,MATCH(1,($I73=$J$1:$CU$1)*($K$62=$J$58:$CU$58)*(Planning!$M$2=$J$2:$CU$2),0))</f>
        <v>#N/A</v>
      </c>
    </row>
    <row r="74" spans="1:11" hidden="1" x14ac:dyDescent="0.35">
      <c r="I74" s="14" t="str">
        <f>'Data Validation (Hide)'!B13</f>
        <v>Caseload 12</v>
      </c>
      <c r="J74" t="e" cm="1">
        <f t="array" ref="J74">INDEX($J$59:$DA$60,1,MATCH(1,($I74=$J$1:$CU$1)*($J$62=$J$4:$CU$4)*(Planning!$M$2=$J$2:$CU$2),0))</f>
        <v>#N/A</v>
      </c>
      <c r="K74" s="5" t="e" cm="1">
        <f t="array" ref="K74">INDEX($J$59:$DA$60,1,MATCH(1,($I74=$J$1:$CU$1)*($K$62=$J$58:$CU$58)*(Planning!$M$2=$J$2:$CU$2),0))</f>
        <v>#N/A</v>
      </c>
    </row>
    <row r="75" spans="1:11" hidden="1" x14ac:dyDescent="0.35">
      <c r="I75" s="14" t="str">
        <f>'Data Validation (Hide)'!B14</f>
        <v>Caseload 13</v>
      </c>
      <c r="J75" t="e" cm="1">
        <f t="array" ref="J75">INDEX($J$59:$DA$60,1,MATCH(1,($I75=$J$1:$CU$1)*($J$62=$J$4:$CU$4)*(Planning!$M$2=$J$2:$CU$2),0))</f>
        <v>#N/A</v>
      </c>
      <c r="K75" s="5" t="e" cm="1">
        <f t="array" ref="K75">INDEX($J$59:$DA$60,1,MATCH(1,($I75=$J$1:$CU$1)*($K$62=$J$58:$CU$58)*(Planning!$M$2=$J$2:$CU$2),0))</f>
        <v>#N/A</v>
      </c>
    </row>
    <row r="76" spans="1:11" hidden="1" x14ac:dyDescent="0.35">
      <c r="I76" s="14" t="str">
        <f>'Data Validation (Hide)'!B15</f>
        <v>Caseload 14</v>
      </c>
      <c r="J76" t="e" cm="1">
        <f t="array" ref="J76">INDEX($J$59:$DA$60,1,MATCH(1,($I76=$J$1:$CU$1)*($J$62=$J$4:$CU$4)*(Planning!$M$2=$J$2:$CU$2),0))</f>
        <v>#N/A</v>
      </c>
      <c r="K76" s="5" t="e" cm="1">
        <f t="array" ref="K76">INDEX($J$59:$DA$60,1,MATCH(1,($I76=$J$1:$CU$1)*($K$62=$J$58:$CU$58)*(Planning!$M$2=$J$2:$CU$2),0))</f>
        <v>#N/A</v>
      </c>
    </row>
    <row r="77" spans="1:11" hidden="1" x14ac:dyDescent="0.35">
      <c r="I77" s="14" t="str">
        <f>'Data Validation (Hide)'!B16</f>
        <v>Caseload 15</v>
      </c>
      <c r="J77" t="e" cm="1">
        <f t="array" ref="J77">INDEX($J$59:$DA$60,1,MATCH(1,($I77=$J$1:$CU$1)*($J$62=$J$4:$CU$4)*(Planning!$M$2=$J$2:$CU$2),0))</f>
        <v>#N/A</v>
      </c>
      <c r="K77" s="5" t="e" cm="1">
        <f t="array" ref="K77">INDEX($J$59:$DA$60,1,MATCH(1,($I77=$J$1:$CU$1)*($K$62=$J$58:$CU$58)*(Planning!$M$2=$J$2:$CU$2),0))</f>
        <v>#N/A</v>
      </c>
    </row>
    <row r="78" spans="1:11" x14ac:dyDescent="0.35">
      <c r="I78" s="14"/>
    </row>
    <row r="79" spans="1:11" x14ac:dyDescent="0.35">
      <c r="A79" t="s">
        <v>107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151</v>
      </c>
      <c r="C81" t="s">
        <v>152</v>
      </c>
      <c r="D81" t="s">
        <v>52</v>
      </c>
      <c r="E81" t="s">
        <v>50</v>
      </c>
      <c r="F81" t="s">
        <v>63</v>
      </c>
    </row>
    <row r="82" spans="1:6" x14ac:dyDescent="0.35">
      <c r="A82" t="str">
        <f>Setup!A20</f>
        <v>Caseload 1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0</v>
      </c>
      <c r="D82">
        <f>IF(Planning!D63="",'Planning Backing (Hide)'!B82,Planning!D63)</f>
        <v>0</v>
      </c>
      <c r="E82">
        <f>IF(Planning!E63="",'Planning Backing (Hide)'!C82,Planning!E63)</f>
        <v>0</v>
      </c>
      <c r="F82">
        <f>SUM(D82:E82)</f>
        <v>0</v>
      </c>
    </row>
    <row r="83" spans="1:6" x14ac:dyDescent="0.35">
      <c r="A83" t="str">
        <f>Setup!A21</f>
        <v>Caseload 2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0</v>
      </c>
      <c r="D83">
        <f>IF(Planning!D64="",'Planning Backing (Hide)'!B83,Planning!D64)</f>
        <v>0</v>
      </c>
      <c r="E83">
        <f>IF(Planning!E64="",'Planning Backing (Hide)'!C83,Planning!E64)</f>
        <v>0</v>
      </c>
      <c r="F83">
        <f t="shared" ref="F83:F96" si="184">SUM(D83:E83)</f>
        <v>0</v>
      </c>
    </row>
    <row r="84" spans="1:6" x14ac:dyDescent="0.35">
      <c r="A84" t="str">
        <f>Setup!A22</f>
        <v>Caseload 3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0</v>
      </c>
      <c r="D84">
        <f>IF(Planning!D65="",'Planning Backing (Hide)'!B84,Planning!D65)</f>
        <v>0</v>
      </c>
      <c r="E84">
        <f>IF(Planning!E65="",'Planning Backing (Hide)'!C84,Planning!E65)</f>
        <v>0</v>
      </c>
      <c r="F84">
        <f t="shared" si="184"/>
        <v>0</v>
      </c>
    </row>
    <row r="85" spans="1:6" x14ac:dyDescent="0.35">
      <c r="A85" t="str">
        <f>Setup!A23</f>
        <v>Caseload 4</v>
      </c>
      <c r="B85">
        <f>INDEX('Capacity Backing (Hide)'!$H$261:$J$275,MATCH(A85,'Capacity Backing (Hide)'!$A$261:$A$275,0),1)</f>
        <v>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0</v>
      </c>
      <c r="E85">
        <f>IF(Planning!E66="",'Planning Backing (Hide)'!C85,Planning!E66)</f>
        <v>0</v>
      </c>
      <c r="F85">
        <f t="shared" si="184"/>
        <v>0</v>
      </c>
    </row>
    <row r="86" spans="1:6" x14ac:dyDescent="0.35">
      <c r="A86" t="str">
        <f>Setup!A24</f>
        <v>Caseload 5</v>
      </c>
      <c r="B86">
        <f>INDEX('Capacity Backing (Hide)'!$H$261:$J$275,MATCH(A86,'Capacity Backing (Hide)'!$A$261:$A$275,0),1)</f>
        <v>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0</v>
      </c>
      <c r="E86">
        <f>IF(Planning!E67="",'Planning Backing (Hide)'!C86,Planning!E67)</f>
        <v>0</v>
      </c>
      <c r="F86">
        <f t="shared" si="184"/>
        <v>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56</v>
      </c>
    </row>
    <row r="100" spans="1:9" x14ac:dyDescent="0.35">
      <c r="A100" t="str">
        <f>Service!B4</f>
        <v>Caseload 1</v>
      </c>
      <c r="B100">
        <f>Service!C4</f>
        <v>0</v>
      </c>
      <c r="C100">
        <f>Service!D4</f>
        <v>0</v>
      </c>
      <c r="D100" cm="1">
        <f t="array" ref="D100">IFERROR(INDEX(Planning!$D$44:$D$58,MATCH(1,(Planning!$A$44:$A$58='Planning Backing (Hide)'!A100)*(Planning!$B$44:$B$58='Planning Backing (Hide)'!B100),0),1),Service!E4)</f>
        <v>0</v>
      </c>
      <c r="E100">
        <f>Service!F4</f>
        <v>0</v>
      </c>
      <c r="F100" t="e">
        <f>Service!G4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Service!B5</f>
        <v>Caseload 1</v>
      </c>
      <c r="B101">
        <f>Service!C5</f>
        <v>0</v>
      </c>
      <c r="C101">
        <f>Service!D5</f>
        <v>0</v>
      </c>
      <c r="D101" cm="1">
        <f t="array" ref="D101">IFERROR(INDEX(Planning!$D$44:$D$58,MATCH(1,(Planning!$A$44:$A$58='Planning Backing (Hide)'!A101)*(Planning!$B$44:$B$58='Planning Backing (Hide)'!B101),0),1),Service!E5)</f>
        <v>0</v>
      </c>
      <c r="E101">
        <f>Service!F5</f>
        <v>0</v>
      </c>
      <c r="F101" t="e">
        <f>Service!G5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Caseload 1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Caseload 1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Caseload 1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Caseload 2</v>
      </c>
      <c r="B105">
        <f>Service!C9</f>
        <v>0</v>
      </c>
      <c r="C105">
        <f>Service!D9</f>
        <v>0</v>
      </c>
      <c r="D105" cm="1">
        <f t="array" ref="D105">IFERROR(INDEX(Planning!$D$44:$D$58,MATCH(1,(Planning!$A$44:$A$58='Planning Backing (Hide)'!A105)*(Planning!$B$44:$B$58='Planning Backing (Hide)'!B105),0),1),Service!E9)</f>
        <v>0</v>
      </c>
      <c r="E105">
        <f>Service!F9</f>
        <v>0</v>
      </c>
      <c r="F105" t="e">
        <f>Service!G9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Service!B10</f>
        <v>Caseload 2</v>
      </c>
      <c r="B106">
        <f>Service!C10</f>
        <v>0</v>
      </c>
      <c r="C106">
        <f>Service!D10</f>
        <v>0</v>
      </c>
      <c r="D106" cm="1">
        <f t="array" ref="D106">IFERROR(INDEX(Planning!$D$44:$D$58,MATCH(1,(Planning!$A$44:$A$58='Planning Backing (Hide)'!A106)*(Planning!$B$44:$B$58='Planning Backing (Hide)'!B106),0),1),Service!E10)</f>
        <v>0</v>
      </c>
      <c r="E106">
        <f>Service!F10</f>
        <v>0</v>
      </c>
      <c r="F106" t="e">
        <f>Service!G10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Caseload 2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Caseload 2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Caseload 2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Caseload 3</v>
      </c>
      <c r="B110">
        <f>Service!C14</f>
        <v>0</v>
      </c>
      <c r="C110">
        <f>Service!D14</f>
        <v>0</v>
      </c>
      <c r="D110" cm="1">
        <f t="array" ref="D110">IFERROR(INDEX(Planning!$D$44:$D$58,MATCH(1,(Planning!$A$44:$A$58='Planning Backing (Hide)'!A110)*(Planning!$B$44:$B$58='Planning Backing (Hide)'!B110),0),1),Service!E14)</f>
        <v>0</v>
      </c>
      <c r="E110">
        <f>Service!F14</f>
        <v>0</v>
      </c>
      <c r="F110" t="e">
        <f>Service!G14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Service!B15</f>
        <v>Caseload 3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Caseload 3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Caseload 3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Caseload 3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Caseload 4</v>
      </c>
      <c r="B115">
        <f>Service!C19</f>
        <v>0</v>
      </c>
      <c r="C115">
        <f>Service!D19</f>
        <v>0</v>
      </c>
      <c r="D115" cm="1">
        <f t="array" ref="D115">IFERROR(INDEX(Planning!$D$44:$D$58,MATCH(1,(Planning!$A$44:$A$58='Planning Backing (Hide)'!A115)*(Planning!$B$44:$B$58='Planning Backing (Hide)'!B115),0),1),Service!E19)</f>
        <v>0</v>
      </c>
      <c r="E115">
        <f>Service!F19</f>
        <v>0</v>
      </c>
      <c r="F115" t="e">
        <f>Service!G19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Caseload 4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Caseload 4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Caseload 4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Caseload 4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Caseload 5</v>
      </c>
      <c r="B120">
        <f>Service!C24</f>
        <v>0</v>
      </c>
      <c r="C120">
        <f>Service!D24</f>
        <v>0</v>
      </c>
      <c r="D120" cm="1">
        <f t="array" ref="D120">IFERROR(INDEX(Planning!$D$44:$D$58,MATCH(1,(Planning!$A$44:$A$58='Planning Backing (Hide)'!A120)*(Planning!$B$44:$B$58='Planning Backing (Hide)'!B120),0),1),Service!E24)</f>
        <v>0</v>
      </c>
      <c r="E120">
        <f>Service!F24</f>
        <v>0</v>
      </c>
      <c r="F120" t="e">
        <f>Service!G24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Caseload 5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Caseload 5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Caseload 5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Caseload 5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2020-12-17T16:36:44Z</dcterms:modified>
</cp:coreProperties>
</file>