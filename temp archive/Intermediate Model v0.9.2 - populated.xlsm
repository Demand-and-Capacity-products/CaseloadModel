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13076999-C8F8-4574-ACD2-8CBF2FBC6FB5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8" l="1" a="1"/>
  <c r="B36" i="8" s="1"/>
  <c r="B31" i="8" a="1"/>
  <c r="B31" i="8" s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CR26" i="10"/>
  <c r="CS26" i="10"/>
  <c r="CT26" i="10"/>
  <c r="CU26" i="10"/>
  <c r="CV26" i="10"/>
  <c r="CW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D27" i="10"/>
  <c r="CE27" i="10"/>
  <c r="CF27" i="10"/>
  <c r="CG27" i="10"/>
  <c r="CH27" i="10"/>
  <c r="CI27" i="10"/>
  <c r="CJ27" i="10"/>
  <c r="CK27" i="10"/>
  <c r="CL27" i="10"/>
  <c r="CM27" i="10"/>
  <c r="CN27" i="10"/>
  <c r="CO27" i="10"/>
  <c r="CP27" i="10"/>
  <c r="CQ27" i="10"/>
  <c r="CR27" i="10"/>
  <c r="CS27" i="10"/>
  <c r="CT27" i="10"/>
  <c r="CU27" i="10"/>
  <c r="CV27" i="10"/>
  <c r="CW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BZ28" i="10"/>
  <c r="CA28" i="10"/>
  <c r="CB28" i="10"/>
  <c r="CC28" i="10"/>
  <c r="CD28" i="10"/>
  <c r="CE28" i="10"/>
  <c r="CF28" i="10"/>
  <c r="CG28" i="10"/>
  <c r="CH28" i="10"/>
  <c r="CI28" i="10"/>
  <c r="CJ28" i="10"/>
  <c r="CK28" i="10"/>
  <c r="CL28" i="10"/>
  <c r="CM28" i="10"/>
  <c r="CN28" i="10"/>
  <c r="CO28" i="10"/>
  <c r="CP28" i="10"/>
  <c r="CQ28" i="10"/>
  <c r="CR28" i="10"/>
  <c r="CS28" i="10"/>
  <c r="CT28" i="10"/>
  <c r="CU28" i="10"/>
  <c r="CV28" i="10"/>
  <c r="CW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BZ29" i="10"/>
  <c r="CA29" i="10"/>
  <c r="CB29" i="10"/>
  <c r="CC29" i="10"/>
  <c r="CD29" i="10"/>
  <c r="CE29" i="10"/>
  <c r="CF29" i="10"/>
  <c r="CG29" i="10"/>
  <c r="CH29" i="10"/>
  <c r="CI29" i="10"/>
  <c r="CJ29" i="10"/>
  <c r="CK29" i="10"/>
  <c r="CL29" i="10"/>
  <c r="CM29" i="10"/>
  <c r="CN29" i="10"/>
  <c r="CO29" i="10"/>
  <c r="CP29" i="10"/>
  <c r="CQ29" i="10"/>
  <c r="CR29" i="10"/>
  <c r="CS29" i="10"/>
  <c r="CT29" i="10"/>
  <c r="CU29" i="10"/>
  <c r="CV29" i="10"/>
  <c r="CW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Q36" i="10"/>
  <c r="BR36" i="10"/>
  <c r="BS36" i="10"/>
  <c r="BT36" i="10"/>
  <c r="BU36" i="10"/>
  <c r="BV36" i="10"/>
  <c r="BW36" i="10"/>
  <c r="BX36" i="10"/>
  <c r="BY36" i="10"/>
  <c r="BZ36" i="10"/>
  <c r="CA36" i="10"/>
  <c r="CB36" i="10"/>
  <c r="CC36" i="10"/>
  <c r="CD36" i="10"/>
  <c r="CE36" i="10"/>
  <c r="CF36" i="10"/>
  <c r="CG36" i="10"/>
  <c r="CH36" i="10"/>
  <c r="CI36" i="10"/>
  <c r="CJ36" i="10"/>
  <c r="CK36" i="10"/>
  <c r="CL36" i="10"/>
  <c r="CM36" i="10"/>
  <c r="CN36" i="10"/>
  <c r="CO36" i="10"/>
  <c r="CP36" i="10"/>
  <c r="CQ36" i="10"/>
  <c r="CR36" i="10"/>
  <c r="CS36" i="10"/>
  <c r="CT36" i="10"/>
  <c r="CU36" i="10"/>
  <c r="CV36" i="10"/>
  <c r="CW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Q37" i="10"/>
  <c r="BR37" i="10"/>
  <c r="BS37" i="10"/>
  <c r="BT37" i="10"/>
  <c r="BU37" i="10"/>
  <c r="BV37" i="10"/>
  <c r="BW37" i="10"/>
  <c r="BX37" i="10"/>
  <c r="BY37" i="10"/>
  <c r="BZ37" i="10"/>
  <c r="CA37" i="10"/>
  <c r="CB37" i="10"/>
  <c r="CC37" i="10"/>
  <c r="CD37" i="10"/>
  <c r="CE37" i="10"/>
  <c r="CF37" i="10"/>
  <c r="CG37" i="10"/>
  <c r="CH37" i="10"/>
  <c r="CI37" i="10"/>
  <c r="CJ37" i="10"/>
  <c r="CK37" i="10"/>
  <c r="CL37" i="10"/>
  <c r="CM37" i="10"/>
  <c r="CN37" i="10"/>
  <c r="CO37" i="10"/>
  <c r="CP37" i="10"/>
  <c r="CQ37" i="10"/>
  <c r="CR37" i="10"/>
  <c r="CS37" i="10"/>
  <c r="CT37" i="10"/>
  <c r="CU37" i="10"/>
  <c r="CV37" i="10"/>
  <c r="CW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CH38" i="10"/>
  <c r="CI38" i="10"/>
  <c r="CJ38" i="10"/>
  <c r="CK38" i="10"/>
  <c r="CL38" i="10"/>
  <c r="CM38" i="10"/>
  <c r="CN38" i="10"/>
  <c r="CO38" i="10"/>
  <c r="CP38" i="10"/>
  <c r="CQ38" i="10"/>
  <c r="CR38" i="10"/>
  <c r="CS38" i="10"/>
  <c r="CT38" i="10"/>
  <c r="CU38" i="10"/>
  <c r="CV38" i="10"/>
  <c r="CW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CK39" i="10"/>
  <c r="CL39" i="10"/>
  <c r="CM39" i="10"/>
  <c r="CN39" i="10"/>
  <c r="CO39" i="10"/>
  <c r="CP39" i="10"/>
  <c r="CQ39" i="10"/>
  <c r="CR39" i="10"/>
  <c r="CS39" i="10"/>
  <c r="CT39" i="10"/>
  <c r="CU39" i="10"/>
  <c r="CV39" i="10"/>
  <c r="CW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CK40" i="10"/>
  <c r="CL40" i="10"/>
  <c r="CM40" i="10"/>
  <c r="CN40" i="10"/>
  <c r="CO40" i="10"/>
  <c r="CP40" i="10"/>
  <c r="CQ40" i="10"/>
  <c r="CR40" i="10"/>
  <c r="CS40" i="10"/>
  <c r="CT40" i="10"/>
  <c r="CU40" i="10"/>
  <c r="CV40" i="10"/>
  <c r="CW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CL41" i="10"/>
  <c r="CM41" i="10"/>
  <c r="CN41" i="10"/>
  <c r="CO41" i="10"/>
  <c r="CP41" i="10"/>
  <c r="CQ41" i="10"/>
  <c r="CR41" i="10"/>
  <c r="CS41" i="10"/>
  <c r="CT41" i="10"/>
  <c r="CU41" i="10"/>
  <c r="CV41" i="10"/>
  <c r="CW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CL42" i="10"/>
  <c r="CM42" i="10"/>
  <c r="CN42" i="10"/>
  <c r="CO42" i="10"/>
  <c r="CP42" i="10"/>
  <c r="CQ42" i="10"/>
  <c r="CR42" i="10"/>
  <c r="CS42" i="10"/>
  <c r="CT42" i="10"/>
  <c r="CU42" i="10"/>
  <c r="CV42" i="10"/>
  <c r="CW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Q43" i="10"/>
  <c r="BR43" i="10"/>
  <c r="BS43" i="10"/>
  <c r="BT43" i="10"/>
  <c r="BU43" i="10"/>
  <c r="BV43" i="10"/>
  <c r="BW43" i="10"/>
  <c r="BX43" i="10"/>
  <c r="BY43" i="10"/>
  <c r="BZ43" i="10"/>
  <c r="CA43" i="10"/>
  <c r="CB43" i="10"/>
  <c r="CC43" i="10"/>
  <c r="CD43" i="10"/>
  <c r="CE43" i="10"/>
  <c r="CF43" i="10"/>
  <c r="CG43" i="10"/>
  <c r="CH43" i="10"/>
  <c r="CI43" i="10"/>
  <c r="CJ43" i="10"/>
  <c r="CK43" i="10"/>
  <c r="CL43" i="10"/>
  <c r="CM43" i="10"/>
  <c r="CN43" i="10"/>
  <c r="CO43" i="10"/>
  <c r="CP43" i="10"/>
  <c r="CQ43" i="10"/>
  <c r="CR43" i="10"/>
  <c r="CS43" i="10"/>
  <c r="CT43" i="10"/>
  <c r="CU43" i="10"/>
  <c r="CV43" i="10"/>
  <c r="CW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CK48" i="10"/>
  <c r="CL48" i="10"/>
  <c r="CM48" i="10"/>
  <c r="CN48" i="10"/>
  <c r="CO48" i="10"/>
  <c r="CP48" i="10"/>
  <c r="CQ48" i="10"/>
  <c r="CR48" i="10"/>
  <c r="CS48" i="10"/>
  <c r="CT48" i="10"/>
  <c r="CU48" i="10"/>
  <c r="CV48" i="10"/>
  <c r="CW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CK49" i="10"/>
  <c r="CL49" i="10"/>
  <c r="CM49" i="10"/>
  <c r="CN49" i="10"/>
  <c r="CO49" i="10"/>
  <c r="CP49" i="10"/>
  <c r="CQ49" i="10"/>
  <c r="CR49" i="10"/>
  <c r="CS49" i="10"/>
  <c r="CT49" i="10"/>
  <c r="CU49" i="10"/>
  <c r="CV49" i="10"/>
  <c r="CW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CK50" i="10"/>
  <c r="CL50" i="10"/>
  <c r="CM50" i="10"/>
  <c r="CN50" i="10"/>
  <c r="CO50" i="10"/>
  <c r="CP50" i="10"/>
  <c r="CQ50" i="10"/>
  <c r="CR50" i="10"/>
  <c r="CS50" i="10"/>
  <c r="CT50" i="10"/>
  <c r="CU50" i="10"/>
  <c r="CV50" i="10"/>
  <c r="CW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BS51" i="10"/>
  <c r="BT51" i="10"/>
  <c r="BU51" i="10"/>
  <c r="BV51" i="10"/>
  <c r="BW51" i="10"/>
  <c r="BX51" i="10"/>
  <c r="BY51" i="10"/>
  <c r="BZ51" i="10"/>
  <c r="CA51" i="10"/>
  <c r="CB51" i="10"/>
  <c r="CC51" i="10"/>
  <c r="CD51" i="10"/>
  <c r="CE51" i="10"/>
  <c r="CF51" i="10"/>
  <c r="CG51" i="10"/>
  <c r="CH51" i="10"/>
  <c r="CI51" i="10"/>
  <c r="CJ51" i="10"/>
  <c r="CK51" i="10"/>
  <c r="CL51" i="10"/>
  <c r="CM51" i="10"/>
  <c r="CN51" i="10"/>
  <c r="CO51" i="10"/>
  <c r="CP51" i="10"/>
  <c r="CQ51" i="10"/>
  <c r="CR51" i="10"/>
  <c r="CS51" i="10"/>
  <c r="CT51" i="10"/>
  <c r="CU51" i="10"/>
  <c r="CV51" i="10"/>
  <c r="CW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BS56" i="10"/>
  <c r="BT56" i="10"/>
  <c r="BU56" i="10"/>
  <c r="BV56" i="10"/>
  <c r="BW56" i="10"/>
  <c r="BX56" i="10"/>
  <c r="BY56" i="10"/>
  <c r="BZ56" i="10"/>
  <c r="CA56" i="10"/>
  <c r="CB56" i="10"/>
  <c r="CC56" i="10"/>
  <c r="CD56" i="10"/>
  <c r="CE56" i="10"/>
  <c r="CF56" i="10"/>
  <c r="CG56" i="10"/>
  <c r="CH56" i="10"/>
  <c r="CI56" i="10"/>
  <c r="CJ56" i="10"/>
  <c r="CK56" i="10"/>
  <c r="CL56" i="10"/>
  <c r="CM56" i="10"/>
  <c r="CN56" i="10"/>
  <c r="CO56" i="10"/>
  <c r="CP56" i="10"/>
  <c r="CQ56" i="10"/>
  <c r="CR56" i="10"/>
  <c r="CS56" i="10"/>
  <c r="CT56" i="10"/>
  <c r="CU56" i="10"/>
  <c r="CV56" i="10"/>
  <c r="CW56" i="10"/>
  <c r="E141" i="11" l="1"/>
  <c r="E142" i="11"/>
  <c r="E143" i="11"/>
  <c r="E144" i="11"/>
  <c r="F144" i="11" s="1"/>
  <c r="E145" i="11"/>
  <c r="E146" i="11"/>
  <c r="E147" i="11"/>
  <c r="F147" i="11" s="1"/>
  <c r="E148" i="1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F156" i="11" s="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F164" i="11" s="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F172" i="11" s="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F180" i="11" s="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F188" i="11" s="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F196" i="11" s="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F204" i="11" s="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F212" i="11" s="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3" i="11"/>
  <c r="F145" i="11"/>
  <c r="F146" i="11"/>
  <c r="F148" i="11"/>
  <c r="F149" i="11"/>
  <c r="F153" i="11"/>
  <c r="F157" i="11"/>
  <c r="F161" i="11"/>
  <c r="F165" i="11"/>
  <c r="F169" i="11"/>
  <c r="F173" i="11"/>
  <c r="F177" i="11"/>
  <c r="F181" i="11"/>
  <c r="F185" i="11"/>
  <c r="F189" i="11"/>
  <c r="F193" i="11"/>
  <c r="F197" i="11"/>
  <c r="F201" i="11"/>
  <c r="F205" i="11"/>
  <c r="F209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F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36" i="11" s="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8" i="9" l="1"/>
  <c r="F140" i="11"/>
  <c r="V8" i="9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AT8" i="9" l="1"/>
  <c r="D140" i="11"/>
  <c r="C5" i="10"/>
  <c r="C9" i="10"/>
  <c r="C13" i="10"/>
  <c r="C17" i="10"/>
  <c r="C21" i="10"/>
  <c r="C25" i="10"/>
  <c r="C29" i="10"/>
  <c r="C49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35" i="10"/>
  <c r="C39" i="10"/>
  <c r="C43" i="10"/>
  <c r="C47" i="10"/>
  <c r="C51" i="10"/>
  <c r="C55" i="10"/>
  <c r="C7" i="10"/>
  <c r="C11" i="10"/>
  <c r="C15" i="10"/>
  <c r="C19" i="10"/>
  <c r="C23" i="10"/>
  <c r="C27" i="10"/>
  <c r="C31" i="10"/>
  <c r="C45" i="10"/>
  <c r="C53" i="10"/>
  <c r="C6" i="10"/>
  <c r="C10" i="10"/>
  <c r="C14" i="10"/>
  <c r="C18" i="10"/>
  <c r="C22" i="10"/>
  <c r="C26" i="10"/>
  <c r="C30" i="10"/>
  <c r="C34" i="10"/>
  <c r="C38" i="10"/>
  <c r="C42" i="10"/>
  <c r="C46" i="10"/>
  <c r="C50" i="10"/>
  <c r="C54" i="10"/>
  <c r="C33" i="10"/>
  <c r="C37" i="10"/>
  <c r="C41" i="10"/>
  <c r="AT7" i="9"/>
  <c r="D139" i="11"/>
  <c r="D36" i="11"/>
  <c r="A33" i="8"/>
  <c r="B30" i="10" l="1"/>
  <c r="B50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8" i="10"/>
  <c r="B12" i="10"/>
  <c r="B16" i="10"/>
  <c r="B24" i="10"/>
  <c r="B28" i="10"/>
  <c r="B36" i="10"/>
  <c r="B44" i="10"/>
  <c r="B52" i="10"/>
  <c r="B10" i="10"/>
  <c r="B14" i="10"/>
  <c r="B34" i="10"/>
  <c r="B46" i="10"/>
  <c r="B20" i="10"/>
  <c r="B32" i="10"/>
  <c r="B40" i="10"/>
  <c r="B48" i="10"/>
  <c r="B56" i="10"/>
  <c r="B22" i="10"/>
  <c r="B38" i="10"/>
  <c r="B54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" i="10"/>
  <c r="B6" i="10"/>
  <c r="B18" i="10"/>
  <c r="B26" i="10"/>
  <c r="B42" i="10"/>
  <c r="AN3" i="5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B79" i="10" l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D19" i="5" s="1"/>
  <c r="E19" i="5" s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D25" i="2" s="1"/>
  <c r="C20" i="5" s="1"/>
  <c r="C25" i="2"/>
  <c r="U5" i="14"/>
  <c r="W5" i="14"/>
  <c r="X5" i="14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B73" i="8" l="1"/>
  <c r="B74" i="8"/>
  <c r="E26" i="2"/>
  <c r="D26" i="2" s="1"/>
  <c r="C21" i="5" s="1"/>
  <c r="C26" i="2"/>
  <c r="W13" i="14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D31" i="2" l="1"/>
  <c r="C26" i="5" s="1"/>
  <c r="E32" i="2"/>
  <c r="D27" i="5" s="1"/>
  <c r="E27" i="5" s="1"/>
  <c r="C32" i="2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D32" i="2" l="1"/>
  <c r="C27" i="5" s="1"/>
  <c r="E33" i="2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D35" i="2" l="1"/>
  <c r="C30" i="5" s="1"/>
  <c r="E36" i="2"/>
  <c r="D31" i="5" s="1"/>
  <c r="E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D36" i="2" l="1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D33" i="5" l="1"/>
  <c r="E33" i="5" s="1"/>
  <c r="E39" i="2"/>
  <c r="D39" i="2" s="1"/>
  <c r="C34" i="5" s="1"/>
  <c r="C39" i="2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D35" i="5" l="1"/>
  <c r="E35" i="5" s="1"/>
  <c r="E41" i="2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D37" i="5" l="1"/>
  <c r="E37" i="5" s="1"/>
  <c r="E43" i="2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D46" i="2" l="1"/>
  <c r="C41" i="5" s="1"/>
  <c r="E47" i="2"/>
  <c r="D47" i="2" s="1"/>
  <c r="C42" i="5" s="1"/>
  <c r="C47" i="2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D42" i="5" l="1"/>
  <c r="E42" i="5" s="1"/>
  <c r="E48" i="2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D45" i="5" l="1"/>
  <c r="E45" i="5" s="1"/>
  <c r="E51" i="2"/>
  <c r="D46" i="5" s="1"/>
  <c r="E46" i="5" s="1"/>
  <c r="C51" i="2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D52" i="2" l="1"/>
  <c r="C47" i="5" s="1"/>
  <c r="E53" i="2"/>
  <c r="D48" i="5" s="1"/>
  <c r="E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D53" i="2" l="1"/>
  <c r="C48" i="5" s="1"/>
  <c r="E54" i="2"/>
  <c r="D49" i="5" s="1"/>
  <c r="E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D54" i="2" l="1"/>
  <c r="C49" i="5" s="1"/>
  <c r="E55" i="2"/>
  <c r="D50" i="5" s="1"/>
  <c r="E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D55" i="2" l="1"/>
  <c r="C50" i="5" s="1"/>
  <c r="E56" i="2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D57" i="2" l="1"/>
  <c r="C52" i="5" s="1"/>
  <c r="E58" i="2"/>
  <c r="D53" i="5" s="1"/>
  <c r="E53" i="5" s="1"/>
  <c r="C58" i="2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D58" i="2" l="1"/>
  <c r="C53" i="5" s="1"/>
  <c r="E59" i="2"/>
  <c r="D59" i="2" s="1"/>
  <c r="C54" i="5" s="1"/>
  <c r="C59" i="2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E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D61" i="2" l="1"/>
  <c r="C56" i="5" s="1"/>
  <c r="E62" i="2"/>
  <c r="D57" i="5" s="1"/>
  <c r="E57" i="5" s="1"/>
  <c r="C62" i="2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D62" i="2" l="1"/>
  <c r="C57" i="5" s="1"/>
  <c r="E63" i="2"/>
  <c r="D58" i="5" s="1"/>
  <c r="E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D63" i="2" l="1"/>
  <c r="C58" i="5" s="1"/>
  <c r="E64" i="2"/>
  <c r="D59" i="5" s="1"/>
  <c r="E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D64" i="2" l="1"/>
  <c r="C59" i="5" s="1"/>
  <c r="E65" i="2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D68" i="2" l="1"/>
  <c r="C63" i="5" s="1"/>
  <c r="E69" i="2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D73" i="2" l="1"/>
  <c r="C68" i="5" s="1"/>
  <c r="E74" i="2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D77" i="2" l="1"/>
  <c r="C72" i="5" s="1"/>
  <c r="E78" i="2"/>
  <c r="D73" i="5" s="1"/>
  <c r="E73" i="5" s="1"/>
  <c r="C78" i="2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D78" i="2" l="1"/>
  <c r="C73" i="5" s="1"/>
  <c r="E79" i="2"/>
  <c r="D74" i="5" s="1"/>
  <c r="E74" i="5" s="1"/>
  <c r="C79" i="2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D79" i="2" l="1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35" i="7"/>
  <c r="T11" i="7"/>
  <c r="T44" i="7"/>
  <c r="T49" i="7"/>
  <c r="T47" i="7"/>
  <c r="T23" i="7"/>
  <c r="T14" i="7"/>
  <c r="T20" i="7"/>
  <c r="T40" i="7"/>
  <c r="T13" i="7"/>
  <c r="T9" i="7"/>
  <c r="T24" i="7"/>
  <c r="T48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D36" i="7" l="1"/>
  <c r="AZ30" i="7"/>
  <c r="AB15" i="7"/>
  <c r="AB49" i="7"/>
  <c r="T26" i="7"/>
  <c r="T29" i="7"/>
  <c r="T18" i="7"/>
  <c r="V18" i="7" s="1"/>
  <c r="T30" i="7"/>
  <c r="T55" i="7"/>
  <c r="T6" i="7"/>
  <c r="T43" i="7"/>
  <c r="BL19" i="7"/>
  <c r="T53" i="7"/>
  <c r="T42" i="7"/>
  <c r="T45" i="7"/>
  <c r="V45" i="7" s="1"/>
  <c r="T15" i="7"/>
  <c r="T41" i="7"/>
  <c r="T54" i="7"/>
  <c r="BF36" i="7"/>
  <c r="V11" i="7"/>
  <c r="V13" i="7"/>
  <c r="T5" i="7"/>
  <c r="T56" i="7"/>
  <c r="V56" i="7" s="1"/>
  <c r="T32" i="7"/>
  <c r="V32" i="7" s="1"/>
  <c r="T37" i="7"/>
  <c r="V37" i="7" s="1"/>
  <c r="T50" i="7"/>
  <c r="T36" i="7"/>
  <c r="V36" i="7" s="1"/>
  <c r="T46" i="7"/>
  <c r="V46" i="7" s="1"/>
  <c r="T31" i="7"/>
  <c r="V31" i="7" s="1"/>
  <c r="T25" i="7"/>
  <c r="T12" i="7"/>
  <c r="V12" i="7" s="1"/>
  <c r="T22" i="7"/>
  <c r="T19" i="7"/>
  <c r="T51" i="7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T52" i="7"/>
  <c r="T7" i="7"/>
  <c r="V7" i="7" s="1"/>
  <c r="T39" i="7"/>
  <c r="V39" i="7" s="1"/>
  <c r="T33" i="7"/>
  <c r="V33" i="7" s="1"/>
  <c r="T28" i="7"/>
  <c r="T38" i="7"/>
  <c r="H35" i="11" a="1"/>
  <c r="H35" i="11" s="1"/>
  <c r="H138" i="11" a="1"/>
  <c r="H138" i="11" s="1"/>
  <c r="E135" i="10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U17" i="7" s="1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49" i="7"/>
  <c r="O26" i="7"/>
  <c r="O19" i="7"/>
  <c r="O34" i="7"/>
  <c r="O24" i="7"/>
  <c r="O43" i="7"/>
  <c r="O52" i="7"/>
  <c r="O42" i="7"/>
  <c r="O12" i="7"/>
  <c r="O17" i="7"/>
  <c r="O7" i="7"/>
  <c r="O47" i="7"/>
  <c r="O55" i="7"/>
  <c r="O25" i="7"/>
  <c r="O46" i="7"/>
  <c r="O6" i="7"/>
  <c r="O28" i="7"/>
  <c r="O13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BL25" i="7"/>
  <c r="BL55" i="7"/>
  <c r="V28" i="7"/>
  <c r="BL15" i="7"/>
  <c r="CP56" i="7"/>
  <c r="AB32" i="7"/>
  <c r="V53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20" i="7"/>
  <c r="CP40" i="7"/>
  <c r="CP44" i="7"/>
  <c r="CP12" i="7"/>
  <c r="CR22" i="7"/>
  <c r="CP42" i="7"/>
  <c r="BL4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25" i="7"/>
  <c r="V49" i="7"/>
  <c r="V38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P44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I25" i="7" l="1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B135" i="10"/>
  <c r="O36" i="7"/>
  <c r="O20" i="7"/>
  <c r="Q20" i="7" s="1"/>
  <c r="O41" i="7"/>
  <c r="Q41" i="7" s="1"/>
  <c r="O37" i="7"/>
  <c r="O11" i="7"/>
  <c r="O31" i="7"/>
  <c r="Q31" i="7" s="1"/>
  <c r="U55" i="7"/>
  <c r="U53" i="7"/>
  <c r="U10" i="7"/>
  <c r="W10" i="7" s="1"/>
  <c r="U31" i="7"/>
  <c r="W31" i="7" s="1"/>
  <c r="U42" i="7"/>
  <c r="W42" i="7" s="1"/>
  <c r="U30" i="7"/>
  <c r="U43" i="7"/>
  <c r="U29" i="7"/>
  <c r="W29" i="7" s="1"/>
  <c r="BY29" i="7"/>
  <c r="BZ135" i="10"/>
  <c r="CE135" i="10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U27" i="7"/>
  <c r="W27" i="7" s="1"/>
  <c r="U37" i="7"/>
  <c r="W37" i="7" s="1"/>
  <c r="U52" i="7"/>
  <c r="U14" i="7"/>
  <c r="U51" i="7"/>
  <c r="W51" i="7" s="1"/>
  <c r="U40" i="7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U9" i="7"/>
  <c r="U46" i="7"/>
  <c r="U8" i="7"/>
  <c r="W8" i="7" s="1"/>
  <c r="U23" i="7"/>
  <c r="W23" i="7" s="1"/>
  <c r="U33" i="7"/>
  <c r="U26" i="7"/>
  <c r="U11" i="7"/>
  <c r="U21" i="7"/>
  <c r="W21" i="7" s="1"/>
  <c r="U36" i="7"/>
  <c r="U41" i="7"/>
  <c r="U19" i="7"/>
  <c r="W19" i="7" s="1"/>
  <c r="U24" i="7"/>
  <c r="W24" i="7" s="1"/>
  <c r="BY40" i="7"/>
  <c r="BD36" i="13"/>
  <c r="BD40" i="13"/>
  <c r="U28" i="7"/>
  <c r="W28" i="7" s="1"/>
  <c r="U15" i="7"/>
  <c r="U25" i="7"/>
  <c r="U22" i="7"/>
  <c r="W22" i="7" s="1"/>
  <c r="U54" i="7"/>
  <c r="W54" i="7" s="1"/>
  <c r="U13" i="7"/>
  <c r="U16" i="7"/>
  <c r="W16" i="7" s="1"/>
  <c r="U48" i="7"/>
  <c r="W48" i="7" s="1"/>
  <c r="U12" i="7"/>
  <c r="W12" i="7" s="1"/>
  <c r="U44" i="7"/>
  <c r="U47" i="7"/>
  <c r="U6" i="7"/>
  <c r="W6" i="7" s="1"/>
  <c r="U38" i="7"/>
  <c r="W38" i="7" s="1"/>
  <c r="U35" i="7"/>
  <c r="U45" i="7"/>
  <c r="BY33" i="7"/>
  <c r="BY27" i="7"/>
  <c r="CF135" i="10"/>
  <c r="D135" i="10"/>
  <c r="AT135" i="10"/>
  <c r="AD135" i="10"/>
  <c r="AU135" i="10"/>
  <c r="BX135" i="10"/>
  <c r="F135" i="10"/>
  <c r="AM135" i="10"/>
  <c r="S135" i="10"/>
  <c r="BO135" i="10"/>
  <c r="AG135" i="10"/>
  <c r="Q135" i="10"/>
  <c r="BV135" i="10"/>
  <c r="L135" i="10"/>
  <c r="AO135" i="10"/>
  <c r="CD135" i="10"/>
  <c r="T135" i="10"/>
  <c r="BJ135" i="10"/>
  <c r="AJ135" i="10"/>
  <c r="CB135" i="10"/>
  <c r="J135" i="10"/>
  <c r="AQ135" i="10"/>
  <c r="BT135" i="10"/>
  <c r="R135" i="10"/>
  <c r="BP135" i="10"/>
  <c r="AZ135" i="10"/>
  <c r="AI135" i="10"/>
  <c r="P135" i="10"/>
  <c r="AS135" i="10"/>
  <c r="BR135" i="10"/>
  <c r="H135" i="10"/>
  <c r="BA135" i="10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AW135" i="10"/>
  <c r="CS135" i="10"/>
  <c r="CU135" i="10"/>
  <c r="CC135" i="10"/>
  <c r="BL135" i="10"/>
  <c r="CQ135" i="10"/>
  <c r="AE135" i="10"/>
  <c r="BF135" i="10"/>
  <c r="CO135" i="10"/>
  <c r="AC135" i="10"/>
  <c r="BH135" i="10"/>
  <c r="CM135" i="10"/>
  <c r="AA135" i="10"/>
  <c r="BB135" i="10"/>
  <c r="CK135" i="10"/>
  <c r="Y135" i="10"/>
  <c r="BD135" i="10"/>
  <c r="CI135" i="10"/>
  <c r="W135" i="10"/>
  <c r="BN135" i="10"/>
  <c r="CW135" i="10"/>
  <c r="AK135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AV135" i="10"/>
  <c r="CA135" i="10"/>
  <c r="O135" i="10"/>
  <c r="AP135" i="10"/>
  <c r="BY135" i="10"/>
  <c r="M135" i="10"/>
  <c r="AR135" i="10"/>
  <c r="BW135" i="10"/>
  <c r="K135" i="10"/>
  <c r="AL135" i="10"/>
  <c r="BU135" i="10"/>
  <c r="I135" i="10"/>
  <c r="AN135" i="10"/>
  <c r="BS135" i="10"/>
  <c r="G135" i="10"/>
  <c r="AX135" i="10"/>
  <c r="CG135" i="10"/>
  <c r="U135" i="10"/>
  <c r="I35" i="11" a="1"/>
  <c r="I35" i="11" s="1"/>
  <c r="I138" i="11" a="1"/>
  <c r="I138" i="11" s="1"/>
  <c r="BN136" i="10" s="1"/>
  <c r="B226" i="10"/>
  <c r="B206" i="10"/>
  <c r="B220" i="10"/>
  <c r="B225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24" i="10"/>
  <c r="B232" i="10"/>
  <c r="B234" i="10"/>
  <c r="B216" i="10"/>
  <c r="B229" i="10"/>
  <c r="B211" i="10"/>
  <c r="B207" i="10"/>
  <c r="B237" i="10"/>
  <c r="L137" i="10"/>
  <c r="AB137" i="10"/>
  <c r="AR137" i="10"/>
  <c r="BH137" i="10"/>
  <c r="BX137" i="10"/>
  <c r="CN137" i="10"/>
  <c r="P137" i="10"/>
  <c r="AF137" i="10"/>
  <c r="AV137" i="10"/>
  <c r="BL137" i="10"/>
  <c r="CB137" i="10"/>
  <c r="CR137" i="10"/>
  <c r="D137" i="10"/>
  <c r="T137" i="10"/>
  <c r="AJ137" i="10"/>
  <c r="AZ137" i="10"/>
  <c r="BP137" i="10"/>
  <c r="CF137" i="10"/>
  <c r="CV137" i="10"/>
  <c r="X137" i="10"/>
  <c r="CJ137" i="10"/>
  <c r="Q137" i="10"/>
  <c r="AG137" i="10"/>
  <c r="AW137" i="10"/>
  <c r="BM137" i="10"/>
  <c r="CC137" i="10"/>
  <c r="CS137" i="10"/>
  <c r="F137" i="10"/>
  <c r="V137" i="10"/>
  <c r="AL137" i="10"/>
  <c r="BB137" i="10"/>
  <c r="BR137" i="10"/>
  <c r="CH137" i="10"/>
  <c r="AN137" i="10"/>
  <c r="E137" i="10"/>
  <c r="U137" i="10"/>
  <c r="AK137" i="10"/>
  <c r="BA137" i="10"/>
  <c r="BQ137" i="10"/>
  <c r="CG137" i="10"/>
  <c r="CW137" i="10"/>
  <c r="J137" i="10"/>
  <c r="Z137" i="10"/>
  <c r="AP137" i="10"/>
  <c r="BF137" i="10"/>
  <c r="BV137" i="10"/>
  <c r="CL137" i="10"/>
  <c r="BD137" i="10"/>
  <c r="I137" i="10"/>
  <c r="Y137" i="10"/>
  <c r="AO137" i="10"/>
  <c r="BE137" i="10"/>
  <c r="BU137" i="10"/>
  <c r="CK137" i="10"/>
  <c r="N137" i="10"/>
  <c r="AD137" i="10"/>
  <c r="AT137" i="10"/>
  <c r="BJ137" i="10"/>
  <c r="BZ137" i="10"/>
  <c r="CP137" i="10"/>
  <c r="BT137" i="10"/>
  <c r="BI137" i="10"/>
  <c r="AX137" i="10"/>
  <c r="K137" i="10"/>
  <c r="AA137" i="10"/>
  <c r="AQ137" i="10"/>
  <c r="BG137" i="10"/>
  <c r="BW137" i="10"/>
  <c r="CM137" i="10"/>
  <c r="M137" i="10"/>
  <c r="BY137" i="10"/>
  <c r="BN137" i="10"/>
  <c r="O137" i="10"/>
  <c r="AE137" i="10"/>
  <c r="AU137" i="10"/>
  <c r="BK137" i="10"/>
  <c r="CA137" i="10"/>
  <c r="CQ137" i="10"/>
  <c r="AC137" i="10"/>
  <c r="CO137" i="10"/>
  <c r="R137" i="10"/>
  <c r="CD137" i="10"/>
  <c r="C137" i="10"/>
  <c r="S137" i="10"/>
  <c r="AI137" i="10"/>
  <c r="AY137" i="10"/>
  <c r="BO137" i="10"/>
  <c r="CE137" i="10"/>
  <c r="CU137" i="10"/>
  <c r="AH137" i="10"/>
  <c r="W137" i="10"/>
  <c r="CI137" i="10"/>
  <c r="CT137" i="10"/>
  <c r="AM137" i="10"/>
  <c r="H137" i="10"/>
  <c r="AS137" i="10"/>
  <c r="BC137" i="10"/>
  <c r="BS137" i="10"/>
  <c r="G137" i="10"/>
  <c r="N135" i="10"/>
  <c r="BM135" i="10"/>
  <c r="C135" i="10"/>
  <c r="B209" i="10" s="1"/>
  <c r="AY135" i="10"/>
  <c r="CV135" i="10"/>
  <c r="CP135" i="10"/>
  <c r="CR135" i="10"/>
  <c r="AF135" i="10"/>
  <c r="BK135" i="10"/>
  <c r="CL135" i="10"/>
  <c r="Z135" i="10"/>
  <c r="BI135" i="10"/>
  <c r="CN135" i="10"/>
  <c r="AB135" i="10"/>
  <c r="BG135" i="10"/>
  <c r="CH135" i="10"/>
  <c r="V135" i="10"/>
  <c r="BE135" i="10"/>
  <c r="CJ135" i="10"/>
  <c r="X135" i="10"/>
  <c r="BC135" i="10"/>
  <c r="CT135" i="10"/>
  <c r="AH135" i="10"/>
  <c r="BQ135" i="10"/>
  <c r="AU34" i="7"/>
  <c r="Q24" i="7"/>
  <c r="AC54" i="7"/>
  <c r="BM48" i="7"/>
  <c r="CK35" i="7"/>
  <c r="W26" i="7"/>
  <c r="BM9" i="7"/>
  <c r="B96" i="10"/>
  <c r="B95" i="10"/>
  <c r="B94" i="10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Q5" i="7" s="1"/>
  <c r="O33" i="7"/>
  <c r="Q33" i="7" s="1"/>
  <c r="O38" i="7"/>
  <c r="Q38" i="7" s="1"/>
  <c r="O29" i="7"/>
  <c r="O22" i="7"/>
  <c r="Q22" i="7" s="1"/>
  <c r="O9" i="7"/>
  <c r="O53" i="7"/>
  <c r="Q53" i="7" s="1"/>
  <c r="O44" i="7"/>
  <c r="O27" i="7"/>
  <c r="Q27" i="7" s="1"/>
  <c r="O10" i="7"/>
  <c r="O40" i="7"/>
  <c r="Q40" i="7" s="1"/>
  <c r="BY36" i="7"/>
  <c r="O45" i="7"/>
  <c r="O39" i="7"/>
  <c r="Q39" i="7" s="1"/>
  <c r="O15" i="7"/>
  <c r="Q15" i="7" s="1"/>
  <c r="O8" i="7"/>
  <c r="O50" i="7"/>
  <c r="O35" i="7"/>
  <c r="Q35" i="7" s="1"/>
  <c r="O30" i="7"/>
  <c r="O21" i="7"/>
  <c r="O14" i="7"/>
  <c r="Q14" i="7" s="1"/>
  <c r="O54" i="7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43" i="7"/>
  <c r="AI55" i="7"/>
  <c r="AI48" i="7"/>
  <c r="BA33" i="7"/>
  <c r="BA38" i="7"/>
  <c r="AH115" i="5"/>
  <c r="AH149" i="5"/>
  <c r="AG153" i="5"/>
  <c r="W30" i="7"/>
  <c r="W35" i="7"/>
  <c r="W47" i="7"/>
  <c r="AC47" i="7"/>
  <c r="W49" i="7"/>
  <c r="W20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44" i="7"/>
  <c r="AC7" i="7"/>
  <c r="AC49" i="7"/>
  <c r="AC42" i="7"/>
  <c r="AC30" i="7"/>
  <c r="BM21" i="7"/>
  <c r="BM43" i="7"/>
  <c r="BM22" i="7"/>
  <c r="W13" i="7"/>
  <c r="W52" i="7"/>
  <c r="W46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15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11" i="7"/>
  <c r="W33" i="7"/>
  <c r="W41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AH22" i="5"/>
  <c r="AO33" i="7"/>
  <c r="AO34" i="7"/>
  <c r="AO30" i="7"/>
  <c r="Q55" i="7"/>
  <c r="Q10" i="7"/>
  <c r="Q21" i="7"/>
  <c r="Q17" i="7"/>
  <c r="AG127" i="5"/>
  <c r="AO37" i="7"/>
  <c r="AO18" i="7"/>
  <c r="Q47" i="7"/>
  <c r="Q19" i="7"/>
  <c r="Q28" i="7"/>
  <c r="AO16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9" i="7"/>
  <c r="Q7" i="7"/>
  <c r="Q54" i="7"/>
  <c r="Q30" i="7"/>
  <c r="Q52" i="7"/>
  <c r="Q26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48" i="7"/>
  <c r="Q25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B210" i="10" l="1"/>
  <c r="U59" i="7"/>
  <c r="B137" i="10"/>
  <c r="B136" i="10"/>
  <c r="C225" i="10" s="1"/>
  <c r="AI159" i="5"/>
  <c r="AI160" i="5"/>
  <c r="CS136" i="10"/>
  <c r="CV136" i="10"/>
  <c r="L136" i="10"/>
  <c r="AO136" i="10"/>
  <c r="BB136" i="10"/>
  <c r="D136" i="10"/>
  <c r="AF136" i="10"/>
  <c r="AT136" i="10"/>
  <c r="AM136" i="10"/>
  <c r="BT136" i="10"/>
  <c r="CQ136" i="10"/>
  <c r="AE136" i="10"/>
  <c r="AV136" i="10"/>
  <c r="CM136" i="10"/>
  <c r="AS136" i="10"/>
  <c r="BF136" i="10"/>
  <c r="H136" i="10"/>
  <c r="AK136" i="10"/>
  <c r="AX136" i="10"/>
  <c r="AD136" i="10"/>
  <c r="P136" i="10"/>
  <c r="BX136" i="10"/>
  <c r="CU136" i="10"/>
  <c r="AI136" i="10"/>
  <c r="BP136" i="10"/>
  <c r="D206" i="10"/>
  <c r="D209" i="10"/>
  <c r="D225" i="10"/>
  <c r="D207" i="10"/>
  <c r="D234" i="10"/>
  <c r="D233" i="10"/>
  <c r="D215" i="10"/>
  <c r="D238" i="10"/>
  <c r="D226" i="10"/>
  <c r="D208" i="10"/>
  <c r="D224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46" i="10"/>
  <c r="B250" i="10"/>
  <c r="B255" i="10"/>
  <c r="AW136" i="10"/>
  <c r="CP136" i="10"/>
  <c r="CL136" i="10"/>
  <c r="AA136" i="10"/>
  <c r="CC136" i="10"/>
  <c r="BW136" i="10"/>
  <c r="BM136" i="10"/>
  <c r="CO136" i="10"/>
  <c r="AC136" i="10"/>
  <c r="BH136" i="10"/>
  <c r="CI136" i="10"/>
  <c r="W136" i="10"/>
  <c r="AP136" i="10"/>
  <c r="CK136" i="10"/>
  <c r="Y136" i="10"/>
  <c r="BD136" i="10"/>
  <c r="CE136" i="10"/>
  <c r="S136" i="10"/>
  <c r="AL136" i="10"/>
  <c r="CG136" i="10"/>
  <c r="U136" i="10"/>
  <c r="AZ136" i="10"/>
  <c r="CA136" i="10"/>
  <c r="O136" i="10"/>
  <c r="AH136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26" i="10"/>
  <c r="C230" i="10"/>
  <c r="C213" i="10"/>
  <c r="C208" i="10"/>
  <c r="C227" i="10"/>
  <c r="C207" i="10"/>
  <c r="C233" i="10"/>
  <c r="C238" i="10"/>
  <c r="C218" i="10"/>
  <c r="C217" i="10"/>
  <c r="C211" i="10"/>
  <c r="C210" i="10"/>
  <c r="C229" i="10"/>
  <c r="C214" i="10"/>
  <c r="C250" i="10" s="1"/>
  <c r="C215" i="10"/>
  <c r="C235" i="10"/>
  <c r="B239" i="10"/>
  <c r="B244" i="10"/>
  <c r="B245" i="10"/>
  <c r="B256" i="10"/>
  <c r="CT136" i="10"/>
  <c r="CR136" i="10"/>
  <c r="CH136" i="10"/>
  <c r="BZ136" i="10"/>
  <c r="Q136" i="10"/>
  <c r="K136" i="10"/>
  <c r="BL136" i="10"/>
  <c r="BY136" i="10"/>
  <c r="M136" i="10"/>
  <c r="AR136" i="10"/>
  <c r="BS136" i="10"/>
  <c r="G136" i="10"/>
  <c r="Z136" i="10"/>
  <c r="BU136" i="10"/>
  <c r="I136" i="10"/>
  <c r="AN136" i="10"/>
  <c r="BO136" i="10"/>
  <c r="C136" i="10"/>
  <c r="C209" i="10" s="1"/>
  <c r="V136" i="10"/>
  <c r="BQ136" i="10"/>
  <c r="E136" i="10"/>
  <c r="AJ136" i="10"/>
  <c r="BK136" i="10"/>
  <c r="CD136" i="10"/>
  <c r="R136" i="10"/>
  <c r="K35" i="11" a="1"/>
  <c r="K35" i="11" s="1"/>
  <c r="K138" i="11" a="1"/>
  <c r="K138" i="11" s="1"/>
  <c r="AO138" i="10" s="1"/>
  <c r="B243" i="10"/>
  <c r="B249" i="10"/>
  <c r="B252" i="10"/>
  <c r="B251" i="10"/>
  <c r="B254" i="10"/>
  <c r="B242" i="10"/>
  <c r="B221" i="10"/>
  <c r="CW136" i="10"/>
  <c r="AQ136" i="10"/>
  <c r="AG136" i="10"/>
  <c r="N136" i="10"/>
  <c r="CB136" i="10"/>
  <c r="BJ136" i="10"/>
  <c r="BG136" i="10"/>
  <c r="BI136" i="10"/>
  <c r="CN136" i="10"/>
  <c r="AB136" i="10"/>
  <c r="BC136" i="10"/>
  <c r="BV136" i="10"/>
  <c r="J136" i="10"/>
  <c r="BE136" i="10"/>
  <c r="CJ136" i="10"/>
  <c r="X136" i="10"/>
  <c r="AY136" i="10"/>
  <c r="BR136" i="10"/>
  <c r="F136" i="10"/>
  <c r="BA136" i="10"/>
  <c r="CF136" i="10"/>
  <c r="T136" i="10"/>
  <c r="AU136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B112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254" i="10" l="1"/>
  <c r="C224" i="10"/>
  <c r="C249" i="10"/>
  <c r="C251" i="10"/>
  <c r="B138" i="10"/>
  <c r="C244" i="10"/>
  <c r="CA138" i="10"/>
  <c r="D249" i="10"/>
  <c r="D255" i="10"/>
  <c r="D252" i="10"/>
  <c r="CN138" i="10"/>
  <c r="BS138" i="10"/>
  <c r="T138" i="10"/>
  <c r="CV138" i="10"/>
  <c r="CU138" i="10"/>
  <c r="BD138" i="10"/>
  <c r="BB138" i="10"/>
  <c r="AZ138" i="10"/>
  <c r="AB138" i="10"/>
  <c r="CM138" i="10"/>
  <c r="Q138" i="10"/>
  <c r="C243" i="10"/>
  <c r="BL138" i="10"/>
  <c r="AP138" i="10"/>
  <c r="AA138" i="10"/>
  <c r="BK138" i="10"/>
  <c r="AV138" i="10"/>
  <c r="BX138" i="10"/>
  <c r="AK138" i="10"/>
  <c r="O138" i="10"/>
  <c r="K138" i="10"/>
  <c r="CT138" i="10"/>
  <c r="J138" i="10"/>
  <c r="BP138" i="10"/>
  <c r="CR138" i="10"/>
  <c r="AF138" i="10"/>
  <c r="BF138" i="10"/>
  <c r="BH138" i="10"/>
  <c r="CQ138" i="10"/>
  <c r="CJ138" i="10"/>
  <c r="X138" i="10"/>
  <c r="CL138" i="10"/>
  <c r="BG138" i="10"/>
  <c r="CH138" i="10"/>
  <c r="V138" i="10"/>
  <c r="AX138" i="10"/>
  <c r="AJ138" i="10"/>
  <c r="BV138" i="10"/>
  <c r="AU138" i="10"/>
  <c r="L138" i="10"/>
  <c r="AN138" i="10"/>
  <c r="BW138" i="10"/>
  <c r="AL138" i="10"/>
  <c r="AC138" i="10"/>
  <c r="CF138" i="10"/>
  <c r="D138" i="10"/>
  <c r="CB138" i="10"/>
  <c r="P138" i="10"/>
  <c r="CW138" i="10"/>
  <c r="AR138" i="10"/>
  <c r="AE138" i="10"/>
  <c r="BT138" i="10"/>
  <c r="H138" i="10"/>
  <c r="Z138" i="10"/>
  <c r="AQ138" i="10"/>
  <c r="BR138" i="10"/>
  <c r="F138" i="10"/>
  <c r="CP138" i="10"/>
  <c r="CG138" i="10"/>
  <c r="AY138" i="10"/>
  <c r="D250" i="10"/>
  <c r="D243" i="10"/>
  <c r="D248" i="10"/>
  <c r="BC138" i="10"/>
  <c r="R138" i="10"/>
  <c r="BZ138" i="10"/>
  <c r="Y138" i="10"/>
  <c r="G138" i="10"/>
  <c r="BO138" i="10"/>
  <c r="CS138" i="10"/>
  <c r="U138" i="10"/>
  <c r="AM138" i="10"/>
  <c r="CD138" i="10"/>
  <c r="BQ138" i="10"/>
  <c r="AI138" i="10"/>
  <c r="AT138" i="10"/>
  <c r="CC138" i="10"/>
  <c r="CO138" i="10"/>
  <c r="CK138" i="10"/>
  <c r="I138" i="10"/>
  <c r="CI138" i="10"/>
  <c r="W138" i="10"/>
  <c r="BN138" i="10"/>
  <c r="E138" i="10"/>
  <c r="C138" i="10"/>
  <c r="AD138" i="10"/>
  <c r="BM138" i="10"/>
  <c r="BI138" i="10"/>
  <c r="BU138" i="10"/>
  <c r="N138" i="10"/>
  <c r="AG138" i="10"/>
  <c r="AS138" i="10"/>
  <c r="BE13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42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B257" i="10"/>
  <c r="AH138" i="10"/>
  <c r="CE138" i="10"/>
  <c r="S138" i="10"/>
  <c r="BJ138" i="10"/>
  <c r="BA138" i="10"/>
  <c r="AW138" i="10"/>
  <c r="BY138" i="10"/>
  <c r="M138" i="10"/>
  <c r="C247" i="10"/>
  <c r="C239" i="10"/>
  <c r="D247" i="10"/>
  <c r="D256" i="10"/>
  <c r="D239" i="10"/>
  <c r="D251" i="10"/>
  <c r="C253" i="10"/>
  <c r="C256" i="10"/>
  <c r="C248" i="10"/>
  <c r="D246" i="10"/>
  <c r="D254" i="10"/>
  <c r="D244" i="10"/>
  <c r="D245" i="10"/>
  <c r="L35" i="11" a="1"/>
  <c r="L35" i="11" s="1"/>
  <c r="L138" i="11" a="1"/>
  <c r="L138" i="11" s="1"/>
  <c r="V139" i="10" s="1"/>
  <c r="C252" i="10"/>
  <c r="C245" i="10"/>
  <c r="D253" i="10"/>
  <c r="D221" i="10"/>
  <c r="D242" i="10"/>
  <c r="E80" i="10"/>
  <c r="E79" i="10"/>
  <c r="E97" i="10"/>
  <c r="E96" i="10"/>
  <c r="E100" i="10"/>
  <c r="E95" i="10"/>
  <c r="E99" i="10"/>
  <c r="E94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47" i="7" a="1"/>
  <c r="CZ47" i="7" s="1"/>
  <c r="CZ46" i="7" a="1"/>
  <c r="CZ46" i="7" s="1"/>
  <c r="CZ6" i="7" l="1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BN139" i="10"/>
  <c r="E117" i="10"/>
  <c r="B139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DA10" i="7" s="1"/>
  <c r="CY15" i="7"/>
  <c r="DA15" i="7" s="1"/>
  <c r="CY52" i="7"/>
  <c r="CY50" i="7"/>
  <c r="CY34" i="7"/>
  <c r="CY48" i="7"/>
  <c r="CY35" i="7"/>
  <c r="CY6" i="7"/>
  <c r="DA6" i="7" s="1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DA46" i="7" s="1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AW139" i="10"/>
  <c r="CZ7" i="7" a="1"/>
  <c r="CZ7" i="7" s="1"/>
  <c r="DA7" i="7" s="1"/>
  <c r="D257" i="10"/>
  <c r="AB139" i="10"/>
  <c r="BL139" i="10"/>
  <c r="E246" i="10"/>
  <c r="BM139" i="10"/>
  <c r="AV139" i="10"/>
  <c r="AS139" i="10"/>
  <c r="W139" i="10"/>
  <c r="BQ139" i="10"/>
  <c r="H139" i="10"/>
  <c r="AH139" i="10"/>
  <c r="BV139" i="10"/>
  <c r="Q139" i="10"/>
  <c r="CF139" i="10"/>
  <c r="AO139" i="10"/>
  <c r="E139" i="10"/>
  <c r="AY139" i="10"/>
  <c r="AQ139" i="10"/>
  <c r="J139" i="10"/>
  <c r="E243" i="10"/>
  <c r="CB139" i="10"/>
  <c r="AF139" i="10"/>
  <c r="AX139" i="10"/>
  <c r="R139" i="10"/>
  <c r="AL139" i="10"/>
  <c r="AG139" i="10"/>
  <c r="BI139" i="10"/>
  <c r="CI139" i="10"/>
  <c r="BS139" i="10"/>
  <c r="BT139" i="10"/>
  <c r="AU139" i="10"/>
  <c r="AT139" i="10"/>
  <c r="D139" i="10"/>
  <c r="CS139" i="10"/>
  <c r="CC139" i="10"/>
  <c r="BY139" i="10"/>
  <c r="M139" i="10"/>
  <c r="T139" i="10"/>
  <c r="BU139" i="10"/>
  <c r="I139" i="10"/>
  <c r="AJ139" i="10"/>
  <c r="CW139" i="10"/>
  <c r="AK139" i="10"/>
  <c r="BX139" i="10"/>
  <c r="BC139" i="10"/>
  <c r="AN139" i="10"/>
  <c r="CE139" i="10"/>
  <c r="S139" i="10"/>
  <c r="CA139" i="10"/>
  <c r="O139" i="10"/>
  <c r="BW139" i="10"/>
  <c r="K139" i="10"/>
  <c r="BZ139" i="10"/>
  <c r="N139" i="10"/>
  <c r="AP139" i="10"/>
  <c r="BR139" i="10"/>
  <c r="F139" i="10"/>
  <c r="E245" i="10"/>
  <c r="E249" i="10"/>
  <c r="E221" i="10"/>
  <c r="E242" i="10"/>
  <c r="C257" i="10"/>
  <c r="BE139" i="10"/>
  <c r="CV139" i="10"/>
  <c r="P139" i="10"/>
  <c r="CG139" i="10"/>
  <c r="U139" i="10"/>
  <c r="AZ139" i="10"/>
  <c r="CJ139" i="10"/>
  <c r="X139" i="10"/>
  <c r="BO139" i="10"/>
  <c r="C139" i="10"/>
  <c r="F210" i="10" s="1"/>
  <c r="BK139" i="10"/>
  <c r="CT139" i="10"/>
  <c r="BG139" i="10"/>
  <c r="CD139" i="10"/>
  <c r="BJ139" i="10"/>
  <c r="CL139" i="10"/>
  <c r="Z139" i="10"/>
  <c r="BB139" i="10"/>
  <c r="E256" i="10"/>
  <c r="E251" i="10"/>
  <c r="E239" i="10"/>
  <c r="E250" i="10"/>
  <c r="M35" i="11" a="1"/>
  <c r="M35" i="11" s="1"/>
  <c r="M138" i="11" a="1"/>
  <c r="M138" i="11" s="1"/>
  <c r="AY140" i="10" s="1"/>
  <c r="F226" i="10"/>
  <c r="F227" i="10"/>
  <c r="F237" i="10"/>
  <c r="F236" i="10"/>
  <c r="F231" i="10"/>
  <c r="F208" i="10"/>
  <c r="F207" i="10"/>
  <c r="F230" i="10"/>
  <c r="F206" i="10"/>
  <c r="F209" i="10"/>
  <c r="F225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24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CN139" i="10"/>
  <c r="BP139" i="10"/>
  <c r="AM139" i="10"/>
  <c r="CO139" i="10"/>
  <c r="AC139" i="10"/>
  <c r="AR139" i="10"/>
  <c r="CK139" i="10"/>
  <c r="Y139" i="10"/>
  <c r="BH139" i="10"/>
  <c r="G139" i="10"/>
  <c r="BA139" i="10"/>
  <c r="CR139" i="10"/>
  <c r="L139" i="10"/>
  <c r="BD139" i="10"/>
  <c r="CU139" i="10"/>
  <c r="AI139" i="10"/>
  <c r="CQ139" i="10"/>
  <c r="AE139" i="10"/>
  <c r="CM139" i="10"/>
  <c r="AA139" i="10"/>
  <c r="CP139" i="10"/>
  <c r="AD139" i="10"/>
  <c r="BF139" i="10"/>
  <c r="CH139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B33" i="8"/>
  <c r="C127" i="10"/>
  <c r="E109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E112" i="10"/>
  <c r="A141" i="10"/>
  <c r="A11" i="10"/>
  <c r="I11" i="13"/>
  <c r="E12" i="7"/>
  <c r="K59" i="7"/>
  <c r="G63" i="7" s="1" a="1"/>
  <c r="G63" i="7" s="1"/>
  <c r="B32" i="8" s="1"/>
  <c r="DA21" i="7" l="1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B140" i="10"/>
  <c r="F251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24" i="10"/>
  <c r="G206" i="10"/>
  <c r="G212" i="10"/>
  <c r="G237" i="10"/>
  <c r="G219" i="10"/>
  <c r="G236" i="10"/>
  <c r="G232" i="10"/>
  <c r="G231" i="10"/>
  <c r="G234" i="10"/>
  <c r="G216" i="10"/>
  <c r="G226" i="10"/>
  <c r="G225" i="10"/>
  <c r="G230" i="10"/>
  <c r="G213" i="10"/>
  <c r="G215" i="10"/>
  <c r="G233" i="10"/>
  <c r="G208" i="10"/>
  <c r="G227" i="10"/>
  <c r="G238" i="10"/>
  <c r="G217" i="10"/>
  <c r="G211" i="10"/>
  <c r="G207" i="10"/>
  <c r="G220" i="10"/>
  <c r="G256" i="10" s="1"/>
  <c r="G228" i="10"/>
  <c r="G229" i="10"/>
  <c r="G235" i="10"/>
  <c r="F246" i="10"/>
  <c r="F243" i="10"/>
  <c r="BI140" i="10"/>
  <c r="BZ140" i="10"/>
  <c r="BJ140" i="10"/>
  <c r="BY140" i="10"/>
  <c r="BF140" i="10"/>
  <c r="CK140" i="10"/>
  <c r="Y140" i="10"/>
  <c r="BR140" i="10"/>
  <c r="F140" i="10"/>
  <c r="BA140" i="10"/>
  <c r="AJ140" i="10"/>
  <c r="BN140" i="10"/>
  <c r="CS140" i="10"/>
  <c r="AG140" i="10"/>
  <c r="AE140" i="10"/>
  <c r="BL140" i="10"/>
  <c r="CA140" i="10"/>
  <c r="BH140" i="10"/>
  <c r="BK140" i="10"/>
  <c r="AN140" i="10"/>
  <c r="CM140" i="10"/>
  <c r="AA140" i="10"/>
  <c r="BC140" i="10"/>
  <c r="CU140" i="10"/>
  <c r="AI140" i="10"/>
  <c r="F249" i="10"/>
  <c r="F250" i="10"/>
  <c r="F244" i="10"/>
  <c r="BP140" i="10"/>
  <c r="N140" i="10"/>
  <c r="CO140" i="10"/>
  <c r="M140" i="10"/>
  <c r="AP140" i="10"/>
  <c r="BU140" i="10"/>
  <c r="I140" i="10"/>
  <c r="BB140" i="10"/>
  <c r="CW140" i="10"/>
  <c r="AK140" i="10"/>
  <c r="CQ140" i="10"/>
  <c r="AX140" i="10"/>
  <c r="CC140" i="10"/>
  <c r="Q140" i="10"/>
  <c r="E140" i="10"/>
  <c r="AV140" i="10"/>
  <c r="O140" i="10"/>
  <c r="AR140" i="10"/>
  <c r="CJ140" i="10"/>
  <c r="X140" i="10"/>
  <c r="BW140" i="10"/>
  <c r="K140" i="10"/>
  <c r="AM140" i="10"/>
  <c r="CE140" i="10"/>
  <c r="S140" i="10"/>
  <c r="E257" i="10"/>
  <c r="N35" i="11" a="1"/>
  <c r="N35" i="11" s="1"/>
  <c r="N138" i="11" a="1"/>
  <c r="N138" i="11" s="1"/>
  <c r="B141" i="10" s="1"/>
  <c r="F242" i="10"/>
  <c r="F221" i="10"/>
  <c r="CP140" i="10"/>
  <c r="AS140" i="10"/>
  <c r="AC140" i="10"/>
  <c r="CL140" i="10"/>
  <c r="Z140" i="10"/>
  <c r="BE140" i="10"/>
  <c r="AZ140" i="10"/>
  <c r="AL140" i="10"/>
  <c r="CG140" i="10"/>
  <c r="U140" i="10"/>
  <c r="CT140" i="10"/>
  <c r="AH140" i="10"/>
  <c r="BM140" i="10"/>
  <c r="CF140" i="10"/>
  <c r="CR140" i="10"/>
  <c r="AF140" i="10"/>
  <c r="CN140" i="10"/>
  <c r="AB140" i="10"/>
  <c r="BT140" i="10"/>
  <c r="H140" i="10"/>
  <c r="BG140" i="10"/>
  <c r="CI140" i="10"/>
  <c r="W140" i="10"/>
  <c r="BO140" i="10"/>
  <c r="C140" i="10"/>
  <c r="G209" i="10" s="1"/>
  <c r="P141" i="10"/>
  <c r="BL141" i="10"/>
  <c r="CB141" i="10"/>
  <c r="CR141" i="10"/>
  <c r="T141" i="10"/>
  <c r="AJ141" i="10"/>
  <c r="AZ141" i="10"/>
  <c r="CF141" i="10"/>
  <c r="CV141" i="10"/>
  <c r="H141" i="10"/>
  <c r="AN141" i="10"/>
  <c r="BD141" i="10"/>
  <c r="BT141" i="10"/>
  <c r="L141" i="10"/>
  <c r="BX141" i="10"/>
  <c r="E141" i="10"/>
  <c r="AK141" i="10"/>
  <c r="BA141" i="10"/>
  <c r="BQ141" i="10"/>
  <c r="CG141" i="10"/>
  <c r="CW141" i="10"/>
  <c r="AB141" i="10"/>
  <c r="CN141" i="10"/>
  <c r="I141" i="10"/>
  <c r="Y141" i="10"/>
  <c r="AO141" i="10"/>
  <c r="BE141" i="10"/>
  <c r="BU141" i="10"/>
  <c r="CK141" i="10"/>
  <c r="AR141" i="10"/>
  <c r="M141" i="10"/>
  <c r="AC141" i="10"/>
  <c r="AS141" i="10"/>
  <c r="BI141" i="10"/>
  <c r="BY141" i="10"/>
  <c r="CO141" i="10"/>
  <c r="AW141" i="10"/>
  <c r="N141" i="10"/>
  <c r="AD141" i="10"/>
  <c r="AT141" i="10"/>
  <c r="BJ141" i="10"/>
  <c r="BZ141" i="10"/>
  <c r="CP141" i="10"/>
  <c r="O141" i="10"/>
  <c r="AE141" i="10"/>
  <c r="AU141" i="10"/>
  <c r="BK141" i="10"/>
  <c r="CA141" i="10"/>
  <c r="CQ141" i="10"/>
  <c r="BM141" i="10"/>
  <c r="R141" i="10"/>
  <c r="AH141" i="10"/>
  <c r="AX141" i="10"/>
  <c r="BN141" i="10"/>
  <c r="CD141" i="10"/>
  <c r="CT141" i="10"/>
  <c r="C141" i="10"/>
  <c r="S141" i="10"/>
  <c r="AI141" i="10"/>
  <c r="AY141" i="10"/>
  <c r="BO141" i="10"/>
  <c r="CE141" i="10"/>
  <c r="CU141" i="10"/>
  <c r="BH141" i="10"/>
  <c r="Q141" i="10"/>
  <c r="CC141" i="10"/>
  <c r="F141" i="10"/>
  <c r="V141" i="10"/>
  <c r="AL141" i="10"/>
  <c r="BB141" i="10"/>
  <c r="BR141" i="10"/>
  <c r="CH141" i="10"/>
  <c r="G141" i="10"/>
  <c r="W141" i="10"/>
  <c r="AM141" i="10"/>
  <c r="BC141" i="10"/>
  <c r="BS141" i="10"/>
  <c r="CI141" i="10"/>
  <c r="AG141" i="10"/>
  <c r="AP141" i="10"/>
  <c r="K141" i="10"/>
  <c r="BW141" i="10"/>
  <c r="CS141" i="10"/>
  <c r="BF141" i="10"/>
  <c r="AA141" i="10"/>
  <c r="CM141" i="10"/>
  <c r="J141" i="10"/>
  <c r="BV141" i="10"/>
  <c r="AQ141" i="10"/>
  <c r="CL141" i="10"/>
  <c r="BG141" i="10"/>
  <c r="Z141" i="10"/>
  <c r="F247" i="10"/>
  <c r="F255" i="10"/>
  <c r="F252" i="10"/>
  <c r="AD140" i="10"/>
  <c r="D140" i="10"/>
  <c r="AT140" i="10"/>
  <c r="BV140" i="10"/>
  <c r="J140" i="10"/>
  <c r="AO140" i="10"/>
  <c r="CH140" i="10"/>
  <c r="V140" i="10"/>
  <c r="BQ140" i="10"/>
  <c r="CV140" i="10"/>
  <c r="CD140" i="10"/>
  <c r="R140" i="10"/>
  <c r="AW140" i="10"/>
  <c r="T140" i="10"/>
  <c r="CB140" i="10"/>
  <c r="P140" i="10"/>
  <c r="BX140" i="10"/>
  <c r="L140" i="10"/>
  <c r="BD140" i="10"/>
  <c r="AU140" i="10"/>
  <c r="AQ140" i="10"/>
  <c r="BS140" i="10"/>
  <c r="G140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112" i="10"/>
  <c r="F91" i="10"/>
  <c r="A12" i="10"/>
  <c r="A142" i="10"/>
  <c r="E13" i="7"/>
  <c r="I12" i="13"/>
  <c r="G210" i="10" l="1"/>
  <c r="U141" i="10"/>
  <c r="CJ141" i="10"/>
  <c r="X141" i="10"/>
  <c r="BP141" i="10"/>
  <c r="D141" i="10"/>
  <c r="AV141" i="10"/>
  <c r="AF141" i="10"/>
  <c r="G244" i="10"/>
  <c r="G249" i="10"/>
  <c r="G255" i="10"/>
  <c r="O35" i="11" a="1"/>
  <c r="O35" i="11" s="1"/>
  <c r="O138" i="11" a="1"/>
  <c r="O138" i="11" s="1"/>
  <c r="B142" i="10" s="1"/>
  <c r="G253" i="10"/>
  <c r="G239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G246" i="10"/>
  <c r="H213" i="10"/>
  <c r="H209" i="10"/>
  <c r="H225" i="10"/>
  <c r="H207" i="10"/>
  <c r="H234" i="10"/>
  <c r="H233" i="10"/>
  <c r="H226" i="10"/>
  <c r="H208" i="10"/>
  <c r="H224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M142" i="10"/>
  <c r="AC142" i="10"/>
  <c r="Q142" i="10"/>
  <c r="AG142" i="10"/>
  <c r="AW142" i="10"/>
  <c r="BM142" i="10"/>
  <c r="CC142" i="10"/>
  <c r="CS142" i="10"/>
  <c r="E142" i="10"/>
  <c r="U142" i="10"/>
  <c r="AK142" i="10"/>
  <c r="BA142" i="10"/>
  <c r="BQ142" i="10"/>
  <c r="CG142" i="10"/>
  <c r="CW142" i="10"/>
  <c r="AO142" i="10"/>
  <c r="BU142" i="10"/>
  <c r="R142" i="10"/>
  <c r="AH142" i="10"/>
  <c r="AX142" i="10"/>
  <c r="BN142" i="10"/>
  <c r="CD142" i="10"/>
  <c r="CT142" i="10"/>
  <c r="AS142" i="10"/>
  <c r="BY142" i="10"/>
  <c r="F142" i="10"/>
  <c r="V142" i="10"/>
  <c r="AL142" i="10"/>
  <c r="BB142" i="10"/>
  <c r="BR142" i="10"/>
  <c r="CH142" i="10"/>
  <c r="I142" i="10"/>
  <c r="BE142" i="10"/>
  <c r="CK142" i="10"/>
  <c r="J142" i="10"/>
  <c r="Z142" i="10"/>
  <c r="AP142" i="10"/>
  <c r="BF142" i="10"/>
  <c r="BV142" i="10"/>
  <c r="CL142" i="10"/>
  <c r="BI142" i="10"/>
  <c r="N142" i="10"/>
  <c r="BZ142" i="10"/>
  <c r="K142" i="10"/>
  <c r="AA142" i="10"/>
  <c r="AQ142" i="10"/>
  <c r="BG142" i="10"/>
  <c r="BW142" i="10"/>
  <c r="CM142" i="10"/>
  <c r="L142" i="10"/>
  <c r="AB142" i="10"/>
  <c r="AR142" i="10"/>
  <c r="BH142" i="10"/>
  <c r="BX142" i="10"/>
  <c r="CN142" i="10"/>
  <c r="CO142" i="10"/>
  <c r="AD142" i="10"/>
  <c r="CP142" i="10"/>
  <c r="O142" i="10"/>
  <c r="AE142" i="10"/>
  <c r="AU142" i="10"/>
  <c r="BK142" i="10"/>
  <c r="CA142" i="10"/>
  <c r="CQ142" i="10"/>
  <c r="P142" i="10"/>
  <c r="AF142" i="10"/>
  <c r="AV142" i="10"/>
  <c r="AT142" i="10"/>
  <c r="C142" i="10"/>
  <c r="S142" i="10"/>
  <c r="AI142" i="10"/>
  <c r="AY142" i="10"/>
  <c r="BO142" i="10"/>
  <c r="CE142" i="10"/>
  <c r="CU142" i="10"/>
  <c r="D142" i="10"/>
  <c r="T142" i="10"/>
  <c r="AJ142" i="10"/>
  <c r="AZ142" i="10"/>
  <c r="BP142" i="10"/>
  <c r="CF142" i="10"/>
  <c r="Y142" i="10"/>
  <c r="G142" i="10"/>
  <c r="BS142" i="10"/>
  <c r="AN142" i="10"/>
  <c r="CB142" i="10"/>
  <c r="W142" i="10"/>
  <c r="CI142" i="10"/>
  <c r="BD142" i="10"/>
  <c r="CJ142" i="10"/>
  <c r="BJ142" i="10"/>
  <c r="AM142" i="10"/>
  <c r="H142" i="10"/>
  <c r="BL142" i="10"/>
  <c r="CR142" i="10"/>
  <c r="BT142" i="10"/>
  <c r="BC142" i="10"/>
  <c r="CV142" i="10"/>
  <c r="X142" i="10"/>
  <c r="G247" i="10"/>
  <c r="G242" i="10"/>
  <c r="G221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112" i="10"/>
  <c r="G91" i="10"/>
  <c r="I13" i="13"/>
  <c r="E14" i="7"/>
  <c r="A13" i="10"/>
  <c r="A143" i="10"/>
  <c r="H119" i="10" l="1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AL143" i="10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39" i="10"/>
  <c r="H249" i="10"/>
  <c r="H254" i="10"/>
  <c r="H244" i="10"/>
  <c r="H243" i="10"/>
  <c r="H255" i="10"/>
  <c r="H251" i="10"/>
  <c r="O143" i="10"/>
  <c r="AU143" i="10"/>
  <c r="C143" i="10"/>
  <c r="AI143" i="10"/>
  <c r="AD143" i="10"/>
  <c r="W143" i="10"/>
  <c r="AQ143" i="10"/>
  <c r="X143" i="10"/>
  <c r="AN143" i="10"/>
  <c r="BD143" i="10"/>
  <c r="L143" i="10"/>
  <c r="AB143" i="10"/>
  <c r="AR143" i="10"/>
  <c r="BH143" i="10"/>
  <c r="R143" i="10"/>
  <c r="K143" i="10"/>
  <c r="P143" i="10"/>
  <c r="AF143" i="10"/>
  <c r="AV143" i="10"/>
  <c r="BL143" i="10"/>
  <c r="AJ143" i="10"/>
  <c r="E143" i="10"/>
  <c r="U143" i="10"/>
  <c r="AK143" i="10"/>
  <c r="BA143" i="10"/>
  <c r="BQ143" i="10"/>
  <c r="BC143" i="10"/>
  <c r="CC143" i="10"/>
  <c r="CS143" i="10"/>
  <c r="BT143" i="10"/>
  <c r="CL143" i="10"/>
  <c r="BG143" i="10"/>
  <c r="CE143" i="10"/>
  <c r="CU143" i="10"/>
  <c r="BW143" i="10"/>
  <c r="CN143" i="10"/>
  <c r="AH143" i="10"/>
  <c r="AZ143" i="10"/>
  <c r="I143" i="10"/>
  <c r="Y143" i="10"/>
  <c r="AO143" i="10"/>
  <c r="BE143" i="10"/>
  <c r="BU143" i="10"/>
  <c r="BK143" i="10"/>
  <c r="CG143" i="10"/>
  <c r="CW143" i="10"/>
  <c r="AX143" i="10"/>
  <c r="BZ143" i="10"/>
  <c r="CP143" i="10"/>
  <c r="BO143" i="10"/>
  <c r="CI143" i="10"/>
  <c r="BB143" i="10"/>
  <c r="CB143" i="10"/>
  <c r="CR143" i="10"/>
  <c r="D143" i="10"/>
  <c r="BP143" i="10"/>
  <c r="M143" i="10"/>
  <c r="AC143" i="10"/>
  <c r="AS143" i="10"/>
  <c r="BI143" i="10"/>
  <c r="BY143" i="10"/>
  <c r="BS143" i="10"/>
  <c r="CK143" i="10"/>
  <c r="BF143" i="10"/>
  <c r="CD143" i="10"/>
  <c r="CT143" i="10"/>
  <c r="BV143" i="10"/>
  <c r="CM143" i="10"/>
  <c r="BJ143" i="10"/>
  <c r="CF143" i="10"/>
  <c r="CV143" i="10"/>
  <c r="AW143" i="10"/>
  <c r="CO143" i="10"/>
  <c r="BN143" i="10"/>
  <c r="BR143" i="10"/>
  <c r="BM143" i="10"/>
  <c r="CH143" i="10"/>
  <c r="AY143" i="10"/>
  <c r="CJ143" i="10"/>
  <c r="T143" i="10"/>
  <c r="Q143" i="10"/>
  <c r="AT143" i="10"/>
  <c r="CA143" i="10"/>
  <c r="AA143" i="10"/>
  <c r="AG143" i="10"/>
  <c r="BX143" i="10"/>
  <c r="CQ143" i="10"/>
  <c r="I219" i="10"/>
  <c r="I236" i="10"/>
  <c r="I215" i="10"/>
  <c r="I226" i="10"/>
  <c r="I208" i="10"/>
  <c r="I230" i="10"/>
  <c r="I218" i="10"/>
  <c r="I214" i="10"/>
  <c r="I207" i="10"/>
  <c r="I213" i="10"/>
  <c r="I238" i="10"/>
  <c r="I220" i="10"/>
  <c r="I224" i="10"/>
  <c r="I225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42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V143" i="10" l="1"/>
  <c r="Z143" i="10"/>
  <c r="B143" i="10"/>
  <c r="I244" i="10"/>
  <c r="I245" i="10"/>
  <c r="I248" i="10"/>
  <c r="I253" i="10"/>
  <c r="AM143" i="10"/>
  <c r="N143" i="10"/>
  <c r="AP143" i="10"/>
  <c r="AE143" i="10"/>
  <c r="F143" i="10"/>
  <c r="H143" i="10"/>
  <c r="G143" i="10"/>
  <c r="S143" i="10"/>
  <c r="J14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42" i="10"/>
  <c r="I221" i="10"/>
  <c r="I252" i="10"/>
  <c r="I256" i="10"/>
  <c r="I250" i="10"/>
  <c r="I254" i="10"/>
  <c r="I251" i="10"/>
  <c r="J224" i="10"/>
  <c r="J206" i="10"/>
  <c r="J218" i="10"/>
  <c r="J232" i="10"/>
  <c r="J214" i="10"/>
  <c r="J215" i="10"/>
  <c r="J220" i="10"/>
  <c r="J228" i="10"/>
  <c r="J210" i="10"/>
  <c r="J226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25" i="10"/>
  <c r="J212" i="10"/>
  <c r="J235" i="10"/>
  <c r="J229" i="10"/>
  <c r="J238" i="10"/>
  <c r="J211" i="10"/>
  <c r="H257" i="10"/>
  <c r="I246" i="10"/>
  <c r="I249" i="10"/>
  <c r="Q35" i="11" a="1"/>
  <c r="Q35" i="11" s="1"/>
  <c r="Q138" i="11" a="1"/>
  <c r="Q138" i="11" s="1"/>
  <c r="N144" i="10" s="1"/>
  <c r="I247" i="10"/>
  <c r="I239" i="10"/>
  <c r="I243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112" i="10"/>
  <c r="I91" i="10"/>
  <c r="B144" i="10" l="1"/>
  <c r="J248" i="10"/>
  <c r="J244" i="10"/>
  <c r="J247" i="10"/>
  <c r="K206" i="10"/>
  <c r="K227" i="10"/>
  <c r="K213" i="10"/>
  <c r="K233" i="10"/>
  <c r="K238" i="10"/>
  <c r="K220" i="10"/>
  <c r="K235" i="10"/>
  <c r="K208" i="10"/>
  <c r="K224" i="10"/>
  <c r="K207" i="10"/>
  <c r="K212" i="10"/>
  <c r="K237" i="10"/>
  <c r="K219" i="10"/>
  <c r="K236" i="10"/>
  <c r="K232" i="10"/>
  <c r="K231" i="10"/>
  <c r="K234" i="10"/>
  <c r="K216" i="10"/>
  <c r="K228" i="10"/>
  <c r="K226" i="10"/>
  <c r="K225" i="10"/>
  <c r="K211" i="10"/>
  <c r="K215" i="10"/>
  <c r="K217" i="10"/>
  <c r="K214" i="10"/>
  <c r="K230" i="10"/>
  <c r="K218" i="10"/>
  <c r="K229" i="10"/>
  <c r="J252" i="10"/>
  <c r="J255" i="10"/>
  <c r="J246" i="10"/>
  <c r="J250" i="10"/>
  <c r="J239" i="10"/>
  <c r="CE144" i="10"/>
  <c r="E144" i="10"/>
  <c r="CL144" i="10"/>
  <c r="AB144" i="10"/>
  <c r="CW144" i="10"/>
  <c r="CU144" i="10"/>
  <c r="CC144" i="10"/>
  <c r="Q144" i="10"/>
  <c r="AN144" i="10"/>
  <c r="CA144" i="10"/>
  <c r="O144" i="10"/>
  <c r="AL144" i="10"/>
  <c r="BY144" i="10"/>
  <c r="M144" i="10"/>
  <c r="AZ144" i="10"/>
  <c r="CM144" i="10"/>
  <c r="AA144" i="10"/>
  <c r="BN144" i="10"/>
  <c r="CK144" i="10"/>
  <c r="Y144" i="10"/>
  <c r="BL144" i="10"/>
  <c r="CI144" i="10"/>
  <c r="W144" i="10"/>
  <c r="BJ144" i="10"/>
  <c r="R35" i="11" a="1"/>
  <c r="R35" i="11" s="1"/>
  <c r="R138" i="11" a="1"/>
  <c r="R138" i="11" s="1"/>
  <c r="AQ145" i="10" s="1"/>
  <c r="J253" i="10"/>
  <c r="CG144" i="10"/>
  <c r="S144" i="10"/>
  <c r="AR144" i="10"/>
  <c r="Z144" i="10"/>
  <c r="AY144" i="10"/>
  <c r="AK144" i="10"/>
  <c r="AI144" i="10"/>
  <c r="BM144" i="10"/>
  <c r="CJ144" i="10"/>
  <c r="X144" i="10"/>
  <c r="BK144" i="10"/>
  <c r="CH144" i="10"/>
  <c r="V144" i="10"/>
  <c r="BI144" i="10"/>
  <c r="CV144" i="10"/>
  <c r="AJ144" i="10"/>
  <c r="BW144" i="10"/>
  <c r="K144" i="10"/>
  <c r="AX144" i="10"/>
  <c r="BU144" i="10"/>
  <c r="I144" i="10"/>
  <c r="AV144" i="10"/>
  <c r="BS144" i="10"/>
  <c r="G144" i="10"/>
  <c r="AT144" i="10"/>
  <c r="I257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AP144" i="10"/>
  <c r="BH144" i="10"/>
  <c r="BO144" i="10"/>
  <c r="BA144" i="10"/>
  <c r="BV144" i="10"/>
  <c r="BX144" i="10"/>
  <c r="BF144" i="10"/>
  <c r="AW144" i="10"/>
  <c r="BT144" i="10"/>
  <c r="H144" i="10"/>
  <c r="AU144" i="10"/>
  <c r="BR144" i="10"/>
  <c r="F144" i="10"/>
  <c r="AS144" i="10"/>
  <c r="CF144" i="10"/>
  <c r="T144" i="10"/>
  <c r="BG144" i="10"/>
  <c r="CT144" i="10"/>
  <c r="AH144" i="10"/>
  <c r="BE144" i="10"/>
  <c r="CR144" i="10"/>
  <c r="AF144" i="10"/>
  <c r="BC144" i="10"/>
  <c r="CP144" i="10"/>
  <c r="AD144" i="10"/>
  <c r="J243" i="10"/>
  <c r="J249" i="10"/>
  <c r="J251" i="10"/>
  <c r="J221" i="10"/>
  <c r="J242" i="10"/>
  <c r="U144" i="10"/>
  <c r="BQ144" i="10"/>
  <c r="C144" i="10"/>
  <c r="K209" i="10" s="1"/>
  <c r="CN144" i="10"/>
  <c r="J144" i="10"/>
  <c r="L144" i="10"/>
  <c r="CS144" i="10"/>
  <c r="AG144" i="10"/>
  <c r="BD144" i="10"/>
  <c r="CQ144" i="10"/>
  <c r="AE144" i="10"/>
  <c r="BB144" i="10"/>
  <c r="CO144" i="10"/>
  <c r="AC144" i="10"/>
  <c r="BP144" i="10"/>
  <c r="D144" i="10"/>
  <c r="AQ144" i="10"/>
  <c r="CD144" i="10"/>
  <c r="R144" i="10"/>
  <c r="AO144" i="10"/>
  <c r="CB144" i="10"/>
  <c r="P144" i="10"/>
  <c r="AM144" i="10"/>
  <c r="BZ144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210" i="10" l="1"/>
  <c r="K121" i="10"/>
  <c r="B146" i="10"/>
  <c r="B145" i="10"/>
  <c r="K253" i="10"/>
  <c r="K113" i="10"/>
  <c r="K250" i="10"/>
  <c r="K251" i="10"/>
  <c r="K246" i="10"/>
  <c r="K254" i="10"/>
  <c r="K252" i="10"/>
  <c r="K256" i="10"/>
  <c r="S35" i="11" a="1"/>
  <c r="S35" i="11" s="1"/>
  <c r="S138" i="11" a="1"/>
  <c r="S138" i="11" s="1"/>
  <c r="CK145" i="10"/>
  <c r="G145" i="10"/>
  <c r="I145" i="10"/>
  <c r="CD145" i="10"/>
  <c r="P145" i="10"/>
  <c r="BL145" i="10"/>
  <c r="BZ145" i="10"/>
  <c r="N145" i="10"/>
  <c r="BA145" i="10"/>
  <c r="CN145" i="10"/>
  <c r="AB145" i="10"/>
  <c r="BO145" i="10"/>
  <c r="C145" i="10"/>
  <c r="L210" i="10" s="1"/>
  <c r="AP145" i="10"/>
  <c r="CC145" i="10"/>
  <c r="Q145" i="10"/>
  <c r="AN145" i="10"/>
  <c r="CA145" i="10"/>
  <c r="O145" i="10"/>
  <c r="AL145" i="10"/>
  <c r="BY145" i="10"/>
  <c r="M145" i="10"/>
  <c r="AZ145" i="10"/>
  <c r="CM145" i="10"/>
  <c r="AA145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Y145" i="10"/>
  <c r="CT145" i="10"/>
  <c r="CR145" i="10"/>
  <c r="R145" i="10"/>
  <c r="AM145" i="10"/>
  <c r="CI145" i="10"/>
  <c r="BJ145" i="10"/>
  <c r="CW145" i="10"/>
  <c r="AK145" i="10"/>
  <c r="BX145" i="10"/>
  <c r="L145" i="10"/>
  <c r="AY145" i="10"/>
  <c r="CL145" i="10"/>
  <c r="Z145" i="10"/>
  <c r="BM145" i="10"/>
  <c r="CJ145" i="10"/>
  <c r="X145" i="10"/>
  <c r="BK145" i="10"/>
  <c r="CH145" i="10"/>
  <c r="V145" i="10"/>
  <c r="BI145" i="10"/>
  <c r="CV145" i="10"/>
  <c r="AJ145" i="10"/>
  <c r="BW145" i="10"/>
  <c r="K145" i="10"/>
  <c r="K247" i="10"/>
  <c r="K243" i="10"/>
  <c r="H146" i="10"/>
  <c r="X146" i="10"/>
  <c r="AN146" i="10"/>
  <c r="BD146" i="10"/>
  <c r="BT146" i="10"/>
  <c r="CJ146" i="10"/>
  <c r="Q146" i="10"/>
  <c r="AG146" i="10"/>
  <c r="AW146" i="10"/>
  <c r="BM146" i="10"/>
  <c r="CC146" i="10"/>
  <c r="CS146" i="10"/>
  <c r="J146" i="10"/>
  <c r="Z146" i="10"/>
  <c r="AP146" i="10"/>
  <c r="BF146" i="10"/>
  <c r="BV146" i="10"/>
  <c r="CL146" i="10"/>
  <c r="C146" i="10"/>
  <c r="S146" i="10"/>
  <c r="AI146" i="10"/>
  <c r="L146" i="10"/>
  <c r="AB146" i="10"/>
  <c r="AR146" i="10"/>
  <c r="BH146" i="10"/>
  <c r="BX146" i="10"/>
  <c r="CN146" i="10"/>
  <c r="E146" i="10"/>
  <c r="U146" i="10"/>
  <c r="AK146" i="10"/>
  <c r="BA146" i="10"/>
  <c r="BQ146" i="10"/>
  <c r="CG146" i="10"/>
  <c r="CW146" i="10"/>
  <c r="N146" i="10"/>
  <c r="AD146" i="10"/>
  <c r="AT146" i="10"/>
  <c r="BJ146" i="10"/>
  <c r="BZ146" i="10"/>
  <c r="CP146" i="10"/>
  <c r="G146" i="10"/>
  <c r="W146" i="10"/>
  <c r="P146" i="10"/>
  <c r="AF146" i="10"/>
  <c r="AV146" i="10"/>
  <c r="BL146" i="10"/>
  <c r="CB146" i="10"/>
  <c r="CR146" i="10"/>
  <c r="I146" i="10"/>
  <c r="Y146" i="10"/>
  <c r="AO146" i="10"/>
  <c r="BE146" i="10"/>
  <c r="BU146" i="10"/>
  <c r="CK146" i="10"/>
  <c r="R146" i="10"/>
  <c r="AH146" i="10"/>
  <c r="AX146" i="10"/>
  <c r="BN146" i="10"/>
  <c r="CD146" i="10"/>
  <c r="CT146" i="10"/>
  <c r="K146" i="10"/>
  <c r="AZ146" i="10"/>
  <c r="AC146" i="10"/>
  <c r="CO146" i="10"/>
  <c r="F146" i="10"/>
  <c r="BR146" i="10"/>
  <c r="AA146" i="10"/>
  <c r="AU146" i="10"/>
  <c r="BK146" i="10"/>
  <c r="CA146" i="10"/>
  <c r="CQ146" i="10"/>
  <c r="D146" i="10"/>
  <c r="BP146" i="10"/>
  <c r="AS146" i="10"/>
  <c r="V146" i="10"/>
  <c r="CH146" i="10"/>
  <c r="AE146" i="10"/>
  <c r="AY146" i="10"/>
  <c r="BO146" i="10"/>
  <c r="CE146" i="10"/>
  <c r="CU146" i="10"/>
  <c r="T146" i="10"/>
  <c r="CF146" i="10"/>
  <c r="BI146" i="10"/>
  <c r="AL146" i="10"/>
  <c r="AM146" i="10"/>
  <c r="BC146" i="10"/>
  <c r="BS146" i="10"/>
  <c r="CI146" i="10"/>
  <c r="M146" i="10"/>
  <c r="BW146" i="10"/>
  <c r="BY146" i="10"/>
  <c r="O146" i="10"/>
  <c r="CM146" i="10"/>
  <c r="AJ146" i="10"/>
  <c r="AQ146" i="10"/>
  <c r="CV146" i="10"/>
  <c r="BG146" i="10"/>
  <c r="BB146" i="10"/>
  <c r="BS145" i="10"/>
  <c r="AH145" i="10"/>
  <c r="AF145" i="10"/>
  <c r="BE145" i="10"/>
  <c r="BN145" i="10"/>
  <c r="W145" i="10"/>
  <c r="AT145" i="10"/>
  <c r="CG145" i="10"/>
  <c r="U145" i="10"/>
  <c r="BH145" i="10"/>
  <c r="CU145" i="10"/>
  <c r="AI145" i="10"/>
  <c r="BV145" i="10"/>
  <c r="J145" i="10"/>
  <c r="AW145" i="10"/>
  <c r="BT145" i="10"/>
  <c r="H145" i="10"/>
  <c r="AU145" i="10"/>
  <c r="BR145" i="10"/>
  <c r="F145" i="10"/>
  <c r="AS145" i="10"/>
  <c r="CF145" i="10"/>
  <c r="T145" i="10"/>
  <c r="BG145" i="10"/>
  <c r="K255" i="10"/>
  <c r="K239" i="10"/>
  <c r="K245" i="10"/>
  <c r="L230" i="10"/>
  <c r="L212" i="10"/>
  <c r="L236" i="10"/>
  <c r="L216" i="10"/>
  <c r="L208" i="10"/>
  <c r="L225" i="10"/>
  <c r="L207" i="10"/>
  <c r="L219" i="10"/>
  <c r="L218" i="10"/>
  <c r="L214" i="10"/>
  <c r="L234" i="10"/>
  <c r="L233" i="10"/>
  <c r="L215" i="10"/>
  <c r="L238" i="10"/>
  <c r="L209" i="10"/>
  <c r="L220" i="10"/>
  <c r="L235" i="10"/>
  <c r="L227" i="10"/>
  <c r="L224" i="10"/>
  <c r="L237" i="10"/>
  <c r="L232" i="10"/>
  <c r="L228" i="10"/>
  <c r="L229" i="10"/>
  <c r="L226" i="10"/>
  <c r="L206" i="10"/>
  <c r="L231" i="10"/>
  <c r="L217" i="10"/>
  <c r="L211" i="10"/>
  <c r="L213" i="10"/>
  <c r="J257" i="10"/>
  <c r="AV145" i="10"/>
  <c r="AX145" i="10"/>
  <c r="BU145" i="10"/>
  <c r="BC145" i="10"/>
  <c r="CB145" i="10"/>
  <c r="AO145" i="10"/>
  <c r="CP145" i="10"/>
  <c r="AD145" i="10"/>
  <c r="BQ145" i="10"/>
  <c r="E145" i="10"/>
  <c r="AR145" i="10"/>
  <c r="CE145" i="10"/>
  <c r="S145" i="10"/>
  <c r="BF145" i="10"/>
  <c r="CS145" i="10"/>
  <c r="AG145" i="10"/>
  <c r="BD145" i="10"/>
  <c r="CQ145" i="10"/>
  <c r="AE145" i="10"/>
  <c r="BB145" i="10"/>
  <c r="CO145" i="10"/>
  <c r="AC145" i="10"/>
  <c r="BP145" i="10"/>
  <c r="D145" i="10"/>
  <c r="K244" i="10"/>
  <c r="K221" i="10"/>
  <c r="K242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243" i="10" l="1"/>
  <c r="L256" i="10"/>
  <c r="L253" i="10"/>
  <c r="L255" i="10"/>
  <c r="L247" i="10"/>
  <c r="L251" i="10"/>
  <c r="L254" i="10"/>
  <c r="L24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4" i="10"/>
  <c r="M209" i="10"/>
  <c r="M227" i="10"/>
  <c r="M225" i="10"/>
  <c r="M212" i="10"/>
  <c r="M237" i="10"/>
  <c r="M232" i="10"/>
  <c r="M231" i="10"/>
  <c r="M216" i="10"/>
  <c r="M233" i="10"/>
  <c r="M228" i="10"/>
  <c r="M210" i="10"/>
  <c r="M219" i="10"/>
  <c r="M236" i="10"/>
  <c r="M22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39" i="10"/>
  <c r="L245" i="10"/>
  <c r="L252" i="10"/>
  <c r="T35" i="11" a="1"/>
  <c r="T35" i="11" s="1"/>
  <c r="T138" i="11" a="1"/>
  <c r="T138" i="11" s="1"/>
  <c r="U147" i="10" s="1"/>
  <c r="L246" i="10"/>
  <c r="K257" i="10"/>
  <c r="L249" i="10"/>
  <c r="L221" i="10"/>
  <c r="L242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B147" i="10" l="1"/>
  <c r="M122" i="10"/>
  <c r="M125" i="10"/>
  <c r="M126" i="10"/>
  <c r="X147" i="10"/>
  <c r="M124" i="10"/>
  <c r="M243" i="10"/>
  <c r="M255" i="10"/>
  <c r="M250" i="10"/>
  <c r="M244" i="10"/>
  <c r="M246" i="10"/>
  <c r="M253" i="10"/>
  <c r="M251" i="10"/>
  <c r="M245" i="10"/>
  <c r="CJ147" i="10"/>
  <c r="M256" i="10"/>
  <c r="AP147" i="10"/>
  <c r="M254" i="10"/>
  <c r="BD147" i="10"/>
  <c r="L257" i="10"/>
  <c r="BT147" i="10"/>
  <c r="CE147" i="10"/>
  <c r="CV147" i="10"/>
  <c r="AJ147" i="10"/>
  <c r="C147" i="10"/>
  <c r="CR147" i="10"/>
  <c r="AF147" i="10"/>
  <c r="J147" i="10"/>
  <c r="BX147" i="10"/>
  <c r="L147" i="10"/>
  <c r="CC147" i="10"/>
  <c r="BK147" i="10"/>
  <c r="CH147" i="10"/>
  <c r="V147" i="10"/>
  <c r="BI147" i="10"/>
  <c r="CM147" i="10"/>
  <c r="AA147" i="10"/>
  <c r="BN147" i="10"/>
  <c r="CK147" i="10"/>
  <c r="Y147" i="10"/>
  <c r="BC147" i="10"/>
  <c r="CP147" i="10"/>
  <c r="AD147" i="10"/>
  <c r="BQ147" i="10"/>
  <c r="E147" i="10"/>
  <c r="M247" i="10"/>
  <c r="U35" i="11" a="1"/>
  <c r="U35" i="11" s="1"/>
  <c r="U138" i="11" a="1"/>
  <c r="U138" i="11" s="1"/>
  <c r="B148" i="10" s="1"/>
  <c r="H147" i="10"/>
  <c r="AN147" i="10"/>
  <c r="CF147" i="10"/>
  <c r="T147" i="10"/>
  <c r="CL147" i="10"/>
  <c r="CB147" i="10"/>
  <c r="P147" i="10"/>
  <c r="CS147" i="10"/>
  <c r="BH147" i="10"/>
  <c r="CU147" i="10"/>
  <c r="Q147" i="10"/>
  <c r="AU147" i="10"/>
  <c r="BR147" i="10"/>
  <c r="F147" i="10"/>
  <c r="AS147" i="10"/>
  <c r="BW147" i="10"/>
  <c r="K147" i="10"/>
  <c r="AX147" i="10"/>
  <c r="BU147" i="10"/>
  <c r="I147" i="10"/>
  <c r="AM147" i="10"/>
  <c r="BZ147" i="10"/>
  <c r="N147" i="10"/>
  <c r="BA147" i="10"/>
  <c r="N209" i="10"/>
  <c r="N207" i="10"/>
  <c r="N225" i="10"/>
  <c r="N212" i="10"/>
  <c r="N216" i="10"/>
  <c r="N233" i="10"/>
  <c r="N238" i="10"/>
  <c r="N235" i="10"/>
  <c r="N224" i="10"/>
  <c r="N206" i="10"/>
  <c r="N218" i="10"/>
  <c r="N232" i="10"/>
  <c r="N214" i="10"/>
  <c r="N226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S147" i="10"/>
  <c r="BP147" i="10"/>
  <c r="D147" i="10"/>
  <c r="Z147" i="10"/>
  <c r="BL147" i="10"/>
  <c r="AY147" i="10"/>
  <c r="AG147" i="10"/>
  <c r="AR147" i="10"/>
  <c r="AI147" i="10"/>
  <c r="CQ147" i="10"/>
  <c r="AE147" i="10"/>
  <c r="BB147" i="10"/>
  <c r="CO147" i="10"/>
  <c r="AC147" i="10"/>
  <c r="BG147" i="10"/>
  <c r="CT147" i="10"/>
  <c r="AH147" i="10"/>
  <c r="BE147" i="10"/>
  <c r="CI147" i="10"/>
  <c r="W147" i="10"/>
  <c r="BJ147" i="10"/>
  <c r="CW147" i="10"/>
  <c r="AK147" i="10"/>
  <c r="M242" i="10"/>
  <c r="M221" i="10"/>
  <c r="M252" i="10"/>
  <c r="M248" i="10"/>
  <c r="M239" i="10"/>
  <c r="R148" i="10"/>
  <c r="AH148" i="10"/>
  <c r="AX148" i="10"/>
  <c r="BN148" i="10"/>
  <c r="CD148" i="10"/>
  <c r="CT148" i="10"/>
  <c r="K148" i="10"/>
  <c r="AA148" i="10"/>
  <c r="AQ148" i="10"/>
  <c r="BG148" i="10"/>
  <c r="BW148" i="10"/>
  <c r="CM148" i="10"/>
  <c r="D148" i="10"/>
  <c r="T148" i="10"/>
  <c r="AJ148" i="10"/>
  <c r="AZ148" i="10"/>
  <c r="BP148" i="10"/>
  <c r="CF148" i="10"/>
  <c r="CV148" i="10"/>
  <c r="F148" i="10"/>
  <c r="V148" i="10"/>
  <c r="AL148" i="10"/>
  <c r="BB148" i="10"/>
  <c r="BR148" i="10"/>
  <c r="CH148" i="10"/>
  <c r="O148" i="10"/>
  <c r="AE148" i="10"/>
  <c r="AU148" i="10"/>
  <c r="BK148" i="10"/>
  <c r="CA148" i="10"/>
  <c r="CQ148" i="10"/>
  <c r="H148" i="10"/>
  <c r="X148" i="10"/>
  <c r="AN148" i="10"/>
  <c r="BD148" i="10"/>
  <c r="BT148" i="10"/>
  <c r="CJ148" i="10"/>
  <c r="J148" i="10"/>
  <c r="Z148" i="10"/>
  <c r="AP148" i="10"/>
  <c r="BF148" i="10"/>
  <c r="BV148" i="10"/>
  <c r="CL148" i="10"/>
  <c r="C148" i="10"/>
  <c r="S148" i="10"/>
  <c r="AI148" i="10"/>
  <c r="AY148" i="10"/>
  <c r="BO148" i="10"/>
  <c r="CE148" i="10"/>
  <c r="CU148" i="10"/>
  <c r="L148" i="10"/>
  <c r="AB148" i="10"/>
  <c r="AR148" i="10"/>
  <c r="BH148" i="10"/>
  <c r="BX148" i="10"/>
  <c r="CN148" i="10"/>
  <c r="AT148" i="10"/>
  <c r="W148" i="10"/>
  <c r="CI148" i="10"/>
  <c r="BL148" i="10"/>
  <c r="I148" i="10"/>
  <c r="Y148" i="10"/>
  <c r="AO148" i="10"/>
  <c r="BE148" i="10"/>
  <c r="BU148" i="10"/>
  <c r="CK148" i="10"/>
  <c r="BJ148" i="10"/>
  <c r="AM148" i="10"/>
  <c r="P148" i="10"/>
  <c r="CB148" i="10"/>
  <c r="M148" i="10"/>
  <c r="AC148" i="10"/>
  <c r="AS148" i="10"/>
  <c r="BI148" i="10"/>
  <c r="BY148" i="10"/>
  <c r="CO148" i="10"/>
  <c r="N148" i="10"/>
  <c r="BZ148" i="10"/>
  <c r="BC148" i="10"/>
  <c r="AF148" i="10"/>
  <c r="CR148" i="10"/>
  <c r="Q148" i="10"/>
  <c r="AG148" i="10"/>
  <c r="AW148" i="10"/>
  <c r="BM148" i="10"/>
  <c r="CC148" i="10"/>
  <c r="CS148" i="10"/>
  <c r="BS148" i="10"/>
  <c r="E148" i="10"/>
  <c r="BQ148" i="10"/>
  <c r="AD148" i="10"/>
  <c r="U148" i="10"/>
  <c r="CG148" i="10"/>
  <c r="CP148" i="10"/>
  <c r="AV148" i="10"/>
  <c r="AK148" i="10"/>
  <c r="CW148" i="10"/>
  <c r="G148" i="10"/>
  <c r="BA148" i="10"/>
  <c r="BM147" i="10"/>
  <c r="AZ147" i="10"/>
  <c r="BO147" i="10"/>
  <c r="AW147" i="10"/>
  <c r="AV147" i="10"/>
  <c r="BV147" i="10"/>
  <c r="CN147" i="10"/>
  <c r="AB147" i="10"/>
  <c r="BF147" i="10"/>
  <c r="CA147" i="10"/>
  <c r="O147" i="10"/>
  <c r="AL147" i="10"/>
  <c r="BY147" i="10"/>
  <c r="M147" i="10"/>
  <c r="AQ147" i="10"/>
  <c r="CD147" i="10"/>
  <c r="R147" i="10"/>
  <c r="AO147" i="10"/>
  <c r="BS147" i="10"/>
  <c r="G147" i="10"/>
  <c r="AT147" i="10"/>
  <c r="CG147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251" i="10" l="1"/>
  <c r="N244" i="10"/>
  <c r="N253" i="10"/>
  <c r="N246" i="10"/>
  <c r="N255" i="10"/>
  <c r="N250" i="10"/>
  <c r="M257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42" i="10"/>
  <c r="N221" i="10"/>
  <c r="N243" i="10"/>
  <c r="O226" i="10"/>
  <c r="O225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43" i="10" s="1"/>
  <c r="O212" i="10"/>
  <c r="O248" i="10" s="1"/>
  <c r="O219" i="10"/>
  <c r="O211" i="10"/>
  <c r="O224" i="10"/>
  <c r="O237" i="10"/>
  <c r="O232" i="10"/>
  <c r="O234" i="10"/>
  <c r="O238" i="10"/>
  <c r="O220" i="10"/>
  <c r="O236" i="10"/>
  <c r="O231" i="10"/>
  <c r="O216" i="10"/>
  <c r="N249" i="10"/>
  <c r="N256" i="10"/>
  <c r="N239" i="10"/>
  <c r="N252" i="10"/>
  <c r="N245" i="10"/>
  <c r="V35" i="11" a="1"/>
  <c r="V35" i="11" s="1"/>
  <c r="V138" i="11" a="1"/>
  <c r="V138" i="11" s="1"/>
  <c r="AE149" i="10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B149" i="10" l="1"/>
  <c r="O123" i="10"/>
  <c r="O119" i="10"/>
  <c r="O125" i="10"/>
  <c r="O118" i="10"/>
  <c r="O121" i="10"/>
  <c r="O113" i="10"/>
  <c r="O122" i="10"/>
  <c r="O247" i="10"/>
  <c r="O114" i="10"/>
  <c r="BN149" i="10"/>
  <c r="BZ149" i="10"/>
  <c r="J149" i="10"/>
  <c r="K149" i="10"/>
  <c r="AM149" i="10"/>
  <c r="CU149" i="10"/>
  <c r="AN149" i="10"/>
  <c r="O253" i="10"/>
  <c r="AX149" i="10"/>
  <c r="AT149" i="10"/>
  <c r="CM149" i="10"/>
  <c r="AO149" i="10"/>
  <c r="CG149" i="10"/>
  <c r="AI149" i="10"/>
  <c r="CA149" i="10"/>
  <c r="CD149" i="10"/>
  <c r="CT149" i="10"/>
  <c r="CF149" i="10"/>
  <c r="BB149" i="10"/>
  <c r="CB149" i="10"/>
  <c r="U149" i="10"/>
  <c r="CC149" i="10"/>
  <c r="O149" i="10"/>
  <c r="O256" i="10"/>
  <c r="R149" i="10"/>
  <c r="BY149" i="10"/>
  <c r="BV149" i="10"/>
  <c r="CO149" i="10"/>
  <c r="P149" i="10"/>
  <c r="BH149" i="10"/>
  <c r="Q149" i="10"/>
  <c r="M149" i="10"/>
  <c r="AJ149" i="10"/>
  <c r="CP149" i="10"/>
  <c r="AD149" i="10"/>
  <c r="T149" i="10"/>
  <c r="BF149" i="10"/>
  <c r="AS149" i="10"/>
  <c r="AA149" i="10"/>
  <c r="AL149" i="10"/>
  <c r="AC149" i="10"/>
  <c r="CK149" i="10"/>
  <c r="Y149" i="10"/>
  <c r="BL149" i="10"/>
  <c r="CI149" i="10"/>
  <c r="W149" i="10"/>
  <c r="BQ149" i="10"/>
  <c r="E149" i="10"/>
  <c r="AR149" i="10"/>
  <c r="CE149" i="10"/>
  <c r="S149" i="10"/>
  <c r="BM149" i="10"/>
  <c r="CJ149" i="10"/>
  <c r="X149" i="10"/>
  <c r="BK149" i="10"/>
  <c r="O252" i="10"/>
  <c r="O239" i="10"/>
  <c r="O249" i="10"/>
  <c r="O251" i="10"/>
  <c r="N257" i="10"/>
  <c r="O117" i="10"/>
  <c r="N149" i="10"/>
  <c r="AQ149" i="10"/>
  <c r="AP149" i="10"/>
  <c r="BP149" i="10"/>
  <c r="CH149" i="10"/>
  <c r="V149" i="10"/>
  <c r="AZ149" i="10"/>
  <c r="BU149" i="10"/>
  <c r="I149" i="10"/>
  <c r="AV149" i="10"/>
  <c r="BS149" i="10"/>
  <c r="G149" i="10"/>
  <c r="BA149" i="10"/>
  <c r="CN149" i="10"/>
  <c r="AB149" i="10"/>
  <c r="BO149" i="10"/>
  <c r="C149" i="10"/>
  <c r="P209" i="10" s="1"/>
  <c r="AW149" i="10"/>
  <c r="BT149" i="10"/>
  <c r="H149" i="10"/>
  <c r="AU149" i="10"/>
  <c r="O221" i="10"/>
  <c r="O242" i="10"/>
  <c r="O250" i="10"/>
  <c r="P226" i="10"/>
  <c r="P224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2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W138" i="11" a="1"/>
  <c r="W138" i="11" s="1"/>
  <c r="L150" i="10" s="1"/>
  <c r="BG149" i="10"/>
  <c r="CV149" i="10"/>
  <c r="AH149" i="10"/>
  <c r="BJ149" i="10"/>
  <c r="BI149" i="10"/>
  <c r="CL149" i="10"/>
  <c r="Z149" i="10"/>
  <c r="D149" i="10"/>
  <c r="BR149" i="10"/>
  <c r="F149" i="10"/>
  <c r="BW149" i="10"/>
  <c r="BE149" i="10"/>
  <c r="CR149" i="10"/>
  <c r="AF149" i="10"/>
  <c r="BC149" i="10"/>
  <c r="CW149" i="10"/>
  <c r="AK149" i="10"/>
  <c r="BX149" i="10"/>
  <c r="L149" i="10"/>
  <c r="AY149" i="10"/>
  <c r="CS149" i="10"/>
  <c r="AG149" i="10"/>
  <c r="BD149" i="10"/>
  <c r="CQ149" i="10"/>
  <c r="O255" i="10"/>
  <c r="O244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B150" i="10" l="1"/>
  <c r="O127" i="10"/>
  <c r="P250" i="10"/>
  <c r="P255" i="10"/>
  <c r="P244" i="10"/>
  <c r="P254" i="10"/>
  <c r="P246" i="10"/>
  <c r="P243" i="10"/>
  <c r="P256" i="10"/>
  <c r="P248" i="10"/>
  <c r="P249" i="10"/>
  <c r="Q206" i="10"/>
  <c r="Q207" i="10"/>
  <c r="Q213" i="10"/>
  <c r="Q234" i="10"/>
  <c r="Q238" i="10"/>
  <c r="Q220" i="10"/>
  <c r="Q224" i="10"/>
  <c r="Q227" i="10"/>
  <c r="Q225" i="10"/>
  <c r="Q212" i="10"/>
  <c r="Q237" i="10"/>
  <c r="Q232" i="10"/>
  <c r="Q231" i="10"/>
  <c r="Q216" i="10"/>
  <c r="Q233" i="10"/>
  <c r="Q219" i="10"/>
  <c r="Q236" i="10"/>
  <c r="Q215" i="10"/>
  <c r="Q226" i="10"/>
  <c r="Q230" i="10"/>
  <c r="Q228" i="10"/>
  <c r="Q229" i="10"/>
  <c r="Q208" i="10"/>
  <c r="Q218" i="10"/>
  <c r="Q217" i="10"/>
  <c r="Q211" i="10"/>
  <c r="Q247" i="10" s="1"/>
  <c r="Q214" i="10"/>
  <c r="Q250" i="10" s="1"/>
  <c r="Q235" i="10"/>
  <c r="AK150" i="10"/>
  <c r="AU150" i="10"/>
  <c r="CO150" i="10"/>
  <c r="CH150" i="10"/>
  <c r="AW150" i="10"/>
  <c r="CT150" i="10"/>
  <c r="BI150" i="10"/>
  <c r="CK150" i="10"/>
  <c r="CB150" i="10"/>
  <c r="BS150" i="10"/>
  <c r="AA150" i="10"/>
  <c r="CW150" i="10"/>
  <c r="CN150" i="10"/>
  <c r="CU150" i="10"/>
  <c r="BC150" i="10"/>
  <c r="J150" i="10"/>
  <c r="AR150" i="10"/>
  <c r="CQ150" i="10"/>
  <c r="AY150" i="10"/>
  <c r="Q150" i="10"/>
  <c r="AC150" i="10"/>
  <c r="AH150" i="10"/>
  <c r="P150" i="10"/>
  <c r="U150" i="10"/>
  <c r="P245" i="10"/>
  <c r="O257" i="10"/>
  <c r="BZ150" i="10"/>
  <c r="CM150" i="10"/>
  <c r="CL150" i="10"/>
  <c r="BP150" i="10"/>
  <c r="BR150" i="10"/>
  <c r="BF150" i="10"/>
  <c r="CD150" i="10"/>
  <c r="CV150" i="10"/>
  <c r="BU150" i="10"/>
  <c r="BL150" i="10"/>
  <c r="BA150" i="10"/>
  <c r="K150" i="10"/>
  <c r="CG150" i="10"/>
  <c r="BX150" i="10"/>
  <c r="CE150" i="10"/>
  <c r="AM150" i="10"/>
  <c r="CS150" i="10"/>
  <c r="CJ150" i="10"/>
  <c r="CA150" i="10"/>
  <c r="AI150" i="10"/>
  <c r="AL150" i="10"/>
  <c r="M150" i="10"/>
  <c r="R150" i="10"/>
  <c r="AT150" i="10"/>
  <c r="E150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42" i="10"/>
  <c r="P221" i="10"/>
  <c r="P239" i="10"/>
  <c r="BJ150" i="10"/>
  <c r="CP150" i="10"/>
  <c r="BV150" i="10"/>
  <c r="BW150" i="10"/>
  <c r="AZ150" i="10"/>
  <c r="O150" i="10"/>
  <c r="BN150" i="10"/>
  <c r="AF150" i="10"/>
  <c r="BD150" i="10"/>
  <c r="AO150" i="10"/>
  <c r="BG150" i="10"/>
  <c r="Z150" i="10"/>
  <c r="BQ150" i="10"/>
  <c r="BH150" i="10"/>
  <c r="BO150" i="10"/>
  <c r="W150" i="10"/>
  <c r="CC150" i="10"/>
  <c r="BT150" i="10"/>
  <c r="BK150" i="10"/>
  <c r="S150" i="10"/>
  <c r="V150" i="10"/>
  <c r="T150" i="10"/>
  <c r="Y150" i="10"/>
  <c r="AD150" i="10"/>
  <c r="AB150" i="10"/>
  <c r="X35" i="11" a="1"/>
  <c r="X35" i="11" s="1"/>
  <c r="X138" i="11" a="1"/>
  <c r="X138" i="11" s="1"/>
  <c r="BH151" i="10" s="1"/>
  <c r="P253" i="10"/>
  <c r="AJ150" i="10"/>
  <c r="CF150" i="10"/>
  <c r="BE150" i="10"/>
  <c r="AE150" i="10"/>
  <c r="BY150" i="10"/>
  <c r="AP150" i="10"/>
  <c r="AS150" i="10"/>
  <c r="X150" i="10"/>
  <c r="CR150" i="10"/>
  <c r="CI150" i="10"/>
  <c r="AQ150" i="10"/>
  <c r="H150" i="10"/>
  <c r="AX150" i="10"/>
  <c r="AG150" i="10"/>
  <c r="AV150" i="10"/>
  <c r="G150" i="10"/>
  <c r="BM150" i="10"/>
  <c r="BB150" i="10"/>
  <c r="AN150" i="10"/>
  <c r="C150" i="10"/>
  <c r="Q210" i="10" s="1"/>
  <c r="F150" i="10"/>
  <c r="D150" i="10"/>
  <c r="I150" i="10"/>
  <c r="N15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209" i="10" l="1"/>
  <c r="B151" i="10"/>
  <c r="Q254" i="10"/>
  <c r="P257" i="10"/>
  <c r="AQ151" i="10"/>
  <c r="BF151" i="10"/>
  <c r="CQ151" i="10"/>
  <c r="F151" i="10"/>
  <c r="BN151" i="10"/>
  <c r="CP151" i="10"/>
  <c r="AR151" i="10"/>
  <c r="Q256" i="10"/>
  <c r="BD151" i="10"/>
  <c r="CU151" i="10"/>
  <c r="AE151" i="10"/>
  <c r="AS151" i="10"/>
  <c r="CK151" i="10"/>
  <c r="AD151" i="10"/>
  <c r="BG151" i="10"/>
  <c r="AI151" i="10"/>
  <c r="BM151" i="10"/>
  <c r="CF151" i="10"/>
  <c r="Y151" i="10"/>
  <c r="BQ151" i="10"/>
  <c r="Q245" i="10"/>
  <c r="BC151" i="10"/>
  <c r="CC151" i="10"/>
  <c r="BR151" i="10"/>
  <c r="T151" i="10"/>
  <c r="BL151" i="10"/>
  <c r="E151" i="10"/>
  <c r="Q246" i="10"/>
  <c r="Y35" i="11" a="1"/>
  <c r="Y35" i="11" s="1"/>
  <c r="Y138" i="11" a="1"/>
  <c r="Y138" i="11" s="1"/>
  <c r="B152" i="10" s="1"/>
  <c r="J151" i="10"/>
  <c r="BW151" i="10"/>
  <c r="BV151" i="10"/>
  <c r="AM151" i="10"/>
  <c r="CS151" i="10"/>
  <c r="CE151" i="10"/>
  <c r="S151" i="10"/>
  <c r="Q151" i="10"/>
  <c r="CA151" i="10"/>
  <c r="O151" i="10"/>
  <c r="BT151" i="10"/>
  <c r="BB151" i="10"/>
  <c r="CO151" i="10"/>
  <c r="AC151" i="10"/>
  <c r="BP151" i="10"/>
  <c r="D151" i="10"/>
  <c r="AX151" i="10"/>
  <c r="BU151" i="10"/>
  <c r="I151" i="10"/>
  <c r="AV151" i="10"/>
  <c r="BZ151" i="10"/>
  <c r="N151" i="10"/>
  <c r="BA151" i="10"/>
  <c r="CN151" i="10"/>
  <c r="AB151" i="10"/>
  <c r="Q253" i="10"/>
  <c r="Q251" i="10"/>
  <c r="Q252" i="10"/>
  <c r="Q248" i="10"/>
  <c r="Q239" i="10"/>
  <c r="Q249" i="10"/>
  <c r="CM151" i="10"/>
  <c r="K151" i="10"/>
  <c r="CI151" i="10"/>
  <c r="W151" i="10"/>
  <c r="AG151" i="10"/>
  <c r="BO151" i="10"/>
  <c r="C151" i="10"/>
  <c r="CJ151" i="10"/>
  <c r="BK151" i="10"/>
  <c r="CL151" i="10"/>
  <c r="H151" i="10"/>
  <c r="AL151" i="10"/>
  <c r="BY151" i="10"/>
  <c r="M151" i="10"/>
  <c r="AZ151" i="10"/>
  <c r="CT151" i="10"/>
  <c r="AH151" i="10"/>
  <c r="BE151" i="10"/>
  <c r="CR151" i="10"/>
  <c r="AF151" i="10"/>
  <c r="BJ151" i="10"/>
  <c r="CW151" i="10"/>
  <c r="AK151" i="10"/>
  <c r="BX151" i="10"/>
  <c r="L151" i="10"/>
  <c r="Q243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25" i="10"/>
  <c r="R212" i="10"/>
  <c r="R216" i="10"/>
  <c r="R233" i="10"/>
  <c r="R224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R226" i="10"/>
  <c r="I152" i="10"/>
  <c r="Y152" i="10"/>
  <c r="AO152" i="10"/>
  <c r="BE152" i="10"/>
  <c r="BU152" i="10"/>
  <c r="CK152" i="10"/>
  <c r="R152" i="10"/>
  <c r="AH152" i="10"/>
  <c r="AX152" i="10"/>
  <c r="BN152" i="10"/>
  <c r="CD152" i="10"/>
  <c r="CT152" i="10"/>
  <c r="K152" i="10"/>
  <c r="AA152" i="10"/>
  <c r="AQ152" i="10"/>
  <c r="BG152" i="10"/>
  <c r="BW152" i="10"/>
  <c r="CM152" i="10"/>
  <c r="M152" i="10"/>
  <c r="AC152" i="10"/>
  <c r="AS152" i="10"/>
  <c r="BI152" i="10"/>
  <c r="BY152" i="10"/>
  <c r="CO152" i="10"/>
  <c r="F152" i="10"/>
  <c r="V152" i="10"/>
  <c r="AL152" i="10"/>
  <c r="BB152" i="10"/>
  <c r="BR152" i="10"/>
  <c r="CH152" i="10"/>
  <c r="O152" i="10"/>
  <c r="AE152" i="10"/>
  <c r="AU152" i="10"/>
  <c r="BK152" i="10"/>
  <c r="CA152" i="10"/>
  <c r="CQ152" i="10"/>
  <c r="Q152" i="10"/>
  <c r="AG152" i="10"/>
  <c r="AW152" i="10"/>
  <c r="BM152" i="10"/>
  <c r="CC152" i="10"/>
  <c r="CS152" i="10"/>
  <c r="J152" i="10"/>
  <c r="Z152" i="10"/>
  <c r="AP152" i="10"/>
  <c r="BF152" i="10"/>
  <c r="BV152" i="10"/>
  <c r="CL152" i="10"/>
  <c r="C152" i="10"/>
  <c r="S152" i="10"/>
  <c r="AI152" i="10"/>
  <c r="AY152" i="10"/>
  <c r="BO152" i="10"/>
  <c r="CE152" i="10"/>
  <c r="CU152" i="10"/>
  <c r="AK152" i="10"/>
  <c r="CW152" i="10"/>
  <c r="AD152" i="10"/>
  <c r="CP152" i="10"/>
  <c r="BC152" i="10"/>
  <c r="L152" i="10"/>
  <c r="AB152" i="10"/>
  <c r="AR152" i="10"/>
  <c r="BH152" i="10"/>
  <c r="BX152" i="10"/>
  <c r="CN152" i="10"/>
  <c r="BA152" i="10"/>
  <c r="AT152" i="10"/>
  <c r="G152" i="10"/>
  <c r="BS152" i="10"/>
  <c r="P152" i="10"/>
  <c r="AF152" i="10"/>
  <c r="AV152" i="10"/>
  <c r="BL152" i="10"/>
  <c r="CB152" i="10"/>
  <c r="CR152" i="10"/>
  <c r="E152" i="10"/>
  <c r="BQ152" i="10"/>
  <c r="BJ152" i="10"/>
  <c r="W152" i="10"/>
  <c r="CI152" i="10"/>
  <c r="D152" i="10"/>
  <c r="T152" i="10"/>
  <c r="AJ152" i="10"/>
  <c r="AZ152" i="10"/>
  <c r="BP152" i="10"/>
  <c r="CF152" i="10"/>
  <c r="CV152" i="10"/>
  <c r="CG152" i="10"/>
  <c r="X152" i="10"/>
  <c r="CJ152" i="10"/>
  <c r="AM152" i="10"/>
  <c r="AN152" i="10"/>
  <c r="N152" i="10"/>
  <c r="BD152" i="10"/>
  <c r="U152" i="10"/>
  <c r="BZ152" i="10"/>
  <c r="H152" i="10"/>
  <c r="BT152" i="10"/>
  <c r="AA151" i="10"/>
  <c r="AW151" i="10"/>
  <c r="BS151" i="10"/>
  <c r="G151" i="10"/>
  <c r="AN151" i="10"/>
  <c r="AY151" i="10"/>
  <c r="AP151" i="10"/>
  <c r="X151" i="10"/>
  <c r="AU151" i="10"/>
  <c r="Z151" i="10"/>
  <c r="CH151" i="10"/>
  <c r="V151" i="10"/>
  <c r="BI151" i="10"/>
  <c r="CV151" i="10"/>
  <c r="AJ151" i="10"/>
  <c r="CD151" i="10"/>
  <c r="R151" i="10"/>
  <c r="AO151" i="10"/>
  <c r="CB151" i="10"/>
  <c r="P151" i="10"/>
  <c r="AT151" i="10"/>
  <c r="CG151" i="10"/>
  <c r="U151" i="10"/>
  <c r="Q244" i="10"/>
  <c r="Q255" i="10"/>
  <c r="Q242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12" i="10"/>
  <c r="R248" i="10" l="1"/>
  <c r="R255" i="10"/>
  <c r="Q257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3" i="10"/>
  <c r="R249" i="10"/>
  <c r="Z35" i="11" a="1"/>
  <c r="Z35" i="11" s="1"/>
  <c r="Z138" i="11" a="1"/>
  <c r="Z138" i="11" s="1"/>
  <c r="F153" i="10" s="1"/>
  <c r="S208" i="10"/>
  <c r="S224" i="10"/>
  <c r="S207" i="10"/>
  <c r="S212" i="10"/>
  <c r="S237" i="10"/>
  <c r="S219" i="10"/>
  <c r="S236" i="10"/>
  <c r="S232" i="10"/>
  <c r="S231" i="10"/>
  <c r="S234" i="10"/>
  <c r="S216" i="10"/>
  <c r="S228" i="10"/>
  <c r="S226" i="10"/>
  <c r="S225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39" i="10"/>
  <c r="R256" i="10"/>
  <c r="R254" i="10"/>
  <c r="R221" i="10"/>
  <c r="R242" i="10"/>
  <c r="R24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B153" i="10" l="1"/>
  <c r="S246" i="10"/>
  <c r="S250" i="10"/>
  <c r="S253" i="10"/>
  <c r="S256" i="10"/>
  <c r="S254" i="10"/>
  <c r="S247" i="10"/>
  <c r="S255" i="10"/>
  <c r="CA154" i="10"/>
  <c r="AA35" i="11" a="1"/>
  <c r="AA35" i="11" s="1"/>
  <c r="AA138" i="11" a="1"/>
  <c r="AA138" i="11" s="1"/>
  <c r="C154" i="10" s="1"/>
  <c r="T225" i="10"/>
  <c r="T207" i="10"/>
  <c r="T219" i="10"/>
  <c r="T218" i="10"/>
  <c r="T214" i="10"/>
  <c r="T234" i="10"/>
  <c r="T233" i="10"/>
  <c r="T215" i="10"/>
  <c r="T238" i="10"/>
  <c r="T226" i="10"/>
  <c r="T224" i="10"/>
  <c r="T227" i="10"/>
  <c r="T237" i="10"/>
  <c r="T232" i="10"/>
  <c r="T231" i="10"/>
  <c r="T213" i="10"/>
  <c r="T230" i="10"/>
  <c r="T212" i="10"/>
  <c r="T236" i="10"/>
  <c r="T216" i="10"/>
  <c r="T252" i="10" s="1"/>
  <c r="T217" i="10"/>
  <c r="T211" i="10"/>
  <c r="T206" i="10"/>
  <c r="T229" i="10"/>
  <c r="T220" i="10"/>
  <c r="T228" i="10"/>
  <c r="T235" i="10"/>
  <c r="T208" i="10"/>
  <c r="R257" i="10"/>
  <c r="S251" i="10"/>
  <c r="S244" i="10"/>
  <c r="CG153" i="10"/>
  <c r="E153" i="10"/>
  <c r="CS153" i="10"/>
  <c r="AG153" i="10"/>
  <c r="AA153" i="10"/>
  <c r="BY153" i="10"/>
  <c r="M153" i="10"/>
  <c r="K153" i="10"/>
  <c r="BU153" i="10"/>
  <c r="I153" i="10"/>
  <c r="BN153" i="10"/>
  <c r="AV153" i="10"/>
  <c r="BS153" i="10"/>
  <c r="G153" i="10"/>
  <c r="AT153" i="10"/>
  <c r="BX153" i="10"/>
  <c r="L153" i="10"/>
  <c r="AY153" i="10"/>
  <c r="CL153" i="10"/>
  <c r="Z153" i="10"/>
  <c r="BD153" i="10"/>
  <c r="CQ153" i="10"/>
  <c r="AE153" i="10"/>
  <c r="BB153" i="10"/>
  <c r="S248" i="10"/>
  <c r="CW153" i="10"/>
  <c r="U153" i="10"/>
  <c r="AX153" i="10"/>
  <c r="CC153" i="10"/>
  <c r="Q153" i="10"/>
  <c r="CT153" i="10"/>
  <c r="BI153" i="10"/>
  <c r="CV153" i="10"/>
  <c r="CD153" i="10"/>
  <c r="BE153" i="10"/>
  <c r="CF153" i="10"/>
  <c r="CR153" i="10"/>
  <c r="AF153" i="10"/>
  <c r="BC153" i="10"/>
  <c r="CP153" i="10"/>
  <c r="AD153" i="10"/>
  <c r="BH153" i="10"/>
  <c r="CU153" i="10"/>
  <c r="AI153" i="10"/>
  <c r="BV153" i="10"/>
  <c r="J153" i="10"/>
  <c r="AN153" i="10"/>
  <c r="CA153" i="10"/>
  <c r="O153" i="10"/>
  <c r="AL153" i="10"/>
  <c r="S245" i="10"/>
  <c r="S252" i="10"/>
  <c r="S243" i="10"/>
  <c r="BP153" i="10"/>
  <c r="D153" i="10"/>
  <c r="BA153" i="10"/>
  <c r="BM153" i="10"/>
  <c r="AZ153" i="10"/>
  <c r="AH153" i="10"/>
  <c r="AS153" i="10"/>
  <c r="AJ153" i="10"/>
  <c r="R153" i="10"/>
  <c r="AO153" i="10"/>
  <c r="T153" i="10"/>
  <c r="CB153" i="10"/>
  <c r="P153" i="10"/>
  <c r="AM153" i="10"/>
  <c r="BZ153" i="10"/>
  <c r="N153" i="10"/>
  <c r="AR153" i="10"/>
  <c r="CE153" i="10"/>
  <c r="S153" i="10"/>
  <c r="BF153" i="10"/>
  <c r="CJ153" i="10"/>
  <c r="X153" i="10"/>
  <c r="BK153" i="10"/>
  <c r="CH153" i="10"/>
  <c r="V153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42" i="10"/>
  <c r="S221" i="10"/>
  <c r="S239" i="10"/>
  <c r="AK153" i="10"/>
  <c r="BQ153" i="10"/>
  <c r="AQ153" i="10"/>
  <c r="AW153" i="10"/>
  <c r="CM153" i="10"/>
  <c r="CO153" i="10"/>
  <c r="AC153" i="10"/>
  <c r="BW153" i="10"/>
  <c r="CK153" i="10"/>
  <c r="Y153" i="10"/>
  <c r="BG153" i="10"/>
  <c r="BL153" i="10"/>
  <c r="CI153" i="10"/>
  <c r="W153" i="10"/>
  <c r="BJ153" i="10"/>
  <c r="CN153" i="10"/>
  <c r="AB153" i="10"/>
  <c r="BO153" i="10"/>
  <c r="C153" i="10"/>
  <c r="T210" i="10" s="1"/>
  <c r="AP153" i="10"/>
  <c r="BT153" i="10"/>
  <c r="H153" i="10"/>
  <c r="AU153" i="10"/>
  <c r="BR153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T209" i="10" l="1"/>
  <c r="BN154" i="10"/>
  <c r="B154" i="10"/>
  <c r="T117" i="10"/>
  <c r="T120" i="10"/>
  <c r="T125" i="10"/>
  <c r="T244" i="10"/>
  <c r="T122" i="10"/>
  <c r="T113" i="10"/>
  <c r="T256" i="10"/>
  <c r="T119" i="10"/>
  <c r="T248" i="10"/>
  <c r="T251" i="10"/>
  <c r="S257" i="10"/>
  <c r="T124" i="10"/>
  <c r="T116" i="10"/>
  <c r="T249" i="10"/>
  <c r="T243" i="10"/>
  <c r="T253" i="10"/>
  <c r="T255" i="10"/>
  <c r="BT154" i="10"/>
  <c r="CS154" i="10"/>
  <c r="AG154" i="10"/>
  <c r="AT154" i="10"/>
  <c r="Q154" i="10"/>
  <c r="BV154" i="10"/>
  <c r="J154" i="10"/>
  <c r="CH154" i="10"/>
  <c r="V154" i="10"/>
  <c r="X154" i="10"/>
  <c r="BY154" i="10"/>
  <c r="M154" i="10"/>
  <c r="AZ154" i="10"/>
  <c r="CM154" i="10"/>
  <c r="AA154" i="10"/>
  <c r="BE154" i="10"/>
  <c r="CR154" i="10"/>
  <c r="AF154" i="10"/>
  <c r="BC154" i="10"/>
  <c r="CW154" i="10"/>
  <c r="AK154" i="10"/>
  <c r="BX154" i="10"/>
  <c r="L154" i="10"/>
  <c r="AY154" i="10"/>
  <c r="AB35" i="11" a="1"/>
  <c r="AB35" i="11" s="1"/>
  <c r="AB138" i="11" a="1"/>
  <c r="AB138" i="11" s="1"/>
  <c r="I155" i="10" s="1"/>
  <c r="T246" i="10"/>
  <c r="O154" i="10"/>
  <c r="H154" i="10"/>
  <c r="CP154" i="10"/>
  <c r="AD154" i="10"/>
  <c r="BD154" i="10"/>
  <c r="BF154" i="10"/>
  <c r="BM154" i="10"/>
  <c r="BR154" i="10"/>
  <c r="F154" i="10"/>
  <c r="CQ154" i="10"/>
  <c r="BI154" i="10"/>
  <c r="CV154" i="10"/>
  <c r="AJ154" i="10"/>
  <c r="BW154" i="10"/>
  <c r="K154" i="10"/>
  <c r="AO154" i="10"/>
  <c r="CB154" i="10"/>
  <c r="P154" i="10"/>
  <c r="AM154" i="10"/>
  <c r="CG154" i="10"/>
  <c r="U154" i="10"/>
  <c r="BH154" i="10"/>
  <c r="CU154" i="10"/>
  <c r="AI154" i="10"/>
  <c r="T221" i="10"/>
  <c r="T242" i="10"/>
  <c r="T245" i="10"/>
  <c r="T250" i="10"/>
  <c r="CT154" i="10"/>
  <c r="CD154" i="10"/>
  <c r="BZ154" i="10"/>
  <c r="N154" i="10"/>
  <c r="BK154" i="10"/>
  <c r="AP154" i="10"/>
  <c r="AN154" i="10"/>
  <c r="BB154" i="10"/>
  <c r="AW154" i="10"/>
  <c r="AE154" i="10"/>
  <c r="AS154" i="10"/>
  <c r="CF154" i="10"/>
  <c r="T154" i="10"/>
  <c r="BG154" i="10"/>
  <c r="CK154" i="10"/>
  <c r="Y154" i="10"/>
  <c r="BL154" i="10"/>
  <c r="CI154" i="10"/>
  <c r="W154" i="10"/>
  <c r="BQ154" i="10"/>
  <c r="E154" i="10"/>
  <c r="AR154" i="10"/>
  <c r="CE154" i="10"/>
  <c r="S154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26" i="10"/>
  <c r="U208" i="10"/>
  <c r="U230" i="10"/>
  <c r="U218" i="10"/>
  <c r="U214" i="10"/>
  <c r="U235" i="10"/>
  <c r="U207" i="10"/>
  <c r="U213" i="10"/>
  <c r="U224" i="10"/>
  <c r="U206" i="10"/>
  <c r="U209" i="10"/>
  <c r="U227" i="10"/>
  <c r="U225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39" i="10"/>
  <c r="T254" i="10"/>
  <c r="AX154" i="10"/>
  <c r="AH154" i="10"/>
  <c r="R154" i="10"/>
  <c r="BJ154" i="10"/>
  <c r="CC154" i="10"/>
  <c r="CL154" i="10"/>
  <c r="Z154" i="10"/>
  <c r="AU154" i="10"/>
  <c r="AL154" i="10"/>
  <c r="CJ154" i="10"/>
  <c r="CO154" i="10"/>
  <c r="AC154" i="10"/>
  <c r="BP154" i="10"/>
  <c r="D154" i="10"/>
  <c r="AQ154" i="10"/>
  <c r="BU154" i="10"/>
  <c r="I154" i="10"/>
  <c r="AV154" i="10"/>
  <c r="BS154" i="10"/>
  <c r="G154" i="10"/>
  <c r="BA154" i="10"/>
  <c r="CN154" i="10"/>
  <c r="AB154" i="10"/>
  <c r="BO1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B155" i="10" l="1"/>
  <c r="U247" i="10"/>
  <c r="U244" i="10"/>
  <c r="U251" i="10"/>
  <c r="U248" i="10"/>
  <c r="U255" i="10"/>
  <c r="U253" i="10"/>
  <c r="U246" i="10"/>
  <c r="U245" i="10"/>
  <c r="U243" i="10"/>
  <c r="BB155" i="10"/>
  <c r="AV155" i="10"/>
  <c r="O155" i="10"/>
  <c r="BX155" i="10"/>
  <c r="CH155" i="10"/>
  <c r="T155" i="10"/>
  <c r="AN155" i="10"/>
  <c r="BW155" i="10"/>
  <c r="K155" i="10"/>
  <c r="AX155" i="10"/>
  <c r="CJ155" i="10"/>
  <c r="BS155" i="10"/>
  <c r="G155" i="10"/>
  <c r="AT155" i="10"/>
  <c r="BT155" i="10"/>
  <c r="CU155" i="10"/>
  <c r="AI155" i="10"/>
  <c r="BV155" i="10"/>
  <c r="BA155" i="10"/>
  <c r="CC155" i="10"/>
  <c r="Q155" i="10"/>
  <c r="BY155" i="10"/>
  <c r="M155" i="10"/>
  <c r="BE155" i="10"/>
  <c r="V226" i="10"/>
  <c r="V227" i="10"/>
  <c r="V237" i="10"/>
  <c r="V219" i="10"/>
  <c r="V236" i="10"/>
  <c r="V231" i="10"/>
  <c r="V234" i="10"/>
  <c r="V208" i="10"/>
  <c r="V230" i="10"/>
  <c r="V213" i="10"/>
  <c r="V206" i="10"/>
  <c r="V207" i="10"/>
  <c r="V225" i="10"/>
  <c r="V212" i="10"/>
  <c r="V216" i="10"/>
  <c r="V233" i="10"/>
  <c r="V238" i="10"/>
  <c r="V224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42" i="10"/>
  <c r="U221" i="10"/>
  <c r="AK155" i="10"/>
  <c r="BL155" i="10"/>
  <c r="CN155" i="10"/>
  <c r="AL155" i="10"/>
  <c r="L155" i="10"/>
  <c r="CB155" i="10"/>
  <c r="AU155" i="10"/>
  <c r="BP155" i="10"/>
  <c r="BG155" i="10"/>
  <c r="CT155" i="10"/>
  <c r="AH155" i="10"/>
  <c r="X155" i="10"/>
  <c r="BC155" i="10"/>
  <c r="CP155" i="10"/>
  <c r="AD155" i="10"/>
  <c r="H155" i="10"/>
  <c r="CE155" i="10"/>
  <c r="S155" i="10"/>
  <c r="BF155" i="10"/>
  <c r="Z155" i="10"/>
  <c r="BM155" i="10"/>
  <c r="V155" i="10"/>
  <c r="BI155" i="10"/>
  <c r="R155" i="10"/>
  <c r="AO155" i="10"/>
  <c r="U239" i="10"/>
  <c r="U250" i="10"/>
  <c r="T257" i="10"/>
  <c r="AE155" i="10"/>
  <c r="BD155" i="10"/>
  <c r="AB155" i="10"/>
  <c r="CR155" i="10"/>
  <c r="CF155" i="10"/>
  <c r="P155" i="10"/>
  <c r="BR155" i="10"/>
  <c r="D155" i="10"/>
  <c r="AQ155" i="10"/>
  <c r="CD155" i="10"/>
  <c r="CG155" i="10"/>
  <c r="AZ155" i="10"/>
  <c r="AM155" i="10"/>
  <c r="BZ155" i="10"/>
  <c r="BQ155" i="10"/>
  <c r="CV155" i="10"/>
  <c r="BO155" i="10"/>
  <c r="C155" i="10"/>
  <c r="V209" i="10" s="1"/>
  <c r="AP155" i="10"/>
  <c r="J155" i="10"/>
  <c r="AW155" i="10"/>
  <c r="F155" i="10"/>
  <c r="AS155" i="10"/>
  <c r="CK155" i="10"/>
  <c r="Y155" i="10"/>
  <c r="AC35" i="11" a="1"/>
  <c r="AC35" i="11" s="1"/>
  <c r="AC138" i="11" a="1"/>
  <c r="AC138" i="11" s="1"/>
  <c r="AL156" i="10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AR155" i="10"/>
  <c r="CQ155" i="10"/>
  <c r="CA155" i="10"/>
  <c r="AF155" i="10"/>
  <c r="BK155" i="10"/>
  <c r="BH155" i="10"/>
  <c r="CW155" i="10"/>
  <c r="CM155" i="10"/>
  <c r="AA155" i="10"/>
  <c r="BN155" i="10"/>
  <c r="U155" i="10"/>
  <c r="CI155" i="10"/>
  <c r="W155" i="10"/>
  <c r="BJ155" i="10"/>
  <c r="E155" i="10"/>
  <c r="AJ155" i="10"/>
  <c r="AY155" i="10"/>
  <c r="CL155" i="10"/>
  <c r="N155" i="10"/>
  <c r="CS155" i="10"/>
  <c r="AG155" i="10"/>
  <c r="CO155" i="10"/>
  <c r="AC155" i="10"/>
  <c r="BU155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210" i="10" l="1"/>
  <c r="V221" i="10" s="1"/>
  <c r="V249" i="10"/>
  <c r="B157" i="10"/>
  <c r="B156" i="10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V243" i="10"/>
  <c r="AD35" i="11" a="1"/>
  <c r="AD35" i="11" s="1"/>
  <c r="AD138" i="11" a="1"/>
  <c r="AD138" i="11" s="1"/>
  <c r="V239" i="10"/>
  <c r="V242" i="10"/>
  <c r="S156" i="10"/>
  <c r="AC156" i="10"/>
  <c r="CI156" i="10"/>
  <c r="CB156" i="10"/>
  <c r="AR156" i="10"/>
  <c r="CR156" i="10"/>
  <c r="AB156" i="10"/>
  <c r="AS156" i="10"/>
  <c r="U156" i="10"/>
  <c r="CF156" i="10"/>
  <c r="BT156" i="10"/>
  <c r="X156" i="10"/>
  <c r="O156" i="10"/>
  <c r="AY156" i="10"/>
  <c r="BP156" i="10"/>
  <c r="D156" i="10"/>
  <c r="CT156" i="10"/>
  <c r="AK156" i="10"/>
  <c r="AV156" i="10"/>
  <c r="W156" i="10"/>
  <c r="CP156" i="10"/>
  <c r="AD156" i="10"/>
  <c r="BF156" i="10"/>
  <c r="CH156" i="10"/>
  <c r="V156" i="10"/>
  <c r="V246" i="10"/>
  <c r="V253" i="10"/>
  <c r="I156" i="10"/>
  <c r="CG156" i="10"/>
  <c r="BK156" i="10"/>
  <c r="BA156" i="10"/>
  <c r="C156" i="10"/>
  <c r="BW156" i="10"/>
  <c r="BN156" i="10"/>
  <c r="CM156" i="10"/>
  <c r="CU156" i="10"/>
  <c r="BG156" i="10"/>
  <c r="AG156" i="10"/>
  <c r="H156" i="10"/>
  <c r="AX156" i="10"/>
  <c r="CJ156" i="10"/>
  <c r="AZ156" i="10"/>
  <c r="AQ156" i="10"/>
  <c r="AH156" i="10"/>
  <c r="CE156" i="10"/>
  <c r="AF156" i="10"/>
  <c r="G156" i="10"/>
  <c r="BZ156" i="10"/>
  <c r="N156" i="10"/>
  <c r="AP156" i="10"/>
  <c r="BR156" i="10"/>
  <c r="F156" i="10"/>
  <c r="W208" i="10"/>
  <c r="W224" i="10"/>
  <c r="W206" i="10"/>
  <c r="W207" i="10"/>
  <c r="W212" i="10"/>
  <c r="W237" i="10"/>
  <c r="W219" i="10"/>
  <c r="W236" i="10"/>
  <c r="W232" i="10"/>
  <c r="W231" i="10"/>
  <c r="W234" i="10"/>
  <c r="W216" i="10"/>
  <c r="W226" i="10"/>
  <c r="W225" i="10"/>
  <c r="W230" i="10"/>
  <c r="W218" i="10"/>
  <c r="W254" i="10" s="1"/>
  <c r="W214" i="10"/>
  <c r="W215" i="10"/>
  <c r="W210" i="10"/>
  <c r="W228" i="10"/>
  <c r="W209" i="10"/>
  <c r="W213" i="10"/>
  <c r="W249" i="10" s="1"/>
  <c r="W233" i="10"/>
  <c r="W211" i="10"/>
  <c r="W227" i="10"/>
  <c r="W235" i="10"/>
  <c r="W217" i="10"/>
  <c r="W229" i="10"/>
  <c r="W238" i="10"/>
  <c r="W220" i="10"/>
  <c r="U257" i="10"/>
  <c r="BS156" i="10"/>
  <c r="BH156" i="10"/>
  <c r="M156" i="10"/>
  <c r="CK156" i="10"/>
  <c r="CC156" i="10"/>
  <c r="AO156" i="10"/>
  <c r="CS156" i="10"/>
  <c r="BQ156" i="10"/>
  <c r="L156" i="10"/>
  <c r="E156" i="10"/>
  <c r="BD156" i="10"/>
  <c r="AU156" i="10"/>
  <c r="CV156" i="10"/>
  <c r="BM156" i="10"/>
  <c r="AJ156" i="10"/>
  <c r="AA156" i="10"/>
  <c r="CQ156" i="10"/>
  <c r="BE156" i="10"/>
  <c r="P156" i="10"/>
  <c r="CD156" i="10"/>
  <c r="BJ156" i="10"/>
  <c r="CL156" i="10"/>
  <c r="Z156" i="10"/>
  <c r="BB156" i="10"/>
  <c r="C157" i="10"/>
  <c r="S157" i="10"/>
  <c r="G157" i="10"/>
  <c r="W157" i="10"/>
  <c r="K157" i="10"/>
  <c r="AA157" i="10"/>
  <c r="E157" i="10"/>
  <c r="Z157" i="10"/>
  <c r="AQ157" i="10"/>
  <c r="BG157" i="10"/>
  <c r="BW157" i="10"/>
  <c r="CM157" i="10"/>
  <c r="Q157" i="10"/>
  <c r="AJ157" i="10"/>
  <c r="AZ157" i="10"/>
  <c r="BP157" i="10"/>
  <c r="CF157" i="10"/>
  <c r="CV157" i="10"/>
  <c r="J157" i="10"/>
  <c r="AE157" i="10"/>
  <c r="AU157" i="10"/>
  <c r="BK157" i="10"/>
  <c r="CA157" i="10"/>
  <c r="CQ157" i="10"/>
  <c r="V157" i="10"/>
  <c r="AN157" i="10"/>
  <c r="BD157" i="10"/>
  <c r="BT157" i="10"/>
  <c r="CJ157" i="10"/>
  <c r="O157" i="10"/>
  <c r="P157" i="10"/>
  <c r="AI157" i="10"/>
  <c r="AY157" i="10"/>
  <c r="BO157" i="10"/>
  <c r="CE157" i="10"/>
  <c r="CU157" i="10"/>
  <c r="F157" i="10"/>
  <c r="AB157" i="10"/>
  <c r="AR157" i="10"/>
  <c r="BH157" i="10"/>
  <c r="BX157" i="10"/>
  <c r="CN157" i="10"/>
  <c r="BS157" i="10"/>
  <c r="AF157" i="10"/>
  <c r="CR157" i="10"/>
  <c r="M157" i="10"/>
  <c r="AG157" i="10"/>
  <c r="AW157" i="10"/>
  <c r="BM157" i="10"/>
  <c r="CC157" i="10"/>
  <c r="CS157" i="10"/>
  <c r="T157" i="10"/>
  <c r="AL157" i="10"/>
  <c r="BB157" i="10"/>
  <c r="BR157" i="10"/>
  <c r="CH157" i="10"/>
  <c r="U157" i="10"/>
  <c r="CI157" i="10"/>
  <c r="AV157" i="10"/>
  <c r="R157" i="10"/>
  <c r="AK157" i="10"/>
  <c r="BA157" i="10"/>
  <c r="BQ157" i="10"/>
  <c r="CG157" i="10"/>
  <c r="CW157" i="10"/>
  <c r="D157" i="10"/>
  <c r="Y157" i="10"/>
  <c r="AP157" i="10"/>
  <c r="BF157" i="10"/>
  <c r="BV157" i="10"/>
  <c r="CL157" i="10"/>
  <c r="AM157" i="10"/>
  <c r="BL157" i="10"/>
  <c r="X157" i="10"/>
  <c r="AO157" i="10"/>
  <c r="BE157" i="10"/>
  <c r="BU157" i="10"/>
  <c r="CK157" i="10"/>
  <c r="I157" i="10"/>
  <c r="AD157" i="10"/>
  <c r="AT157" i="10"/>
  <c r="BJ157" i="10"/>
  <c r="BZ157" i="10"/>
  <c r="CP157" i="10"/>
  <c r="AS157" i="10"/>
  <c r="N157" i="10"/>
  <c r="CD157" i="10"/>
  <c r="L157" i="10"/>
  <c r="BI157" i="10"/>
  <c r="AH157" i="10"/>
  <c r="CT157" i="10"/>
  <c r="CB157" i="10"/>
  <c r="H157" i="10"/>
  <c r="BY157" i="10"/>
  <c r="AX157" i="10"/>
  <c r="BN157" i="10"/>
  <c r="BC157" i="10"/>
  <c r="AC157" i="10"/>
  <c r="CO157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44" i="10"/>
  <c r="V255" i="10"/>
  <c r="CN156" i="10"/>
  <c r="BY156" i="10"/>
  <c r="BI156" i="10"/>
  <c r="CW156" i="10"/>
  <c r="AW156" i="10"/>
  <c r="BC156" i="10"/>
  <c r="BO156" i="10"/>
  <c r="BX156" i="10"/>
  <c r="Y156" i="10"/>
  <c r="AI156" i="10"/>
  <c r="CO156" i="10"/>
  <c r="AN156" i="10"/>
  <c r="AE156" i="10"/>
  <c r="CA156" i="10"/>
  <c r="Q156" i="10"/>
  <c r="T156" i="10"/>
  <c r="K156" i="10"/>
  <c r="BU156" i="10"/>
  <c r="BL156" i="10"/>
  <c r="AM156" i="10"/>
  <c r="R156" i="10"/>
  <c r="AT156" i="10"/>
  <c r="BV156" i="10"/>
  <c r="J156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V112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250" i="10" l="1"/>
  <c r="W126" i="10"/>
  <c r="W252" i="10"/>
  <c r="W115" i="10"/>
  <c r="W253" i="10"/>
  <c r="W246" i="10"/>
  <c r="W255" i="10"/>
  <c r="W221" i="10"/>
  <c r="W242" i="10"/>
  <c r="W256" i="10"/>
  <c r="W251" i="10"/>
  <c r="W239" i="10"/>
  <c r="X208" i="10"/>
  <c r="X219" i="10"/>
  <c r="X220" i="10"/>
  <c r="X206" i="10"/>
  <c r="X225" i="10"/>
  <c r="X207" i="10"/>
  <c r="X218" i="10"/>
  <c r="X214" i="10"/>
  <c r="X234" i="10"/>
  <c r="X233" i="10"/>
  <c r="X226" i="10"/>
  <c r="X224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W244" i="10"/>
  <c r="AE35" i="11" a="1"/>
  <c r="AE35" i="11" s="1"/>
  <c r="AE138" i="11" a="1"/>
  <c r="AE138" i="11" s="1"/>
  <c r="B158" i="10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H158" i="10"/>
  <c r="X158" i="10"/>
  <c r="AN158" i="10"/>
  <c r="BD158" i="10"/>
  <c r="BT158" i="10"/>
  <c r="CJ158" i="10"/>
  <c r="Q158" i="10"/>
  <c r="AG158" i="10"/>
  <c r="AW158" i="10"/>
  <c r="BM158" i="10"/>
  <c r="CC158" i="10"/>
  <c r="CS158" i="10"/>
  <c r="L158" i="10"/>
  <c r="AB158" i="10"/>
  <c r="AR158" i="10"/>
  <c r="BH158" i="10"/>
  <c r="BX158" i="10"/>
  <c r="CN158" i="10"/>
  <c r="E158" i="10"/>
  <c r="U158" i="10"/>
  <c r="AK158" i="10"/>
  <c r="BA158" i="10"/>
  <c r="BQ158" i="10"/>
  <c r="CG158" i="10"/>
  <c r="CW158" i="10"/>
  <c r="P158" i="10"/>
  <c r="AF158" i="10"/>
  <c r="AV158" i="10"/>
  <c r="BL158" i="10"/>
  <c r="CB158" i="10"/>
  <c r="CR158" i="10"/>
  <c r="I158" i="10"/>
  <c r="Y158" i="10"/>
  <c r="AO158" i="10"/>
  <c r="BE158" i="10"/>
  <c r="BU158" i="10"/>
  <c r="CK158" i="10"/>
  <c r="AJ158" i="10"/>
  <c r="CV158" i="10"/>
  <c r="BI158" i="10"/>
  <c r="N158" i="10"/>
  <c r="AD158" i="10"/>
  <c r="AT158" i="10"/>
  <c r="BJ158" i="10"/>
  <c r="BZ158" i="10"/>
  <c r="CP158" i="10"/>
  <c r="C158" i="10"/>
  <c r="S158" i="10"/>
  <c r="AI158" i="10"/>
  <c r="AY158" i="10"/>
  <c r="BO158" i="10"/>
  <c r="CE158" i="10"/>
  <c r="CU158" i="10"/>
  <c r="AZ158" i="10"/>
  <c r="M158" i="10"/>
  <c r="BY158" i="10"/>
  <c r="R158" i="10"/>
  <c r="AH158" i="10"/>
  <c r="AX158" i="10"/>
  <c r="BN158" i="10"/>
  <c r="CD158" i="10"/>
  <c r="CT158" i="10"/>
  <c r="G158" i="10"/>
  <c r="W158" i="10"/>
  <c r="AM158" i="10"/>
  <c r="BC158" i="10"/>
  <c r="BS158" i="10"/>
  <c r="CI158" i="10"/>
  <c r="D158" i="10"/>
  <c r="BP158" i="10"/>
  <c r="AC158" i="10"/>
  <c r="CO158" i="10"/>
  <c r="F158" i="10"/>
  <c r="V158" i="10"/>
  <c r="AL158" i="10"/>
  <c r="BB158" i="10"/>
  <c r="BR158" i="10"/>
  <c r="CH158" i="10"/>
  <c r="K158" i="10"/>
  <c r="AA158" i="10"/>
  <c r="AQ158" i="10"/>
  <c r="BG158" i="10"/>
  <c r="BW158" i="10"/>
  <c r="CM158" i="10"/>
  <c r="T158" i="10"/>
  <c r="J158" i="10"/>
  <c r="BV158" i="10"/>
  <c r="AU158" i="10"/>
  <c r="CF158" i="10"/>
  <c r="Z158" i="10"/>
  <c r="CL158" i="10"/>
  <c r="BK158" i="10"/>
  <c r="AP158" i="10"/>
  <c r="O158" i="10"/>
  <c r="CA158" i="10"/>
  <c r="AS158" i="10"/>
  <c r="AE158" i="10"/>
  <c r="BF158" i="10"/>
  <c r="CQ158" i="10"/>
  <c r="W247" i="10"/>
  <c r="W243" i="10"/>
  <c r="V257" i="10"/>
  <c r="X96" i="10"/>
  <c r="X95" i="10"/>
  <c r="X99" i="10"/>
  <c r="X94" i="10"/>
  <c r="X98" i="10"/>
  <c r="X97" i="10"/>
  <c r="X101" i="10"/>
  <c r="X105" i="10"/>
  <c r="X104" i="10"/>
  <c r="X103" i="10"/>
  <c r="X100" i="10"/>
  <c r="X118" i="10" s="1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X113" i="10" l="1"/>
  <c r="X246" i="10"/>
  <c r="X121" i="10"/>
  <c r="X124" i="10"/>
  <c r="X125" i="10"/>
  <c r="X120" i="10"/>
  <c r="X247" i="10"/>
  <c r="X252" i="10"/>
  <c r="X119" i="10"/>
  <c r="X117" i="10"/>
  <c r="X251" i="10"/>
  <c r="X249" i="10"/>
  <c r="X243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39" i="10"/>
  <c r="X250" i="10"/>
  <c r="X242" i="10"/>
  <c r="X221" i="10"/>
  <c r="X254" i="10"/>
  <c r="X256" i="10"/>
  <c r="X255" i="10"/>
  <c r="AF35" i="11" a="1"/>
  <c r="AF35" i="11" s="1"/>
  <c r="AF138" i="11" a="1"/>
  <c r="AF138" i="11" s="1"/>
  <c r="BA159" i="10" s="1"/>
  <c r="Y219" i="10"/>
  <c r="Y236" i="10"/>
  <c r="Y215" i="10"/>
  <c r="Y226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24" i="10"/>
  <c r="Y206" i="10"/>
  <c r="Y225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244" i="10"/>
  <c r="W257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B159" i="10" l="1"/>
  <c r="Y252" i="10"/>
  <c r="Y253" i="10"/>
  <c r="Y245" i="10"/>
  <c r="Y256" i="10"/>
  <c r="Y244" i="10"/>
  <c r="AR159" i="10"/>
  <c r="CI159" i="10"/>
  <c r="Y246" i="10"/>
  <c r="Y254" i="10"/>
  <c r="Y242" i="10"/>
  <c r="Y221" i="10"/>
  <c r="Y243" i="10"/>
  <c r="BH159" i="10"/>
  <c r="BS159" i="10"/>
  <c r="AB159" i="10"/>
  <c r="L159" i="10"/>
  <c r="BT159" i="10"/>
  <c r="H159" i="10"/>
  <c r="AY159" i="10"/>
  <c r="BF159" i="10"/>
  <c r="CF159" i="10"/>
  <c r="T159" i="10"/>
  <c r="BK159" i="10"/>
  <c r="AP159" i="10"/>
  <c r="CB159" i="10"/>
  <c r="P159" i="10"/>
  <c r="AQ159" i="10"/>
  <c r="Z159" i="10"/>
  <c r="BB159" i="10"/>
  <c r="CO159" i="10"/>
  <c r="AC159" i="10"/>
  <c r="BN159" i="10"/>
  <c r="CK159" i="10"/>
  <c r="Y159" i="10"/>
  <c r="BJ159" i="10"/>
  <c r="CW159" i="10"/>
  <c r="AK159" i="10"/>
  <c r="Y239" i="10"/>
  <c r="Y255" i="10"/>
  <c r="G159" i="10"/>
  <c r="BC159" i="10"/>
  <c r="AM159" i="10"/>
  <c r="BD159" i="10"/>
  <c r="CU159" i="10"/>
  <c r="AI159" i="10"/>
  <c r="CS159" i="10"/>
  <c r="BP159" i="10"/>
  <c r="D159" i="10"/>
  <c r="AU159" i="10"/>
  <c r="CC159" i="10"/>
  <c r="BL159" i="10"/>
  <c r="CM159" i="10"/>
  <c r="AA159" i="10"/>
  <c r="BM159" i="10"/>
  <c r="AL159" i="10"/>
  <c r="BY159" i="10"/>
  <c r="M159" i="10"/>
  <c r="AX159" i="10"/>
  <c r="BU159" i="10"/>
  <c r="I159" i="10"/>
  <c r="AT159" i="10"/>
  <c r="CG159" i="10"/>
  <c r="U159" i="10"/>
  <c r="Z224" i="10"/>
  <c r="Z206" i="10"/>
  <c r="Z218" i="10"/>
  <c r="Z232" i="10"/>
  <c r="Z214" i="10"/>
  <c r="Z215" i="10"/>
  <c r="Z220" i="10"/>
  <c r="Z228" i="10"/>
  <c r="Z226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16" i="10"/>
  <c r="Z238" i="10"/>
  <c r="Z235" i="10"/>
  <c r="Z217" i="10"/>
  <c r="Z233" i="10"/>
  <c r="Z229" i="10"/>
  <c r="Z225" i="10"/>
  <c r="Z212" i="10"/>
  <c r="Z248" i="10" s="1"/>
  <c r="AG35" i="11" a="1"/>
  <c r="AG35" i="11" s="1"/>
  <c r="AG138" i="11" a="1"/>
  <c r="AG138" i="11" s="1"/>
  <c r="R160" i="10" s="1"/>
  <c r="Y247" i="10"/>
  <c r="Y250" i="10"/>
  <c r="W159" i="10"/>
  <c r="AW159" i="10"/>
  <c r="BV159" i="10"/>
  <c r="J159" i="10"/>
  <c r="AN159" i="10"/>
  <c r="CE159" i="10"/>
  <c r="S159" i="10"/>
  <c r="AG159" i="10"/>
  <c r="AZ159" i="10"/>
  <c r="CQ159" i="10"/>
  <c r="AE159" i="10"/>
  <c r="Q159" i="10"/>
  <c r="AV159" i="10"/>
  <c r="BW159" i="10"/>
  <c r="K159" i="10"/>
  <c r="CH159" i="10"/>
  <c r="V159" i="10"/>
  <c r="BI159" i="10"/>
  <c r="CT159" i="10"/>
  <c r="AH159" i="10"/>
  <c r="BE159" i="10"/>
  <c r="CP159" i="10"/>
  <c r="AD159" i="10"/>
  <c r="BQ159" i="10"/>
  <c r="E159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CN159" i="10"/>
  <c r="BX159" i="10"/>
  <c r="CJ159" i="10"/>
  <c r="X159" i="10"/>
  <c r="BO159" i="10"/>
  <c r="C159" i="10"/>
  <c r="Z210" i="10" s="1"/>
  <c r="CV159" i="10"/>
  <c r="AJ159" i="10"/>
  <c r="CA159" i="10"/>
  <c r="O159" i="10"/>
  <c r="CR159" i="10"/>
  <c r="AF159" i="10"/>
  <c r="BG159" i="10"/>
  <c r="CL159" i="10"/>
  <c r="BR159" i="10"/>
  <c r="F159" i="10"/>
  <c r="AS159" i="10"/>
  <c r="CD159" i="10"/>
  <c r="R159" i="10"/>
  <c r="AO159" i="10"/>
  <c r="BZ159" i="10"/>
  <c r="N159" i="10"/>
  <c r="X257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Z209" i="10" l="1"/>
  <c r="B160" i="10"/>
  <c r="Z255" i="10"/>
  <c r="Z246" i="10"/>
  <c r="Z245" i="10"/>
  <c r="Z252" i="10"/>
  <c r="Z250" i="10"/>
  <c r="Z244" i="10"/>
  <c r="AA227" i="10"/>
  <c r="AA213" i="10"/>
  <c r="AA233" i="10"/>
  <c r="AA238" i="10"/>
  <c r="AA220" i="10"/>
  <c r="AA219" i="10"/>
  <c r="AA208" i="10"/>
  <c r="AA224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26" i="10"/>
  <c r="AA225" i="10"/>
  <c r="AA215" i="10"/>
  <c r="AA217" i="10"/>
  <c r="AA214" i="10"/>
  <c r="AA230" i="10"/>
  <c r="Z256" i="10"/>
  <c r="Z254" i="10"/>
  <c r="Y160" i="10"/>
  <c r="CV160" i="10"/>
  <c r="CK160" i="10"/>
  <c r="BA160" i="10"/>
  <c r="BI160" i="10"/>
  <c r="U160" i="10"/>
  <c r="BL160" i="10"/>
  <c r="CI160" i="10"/>
  <c r="BE160" i="10"/>
  <c r="CN160" i="10"/>
  <c r="AB160" i="10"/>
  <c r="AT160" i="10"/>
  <c r="AC160" i="10"/>
  <c r="BD160" i="10"/>
  <c r="BC160" i="10"/>
  <c r="CE160" i="10"/>
  <c r="S160" i="10"/>
  <c r="BF160" i="10"/>
  <c r="CQ160" i="10"/>
  <c r="AE160" i="10"/>
  <c r="BB160" i="10"/>
  <c r="CM160" i="10"/>
  <c r="AA160" i="10"/>
  <c r="BN160" i="10"/>
  <c r="Z253" i="10"/>
  <c r="Z251" i="10"/>
  <c r="Z221" i="10"/>
  <c r="Z242" i="10"/>
  <c r="AZ160" i="10"/>
  <c r="CC160" i="10"/>
  <c r="AJ160" i="10"/>
  <c r="CF160" i="10"/>
  <c r="BP160" i="10"/>
  <c r="BU160" i="10"/>
  <c r="E160" i="10"/>
  <c r="AV160" i="10"/>
  <c r="W160" i="10"/>
  <c r="CG160" i="10"/>
  <c r="BX160" i="10"/>
  <c r="L160" i="10"/>
  <c r="CO160" i="10"/>
  <c r="M160" i="10"/>
  <c r="AN160" i="10"/>
  <c r="CP160" i="10"/>
  <c r="BO160" i="10"/>
  <c r="C160" i="10"/>
  <c r="AA209" i="10" s="1"/>
  <c r="AP160" i="10"/>
  <c r="CA160" i="10"/>
  <c r="O160" i="10"/>
  <c r="AL160" i="10"/>
  <c r="BW160" i="10"/>
  <c r="K160" i="10"/>
  <c r="AX160" i="10"/>
  <c r="AH35" i="11" a="1"/>
  <c r="AH35" i="11" s="1"/>
  <c r="AH138" i="11" a="1"/>
  <c r="AH138" i="11" s="1"/>
  <c r="O161" i="10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Z239" i="10"/>
  <c r="N160" i="10"/>
  <c r="BY160" i="10"/>
  <c r="AM160" i="10"/>
  <c r="T160" i="10"/>
  <c r="D160" i="10"/>
  <c r="CW160" i="10"/>
  <c r="CR160" i="10"/>
  <c r="AF160" i="10"/>
  <c r="BJ160" i="10"/>
  <c r="AG160" i="10"/>
  <c r="BH160" i="10"/>
  <c r="BS160" i="10"/>
  <c r="AO160" i="10"/>
  <c r="CJ160" i="10"/>
  <c r="X160" i="10"/>
  <c r="AD160" i="10"/>
  <c r="AY160" i="10"/>
  <c r="CL160" i="10"/>
  <c r="Z160" i="10"/>
  <c r="BK160" i="10"/>
  <c r="CH160" i="10"/>
  <c r="V160" i="10"/>
  <c r="BG160" i="10"/>
  <c r="CT160" i="10"/>
  <c r="AH160" i="10"/>
  <c r="Z243" i="10"/>
  <c r="CS160" i="10"/>
  <c r="I160" i="10"/>
  <c r="BM160" i="10"/>
  <c r="AW160" i="10"/>
  <c r="BZ160" i="10"/>
  <c r="AK160" i="10"/>
  <c r="CB160" i="10"/>
  <c r="P160" i="10"/>
  <c r="AS160" i="10"/>
  <c r="Q160" i="10"/>
  <c r="AR160" i="10"/>
  <c r="G160" i="10"/>
  <c r="BQ160" i="10"/>
  <c r="BT160" i="10"/>
  <c r="H160" i="10"/>
  <c r="CU160" i="10"/>
  <c r="AI160" i="10"/>
  <c r="BV160" i="10"/>
  <c r="J160" i="10"/>
  <c r="AU160" i="10"/>
  <c r="BR160" i="10"/>
  <c r="F160" i="10"/>
  <c r="AQ160" i="10"/>
  <c r="CD160" i="10"/>
  <c r="Y25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AA210" i="10" l="1"/>
  <c r="AA246" i="10" s="1"/>
  <c r="B16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B162" i="10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25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24" i="10"/>
  <c r="AB237" i="10"/>
  <c r="AB232" i="10"/>
  <c r="AB220" i="10"/>
  <c r="AB217" i="10"/>
  <c r="AB211" i="10"/>
  <c r="AB226" i="10"/>
  <c r="Q161" i="10"/>
  <c r="CD161" i="10"/>
  <c r="R161" i="10"/>
  <c r="N161" i="10"/>
  <c r="CL161" i="10"/>
  <c r="CO161" i="10"/>
  <c r="AC161" i="10"/>
  <c r="AA161" i="10"/>
  <c r="V161" i="10"/>
  <c r="BE161" i="10"/>
  <c r="CV161" i="10"/>
  <c r="BF161" i="10"/>
  <c r="AH161" i="10"/>
  <c r="BA161" i="10"/>
  <c r="CF161" i="10"/>
  <c r="CB161" i="10"/>
  <c r="P161" i="10"/>
  <c r="AM161" i="10"/>
  <c r="BX161" i="10"/>
  <c r="L161" i="10"/>
  <c r="AY161" i="10"/>
  <c r="CJ161" i="10"/>
  <c r="X161" i="10"/>
  <c r="BK161" i="10"/>
  <c r="AA248" i="10"/>
  <c r="AA244" i="10"/>
  <c r="Z257" i="10"/>
  <c r="BJ161" i="10"/>
  <c r="CC161" i="10"/>
  <c r="BM161" i="10"/>
  <c r="AW161" i="10"/>
  <c r="CS161" i="10"/>
  <c r="Z161" i="10"/>
  <c r="BY161" i="10"/>
  <c r="M161" i="10"/>
  <c r="BV161" i="10"/>
  <c r="AX161" i="10"/>
  <c r="AO161" i="10"/>
  <c r="AJ161" i="10"/>
  <c r="BR161" i="10"/>
  <c r="CW161" i="10"/>
  <c r="AK161" i="10"/>
  <c r="T161" i="10"/>
  <c r="BL161" i="10"/>
  <c r="CI161" i="10"/>
  <c r="W161" i="10"/>
  <c r="BH161" i="10"/>
  <c r="CU161" i="10"/>
  <c r="AI161" i="10"/>
  <c r="BT161" i="10"/>
  <c r="H161" i="10"/>
  <c r="AU161" i="10"/>
  <c r="AA243" i="10"/>
  <c r="AA255" i="10"/>
  <c r="AA249" i="10"/>
  <c r="AP161" i="10"/>
  <c r="AT161" i="10"/>
  <c r="CP161" i="10"/>
  <c r="AQ161" i="10"/>
  <c r="AG161" i="10"/>
  <c r="AL161" i="10"/>
  <c r="BI161" i="10"/>
  <c r="AZ161" i="10"/>
  <c r="J161" i="10"/>
  <c r="CK161" i="10"/>
  <c r="Y161" i="10"/>
  <c r="BW161" i="10"/>
  <c r="F161" i="10"/>
  <c r="CG161" i="10"/>
  <c r="U161" i="10"/>
  <c r="BG161" i="10"/>
  <c r="AV161" i="10"/>
  <c r="BS161" i="10"/>
  <c r="G161" i="10"/>
  <c r="AR161" i="10"/>
  <c r="CE161" i="10"/>
  <c r="S161" i="10"/>
  <c r="BD161" i="10"/>
  <c r="CQ161" i="10"/>
  <c r="AE161" i="10"/>
  <c r="AA252" i="10"/>
  <c r="AA242" i="10"/>
  <c r="AA221" i="10"/>
  <c r="AA256" i="10"/>
  <c r="L162" i="10"/>
  <c r="AB162" i="10"/>
  <c r="AR162" i="10"/>
  <c r="BH162" i="10"/>
  <c r="BX162" i="10"/>
  <c r="CN162" i="10"/>
  <c r="E162" i="10"/>
  <c r="U162" i="10"/>
  <c r="AK162" i="10"/>
  <c r="BA162" i="10"/>
  <c r="BQ162" i="10"/>
  <c r="P162" i="10"/>
  <c r="AF162" i="10"/>
  <c r="AV162" i="10"/>
  <c r="BL162" i="10"/>
  <c r="CB162" i="10"/>
  <c r="CR162" i="10"/>
  <c r="I162" i="10"/>
  <c r="Y162" i="10"/>
  <c r="AO162" i="10"/>
  <c r="BE162" i="10"/>
  <c r="D162" i="10"/>
  <c r="T162" i="10"/>
  <c r="AJ162" i="10"/>
  <c r="AZ162" i="10"/>
  <c r="BP162" i="10"/>
  <c r="CF162" i="10"/>
  <c r="CV162" i="10"/>
  <c r="M162" i="10"/>
  <c r="AC162" i="10"/>
  <c r="AS162" i="10"/>
  <c r="BI162" i="10"/>
  <c r="X162" i="10"/>
  <c r="CJ162" i="10"/>
  <c r="AW162" i="10"/>
  <c r="CC162" i="10"/>
  <c r="CS162" i="10"/>
  <c r="R162" i="10"/>
  <c r="AH162" i="10"/>
  <c r="AX162" i="10"/>
  <c r="BN162" i="10"/>
  <c r="CD162" i="10"/>
  <c r="CT162" i="10"/>
  <c r="BK162" i="10"/>
  <c r="AI162" i="10"/>
  <c r="CU162" i="10"/>
  <c r="W162" i="10"/>
  <c r="CI162" i="10"/>
  <c r="AN162" i="10"/>
  <c r="BM162" i="10"/>
  <c r="CG162" i="10"/>
  <c r="CW162" i="10"/>
  <c r="F162" i="10"/>
  <c r="V162" i="10"/>
  <c r="AL162" i="10"/>
  <c r="BB162" i="10"/>
  <c r="BR162" i="10"/>
  <c r="CH162" i="10"/>
  <c r="O162" i="10"/>
  <c r="CA162" i="10"/>
  <c r="AY162" i="10"/>
  <c r="AM162" i="10"/>
  <c r="BD162" i="10"/>
  <c r="Q162" i="10"/>
  <c r="BU162" i="10"/>
  <c r="CK162" i="10"/>
  <c r="J162" i="10"/>
  <c r="Z162" i="10"/>
  <c r="AP162" i="10"/>
  <c r="BF162" i="10"/>
  <c r="BV162" i="10"/>
  <c r="CL162" i="10"/>
  <c r="AE162" i="10"/>
  <c r="CQ162" i="10"/>
  <c r="C162" i="10"/>
  <c r="BO162" i="10"/>
  <c r="BC162" i="10"/>
  <c r="BJ162" i="10"/>
  <c r="CE162" i="10"/>
  <c r="G162" i="10"/>
  <c r="AQ162" i="10"/>
  <c r="AG162" i="10"/>
  <c r="N162" i="10"/>
  <c r="BZ162" i="10"/>
  <c r="BS162" i="10"/>
  <c r="BG162" i="10"/>
  <c r="H162" i="10"/>
  <c r="BY162" i="10"/>
  <c r="AD162" i="10"/>
  <c r="CP162" i="10"/>
  <c r="K162" i="10"/>
  <c r="BW162" i="10"/>
  <c r="CM162" i="10"/>
  <c r="AT162" i="10"/>
  <c r="AU162" i="10"/>
  <c r="CO162" i="10"/>
  <c r="S162" i="10"/>
  <c r="BT162" i="10"/>
  <c r="AA162" i="10"/>
  <c r="D161" i="10"/>
  <c r="BB161" i="10"/>
  <c r="AD161" i="10"/>
  <c r="BZ161" i="10"/>
  <c r="BP161" i="10"/>
  <c r="BN161" i="10"/>
  <c r="AS161" i="10"/>
  <c r="CM161" i="10"/>
  <c r="CH161" i="10"/>
  <c r="BU161" i="10"/>
  <c r="I161" i="10"/>
  <c r="K161" i="10"/>
  <c r="CT161" i="10"/>
  <c r="BQ161" i="10"/>
  <c r="E161" i="10"/>
  <c r="CR161" i="10"/>
  <c r="AF161" i="10"/>
  <c r="BC161" i="10"/>
  <c r="CN161" i="10"/>
  <c r="AB161" i="10"/>
  <c r="BO161" i="10"/>
  <c r="C161" i="10"/>
  <c r="AB210" i="10" s="1"/>
  <c r="AN161" i="10"/>
  <c r="CA161" i="10"/>
  <c r="AA239" i="10"/>
  <c r="AB80" i="10"/>
  <c r="AB79" i="10"/>
  <c r="AB96" i="10"/>
  <c r="AB95" i="10"/>
  <c r="AB99" i="10"/>
  <c r="AB94" i="10"/>
  <c r="AB98" i="10"/>
  <c r="AB97" i="10"/>
  <c r="AB101" i="10"/>
  <c r="AB105" i="10"/>
  <c r="AB100" i="10"/>
  <c r="AB118" i="10" s="1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A163" i="10"/>
  <c r="E34" i="7"/>
  <c r="A33" i="10"/>
  <c r="I33" i="13"/>
  <c r="AA112" i="10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B209" i="10" l="1"/>
  <c r="AB245" i="10" s="1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43" i="10"/>
  <c r="AB255" i="10"/>
  <c r="AB249" i="10"/>
  <c r="AB251" i="10"/>
  <c r="AB244" i="10"/>
  <c r="AA257" i="10"/>
  <c r="AB239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24" i="10"/>
  <c r="AC209" i="10"/>
  <c r="AC227" i="10"/>
  <c r="AC225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2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I163" i="10" s="1"/>
  <c r="AB250" i="10"/>
  <c r="AB221" i="10"/>
  <c r="AB242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B163" i="10" l="1"/>
  <c r="AC243" i="10"/>
  <c r="AC250" i="10"/>
  <c r="AC249" i="10"/>
  <c r="AC244" i="10"/>
  <c r="AC246" i="10"/>
  <c r="AC245" i="10"/>
  <c r="AK35" i="11" a="1"/>
  <c r="AK35" i="11" s="1"/>
  <c r="AK138" i="11" a="1"/>
  <c r="AK138" i="11" s="1"/>
  <c r="B164" i="10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BU163" i="10"/>
  <c r="CQ163" i="10"/>
  <c r="AU163" i="10"/>
  <c r="BG163" i="10"/>
  <c r="AO163" i="10"/>
  <c r="AK163" i="10"/>
  <c r="CA163" i="10"/>
  <c r="BO163" i="10"/>
  <c r="BV163" i="10"/>
  <c r="AN163" i="10"/>
  <c r="AR163" i="10"/>
  <c r="BA163" i="10"/>
  <c r="BR163" i="10"/>
  <c r="F163" i="10"/>
  <c r="BD163" i="10"/>
  <c r="CC163" i="10"/>
  <c r="CM163" i="10"/>
  <c r="C163" i="10"/>
  <c r="AH163" i="10"/>
  <c r="BT163" i="10"/>
  <c r="BX163" i="10"/>
  <c r="BL163" i="10"/>
  <c r="BZ163" i="10"/>
  <c r="N163" i="10"/>
  <c r="E164" i="10"/>
  <c r="U164" i="10"/>
  <c r="AK164" i="10"/>
  <c r="BA164" i="10"/>
  <c r="BQ164" i="10"/>
  <c r="CG164" i="10"/>
  <c r="CW164" i="10"/>
  <c r="N164" i="10"/>
  <c r="AD164" i="10"/>
  <c r="AT164" i="10"/>
  <c r="BJ164" i="10"/>
  <c r="BZ164" i="10"/>
  <c r="CP164" i="10"/>
  <c r="K164" i="10"/>
  <c r="AA164" i="10"/>
  <c r="AQ164" i="10"/>
  <c r="BG164" i="10"/>
  <c r="BW164" i="10"/>
  <c r="CM164" i="10"/>
  <c r="I164" i="10"/>
  <c r="Y164" i="10"/>
  <c r="AO164" i="10"/>
  <c r="BE164" i="10"/>
  <c r="BU164" i="10"/>
  <c r="CK164" i="10"/>
  <c r="R164" i="10"/>
  <c r="AH164" i="10"/>
  <c r="AX164" i="10"/>
  <c r="BN164" i="10"/>
  <c r="CD164" i="10"/>
  <c r="CT164" i="10"/>
  <c r="O164" i="10"/>
  <c r="AE164" i="10"/>
  <c r="AU164" i="10"/>
  <c r="BK164" i="10"/>
  <c r="CA164" i="10"/>
  <c r="CQ164" i="10"/>
  <c r="M164" i="10"/>
  <c r="AC164" i="10"/>
  <c r="AS164" i="10"/>
  <c r="BI164" i="10"/>
  <c r="BY164" i="10"/>
  <c r="CO164" i="10"/>
  <c r="F164" i="10"/>
  <c r="V164" i="10"/>
  <c r="AL164" i="10"/>
  <c r="BB164" i="10"/>
  <c r="BR164" i="10"/>
  <c r="CH164" i="10"/>
  <c r="C164" i="10"/>
  <c r="S164" i="10"/>
  <c r="AI164" i="10"/>
  <c r="AY164" i="10"/>
  <c r="BO164" i="10"/>
  <c r="CE164" i="10"/>
  <c r="CU164" i="10"/>
  <c r="BM164" i="10"/>
  <c r="BF164" i="10"/>
  <c r="AM164" i="10"/>
  <c r="P164" i="10"/>
  <c r="AF164" i="10"/>
  <c r="AV164" i="10"/>
  <c r="BL164" i="10"/>
  <c r="CB164" i="10"/>
  <c r="CR164" i="10"/>
  <c r="Q164" i="10"/>
  <c r="CC164" i="10"/>
  <c r="J164" i="10"/>
  <c r="BV164" i="10"/>
  <c r="BC164" i="10"/>
  <c r="D164" i="10"/>
  <c r="T164" i="10"/>
  <c r="AJ164" i="10"/>
  <c r="AZ164" i="10"/>
  <c r="BP164" i="10"/>
  <c r="CF164" i="10"/>
  <c r="CV164" i="10"/>
  <c r="AG164" i="10"/>
  <c r="CS164" i="10"/>
  <c r="Z164" i="10"/>
  <c r="CL164" i="10"/>
  <c r="G164" i="10"/>
  <c r="BS164" i="10"/>
  <c r="H164" i="10"/>
  <c r="X164" i="10"/>
  <c r="AN164" i="10"/>
  <c r="BD164" i="10"/>
  <c r="BT164" i="10"/>
  <c r="CJ164" i="10"/>
  <c r="AP164" i="10"/>
  <c r="BH164" i="10"/>
  <c r="AW164" i="10"/>
  <c r="AR164" i="10"/>
  <c r="W164" i="10"/>
  <c r="L164" i="10"/>
  <c r="BX164" i="10"/>
  <c r="CI164" i="10"/>
  <c r="AB164" i="10"/>
  <c r="CN164" i="10"/>
  <c r="AB257" i="10"/>
  <c r="AC221" i="10"/>
  <c r="AC242" i="10"/>
  <c r="AC252" i="10"/>
  <c r="AC255" i="10"/>
  <c r="AZ163" i="10"/>
  <c r="BF163" i="10"/>
  <c r="AS163" i="10"/>
  <c r="Y163" i="10"/>
  <c r="AP163" i="10"/>
  <c r="S163" i="10"/>
  <c r="CL163" i="10"/>
  <c r="BE163" i="10"/>
  <c r="CN163" i="10"/>
  <c r="J163" i="10"/>
  <c r="P163" i="10"/>
  <c r="W163" i="10"/>
  <c r="AF163" i="10"/>
  <c r="BB163" i="10"/>
  <c r="U163" i="10"/>
  <c r="AI163" i="10"/>
  <c r="BH163" i="10"/>
  <c r="BQ163" i="10"/>
  <c r="CD163" i="10"/>
  <c r="R163" i="10"/>
  <c r="AY163" i="10"/>
  <c r="BC163" i="10"/>
  <c r="AQ163" i="10"/>
  <c r="BJ163" i="10"/>
  <c r="Q163" i="10"/>
  <c r="AD206" i="10"/>
  <c r="AD209" i="10"/>
  <c r="AD207" i="10"/>
  <c r="AD225" i="10"/>
  <c r="AD212" i="10"/>
  <c r="AD216" i="10"/>
  <c r="AD233" i="10"/>
  <c r="AD238" i="10"/>
  <c r="AD235" i="10"/>
  <c r="AD224" i="10"/>
  <c r="AD219" i="10"/>
  <c r="AD218" i="10"/>
  <c r="AD232" i="10"/>
  <c r="AD214" i="10"/>
  <c r="AD234" i="10"/>
  <c r="AD226" i="10"/>
  <c r="AD227" i="10"/>
  <c r="AD237" i="10"/>
  <c r="AD236" i="10"/>
  <c r="AD231" i="10"/>
  <c r="AD208" i="10"/>
  <c r="AD230" i="10"/>
  <c r="AD215" i="10"/>
  <c r="AD251" i="10" s="1"/>
  <c r="AD228" i="10"/>
  <c r="AD210" i="10"/>
  <c r="AD211" i="10"/>
  <c r="AD213" i="10"/>
  <c r="AD220" i="10"/>
  <c r="AD256" i="10" s="1"/>
  <c r="AD217" i="10"/>
  <c r="AD253" i="10" s="1"/>
  <c r="AD229" i="10"/>
  <c r="CB163" i="10"/>
  <c r="AE163" i="10"/>
  <c r="CK163" i="10"/>
  <c r="X163" i="10"/>
  <c r="CF163" i="10"/>
  <c r="CJ163" i="10"/>
  <c r="Z163" i="10"/>
  <c r="AJ163" i="10"/>
  <c r="CV163" i="10"/>
  <c r="CE163" i="10"/>
  <c r="CI163" i="10"/>
  <c r="CR163" i="10"/>
  <c r="G163" i="10"/>
  <c r="AL163" i="10"/>
  <c r="CT163" i="10"/>
  <c r="D163" i="10"/>
  <c r="AM163" i="10"/>
  <c r="AV163" i="10"/>
  <c r="BN163" i="10"/>
  <c r="E163" i="10"/>
  <c r="AC163" i="10"/>
  <c r="AG163" i="10"/>
  <c r="T163" i="10"/>
  <c r="AT163" i="10"/>
  <c r="M163" i="10"/>
  <c r="AC253" i="10"/>
  <c r="AC247" i="10"/>
  <c r="AC248" i="10"/>
  <c r="AC239" i="10"/>
  <c r="K163" i="10"/>
  <c r="BS163" i="10"/>
  <c r="BP163" i="10"/>
  <c r="AW163" i="10"/>
  <c r="BK163" i="10"/>
  <c r="AB163" i="10"/>
  <c r="CU163" i="10"/>
  <c r="H163" i="10"/>
  <c r="L163" i="10"/>
  <c r="BI163" i="10"/>
  <c r="BM163" i="10"/>
  <c r="BW163" i="10"/>
  <c r="CH163" i="10"/>
  <c r="V163" i="10"/>
  <c r="BY163" i="10"/>
  <c r="CW163" i="10"/>
  <c r="O163" i="10"/>
  <c r="AA163" i="10"/>
  <c r="AX163" i="10"/>
  <c r="CO163" i="10"/>
  <c r="CS163" i="10"/>
  <c r="CG163" i="10"/>
  <c r="CP163" i="10"/>
  <c r="AD163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244" i="10" l="1"/>
  <c r="AD250" i="10"/>
  <c r="AD252" i="10"/>
  <c r="AD254" i="10"/>
  <c r="AE226" i="10"/>
  <c r="AE225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24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3" i="10"/>
  <c r="AD247" i="10"/>
  <c r="AD239" i="10"/>
  <c r="AD245" i="10"/>
  <c r="AD246" i="10"/>
  <c r="AD248" i="10"/>
  <c r="AD242" i="10"/>
  <c r="AD221" i="10"/>
  <c r="AC257" i="10"/>
  <c r="AL35" i="11" a="1"/>
  <c r="AL35" i="11" s="1"/>
  <c r="AL138" i="11" a="1"/>
  <c r="AL138" i="11" s="1"/>
  <c r="AX165" i="10" s="1"/>
  <c r="AE80" i="10"/>
  <c r="AE79" i="10"/>
  <c r="AE95" i="10"/>
  <c r="AE94" i="10"/>
  <c r="AE98" i="10"/>
  <c r="AE116" i="10" s="1"/>
  <c r="AE97" i="10"/>
  <c r="AE115" i="10" s="1"/>
  <c r="AE96" i="10"/>
  <c r="AE114" i="10" s="1"/>
  <c r="AE100" i="10"/>
  <c r="AE104" i="10"/>
  <c r="AE99" i="10"/>
  <c r="AE103" i="10"/>
  <c r="AE121" i="10" s="1"/>
  <c r="AE102" i="10"/>
  <c r="AE108" i="10"/>
  <c r="AE101" i="10"/>
  <c r="AE107" i="10"/>
  <c r="AE105" i="10"/>
  <c r="AE123" i="10" s="1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B165" i="10" l="1"/>
  <c r="AE124" i="10"/>
  <c r="AE248" i="10"/>
  <c r="AE243" i="10"/>
  <c r="AE122" i="10"/>
  <c r="AE118" i="10"/>
  <c r="AE113" i="10"/>
  <c r="AE126" i="10"/>
  <c r="AE117" i="10"/>
  <c r="AE247" i="10"/>
  <c r="AE244" i="10"/>
  <c r="AE253" i="10"/>
  <c r="AD257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BE165" i="10"/>
  <c r="G165" i="10"/>
  <c r="Y165" i="10"/>
  <c r="BQ165" i="10"/>
  <c r="E165" i="10"/>
  <c r="BJ165" i="10"/>
  <c r="AW165" i="10"/>
  <c r="T165" i="10"/>
  <c r="BY165" i="10"/>
  <c r="M165" i="10"/>
  <c r="W165" i="10"/>
  <c r="CB165" i="10"/>
  <c r="P165" i="10"/>
  <c r="AY165" i="10"/>
  <c r="CL165" i="10"/>
  <c r="Z165" i="10"/>
  <c r="BH165" i="10"/>
  <c r="CQ165" i="10"/>
  <c r="AE165" i="10"/>
  <c r="BB165" i="10"/>
  <c r="CJ165" i="10"/>
  <c r="X165" i="10"/>
  <c r="BG165" i="10"/>
  <c r="CT165" i="10"/>
  <c r="AH165" i="10"/>
  <c r="AE242" i="10"/>
  <c r="AE221" i="10"/>
  <c r="AE256" i="10"/>
  <c r="AE245" i="10"/>
  <c r="AE254" i="10"/>
  <c r="BS165" i="10"/>
  <c r="BZ165" i="10"/>
  <c r="N165" i="10"/>
  <c r="BA165" i="10"/>
  <c r="CV165" i="10"/>
  <c r="CS165" i="10"/>
  <c r="AG165" i="10"/>
  <c r="AM165" i="10"/>
  <c r="BI165" i="10"/>
  <c r="BP165" i="10"/>
  <c r="CP165" i="10"/>
  <c r="BL165" i="10"/>
  <c r="CU165" i="10"/>
  <c r="AI165" i="10"/>
  <c r="BV165" i="10"/>
  <c r="J165" i="10"/>
  <c r="AR165" i="10"/>
  <c r="CA165" i="10"/>
  <c r="O165" i="10"/>
  <c r="AL165" i="10"/>
  <c r="BT165" i="10"/>
  <c r="H165" i="10"/>
  <c r="AQ165" i="10"/>
  <c r="CD165" i="10"/>
  <c r="R165" i="10"/>
  <c r="AE239" i="10"/>
  <c r="AE255" i="10"/>
  <c r="AE246" i="10"/>
  <c r="I165" i="10"/>
  <c r="BU165" i="10"/>
  <c r="CW165" i="10"/>
  <c r="AK165" i="10"/>
  <c r="AJ165" i="10"/>
  <c r="CC165" i="10"/>
  <c r="Q165" i="10"/>
  <c r="AT165" i="10"/>
  <c r="AS165" i="10"/>
  <c r="D165" i="10"/>
  <c r="AD165" i="10"/>
  <c r="AV165" i="10"/>
  <c r="CE165" i="10"/>
  <c r="S165" i="10"/>
  <c r="BF165" i="10"/>
  <c r="CN165" i="10"/>
  <c r="AB165" i="10"/>
  <c r="BK165" i="10"/>
  <c r="CH165" i="10"/>
  <c r="V165" i="10"/>
  <c r="BD165" i="10"/>
  <c r="CM165" i="10"/>
  <c r="AA165" i="10"/>
  <c r="BN165" i="10"/>
  <c r="AE252" i="10"/>
  <c r="AE249" i="10"/>
  <c r="AE251" i="10"/>
  <c r="AM35" i="11" a="1"/>
  <c r="AM35" i="11" s="1"/>
  <c r="AM138" i="11" a="1"/>
  <c r="AM138" i="11" s="1"/>
  <c r="AU166" i="10" s="1"/>
  <c r="AF226" i="10"/>
  <c r="AF224" i="10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25" i="10"/>
  <c r="AF215" i="10"/>
  <c r="AF214" i="10"/>
  <c r="AF234" i="10"/>
  <c r="AF233" i="10"/>
  <c r="AF238" i="10"/>
  <c r="AF235" i="10"/>
  <c r="AF218" i="10"/>
  <c r="AF254" i="10" s="1"/>
  <c r="AF229" i="10"/>
  <c r="AF206" i="10"/>
  <c r="AF210" i="10"/>
  <c r="AF217" i="10"/>
  <c r="AF211" i="10"/>
  <c r="AF247" i="10" s="1"/>
  <c r="AZ165" i="10"/>
  <c r="AO165" i="10"/>
  <c r="CK165" i="10"/>
  <c r="CG165" i="10"/>
  <c r="U165" i="10"/>
  <c r="BC165" i="10"/>
  <c r="BM165" i="10"/>
  <c r="CF165" i="10"/>
  <c r="CO165" i="10"/>
  <c r="AC165" i="10"/>
  <c r="CI165" i="10"/>
  <c r="CR165" i="10"/>
  <c r="AF165" i="10"/>
  <c r="BO165" i="10"/>
  <c r="C165" i="10"/>
  <c r="AP165" i="10"/>
  <c r="BX165" i="10"/>
  <c r="L165" i="10"/>
  <c r="AU165" i="10"/>
  <c r="BR165" i="10"/>
  <c r="F165" i="10"/>
  <c r="AN165" i="10"/>
  <c r="BW165" i="10"/>
  <c r="K165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21" i="10" s="1"/>
  <c r="AF106" i="10"/>
  <c r="AF100" i="10"/>
  <c r="AF118" i="10" s="1"/>
  <c r="AF108" i="10"/>
  <c r="AF102" i="10"/>
  <c r="AF107" i="10"/>
  <c r="AD127" i="10"/>
  <c r="AE119" i="10"/>
  <c r="AE120" i="10"/>
  <c r="AE125" i="10"/>
  <c r="AE109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F117" i="10" l="1"/>
  <c r="AF114" i="10"/>
  <c r="AF126" i="10"/>
  <c r="AF125" i="10"/>
  <c r="AF119" i="10"/>
  <c r="B166" i="10"/>
  <c r="AF116" i="10"/>
  <c r="AF113" i="10"/>
  <c r="AF122" i="10"/>
  <c r="AF120" i="10"/>
  <c r="AF250" i="10"/>
  <c r="AF246" i="10"/>
  <c r="AF248" i="10"/>
  <c r="AF244" i="10"/>
  <c r="AF255" i="10"/>
  <c r="AF251" i="10"/>
  <c r="AF243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J166" i="10"/>
  <c r="BR166" i="10"/>
  <c r="Q166" i="10"/>
  <c r="BN166" i="10"/>
  <c r="BM166" i="10"/>
  <c r="AA166" i="10"/>
  <c r="AT166" i="10"/>
  <c r="BP166" i="10"/>
  <c r="CL166" i="10"/>
  <c r="Z166" i="10"/>
  <c r="AZ166" i="10"/>
  <c r="BI166" i="10"/>
  <c r="CR166" i="10"/>
  <c r="AF166" i="10"/>
  <c r="BC166" i="10"/>
  <c r="CK166" i="10"/>
  <c r="Y166" i="10"/>
  <c r="BH166" i="10"/>
  <c r="CU166" i="10"/>
  <c r="AI166" i="10"/>
  <c r="CG166" i="10"/>
  <c r="U166" i="10"/>
  <c r="BD166" i="10"/>
  <c r="CQ166" i="10"/>
  <c r="AE166" i="10"/>
  <c r="AF256" i="10"/>
  <c r="CH166" i="10"/>
  <c r="F166" i="10"/>
  <c r="CV166" i="10"/>
  <c r="AX166" i="10"/>
  <c r="CF166" i="10"/>
  <c r="CP166" i="10"/>
  <c r="AD166" i="10"/>
  <c r="D166" i="10"/>
  <c r="BV166" i="10"/>
  <c r="J166" i="10"/>
  <c r="BG166" i="10"/>
  <c r="AS166" i="10"/>
  <c r="CB166" i="10"/>
  <c r="P166" i="10"/>
  <c r="AM166" i="10"/>
  <c r="BU166" i="10"/>
  <c r="I166" i="10"/>
  <c r="AR166" i="10"/>
  <c r="CE166" i="10"/>
  <c r="S166" i="10"/>
  <c r="BQ166" i="10"/>
  <c r="E166" i="10"/>
  <c r="AN166" i="10"/>
  <c r="CA166" i="10"/>
  <c r="O166" i="10"/>
  <c r="AE257" i="10"/>
  <c r="AG207" i="10"/>
  <c r="AG213" i="10"/>
  <c r="AG238" i="10"/>
  <c r="AG220" i="10"/>
  <c r="AG224" i="10"/>
  <c r="AG227" i="10"/>
  <c r="AG225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26" i="10"/>
  <c r="AG230" i="10"/>
  <c r="AG235" i="10"/>
  <c r="AG208" i="10"/>
  <c r="AG218" i="10"/>
  <c r="AG228" i="10"/>
  <c r="AG211" i="10"/>
  <c r="AG229" i="10"/>
  <c r="AF242" i="10"/>
  <c r="AF221" i="10"/>
  <c r="AF245" i="10"/>
  <c r="V166" i="10"/>
  <c r="CC166" i="10"/>
  <c r="CT166" i="10"/>
  <c r="AH166" i="10"/>
  <c r="T166" i="10"/>
  <c r="BZ166" i="10"/>
  <c r="N166" i="10"/>
  <c r="BW166" i="10"/>
  <c r="BF166" i="10"/>
  <c r="CS166" i="10"/>
  <c r="CO166" i="10"/>
  <c r="AC166" i="10"/>
  <c r="BL166" i="10"/>
  <c r="CI166" i="10"/>
  <c r="W166" i="10"/>
  <c r="BE166" i="10"/>
  <c r="CN166" i="10"/>
  <c r="AB166" i="10"/>
  <c r="BO166" i="10"/>
  <c r="C166" i="10"/>
  <c r="AG209" i="10" s="1"/>
  <c r="BA166" i="10"/>
  <c r="CJ166" i="10"/>
  <c r="X166" i="10"/>
  <c r="BK166" i="10"/>
  <c r="AN35" i="11" a="1"/>
  <c r="AN35" i="11" s="1"/>
  <c r="AN138" i="11" a="1"/>
  <c r="AN138" i="11" s="1"/>
  <c r="L167" i="10" s="1"/>
  <c r="AF252" i="10"/>
  <c r="AF239" i="10"/>
  <c r="AL166" i="10"/>
  <c r="AQ166" i="10"/>
  <c r="BB166" i="10"/>
  <c r="CD166" i="10"/>
  <c r="R166" i="10"/>
  <c r="CM166" i="10"/>
  <c r="BJ166" i="10"/>
  <c r="AW166" i="10"/>
  <c r="K166" i="10"/>
  <c r="AP166" i="10"/>
  <c r="AG166" i="10"/>
  <c r="BY166" i="10"/>
  <c r="M166" i="10"/>
  <c r="AV166" i="10"/>
  <c r="BS166" i="10"/>
  <c r="G166" i="10"/>
  <c r="AO166" i="10"/>
  <c r="BX166" i="10"/>
  <c r="L166" i="10"/>
  <c r="AY166" i="10"/>
  <c r="CW166" i="10"/>
  <c r="AK166" i="10"/>
  <c r="BT166" i="10"/>
  <c r="H166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210" i="10" l="1"/>
  <c r="B167" i="10"/>
  <c r="AG125" i="10"/>
  <c r="AG117" i="10"/>
  <c r="AG121" i="10"/>
  <c r="AG114" i="10"/>
  <c r="AG119" i="10"/>
  <c r="AG126" i="10"/>
  <c r="AG115" i="10"/>
  <c r="AG254" i="10"/>
  <c r="AG251" i="10"/>
  <c r="AG244" i="10"/>
  <c r="AG255" i="10"/>
  <c r="AH208" i="10"/>
  <c r="AH230" i="10"/>
  <c r="AH213" i="10"/>
  <c r="AH206" i="10"/>
  <c r="AH207" i="10"/>
  <c r="AH225" i="10"/>
  <c r="AH212" i="10"/>
  <c r="AH216" i="10"/>
  <c r="AH233" i="10"/>
  <c r="AH224" i="10"/>
  <c r="AH219" i="10"/>
  <c r="AH218" i="10"/>
  <c r="AH232" i="10"/>
  <c r="AH214" i="10"/>
  <c r="AH234" i="10"/>
  <c r="AH215" i="10"/>
  <c r="AH220" i="10"/>
  <c r="AH228" i="10"/>
  <c r="AH229" i="10"/>
  <c r="AH226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C167" i="10"/>
  <c r="AH210" i="10" s="1"/>
  <c r="BO167" i="10"/>
  <c r="CQ167" i="10"/>
  <c r="AE167" i="10"/>
  <c r="AW167" i="10"/>
  <c r="BG167" i="10"/>
  <c r="BZ167" i="10"/>
  <c r="AN167" i="10"/>
  <c r="AM167" i="10"/>
  <c r="CC167" i="10"/>
  <c r="CL167" i="10"/>
  <c r="Z167" i="10"/>
  <c r="BI167" i="10"/>
  <c r="CV167" i="10"/>
  <c r="AJ167" i="10"/>
  <c r="BR167" i="10"/>
  <c r="F167" i="10"/>
  <c r="AO167" i="10"/>
  <c r="CB167" i="10"/>
  <c r="P167" i="10"/>
  <c r="AX167" i="10"/>
  <c r="CG167" i="10"/>
  <c r="U167" i="10"/>
  <c r="BH167" i="10"/>
  <c r="AO35" i="11" a="1"/>
  <c r="AO35" i="11" s="1"/>
  <c r="AO138" i="11" a="1"/>
  <c r="AO138" i="11" s="1"/>
  <c r="AO168" i="10" s="1"/>
  <c r="AG247" i="10"/>
  <c r="AG253" i="10"/>
  <c r="AG248" i="10"/>
  <c r="AG239" i="10"/>
  <c r="AG243" i="10"/>
  <c r="H167" i="10"/>
  <c r="CU167" i="10"/>
  <c r="CE167" i="10"/>
  <c r="CA167" i="10"/>
  <c r="O167" i="10"/>
  <c r="BD167" i="10"/>
  <c r="AQ167" i="10"/>
  <c r="N167" i="10"/>
  <c r="CI167" i="10"/>
  <c r="W167" i="10"/>
  <c r="Q167" i="10"/>
  <c r="BV167" i="10"/>
  <c r="J167" i="10"/>
  <c r="AS167" i="10"/>
  <c r="CF167" i="10"/>
  <c r="T167" i="10"/>
  <c r="BB167" i="10"/>
  <c r="CK167" i="10"/>
  <c r="Y167" i="10"/>
  <c r="BL167" i="10"/>
  <c r="CT167" i="10"/>
  <c r="AH167" i="10"/>
  <c r="BQ167" i="10"/>
  <c r="E167" i="10"/>
  <c r="AR167" i="10"/>
  <c r="AG246" i="10"/>
  <c r="AG256" i="10"/>
  <c r="AY167" i="10"/>
  <c r="AI167" i="10"/>
  <c r="S167" i="10"/>
  <c r="BK167" i="10"/>
  <c r="CP167" i="10"/>
  <c r="CM167" i="10"/>
  <c r="AA167" i="10"/>
  <c r="CS167" i="10"/>
  <c r="BS167" i="10"/>
  <c r="G167" i="10"/>
  <c r="CJ167" i="10"/>
  <c r="BF167" i="10"/>
  <c r="CO167" i="10"/>
  <c r="AC167" i="10"/>
  <c r="BP167" i="10"/>
  <c r="D167" i="10"/>
  <c r="AL167" i="10"/>
  <c r="BU167" i="10"/>
  <c r="I167" i="10"/>
  <c r="AV167" i="10"/>
  <c r="CD167" i="10"/>
  <c r="R167" i="10"/>
  <c r="BA167" i="10"/>
  <c r="CN167" i="10"/>
  <c r="AB167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F257" i="10"/>
  <c r="AG242" i="10"/>
  <c r="AG221" i="10"/>
  <c r="AT167" i="10"/>
  <c r="BM167" i="10"/>
  <c r="BT167" i="10"/>
  <c r="AU167" i="10"/>
  <c r="AD167" i="10"/>
  <c r="BW167" i="10"/>
  <c r="K167" i="10"/>
  <c r="AG167" i="10"/>
  <c r="BC167" i="10"/>
  <c r="BJ167" i="10"/>
  <c r="X167" i="10"/>
  <c r="AP167" i="10"/>
  <c r="BY167" i="10"/>
  <c r="M167" i="10"/>
  <c r="AZ167" i="10"/>
  <c r="CH167" i="10"/>
  <c r="V167" i="10"/>
  <c r="BE167" i="10"/>
  <c r="CR167" i="10"/>
  <c r="AF167" i="10"/>
  <c r="BN167" i="10"/>
  <c r="CW167" i="10"/>
  <c r="AK167" i="10"/>
  <c r="BX16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AH209" i="10" l="1"/>
  <c r="B168" i="10"/>
  <c r="AH122" i="10"/>
  <c r="AH114" i="10"/>
  <c r="AH113" i="10"/>
  <c r="AH251" i="10"/>
  <c r="AH243" i="10"/>
  <c r="AH248" i="10"/>
  <c r="AG257" i="10"/>
  <c r="AH247" i="10"/>
  <c r="AH253" i="10"/>
  <c r="AH250" i="10"/>
  <c r="AI208" i="10"/>
  <c r="AI224" i="10"/>
  <c r="AI207" i="10"/>
  <c r="AI212" i="10"/>
  <c r="AI237" i="10"/>
  <c r="AI236" i="10"/>
  <c r="AI232" i="10"/>
  <c r="AI231" i="10"/>
  <c r="AI216" i="10"/>
  <c r="AI228" i="10"/>
  <c r="AI226" i="10"/>
  <c r="AI206" i="10"/>
  <c r="AI225" i="10"/>
  <c r="AI230" i="10"/>
  <c r="AI218" i="10"/>
  <c r="AI214" i="10"/>
  <c r="AI234" i="10"/>
  <c r="AI227" i="10"/>
  <c r="AI213" i="10"/>
  <c r="AI249" i="10" s="1"/>
  <c r="AI233" i="10"/>
  <c r="AI238" i="10"/>
  <c r="AI220" i="10"/>
  <c r="AI235" i="10"/>
  <c r="AI217" i="10"/>
  <c r="AI229" i="10"/>
  <c r="AI215" i="10"/>
  <c r="AI211" i="10"/>
  <c r="AI219" i="10"/>
  <c r="CB168" i="10"/>
  <c r="CP168" i="10"/>
  <c r="K168" i="10"/>
  <c r="BX168" i="10"/>
  <c r="L168" i="10"/>
  <c r="CG168" i="10"/>
  <c r="BD168" i="10"/>
  <c r="AQ168" i="10"/>
  <c r="CV168" i="10"/>
  <c r="AJ168" i="10"/>
  <c r="AA168" i="10"/>
  <c r="BS168" i="10"/>
  <c r="G168" i="10"/>
  <c r="AP168" i="10"/>
  <c r="CC168" i="10"/>
  <c r="Q168" i="10"/>
  <c r="AY168" i="10"/>
  <c r="CH168" i="10"/>
  <c r="V168" i="10"/>
  <c r="BI168" i="10"/>
  <c r="CQ168" i="10"/>
  <c r="AE168" i="10"/>
  <c r="BN168" i="10"/>
  <c r="CK168" i="10"/>
  <c r="Y168" i="10"/>
  <c r="AH246" i="10"/>
  <c r="AH255" i="10"/>
  <c r="AH221" i="10"/>
  <c r="AH242" i="10"/>
  <c r="P168" i="10"/>
  <c r="BL168" i="10"/>
  <c r="AV168" i="10"/>
  <c r="BH168" i="10"/>
  <c r="BG168" i="10"/>
  <c r="U168" i="10"/>
  <c r="AN168" i="10"/>
  <c r="BJ168" i="10"/>
  <c r="CF168" i="10"/>
  <c r="T168" i="10"/>
  <c r="AT168" i="10"/>
  <c r="BC168" i="10"/>
  <c r="CL168" i="10"/>
  <c r="Z168" i="10"/>
  <c r="BM168" i="10"/>
  <c r="CU168" i="10"/>
  <c r="AI168" i="10"/>
  <c r="BR168" i="10"/>
  <c r="F168" i="10"/>
  <c r="AS168" i="10"/>
  <c r="CA168" i="10"/>
  <c r="O168" i="10"/>
  <c r="AX168" i="10"/>
  <c r="BU168" i="10"/>
  <c r="I168" i="10"/>
  <c r="AH239" i="10"/>
  <c r="AH249" i="10"/>
  <c r="AP35" i="11" a="1"/>
  <c r="AP35" i="11" s="1"/>
  <c r="AP138" i="11" a="1"/>
  <c r="AP138" i="11" s="1"/>
  <c r="F169" i="10" s="1"/>
  <c r="AD168" i="10"/>
  <c r="AK168" i="10"/>
  <c r="BW168" i="10"/>
  <c r="AR168" i="10"/>
  <c r="BZ168" i="10"/>
  <c r="CJ168" i="10"/>
  <c r="X168" i="10"/>
  <c r="BQ168" i="10"/>
  <c r="BP168" i="10"/>
  <c r="D168" i="10"/>
  <c r="BA168" i="10"/>
  <c r="AM168" i="10"/>
  <c r="BV168" i="10"/>
  <c r="J168" i="10"/>
  <c r="AW168" i="10"/>
  <c r="CE168" i="10"/>
  <c r="S168" i="10"/>
  <c r="BB168" i="10"/>
  <c r="CO168" i="10"/>
  <c r="AC168" i="10"/>
  <c r="BK168" i="10"/>
  <c r="CT168" i="10"/>
  <c r="AH168" i="10"/>
  <c r="BE168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F168" i="10"/>
  <c r="CW168" i="10"/>
  <c r="CR168" i="10"/>
  <c r="CN168" i="10"/>
  <c r="AB168" i="10"/>
  <c r="N168" i="10"/>
  <c r="BT168" i="10"/>
  <c r="H168" i="10"/>
  <c r="E168" i="10"/>
  <c r="AZ168" i="10"/>
  <c r="CM168" i="10"/>
  <c r="CI168" i="10"/>
  <c r="W168" i="10"/>
  <c r="BF168" i="10"/>
  <c r="CS168" i="10"/>
  <c r="AG168" i="10"/>
  <c r="BO168" i="10"/>
  <c r="C168" i="10"/>
  <c r="AI209" i="10" s="1"/>
  <c r="AL168" i="10"/>
  <c r="BY168" i="10"/>
  <c r="M168" i="10"/>
  <c r="AU168" i="10"/>
  <c r="CD168" i="10"/>
  <c r="R168" i="10"/>
  <c r="AH254" i="10"/>
  <c r="AH252" i="10"/>
  <c r="AH245" i="10"/>
  <c r="AH244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I210" i="10" l="1"/>
  <c r="AI246" i="10" s="1"/>
  <c r="B170" i="10"/>
  <c r="B169" i="10"/>
  <c r="AI255" i="10"/>
  <c r="AI250" i="10"/>
  <c r="AI251" i="10"/>
  <c r="AI253" i="10"/>
  <c r="AI254" i="10"/>
  <c r="AI245" i="10"/>
  <c r="AQ35" i="11" a="1"/>
  <c r="AQ35" i="11" s="1"/>
  <c r="AQ138" i="11" a="1"/>
  <c r="AQ138" i="11" s="1"/>
  <c r="AI247" i="10"/>
  <c r="AI252" i="10"/>
  <c r="AI244" i="10"/>
  <c r="CO169" i="10"/>
  <c r="BY169" i="10"/>
  <c r="BU169" i="10"/>
  <c r="I169" i="10"/>
  <c r="AQ169" i="10"/>
  <c r="BQ169" i="10"/>
  <c r="E169" i="10"/>
  <c r="CM169" i="10"/>
  <c r="CS169" i="10"/>
  <c r="AG169" i="10"/>
  <c r="BW169" i="10"/>
  <c r="AJ169" i="10"/>
  <c r="BS169" i="10"/>
  <c r="G169" i="10"/>
  <c r="AT169" i="10"/>
  <c r="CB169" i="10"/>
  <c r="P169" i="10"/>
  <c r="AY169" i="10"/>
  <c r="CL169" i="10"/>
  <c r="Z169" i="10"/>
  <c r="BH169" i="10"/>
  <c r="CQ169" i="10"/>
  <c r="AE169" i="10"/>
  <c r="BB169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21" i="10"/>
  <c r="AI242" i="10"/>
  <c r="AI248" i="10"/>
  <c r="AS169" i="10"/>
  <c r="AC169" i="10"/>
  <c r="M169" i="10"/>
  <c r="BE169" i="10"/>
  <c r="CV169" i="10"/>
  <c r="AX169" i="10"/>
  <c r="BA169" i="10"/>
  <c r="CJ169" i="10"/>
  <c r="AA169" i="10"/>
  <c r="CC169" i="10"/>
  <c r="Q169" i="10"/>
  <c r="K169" i="10"/>
  <c r="T169" i="10"/>
  <c r="BC169" i="10"/>
  <c r="CP169" i="10"/>
  <c r="AD169" i="10"/>
  <c r="BL169" i="10"/>
  <c r="CU169" i="10"/>
  <c r="AI169" i="10"/>
  <c r="BV169" i="10"/>
  <c r="J169" i="10"/>
  <c r="AR169" i="10"/>
  <c r="CA169" i="10"/>
  <c r="O169" i="10"/>
  <c r="AL169" i="10"/>
  <c r="C170" i="10"/>
  <c r="S170" i="10"/>
  <c r="AI170" i="10"/>
  <c r="AY170" i="10"/>
  <c r="BO170" i="10"/>
  <c r="CE170" i="10"/>
  <c r="CU170" i="10"/>
  <c r="L170" i="10"/>
  <c r="AB170" i="10"/>
  <c r="AR170" i="10"/>
  <c r="BH170" i="10"/>
  <c r="BX170" i="10"/>
  <c r="CN170" i="10"/>
  <c r="I170" i="10"/>
  <c r="Y170" i="10"/>
  <c r="AO170" i="10"/>
  <c r="BE170" i="10"/>
  <c r="BU170" i="10"/>
  <c r="CK170" i="10"/>
  <c r="G170" i="10"/>
  <c r="W170" i="10"/>
  <c r="AM170" i="10"/>
  <c r="BC170" i="10"/>
  <c r="BS170" i="10"/>
  <c r="CI170" i="10"/>
  <c r="P170" i="10"/>
  <c r="AF170" i="10"/>
  <c r="AV170" i="10"/>
  <c r="BL170" i="10"/>
  <c r="CB170" i="10"/>
  <c r="CR170" i="10"/>
  <c r="M170" i="10"/>
  <c r="AC170" i="10"/>
  <c r="AS170" i="10"/>
  <c r="BI170" i="10"/>
  <c r="BY170" i="10"/>
  <c r="CO170" i="10"/>
  <c r="K170" i="10"/>
  <c r="AA170" i="10"/>
  <c r="AQ170" i="10"/>
  <c r="BG170" i="10"/>
  <c r="BW170" i="10"/>
  <c r="CM170" i="10"/>
  <c r="D170" i="10"/>
  <c r="T170" i="10"/>
  <c r="AJ170" i="10"/>
  <c r="AZ170" i="10"/>
  <c r="BP170" i="10"/>
  <c r="CF170" i="10"/>
  <c r="CV170" i="10"/>
  <c r="AU170" i="10"/>
  <c r="AN170" i="10"/>
  <c r="Q170" i="10"/>
  <c r="AW170" i="10"/>
  <c r="CC170" i="10"/>
  <c r="N170" i="10"/>
  <c r="AD170" i="10"/>
  <c r="AT170" i="10"/>
  <c r="BJ170" i="10"/>
  <c r="BZ170" i="10"/>
  <c r="CP170" i="10"/>
  <c r="BK170" i="10"/>
  <c r="BD170" i="10"/>
  <c r="U170" i="10"/>
  <c r="BA170" i="10"/>
  <c r="CG170" i="10"/>
  <c r="R170" i="10"/>
  <c r="AH170" i="10"/>
  <c r="AX170" i="10"/>
  <c r="BN170" i="10"/>
  <c r="CD170" i="10"/>
  <c r="CT170" i="10"/>
  <c r="O170" i="10"/>
  <c r="CA170" i="10"/>
  <c r="H170" i="10"/>
  <c r="BT170" i="10"/>
  <c r="AG170" i="10"/>
  <c r="BM170" i="10"/>
  <c r="CS170" i="10"/>
  <c r="F170" i="10"/>
  <c r="V170" i="10"/>
  <c r="AL170" i="10"/>
  <c r="BB170" i="10"/>
  <c r="BR170" i="10"/>
  <c r="CH170" i="10"/>
  <c r="AE170" i="10"/>
  <c r="AK170" i="10"/>
  <c r="AP170" i="10"/>
  <c r="Z170" i="10"/>
  <c r="CQ170" i="10"/>
  <c r="X170" i="10"/>
  <c r="BQ170" i="10"/>
  <c r="BF170" i="10"/>
  <c r="E170" i="10"/>
  <c r="CL170" i="10"/>
  <c r="CJ170" i="10"/>
  <c r="CW170" i="10"/>
  <c r="J170" i="10"/>
  <c r="BV170" i="10"/>
  <c r="AH257" i="10"/>
  <c r="AI256" i="10"/>
  <c r="AI243" i="10"/>
  <c r="BT169" i="10"/>
  <c r="AN169" i="10"/>
  <c r="BG169" i="10"/>
  <c r="AO169" i="10"/>
  <c r="BP169" i="10"/>
  <c r="CW169" i="10"/>
  <c r="AK169" i="10"/>
  <c r="BD169" i="10"/>
  <c r="CT169" i="10"/>
  <c r="BM169" i="10"/>
  <c r="CF169" i="10"/>
  <c r="CD169" i="10"/>
  <c r="D169" i="10"/>
  <c r="AM169" i="10"/>
  <c r="BZ169" i="10"/>
  <c r="N169" i="10"/>
  <c r="AV169" i="10"/>
  <c r="CE169" i="10"/>
  <c r="S169" i="10"/>
  <c r="BF169" i="10"/>
  <c r="CN169" i="10"/>
  <c r="AB169" i="10"/>
  <c r="BK169" i="10"/>
  <c r="CH169" i="10"/>
  <c r="V169" i="10"/>
  <c r="AJ225" i="10"/>
  <c r="AJ207" i="10"/>
  <c r="AJ218" i="10"/>
  <c r="AJ214" i="10"/>
  <c r="AJ234" i="10"/>
  <c r="AJ233" i="10"/>
  <c r="AJ215" i="10"/>
  <c r="AJ238" i="10"/>
  <c r="AJ226" i="10"/>
  <c r="AJ224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I239" i="10"/>
  <c r="BI169" i="10"/>
  <c r="BN169" i="10"/>
  <c r="CK169" i="10"/>
  <c r="Y169" i="10"/>
  <c r="X169" i="10"/>
  <c r="CG169" i="10"/>
  <c r="U169" i="10"/>
  <c r="H169" i="10"/>
  <c r="AH169" i="10"/>
  <c r="AW169" i="10"/>
  <c r="AZ169" i="10"/>
  <c r="R169" i="10"/>
  <c r="CI169" i="10"/>
  <c r="W169" i="10"/>
  <c r="BJ169" i="10"/>
  <c r="CR169" i="10"/>
  <c r="AF169" i="10"/>
  <c r="BO169" i="10"/>
  <c r="C169" i="10"/>
  <c r="AJ210" i="10" s="1"/>
  <c r="AP169" i="10"/>
  <c r="BX169" i="10"/>
  <c r="L169" i="10"/>
  <c r="AU169" i="10"/>
  <c r="BR169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J209" i="10" l="1"/>
  <c r="AJ245" i="10" s="1"/>
  <c r="AJ244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26" i="10"/>
  <c r="AK208" i="10"/>
  <c r="AK230" i="10"/>
  <c r="AK218" i="10"/>
  <c r="AK214" i="10"/>
  <c r="AK235" i="10"/>
  <c r="AK207" i="10"/>
  <c r="AK213" i="10"/>
  <c r="AK224" i="10"/>
  <c r="AK209" i="10"/>
  <c r="AK227" i="10"/>
  <c r="AK225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39" i="10"/>
  <c r="AJ251" i="10"/>
  <c r="AJ254" i="10"/>
  <c r="AI257" i="10"/>
  <c r="AR35" i="11" a="1"/>
  <c r="AR35" i="11" s="1"/>
  <c r="AR138" i="11" a="1"/>
  <c r="AR138" i="11" s="1"/>
  <c r="AF171" i="10" s="1"/>
  <c r="AJ253" i="10"/>
  <c r="AJ243" i="10"/>
  <c r="AJ246" i="10"/>
  <c r="AJ242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B171" i="10" l="1"/>
  <c r="AK123" i="10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44" i="10"/>
  <c r="AK251" i="10"/>
  <c r="AK256" i="10"/>
  <c r="AK248" i="10"/>
  <c r="AK246" i="10"/>
  <c r="AK252" i="10"/>
  <c r="AK255" i="10"/>
  <c r="AJ257" i="10"/>
  <c r="AL226" i="10"/>
  <c r="AL227" i="10"/>
  <c r="AL237" i="10"/>
  <c r="AL236" i="10"/>
  <c r="AL231" i="10"/>
  <c r="AL208" i="10"/>
  <c r="AL230" i="10"/>
  <c r="AL213" i="10"/>
  <c r="AL206" i="10"/>
  <c r="AL207" i="10"/>
  <c r="AL225" i="10"/>
  <c r="AL212" i="10"/>
  <c r="AL216" i="10"/>
  <c r="AL233" i="10"/>
  <c r="AL238" i="10"/>
  <c r="AL214" i="10"/>
  <c r="AL217" i="10"/>
  <c r="AL235" i="10"/>
  <c r="AL224" i="10"/>
  <c r="AL232" i="10"/>
  <c r="AL215" i="10"/>
  <c r="AL228" i="10"/>
  <c r="AL229" i="10"/>
  <c r="AL220" i="10"/>
  <c r="AL219" i="10"/>
  <c r="AL255" i="10" s="1"/>
  <c r="AL218" i="10"/>
  <c r="AL254" i="10" s="1"/>
  <c r="AL211" i="10"/>
  <c r="AL234" i="10"/>
  <c r="AS35" i="11" a="1"/>
  <c r="AS35" i="11" s="1"/>
  <c r="AS138" i="11" a="1"/>
  <c r="AS138" i="11" s="1"/>
  <c r="B172" i="10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BA171" i="10"/>
  <c r="CI171" i="10"/>
  <c r="G171" i="10"/>
  <c r="BO171" i="10"/>
  <c r="C171" i="10"/>
  <c r="AL210" i="10" s="1"/>
  <c r="AD171" i="10"/>
  <c r="CQ171" i="10"/>
  <c r="AE171" i="10"/>
  <c r="BN171" i="10"/>
  <c r="U171" i="10"/>
  <c r="BW171" i="10"/>
  <c r="K171" i="10"/>
  <c r="AT171" i="10"/>
  <c r="BX171" i="10"/>
  <c r="BM171" i="10"/>
  <c r="CJ171" i="10"/>
  <c r="X171" i="10"/>
  <c r="J171" i="10"/>
  <c r="AS171" i="10"/>
  <c r="CF171" i="10"/>
  <c r="T171" i="10"/>
  <c r="F171" i="10"/>
  <c r="AO171" i="10"/>
  <c r="CB171" i="10"/>
  <c r="P171" i="10"/>
  <c r="AK243" i="10"/>
  <c r="AM171" i="10"/>
  <c r="W171" i="10"/>
  <c r="BF171" i="10"/>
  <c r="AY171" i="10"/>
  <c r="CH171" i="10"/>
  <c r="CW171" i="10"/>
  <c r="CA171" i="10"/>
  <c r="O171" i="10"/>
  <c r="AX171" i="10"/>
  <c r="CN171" i="10"/>
  <c r="BG171" i="10"/>
  <c r="CP171" i="10"/>
  <c r="N171" i="10"/>
  <c r="L171" i="10"/>
  <c r="AW171" i="10"/>
  <c r="BT171" i="10"/>
  <c r="H171" i="10"/>
  <c r="CO171" i="10"/>
  <c r="AC171" i="10"/>
  <c r="BP171" i="10"/>
  <c r="D171" i="10"/>
  <c r="CK171" i="10"/>
  <c r="Y171" i="10"/>
  <c r="BL171" i="10"/>
  <c r="AK245" i="10"/>
  <c r="BC171" i="10"/>
  <c r="CL171" i="10"/>
  <c r="BV171" i="10"/>
  <c r="CU171" i="10"/>
  <c r="AI171" i="10"/>
  <c r="BR171" i="10"/>
  <c r="AK171" i="10"/>
  <c r="BK171" i="10"/>
  <c r="CT171" i="10"/>
  <c r="R171" i="10"/>
  <c r="AB171" i="10"/>
  <c r="AQ171" i="10"/>
  <c r="BZ171" i="10"/>
  <c r="BQ171" i="10"/>
  <c r="CS171" i="10"/>
  <c r="AG171" i="10"/>
  <c r="BD171" i="10"/>
  <c r="AP171" i="10"/>
  <c r="BY171" i="10"/>
  <c r="M171" i="10"/>
  <c r="AZ171" i="10"/>
  <c r="AL171" i="10"/>
  <c r="BU171" i="10"/>
  <c r="I171" i="10"/>
  <c r="AV171" i="10"/>
  <c r="AK242" i="10"/>
  <c r="AK221" i="10"/>
  <c r="AK239" i="10"/>
  <c r="AK250" i="10"/>
  <c r="M172" i="10"/>
  <c r="AC172" i="10"/>
  <c r="AS172" i="10"/>
  <c r="BI172" i="10"/>
  <c r="BY172" i="10"/>
  <c r="CO172" i="10"/>
  <c r="F172" i="10"/>
  <c r="V172" i="10"/>
  <c r="AL172" i="10"/>
  <c r="BB172" i="10"/>
  <c r="BR172" i="10"/>
  <c r="CH172" i="10"/>
  <c r="Q172" i="10"/>
  <c r="AG172" i="10"/>
  <c r="AW172" i="10"/>
  <c r="BM172" i="10"/>
  <c r="CC172" i="10"/>
  <c r="CS172" i="10"/>
  <c r="J172" i="10"/>
  <c r="Z172" i="10"/>
  <c r="AP172" i="10"/>
  <c r="BF172" i="10"/>
  <c r="BV172" i="10"/>
  <c r="CL172" i="10"/>
  <c r="E172" i="10"/>
  <c r="U172" i="10"/>
  <c r="AK172" i="10"/>
  <c r="BA172" i="10"/>
  <c r="BQ172" i="10"/>
  <c r="CG172" i="10"/>
  <c r="CW172" i="10"/>
  <c r="N172" i="10"/>
  <c r="AD172" i="10"/>
  <c r="AT172" i="10"/>
  <c r="BJ172" i="10"/>
  <c r="BZ172" i="10"/>
  <c r="CP172" i="10"/>
  <c r="AO172" i="10"/>
  <c r="AH172" i="10"/>
  <c r="CT172" i="10"/>
  <c r="K172" i="10"/>
  <c r="AA172" i="10"/>
  <c r="AQ172" i="10"/>
  <c r="BG172" i="10"/>
  <c r="BW172" i="10"/>
  <c r="CM172" i="10"/>
  <c r="H172" i="10"/>
  <c r="X172" i="10"/>
  <c r="AN172" i="10"/>
  <c r="BD172" i="10"/>
  <c r="BT172" i="10"/>
  <c r="CJ172" i="10"/>
  <c r="BE172" i="10"/>
  <c r="AX172" i="10"/>
  <c r="O172" i="10"/>
  <c r="AE172" i="10"/>
  <c r="AU172" i="10"/>
  <c r="BK172" i="10"/>
  <c r="CA172" i="10"/>
  <c r="CQ172" i="10"/>
  <c r="L172" i="10"/>
  <c r="AB172" i="10"/>
  <c r="AR172" i="10"/>
  <c r="BH172" i="10"/>
  <c r="BX172" i="10"/>
  <c r="CN172" i="10"/>
  <c r="I172" i="10"/>
  <c r="BU172" i="10"/>
  <c r="BN172" i="10"/>
  <c r="C172" i="10"/>
  <c r="S172" i="10"/>
  <c r="AI172" i="10"/>
  <c r="AY172" i="10"/>
  <c r="BO172" i="10"/>
  <c r="CE172" i="10"/>
  <c r="CU172" i="10"/>
  <c r="P172" i="10"/>
  <c r="AF172" i="10"/>
  <c r="AV172" i="10"/>
  <c r="BL172" i="10"/>
  <c r="CB172" i="10"/>
  <c r="CR172" i="10"/>
  <c r="CK172" i="10"/>
  <c r="R172" i="10"/>
  <c r="W172" i="10"/>
  <c r="CI172" i="10"/>
  <c r="AJ172" i="10"/>
  <c r="CV172" i="10"/>
  <c r="G172" i="10"/>
  <c r="CF172" i="10"/>
  <c r="CD172" i="10"/>
  <c r="AM172" i="10"/>
  <c r="AZ172" i="10"/>
  <c r="Y172" i="10"/>
  <c r="BS172" i="10"/>
  <c r="T172" i="10"/>
  <c r="BC172" i="10"/>
  <c r="D172" i="10"/>
  <c r="BP172" i="10"/>
  <c r="AH171" i="10"/>
  <c r="BH171" i="10"/>
  <c r="BS171" i="10"/>
  <c r="CE171" i="10"/>
  <c r="S171" i="10"/>
  <c r="BB171" i="10"/>
  <c r="AR171" i="10"/>
  <c r="AU171" i="10"/>
  <c r="CD171" i="10"/>
  <c r="CG171" i="10"/>
  <c r="CM171" i="10"/>
  <c r="AA171" i="10"/>
  <c r="BJ171" i="10"/>
  <c r="E171" i="10"/>
  <c r="CC171" i="10"/>
  <c r="Q171" i="10"/>
  <c r="AN171" i="10"/>
  <c r="Z171" i="10"/>
  <c r="BI171" i="10"/>
  <c r="CV171" i="10"/>
  <c r="AJ171" i="10"/>
  <c r="V171" i="10"/>
  <c r="BE171" i="10"/>
  <c r="CR171" i="10"/>
  <c r="AK249" i="10"/>
  <c r="AK254" i="10"/>
  <c r="AK116" i="10"/>
  <c r="AL80" i="10"/>
  <c r="AL79" i="10"/>
  <c r="AL94" i="10"/>
  <c r="AL98" i="10"/>
  <c r="AL97" i="10"/>
  <c r="AL96" i="10"/>
  <c r="AL95" i="10"/>
  <c r="AL99" i="10"/>
  <c r="AL103" i="10"/>
  <c r="AL102" i="10"/>
  <c r="AL101" i="10"/>
  <c r="AL107" i="10"/>
  <c r="AL125" i="10" s="1"/>
  <c r="AL104" i="10"/>
  <c r="AL105" i="10"/>
  <c r="AL123" i="10" s="1"/>
  <c r="AL106" i="10"/>
  <c r="AL124" i="10" s="1"/>
  <c r="AL100" i="10"/>
  <c r="AL108" i="10"/>
  <c r="AJ127" i="10"/>
  <c r="AK109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AK112" i="10"/>
  <c r="I43" i="13"/>
  <c r="A43" i="10"/>
  <c r="A173" i="10"/>
  <c r="E44" i="7"/>
  <c r="AL209" i="10" l="1"/>
  <c r="AL245" i="10" s="1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113" i="10"/>
  <c r="AL251" i="10"/>
  <c r="AL244" i="10"/>
  <c r="AL248" i="10"/>
  <c r="AL253" i="10"/>
  <c r="AL249" i="10"/>
  <c r="AL243" i="10"/>
  <c r="AL246" i="10"/>
  <c r="AM219" i="10"/>
  <c r="AM208" i="10"/>
  <c r="AM224" i="10"/>
  <c r="AM207" i="10"/>
  <c r="AM212" i="10"/>
  <c r="AM237" i="10"/>
  <c r="AM236" i="10"/>
  <c r="AM232" i="10"/>
  <c r="AM231" i="10"/>
  <c r="AM216" i="10"/>
  <c r="AM226" i="10"/>
  <c r="AM206" i="10"/>
  <c r="AM225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49" i="10" s="1"/>
  <c r="AM228" i="10"/>
  <c r="AM235" i="10"/>
  <c r="AM217" i="10"/>
  <c r="AM229" i="10"/>
  <c r="AM227" i="10"/>
  <c r="AT35" i="11" a="1"/>
  <c r="AT35" i="11" s="1"/>
  <c r="AT138" i="11" a="1"/>
  <c r="AT138" i="11" s="1"/>
  <c r="B173" i="10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39" i="10"/>
  <c r="AK257" i="10"/>
  <c r="AL252" i="10"/>
  <c r="J173" i="10"/>
  <c r="Z173" i="10"/>
  <c r="AP173" i="10"/>
  <c r="BF173" i="10"/>
  <c r="BV173" i="10"/>
  <c r="CL173" i="10"/>
  <c r="C173" i="10"/>
  <c r="S173" i="10"/>
  <c r="AI173" i="10"/>
  <c r="AY173" i="10"/>
  <c r="BO173" i="10"/>
  <c r="CE173" i="10"/>
  <c r="CU173" i="10"/>
  <c r="N173" i="10"/>
  <c r="AD173" i="10"/>
  <c r="AT173" i="10"/>
  <c r="BJ173" i="10"/>
  <c r="BZ173" i="10"/>
  <c r="CP173" i="10"/>
  <c r="G173" i="10"/>
  <c r="W173" i="10"/>
  <c r="AM173" i="10"/>
  <c r="BC173" i="10"/>
  <c r="BS173" i="10"/>
  <c r="CI173" i="10"/>
  <c r="R173" i="10"/>
  <c r="AH173" i="10"/>
  <c r="AX173" i="10"/>
  <c r="BN173" i="10"/>
  <c r="CD173" i="10"/>
  <c r="CT173" i="10"/>
  <c r="K173" i="10"/>
  <c r="AA173" i="10"/>
  <c r="AQ173" i="10"/>
  <c r="BG173" i="10"/>
  <c r="BW173" i="10"/>
  <c r="CM173" i="10"/>
  <c r="F173" i="10"/>
  <c r="BR173" i="10"/>
  <c r="BK173" i="10"/>
  <c r="H173" i="10"/>
  <c r="X173" i="10"/>
  <c r="AN173" i="10"/>
  <c r="BD173" i="10"/>
  <c r="BT173" i="10"/>
  <c r="CJ173" i="10"/>
  <c r="E173" i="10"/>
  <c r="U173" i="10"/>
  <c r="AK173" i="10"/>
  <c r="BA173" i="10"/>
  <c r="BQ173" i="10"/>
  <c r="CG173" i="10"/>
  <c r="CW173" i="10"/>
  <c r="V173" i="10"/>
  <c r="CH173" i="10"/>
  <c r="O173" i="10"/>
  <c r="CA173" i="10"/>
  <c r="L173" i="10"/>
  <c r="AB173" i="10"/>
  <c r="AR173" i="10"/>
  <c r="BH173" i="10"/>
  <c r="BX173" i="10"/>
  <c r="CN173" i="10"/>
  <c r="I173" i="10"/>
  <c r="Y173" i="10"/>
  <c r="AO173" i="10"/>
  <c r="BE173" i="10"/>
  <c r="BU173" i="10"/>
  <c r="CK173" i="10"/>
  <c r="AL173" i="10"/>
  <c r="AE173" i="10"/>
  <c r="CQ173" i="10"/>
  <c r="P173" i="10"/>
  <c r="AF173" i="10"/>
  <c r="AV173" i="10"/>
  <c r="BL173" i="10"/>
  <c r="CB173" i="10"/>
  <c r="CR173" i="10"/>
  <c r="M173" i="10"/>
  <c r="AC173" i="10"/>
  <c r="AS173" i="10"/>
  <c r="BI173" i="10"/>
  <c r="BY173" i="10"/>
  <c r="CO173" i="10"/>
  <c r="AZ173" i="10"/>
  <c r="BM173" i="10"/>
  <c r="AJ173" i="10"/>
  <c r="BB173" i="10"/>
  <c r="D173" i="10"/>
  <c r="BP173" i="10"/>
  <c r="Q173" i="10"/>
  <c r="CC173" i="10"/>
  <c r="CV173" i="10"/>
  <c r="AU173" i="10"/>
  <c r="T173" i="10"/>
  <c r="CF173" i="10"/>
  <c r="AG173" i="10"/>
  <c r="CS173" i="10"/>
  <c r="AW173" i="10"/>
  <c r="AL250" i="10"/>
  <c r="AL221" i="10"/>
  <c r="AL242" i="10"/>
  <c r="AM79" i="10"/>
  <c r="AM80" i="10"/>
  <c r="AM95" i="10"/>
  <c r="AM113" i="10" s="1"/>
  <c r="AM94" i="10"/>
  <c r="AM98" i="10"/>
  <c r="AM97" i="10"/>
  <c r="AM96" i="10"/>
  <c r="AM100" i="10"/>
  <c r="AM104" i="10"/>
  <c r="AM99" i="10"/>
  <c r="AM117" i="10" s="1"/>
  <c r="AM103" i="10"/>
  <c r="AM102" i="10"/>
  <c r="AM108" i="10"/>
  <c r="AM107" i="10"/>
  <c r="AM105" i="10"/>
  <c r="AM106" i="10"/>
  <c r="AM101" i="10"/>
  <c r="AL109" i="10"/>
  <c r="AL112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124" i="10" l="1"/>
  <c r="AM114" i="10"/>
  <c r="AL127" i="10"/>
  <c r="AM118" i="10"/>
  <c r="AM126" i="10"/>
  <c r="AM119" i="10"/>
  <c r="AM254" i="10"/>
  <c r="AM123" i="10"/>
  <c r="AL257" i="10"/>
  <c r="AM115" i="10"/>
  <c r="AM253" i="10"/>
  <c r="AM256" i="10"/>
  <c r="AM221" i="10"/>
  <c r="AM242" i="10"/>
  <c r="AM243" i="10"/>
  <c r="AM245" i="10"/>
  <c r="AM239" i="10"/>
  <c r="AU35" i="11" a="1"/>
  <c r="AU35" i="11" s="1"/>
  <c r="AU138" i="11" a="1"/>
  <c r="AU138" i="11" s="1"/>
  <c r="W174" i="10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M244" i="10"/>
  <c r="AN208" i="10"/>
  <c r="AN220" i="10"/>
  <c r="AN225" i="10"/>
  <c r="AN207" i="10"/>
  <c r="AN218" i="10"/>
  <c r="AN214" i="10"/>
  <c r="AN233" i="10"/>
  <c r="AN226" i="10"/>
  <c r="AN224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46" i="10" s="1"/>
  <c r="AN229" i="10"/>
  <c r="AN230" i="10"/>
  <c r="AN235" i="10"/>
  <c r="AN217" i="10"/>
  <c r="AN211" i="10"/>
  <c r="AN212" i="10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B174" i="10" l="1"/>
  <c r="AN247" i="10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43" i="10"/>
  <c r="AN253" i="10"/>
  <c r="AN245" i="10"/>
  <c r="AV35" i="11" a="1"/>
  <c r="AV35" i="11" s="1"/>
  <c r="AV138" i="11" a="1"/>
  <c r="AV138" i="11" s="1"/>
  <c r="B175" i="10" s="1"/>
  <c r="AN255" i="10"/>
  <c r="AN221" i="10"/>
  <c r="AN242" i="10"/>
  <c r="AN250" i="10"/>
  <c r="AN256" i="10"/>
  <c r="AW174" i="10"/>
  <c r="AT174" i="10"/>
  <c r="L174" i="10"/>
  <c r="Q174" i="10"/>
  <c r="BF174" i="10"/>
  <c r="CO174" i="10"/>
  <c r="AC174" i="10"/>
  <c r="C174" i="10"/>
  <c r="AL174" i="10"/>
  <c r="BU174" i="10"/>
  <c r="I174" i="10"/>
  <c r="CD174" i="10"/>
  <c r="R174" i="10"/>
  <c r="BA174" i="10"/>
  <c r="CN174" i="10"/>
  <c r="CJ174" i="10"/>
  <c r="X174" i="10"/>
  <c r="BK174" i="10"/>
  <c r="CV174" i="10"/>
  <c r="AJ174" i="10"/>
  <c r="BW174" i="10"/>
  <c r="K174" i="10"/>
  <c r="AV174" i="10"/>
  <c r="BS174" i="10"/>
  <c r="G174" i="10"/>
  <c r="AN239" i="10"/>
  <c r="AN254" i="10"/>
  <c r="AN244" i="10"/>
  <c r="S174" i="10"/>
  <c r="CS174" i="10"/>
  <c r="CP174" i="10"/>
  <c r="BX174" i="10"/>
  <c r="AP174" i="10"/>
  <c r="BY174" i="10"/>
  <c r="M174" i="10"/>
  <c r="CH174" i="10"/>
  <c r="V174" i="10"/>
  <c r="BE174" i="10"/>
  <c r="AR174" i="10"/>
  <c r="BN174" i="10"/>
  <c r="CW174" i="10"/>
  <c r="AK174" i="10"/>
  <c r="AB174" i="10"/>
  <c r="BT174" i="10"/>
  <c r="H174" i="10"/>
  <c r="AU174" i="10"/>
  <c r="CF174" i="10"/>
  <c r="T174" i="10"/>
  <c r="BG174" i="10"/>
  <c r="CR174" i="10"/>
  <c r="AF174" i="10"/>
  <c r="BC17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26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24" i="10"/>
  <c r="AO225" i="10"/>
  <c r="AO237" i="10"/>
  <c r="AO232" i="10"/>
  <c r="AO235" i="10"/>
  <c r="BM174" i="10"/>
  <c r="BZ174" i="10"/>
  <c r="AG174" i="10"/>
  <c r="AD174" i="10"/>
  <c r="CL174" i="10"/>
  <c r="Z174" i="10"/>
  <c r="BI174" i="10"/>
  <c r="BH174" i="10"/>
  <c r="BR174" i="10"/>
  <c r="F174" i="10"/>
  <c r="AO174" i="10"/>
  <c r="AY174" i="10"/>
  <c r="AX174" i="10"/>
  <c r="CG174" i="10"/>
  <c r="U174" i="10"/>
  <c r="CU174" i="10"/>
  <c r="BD174" i="10"/>
  <c r="CQ174" i="10"/>
  <c r="AE174" i="10"/>
  <c r="BP174" i="10"/>
  <c r="D174" i="10"/>
  <c r="AQ174" i="10"/>
  <c r="CB174" i="10"/>
  <c r="P174" i="10"/>
  <c r="AM174" i="10"/>
  <c r="AM257" i="10"/>
  <c r="D175" i="10"/>
  <c r="T175" i="10"/>
  <c r="AJ175" i="10"/>
  <c r="AZ175" i="10"/>
  <c r="BP175" i="10"/>
  <c r="CF175" i="10"/>
  <c r="CV175" i="10"/>
  <c r="M175" i="10"/>
  <c r="AC175" i="10"/>
  <c r="AS175" i="10"/>
  <c r="BI175" i="10"/>
  <c r="BY175" i="10"/>
  <c r="CO175" i="10"/>
  <c r="H175" i="10"/>
  <c r="X175" i="10"/>
  <c r="AN175" i="10"/>
  <c r="BD175" i="10"/>
  <c r="BT175" i="10"/>
  <c r="CJ175" i="10"/>
  <c r="Q175" i="10"/>
  <c r="AG175" i="10"/>
  <c r="AW175" i="10"/>
  <c r="BM175" i="10"/>
  <c r="CC175" i="10"/>
  <c r="CS175" i="10"/>
  <c r="L175" i="10"/>
  <c r="AB175" i="10"/>
  <c r="AR175" i="10"/>
  <c r="BH175" i="10"/>
  <c r="BX175" i="10"/>
  <c r="CN175" i="10"/>
  <c r="E175" i="10"/>
  <c r="U175" i="10"/>
  <c r="AK175" i="10"/>
  <c r="BA175" i="10"/>
  <c r="BQ175" i="10"/>
  <c r="CG175" i="10"/>
  <c r="CW175" i="10"/>
  <c r="BL175" i="10"/>
  <c r="BE175" i="10"/>
  <c r="R175" i="10"/>
  <c r="AH175" i="10"/>
  <c r="AX175" i="10"/>
  <c r="BN175" i="10"/>
  <c r="CD175" i="10"/>
  <c r="CT175" i="10"/>
  <c r="O175" i="10"/>
  <c r="AE175" i="10"/>
  <c r="AU175" i="10"/>
  <c r="BK175" i="10"/>
  <c r="CA175" i="10"/>
  <c r="CQ175" i="10"/>
  <c r="P175" i="10"/>
  <c r="CB175" i="10"/>
  <c r="I175" i="10"/>
  <c r="BU175" i="10"/>
  <c r="F175" i="10"/>
  <c r="V175" i="10"/>
  <c r="AL175" i="10"/>
  <c r="BB175" i="10"/>
  <c r="BR175" i="10"/>
  <c r="CH175" i="10"/>
  <c r="C175" i="10"/>
  <c r="S175" i="10"/>
  <c r="AI175" i="10"/>
  <c r="AY175" i="10"/>
  <c r="BO175" i="10"/>
  <c r="CE175" i="10"/>
  <c r="CU175" i="10"/>
  <c r="AF175" i="10"/>
  <c r="CR175" i="10"/>
  <c r="Y175" i="10"/>
  <c r="CK175" i="10"/>
  <c r="J175" i="10"/>
  <c r="Z175" i="10"/>
  <c r="AP175" i="10"/>
  <c r="BF175" i="10"/>
  <c r="BV175" i="10"/>
  <c r="CL175" i="10"/>
  <c r="G175" i="10"/>
  <c r="W175" i="10"/>
  <c r="AM175" i="10"/>
  <c r="BC175" i="10"/>
  <c r="BS175" i="10"/>
  <c r="CI175" i="10"/>
  <c r="AV175" i="10"/>
  <c r="AT175" i="10"/>
  <c r="BG175" i="10"/>
  <c r="CP175" i="10"/>
  <c r="AO175" i="10"/>
  <c r="BJ175" i="10"/>
  <c r="K175" i="10"/>
  <c r="BW175" i="10"/>
  <c r="AD175" i="10"/>
  <c r="N175" i="10"/>
  <c r="BZ175" i="10"/>
  <c r="AA175" i="10"/>
  <c r="CM175" i="10"/>
  <c r="AQ175" i="10"/>
  <c r="BJ174" i="10"/>
  <c r="CE174" i="10"/>
  <c r="N174" i="10"/>
  <c r="CC174" i="10"/>
  <c r="BV174" i="10"/>
  <c r="J174" i="10"/>
  <c r="AS174" i="10"/>
  <c r="BO174" i="10"/>
  <c r="BB174" i="10"/>
  <c r="CK174" i="10"/>
  <c r="Y174" i="10"/>
  <c r="CT174" i="10"/>
  <c r="AH174" i="10"/>
  <c r="BQ174" i="10"/>
  <c r="E174" i="10"/>
  <c r="AI174" i="10"/>
  <c r="AN174" i="10"/>
  <c r="CA174" i="10"/>
  <c r="O174" i="10"/>
  <c r="AZ174" i="10"/>
  <c r="CM174" i="10"/>
  <c r="AA174" i="10"/>
  <c r="BL174" i="10"/>
  <c r="CI174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N112" i="10"/>
  <c r="A176" i="10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24" i="10"/>
  <c r="AP219" i="10"/>
  <c r="AP218" i="10"/>
  <c r="AP232" i="10"/>
  <c r="AP214" i="10"/>
  <c r="AP234" i="10"/>
  <c r="AP215" i="10"/>
  <c r="AP220" i="10"/>
  <c r="AP228" i="10"/>
  <c r="AP210" i="10"/>
  <c r="AP226" i="10"/>
  <c r="AP227" i="10"/>
  <c r="AP237" i="10"/>
  <c r="AP236" i="10"/>
  <c r="AP231" i="10"/>
  <c r="AP208" i="10"/>
  <c r="AP230" i="10"/>
  <c r="AP213" i="10"/>
  <c r="AP206" i="10"/>
  <c r="AP225" i="10"/>
  <c r="AP212" i="10"/>
  <c r="AP235" i="10"/>
  <c r="AP238" i="10"/>
  <c r="AP207" i="10"/>
  <c r="AP243" i="10" s="1"/>
  <c r="AP217" i="10"/>
  <c r="AP233" i="10"/>
  <c r="AP209" i="10"/>
  <c r="AP216" i="10"/>
  <c r="AP229" i="10"/>
  <c r="AP211" i="10"/>
  <c r="AO239" i="10"/>
  <c r="AO253" i="10"/>
  <c r="AO255" i="10"/>
  <c r="AO249" i="10"/>
  <c r="AW35" i="11" a="1"/>
  <c r="AW35" i="11" s="1"/>
  <c r="AW138" i="11" a="1"/>
  <c r="AW138" i="11" s="1"/>
  <c r="J176" i="10" s="1"/>
  <c r="AO245" i="10"/>
  <c r="AO243" i="10"/>
  <c r="AO244" i="10"/>
  <c r="AO242" i="10"/>
  <c r="AO221" i="10"/>
  <c r="AN257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/>
  <c r="B176" i="10" l="1"/>
  <c r="T176" i="10"/>
  <c r="AP245" i="10"/>
  <c r="BE176" i="10"/>
  <c r="AP249" i="10"/>
  <c r="AP244" i="10"/>
  <c r="AP253" i="10"/>
  <c r="AP252" i="10"/>
  <c r="AP248" i="10"/>
  <c r="AP247" i="10"/>
  <c r="AP246" i="10"/>
  <c r="AP250" i="10"/>
  <c r="BY176" i="10"/>
  <c r="CV176" i="10"/>
  <c r="CK176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24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26" i="10"/>
  <c r="AQ225" i="10"/>
  <c r="AQ215" i="10"/>
  <c r="AQ235" i="10"/>
  <c r="AQ217" i="10"/>
  <c r="AX35" i="11" a="1"/>
  <c r="AX35" i="11" s="1"/>
  <c r="AX138" i="11" a="1"/>
  <c r="AX138" i="11" s="1"/>
  <c r="B177" i="10" s="1"/>
  <c r="AO257" i="10"/>
  <c r="AU176" i="10"/>
  <c r="AN176" i="10"/>
  <c r="AG176" i="10"/>
  <c r="BN176" i="10"/>
  <c r="CF176" i="10"/>
  <c r="CW176" i="10"/>
  <c r="AI176" i="10"/>
  <c r="S176" i="10"/>
  <c r="AF176" i="10"/>
  <c r="BH176" i="10"/>
  <c r="CC176" i="10"/>
  <c r="CJ176" i="10"/>
  <c r="BS176" i="10"/>
  <c r="AE176" i="10"/>
  <c r="BJ176" i="10"/>
  <c r="G176" i="10"/>
  <c r="AV176" i="10"/>
  <c r="BG176" i="10"/>
  <c r="BV176" i="10"/>
  <c r="C176" i="10"/>
  <c r="AQ209" i="10" s="1"/>
  <c r="BB176" i="10"/>
  <c r="AC176" i="10"/>
  <c r="I176" i="10"/>
  <c r="E176" i="10"/>
  <c r="Q176" i="10"/>
  <c r="AP242" i="10"/>
  <c r="AP221" i="10"/>
  <c r="AP251" i="10"/>
  <c r="AP254" i="10"/>
  <c r="C177" i="10"/>
  <c r="S177" i="10"/>
  <c r="AI177" i="10"/>
  <c r="AY177" i="10"/>
  <c r="BO177" i="10"/>
  <c r="CE177" i="10"/>
  <c r="CU177" i="10"/>
  <c r="G177" i="10"/>
  <c r="W177" i="10"/>
  <c r="AM177" i="10"/>
  <c r="BC177" i="10"/>
  <c r="BS177" i="10"/>
  <c r="CI177" i="10"/>
  <c r="H177" i="10"/>
  <c r="X177" i="10"/>
  <c r="AN177" i="10"/>
  <c r="BD177" i="10"/>
  <c r="BT177" i="10"/>
  <c r="CJ177" i="10"/>
  <c r="M177" i="10"/>
  <c r="K177" i="10"/>
  <c r="AA177" i="10"/>
  <c r="AQ177" i="10"/>
  <c r="BG177" i="10"/>
  <c r="BW177" i="10"/>
  <c r="CM177" i="10"/>
  <c r="BK177" i="10"/>
  <c r="P177" i="10"/>
  <c r="AJ177" i="10"/>
  <c r="BH177" i="10"/>
  <c r="CB177" i="10"/>
  <c r="CV177" i="10"/>
  <c r="I177" i="10"/>
  <c r="AC177" i="10"/>
  <c r="AS177" i="10"/>
  <c r="BI177" i="10"/>
  <c r="BY177" i="10"/>
  <c r="CO177" i="10"/>
  <c r="N177" i="10"/>
  <c r="AD177" i="10"/>
  <c r="AT177" i="10"/>
  <c r="BJ177" i="10"/>
  <c r="BZ177" i="10"/>
  <c r="CP177" i="10"/>
  <c r="AU177" i="10"/>
  <c r="AF177" i="10"/>
  <c r="CR177" i="10"/>
  <c r="E177" i="10"/>
  <c r="BE177" i="10"/>
  <c r="J177" i="10"/>
  <c r="Z177" i="10"/>
  <c r="BV177" i="10"/>
  <c r="O177" i="10"/>
  <c r="CA177" i="10"/>
  <c r="T177" i="10"/>
  <c r="AR177" i="10"/>
  <c r="BL177" i="10"/>
  <c r="CF177" i="10"/>
  <c r="Q177" i="10"/>
  <c r="AG177" i="10"/>
  <c r="AW177" i="10"/>
  <c r="BM177" i="10"/>
  <c r="CC177" i="10"/>
  <c r="CS177" i="10"/>
  <c r="R177" i="10"/>
  <c r="AH177" i="10"/>
  <c r="AX177" i="10"/>
  <c r="BN177" i="10"/>
  <c r="CD177" i="10"/>
  <c r="CT177" i="10"/>
  <c r="L177" i="10"/>
  <c r="BX177" i="10"/>
  <c r="AO177" i="10"/>
  <c r="CK177" i="10"/>
  <c r="AP177" i="10"/>
  <c r="CL177" i="10"/>
  <c r="AE177" i="10"/>
  <c r="CQ177" i="10"/>
  <c r="D177" i="10"/>
  <c r="AB177" i="10"/>
  <c r="AV177" i="10"/>
  <c r="BP177" i="10"/>
  <c r="CN177" i="10"/>
  <c r="U177" i="10"/>
  <c r="AK177" i="10"/>
  <c r="BA177" i="10"/>
  <c r="BQ177" i="10"/>
  <c r="CG177" i="10"/>
  <c r="CW177" i="10"/>
  <c r="F177" i="10"/>
  <c r="V177" i="10"/>
  <c r="AL177" i="10"/>
  <c r="BB177" i="10"/>
  <c r="BR177" i="10"/>
  <c r="CH177" i="10"/>
  <c r="AZ177" i="10"/>
  <c r="Y177" i="10"/>
  <c r="BU177" i="10"/>
  <c r="BF177" i="10"/>
  <c r="CE176" i="10"/>
  <c r="F176" i="10"/>
  <c r="AM176" i="10"/>
  <c r="CG176" i="10"/>
  <c r="CN176" i="10"/>
  <c r="CU176" i="10"/>
  <c r="AX176" i="10"/>
  <c r="CI176" i="10"/>
  <c r="BM176" i="10"/>
  <c r="BP176" i="10"/>
  <c r="AY176" i="10"/>
  <c r="K176" i="10"/>
  <c r="AT176" i="10"/>
  <c r="CR176" i="10"/>
  <c r="AA176" i="10"/>
  <c r="AQ176" i="10"/>
  <c r="BF176" i="10"/>
  <c r="AL176" i="10"/>
  <c r="AJ176" i="10"/>
  <c r="AH176" i="10"/>
  <c r="AD176" i="10"/>
  <c r="AP176" i="10"/>
  <c r="AP255" i="10"/>
  <c r="BU176" i="10"/>
  <c r="BX176" i="10"/>
  <c r="BK176" i="10"/>
  <c r="CO176" i="10"/>
  <c r="BO176" i="10"/>
  <c r="BQ176" i="10"/>
  <c r="BT176" i="10"/>
  <c r="CA176" i="10"/>
  <c r="M176" i="10"/>
  <c r="H176" i="10"/>
  <c r="AW176" i="10"/>
  <c r="AR176" i="10"/>
  <c r="X176" i="10"/>
  <c r="CP176" i="10"/>
  <c r="W176" i="10"/>
  <c r="CB176" i="10"/>
  <c r="CM176" i="10"/>
  <c r="P176" i="10"/>
  <c r="AO176" i="10"/>
  <c r="CH176" i="10"/>
  <c r="L176" i="10"/>
  <c r="R176" i="10"/>
  <c r="N176" i="10"/>
  <c r="Z176" i="10"/>
  <c r="AP239" i="10"/>
  <c r="BD176" i="10"/>
  <c r="AK176" i="10"/>
  <c r="AS176" i="10"/>
  <c r="CD176" i="10"/>
  <c r="BA176" i="10"/>
  <c r="AZ176" i="10"/>
  <c r="BC176" i="10"/>
  <c r="BI176" i="10"/>
  <c r="CS176" i="10"/>
  <c r="AB176" i="10"/>
  <c r="CQ176" i="10"/>
  <c r="CT176" i="10"/>
  <c r="BZ176" i="10"/>
  <c r="D176" i="10"/>
  <c r="BL176" i="10"/>
  <c r="BW176" i="10"/>
  <c r="CL176" i="10"/>
  <c r="O176" i="10"/>
  <c r="BR176" i="10"/>
  <c r="V176" i="10"/>
  <c r="Y176" i="10"/>
  <c r="U176" i="10"/>
  <c r="AP256" i="10"/>
  <c r="AQ79" i="10"/>
  <c r="AQ80" i="10"/>
  <c r="AQ95" i="10"/>
  <c r="AQ94" i="10"/>
  <c r="AQ98" i="10"/>
  <c r="AQ97" i="10"/>
  <c r="AQ96" i="10"/>
  <c r="AQ100" i="10"/>
  <c r="AQ118" i="10" s="1"/>
  <c r="AQ104" i="10"/>
  <c r="AQ103" i="10"/>
  <c r="AQ121" i="10" s="1"/>
  <c r="AQ102" i="10"/>
  <c r="AQ99" i="10"/>
  <c r="AQ117" i="10" s="1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AQ210" i="10" l="1"/>
  <c r="AQ246" i="10" s="1"/>
  <c r="B178" i="10"/>
  <c r="AQ115" i="10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P257" i="10"/>
  <c r="AQ239" i="10"/>
  <c r="AR206" i="10"/>
  <c r="AR230" i="10"/>
  <c r="AR212" i="10"/>
  <c r="AR236" i="10"/>
  <c r="AR216" i="10"/>
  <c r="AR208" i="10"/>
  <c r="AR225" i="10"/>
  <c r="AR207" i="10"/>
  <c r="AR218" i="10"/>
  <c r="AR214" i="10"/>
  <c r="AR215" i="10"/>
  <c r="AR238" i="10"/>
  <c r="AR210" i="10"/>
  <c r="AR226" i="10"/>
  <c r="AR231" i="10"/>
  <c r="AR220" i="10"/>
  <c r="AR235" i="10"/>
  <c r="AR224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53" i="10" s="1"/>
  <c r="AR211" i="10"/>
  <c r="AR247" i="10" s="1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4" i="10"/>
  <c r="AQ247" i="10"/>
  <c r="AQ248" i="10"/>
  <c r="AQ255" i="10"/>
  <c r="AQ242" i="10"/>
  <c r="AQ221" i="10"/>
  <c r="P178" i="10"/>
  <c r="AF178" i="10"/>
  <c r="AV178" i="10"/>
  <c r="BL178" i="10"/>
  <c r="CB178" i="10"/>
  <c r="CR178" i="10"/>
  <c r="D178" i="10"/>
  <c r="T178" i="10"/>
  <c r="AJ178" i="10"/>
  <c r="AZ178" i="10"/>
  <c r="BP178" i="10"/>
  <c r="CF178" i="10"/>
  <c r="CV178" i="10"/>
  <c r="E178" i="10"/>
  <c r="U178" i="10"/>
  <c r="AK178" i="10"/>
  <c r="BA178" i="10"/>
  <c r="BQ178" i="10"/>
  <c r="CG178" i="10"/>
  <c r="CW178" i="10"/>
  <c r="H178" i="10"/>
  <c r="X178" i="10"/>
  <c r="AN178" i="10"/>
  <c r="BD178" i="10"/>
  <c r="BT178" i="10"/>
  <c r="CJ178" i="10"/>
  <c r="AB178" i="10"/>
  <c r="CN178" i="10"/>
  <c r="Y178" i="10"/>
  <c r="AS178" i="10"/>
  <c r="BM178" i="10"/>
  <c r="CK178" i="10"/>
  <c r="J178" i="10"/>
  <c r="Z178" i="10"/>
  <c r="AP178" i="10"/>
  <c r="BF178" i="10"/>
  <c r="BV178" i="10"/>
  <c r="CL178" i="10"/>
  <c r="K178" i="10"/>
  <c r="AA178" i="10"/>
  <c r="AQ178" i="10"/>
  <c r="BG178" i="10"/>
  <c r="BW178" i="10"/>
  <c r="CM178" i="10"/>
  <c r="CE178" i="10"/>
  <c r="CC178" i="10"/>
  <c r="F178" i="10"/>
  <c r="AL178" i="10"/>
  <c r="CH178" i="10"/>
  <c r="W178" i="10"/>
  <c r="BS178" i="10"/>
  <c r="AR178" i="10"/>
  <c r="I178" i="10"/>
  <c r="AC178" i="10"/>
  <c r="AW178" i="10"/>
  <c r="BU178" i="10"/>
  <c r="CO178" i="10"/>
  <c r="N178" i="10"/>
  <c r="AD178" i="10"/>
  <c r="AT178" i="10"/>
  <c r="BJ178" i="10"/>
  <c r="BZ178" i="10"/>
  <c r="CP178" i="10"/>
  <c r="O178" i="10"/>
  <c r="AE178" i="10"/>
  <c r="AU178" i="10"/>
  <c r="BK178" i="10"/>
  <c r="CA178" i="10"/>
  <c r="CQ178" i="10"/>
  <c r="AI178" i="10"/>
  <c r="BO178" i="10"/>
  <c r="CU178" i="10"/>
  <c r="L178" i="10"/>
  <c r="AO178" i="10"/>
  <c r="V178" i="10"/>
  <c r="BR178" i="10"/>
  <c r="AM178" i="10"/>
  <c r="BC178" i="10"/>
  <c r="BH178" i="10"/>
  <c r="M178" i="10"/>
  <c r="AG178" i="10"/>
  <c r="BE178" i="10"/>
  <c r="BY178" i="10"/>
  <c r="CS178" i="10"/>
  <c r="R178" i="10"/>
  <c r="AH178" i="10"/>
  <c r="AX178" i="10"/>
  <c r="BN178" i="10"/>
  <c r="CD178" i="10"/>
  <c r="CT178" i="10"/>
  <c r="C178" i="10"/>
  <c r="S178" i="10"/>
  <c r="AY178" i="10"/>
  <c r="BX178" i="10"/>
  <c r="Q178" i="10"/>
  <c r="BI178" i="10"/>
  <c r="BB178" i="10"/>
  <c r="G178" i="10"/>
  <c r="CI178" i="10"/>
  <c r="AQ243" i="10"/>
  <c r="AQ249" i="10"/>
  <c r="AR96" i="10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AQ91" i="10"/>
  <c r="AQ112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117" i="10" l="1"/>
  <c r="AR126" i="10"/>
  <c r="AR118" i="10"/>
  <c r="AR255" i="10"/>
  <c r="AR256" i="10"/>
  <c r="AR124" i="10"/>
  <c r="AR125" i="10"/>
  <c r="AR254" i="10"/>
  <c r="AR245" i="10"/>
  <c r="AR248" i="10"/>
  <c r="AR243" i="10"/>
  <c r="AZ35" i="11" a="1"/>
  <c r="AZ35" i="11" s="1"/>
  <c r="AZ138" i="11" a="1"/>
  <c r="AZ138" i="11" s="1"/>
  <c r="BI179" i="10" s="1"/>
  <c r="AR251" i="10"/>
  <c r="AR239" i="10"/>
  <c r="AR250" i="10"/>
  <c r="AR244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4" i="10"/>
  <c r="AS209" i="10"/>
  <c r="AS227" i="10"/>
  <c r="AS225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26" i="10"/>
  <c r="AS208" i="10"/>
  <c r="AS206" i="10"/>
  <c r="AS230" i="10"/>
  <c r="AS218" i="10"/>
  <c r="AS214" i="10"/>
  <c r="AS235" i="10"/>
  <c r="AS213" i="10"/>
  <c r="AS215" i="10"/>
  <c r="AS251" i="10" s="1"/>
  <c r="AS238" i="10"/>
  <c r="AS211" i="10"/>
  <c r="AS220" i="10"/>
  <c r="AS217" i="10"/>
  <c r="AS229" i="10"/>
  <c r="AS207" i="10"/>
  <c r="AQ257" i="10"/>
  <c r="AR246" i="10"/>
  <c r="AR252" i="10"/>
  <c r="AR24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179" i="10" l="1"/>
  <c r="AS250" i="10"/>
  <c r="AS249" i="10"/>
  <c r="AS243" i="10"/>
  <c r="AS254" i="10"/>
  <c r="AS253" i="10"/>
  <c r="AS252" i="10"/>
  <c r="AS255" i="10"/>
  <c r="AS256" i="10"/>
  <c r="AS244" i="10"/>
  <c r="AS248" i="10"/>
  <c r="AS239" i="10"/>
  <c r="AJ179" i="10"/>
  <c r="CW179" i="10"/>
  <c r="CA179" i="10"/>
  <c r="O179" i="10"/>
  <c r="V179" i="10"/>
  <c r="BP179" i="10"/>
  <c r="CL179" i="10"/>
  <c r="CR179" i="10"/>
  <c r="BH179" i="10"/>
  <c r="CM179" i="10"/>
  <c r="AA179" i="10"/>
  <c r="AL179" i="10"/>
  <c r="CF179" i="10"/>
  <c r="AY179" i="10"/>
  <c r="AF179" i="10"/>
  <c r="AN179" i="10"/>
  <c r="BS179" i="10"/>
  <c r="G179" i="10"/>
  <c r="AD179" i="10"/>
  <c r="BQ179" i="10"/>
  <c r="E179" i="10"/>
  <c r="AX179" i="10"/>
  <c r="CC179" i="10"/>
  <c r="Q179" i="10"/>
  <c r="AS179" i="10"/>
  <c r="AT206" i="10"/>
  <c r="AT207" i="10"/>
  <c r="AT225" i="10"/>
  <c r="AT212" i="10"/>
  <c r="AT216" i="10"/>
  <c r="AT233" i="10"/>
  <c r="AT238" i="10"/>
  <c r="AT235" i="10"/>
  <c r="AT224" i="10"/>
  <c r="AT219" i="10"/>
  <c r="AT218" i="10"/>
  <c r="AT232" i="10"/>
  <c r="AT214" i="10"/>
  <c r="AT234" i="10"/>
  <c r="AT226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A35" i="11" a="1"/>
  <c r="BA35" i="11" s="1"/>
  <c r="BA138" i="11" a="1"/>
  <c r="BA138" i="11" s="1"/>
  <c r="B180" i="10" s="1"/>
  <c r="CE179" i="10"/>
  <c r="BL179" i="10"/>
  <c r="BK179" i="10"/>
  <c r="CH179" i="10"/>
  <c r="CK179" i="10"/>
  <c r="D179" i="10"/>
  <c r="BR179" i="10"/>
  <c r="AV179" i="10"/>
  <c r="AR179" i="10"/>
  <c r="BW179" i="10"/>
  <c r="K179" i="10"/>
  <c r="N179" i="10"/>
  <c r="AZ179" i="10"/>
  <c r="S179" i="10"/>
  <c r="CJ179" i="10"/>
  <c r="X179" i="10"/>
  <c r="BC179" i="10"/>
  <c r="CP179" i="10"/>
  <c r="J179" i="10"/>
  <c r="BA179" i="10"/>
  <c r="CT179" i="10"/>
  <c r="AH179" i="10"/>
  <c r="BM179" i="10"/>
  <c r="CO179" i="10"/>
  <c r="AC179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C179" i="10"/>
  <c r="AT209" i="10" s="1"/>
  <c r="P179" i="10"/>
  <c r="AU179" i="10"/>
  <c r="BJ179" i="10"/>
  <c r="Y179" i="10"/>
  <c r="BO179" i="10"/>
  <c r="F179" i="10"/>
  <c r="CN179" i="10"/>
  <c r="AB179" i="10"/>
  <c r="BG179" i="10"/>
  <c r="BZ179" i="10"/>
  <c r="BU179" i="10"/>
  <c r="T179" i="10"/>
  <c r="AT179" i="10"/>
  <c r="BT179" i="10"/>
  <c r="H179" i="10"/>
  <c r="AM179" i="10"/>
  <c r="BV179" i="10"/>
  <c r="BE179" i="10"/>
  <c r="AK179" i="10"/>
  <c r="CD179" i="10"/>
  <c r="R179" i="10"/>
  <c r="AW179" i="10"/>
  <c r="BY179" i="10"/>
  <c r="M179" i="10"/>
  <c r="J180" i="10"/>
  <c r="Z180" i="10"/>
  <c r="AP180" i="10"/>
  <c r="BF180" i="10"/>
  <c r="BV180" i="10"/>
  <c r="CL180" i="10"/>
  <c r="N180" i="10"/>
  <c r="AD180" i="10"/>
  <c r="AT180" i="10"/>
  <c r="BJ180" i="10"/>
  <c r="BZ180" i="10"/>
  <c r="CP180" i="10"/>
  <c r="O180" i="10"/>
  <c r="AE180" i="10"/>
  <c r="AU180" i="10"/>
  <c r="BK180" i="10"/>
  <c r="CA180" i="10"/>
  <c r="CQ180" i="10"/>
  <c r="F180" i="10"/>
  <c r="AL180" i="10"/>
  <c r="BR180" i="10"/>
  <c r="S180" i="10"/>
  <c r="AM180" i="10"/>
  <c r="BG180" i="10"/>
  <c r="CE180" i="10"/>
  <c r="D180" i="10"/>
  <c r="T180" i="10"/>
  <c r="AJ180" i="10"/>
  <c r="AZ180" i="10"/>
  <c r="BP180" i="10"/>
  <c r="CF180" i="10"/>
  <c r="CV180" i="10"/>
  <c r="E180" i="10"/>
  <c r="U180" i="10"/>
  <c r="AK180" i="10"/>
  <c r="BA180" i="10"/>
  <c r="BQ180" i="10"/>
  <c r="CG180" i="10"/>
  <c r="CW180" i="10"/>
  <c r="AC180" i="10"/>
  <c r="BY180" i="10"/>
  <c r="K180" i="10"/>
  <c r="BW180" i="10"/>
  <c r="AV180" i="10"/>
  <c r="AW180" i="10"/>
  <c r="CC180" i="10"/>
  <c r="R180" i="10"/>
  <c r="AX180" i="10"/>
  <c r="CD180" i="10"/>
  <c r="C180" i="10"/>
  <c r="W180" i="10"/>
  <c r="AQ180" i="10"/>
  <c r="BO180" i="10"/>
  <c r="CI180" i="10"/>
  <c r="H180" i="10"/>
  <c r="X180" i="10"/>
  <c r="AN180" i="10"/>
  <c r="BD180" i="10"/>
  <c r="BT180" i="10"/>
  <c r="CJ180" i="10"/>
  <c r="I180" i="10"/>
  <c r="Y180" i="10"/>
  <c r="AO180" i="10"/>
  <c r="BE180" i="10"/>
  <c r="BU180" i="10"/>
  <c r="CK180" i="10"/>
  <c r="M180" i="10"/>
  <c r="BI180" i="10"/>
  <c r="AH180" i="10"/>
  <c r="BN180" i="10"/>
  <c r="BC180" i="10"/>
  <c r="P180" i="10"/>
  <c r="BL180" i="10"/>
  <c r="CR180" i="10"/>
  <c r="AG180" i="10"/>
  <c r="CS180" i="10"/>
  <c r="V180" i="10"/>
  <c r="BB180" i="10"/>
  <c r="CH180" i="10"/>
  <c r="G180" i="10"/>
  <c r="AA180" i="10"/>
  <c r="AY180" i="10"/>
  <c r="BS180" i="10"/>
  <c r="CM180" i="10"/>
  <c r="L180" i="10"/>
  <c r="AB180" i="10"/>
  <c r="AR180" i="10"/>
  <c r="BH180" i="10"/>
  <c r="BX180" i="10"/>
  <c r="CN180" i="10"/>
  <c r="AS180" i="10"/>
  <c r="CO180" i="10"/>
  <c r="CT180" i="10"/>
  <c r="AI180" i="10"/>
  <c r="CU180" i="10"/>
  <c r="AF180" i="10"/>
  <c r="CB180" i="10"/>
  <c r="Q180" i="10"/>
  <c r="BM180" i="10"/>
  <c r="AR257" i="10"/>
  <c r="AS247" i="10"/>
  <c r="AS242" i="10"/>
  <c r="AS221" i="10"/>
  <c r="AS246" i="10"/>
  <c r="AS245" i="10"/>
  <c r="Z179" i="10"/>
  <c r="CQ179" i="10"/>
  <c r="AE179" i="10"/>
  <c r="AP179" i="10"/>
  <c r="CV179" i="10"/>
  <c r="AI179" i="10"/>
  <c r="AO179" i="10"/>
  <c r="BX179" i="10"/>
  <c r="L179" i="10"/>
  <c r="AQ179" i="10"/>
  <c r="BF179" i="10"/>
  <c r="I179" i="10"/>
  <c r="CU179" i="10"/>
  <c r="CB179" i="10"/>
  <c r="BD179" i="10"/>
  <c r="CI179" i="10"/>
  <c r="W179" i="10"/>
  <c r="BB179" i="10"/>
  <c r="CG179" i="10"/>
  <c r="U179" i="10"/>
  <c r="BN179" i="10"/>
  <c r="CS179" i="10"/>
  <c r="AG179" i="10"/>
  <c r="AT94" i="10"/>
  <c r="AT98" i="10"/>
  <c r="AT97" i="10"/>
  <c r="AT96" i="10"/>
  <c r="AT114" i="10" s="1"/>
  <c r="AT95" i="10"/>
  <c r="AT99" i="10"/>
  <c r="AT117" i="10" s="1"/>
  <c r="AT103" i="10"/>
  <c r="AT121" i="10" s="1"/>
  <c r="AT102" i="10"/>
  <c r="AT101" i="10"/>
  <c r="AT100" i="10"/>
  <c r="AT107" i="10"/>
  <c r="AT105" i="10"/>
  <c r="AT106" i="10"/>
  <c r="AT104" i="10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112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T210" i="10" l="1"/>
  <c r="AT246" i="10" s="1"/>
  <c r="AT122" i="10"/>
  <c r="AT123" i="10"/>
  <c r="AT251" i="10"/>
  <c r="AT244" i="10"/>
  <c r="AT249" i="10"/>
  <c r="AT247" i="10"/>
  <c r="AT256" i="10"/>
  <c r="AT253" i="10"/>
  <c r="AT250" i="10"/>
  <c r="AT120" i="10"/>
  <c r="AT254" i="10"/>
  <c r="BB35" i="11" a="1"/>
  <c r="BB35" i="11" s="1"/>
  <c r="BB138" i="11" a="1"/>
  <c r="BB138" i="11" s="1"/>
  <c r="BC181" i="10" s="1"/>
  <c r="AT255" i="10"/>
  <c r="AT243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39" i="10"/>
  <c r="AT252" i="10"/>
  <c r="AT245" i="10"/>
  <c r="AU226" i="10"/>
  <c r="AU206" i="10"/>
  <c r="AU225" i="10"/>
  <c r="AU230" i="10"/>
  <c r="AU218" i="10"/>
  <c r="AU214" i="10"/>
  <c r="AU215" i="10"/>
  <c r="AU210" i="10"/>
  <c r="AU209" i="10"/>
  <c r="AU227" i="10"/>
  <c r="AU213" i="10"/>
  <c r="AU234" i="10"/>
  <c r="AU219" i="10"/>
  <c r="AU224" i="10"/>
  <c r="AU237" i="10"/>
  <c r="AU232" i="10"/>
  <c r="AU233" i="10"/>
  <c r="AU235" i="10"/>
  <c r="AU217" i="10"/>
  <c r="AU229" i="10"/>
  <c r="AU208" i="10"/>
  <c r="AU244" i="10" s="1"/>
  <c r="AU207" i="10"/>
  <c r="AU212" i="10"/>
  <c r="AU236" i="10"/>
  <c r="AU231" i="10"/>
  <c r="AU216" i="10"/>
  <c r="AU211" i="10"/>
  <c r="AU238" i="10"/>
  <c r="AU220" i="10"/>
  <c r="AU228" i="10"/>
  <c r="AS257" i="10"/>
  <c r="AT248" i="10"/>
  <c r="AT221" i="10"/>
  <c r="AT242" i="10"/>
  <c r="AU95" i="10"/>
  <c r="AU94" i="10"/>
  <c r="AU98" i="10"/>
  <c r="AU97" i="10"/>
  <c r="AU96" i="10"/>
  <c r="AU114" i="10" s="1"/>
  <c r="AU100" i="10"/>
  <c r="AU104" i="10"/>
  <c r="AU122" i="10" s="1"/>
  <c r="AU99" i="10"/>
  <c r="AU103" i="10"/>
  <c r="AU102" i="10"/>
  <c r="AU120" i="10" s="1"/>
  <c r="AU108" i="10"/>
  <c r="AU101" i="10"/>
  <c r="AU107" i="10"/>
  <c r="AU105" i="10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B181" i="10" l="1"/>
  <c r="AV226" i="10" s="1"/>
  <c r="AU119" i="10"/>
  <c r="AU248" i="10"/>
  <c r="AU252" i="10"/>
  <c r="AU256" i="10"/>
  <c r="AU247" i="10"/>
  <c r="AU113" i="10"/>
  <c r="AU123" i="10"/>
  <c r="AU121" i="10"/>
  <c r="AU117" i="10"/>
  <c r="AT257" i="10"/>
  <c r="AU243" i="10"/>
  <c r="AU118" i="10"/>
  <c r="AU253" i="10"/>
  <c r="AV224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25" i="10"/>
  <c r="AV218" i="10"/>
  <c r="AV238" i="10"/>
  <c r="AV217" i="10"/>
  <c r="AV211" i="10"/>
  <c r="AV207" i="10"/>
  <c r="AV215" i="10"/>
  <c r="AV235" i="10"/>
  <c r="AV214" i="10"/>
  <c r="AV229" i="10"/>
  <c r="AU246" i="10"/>
  <c r="CP181" i="10"/>
  <c r="BV181" i="10"/>
  <c r="BE181" i="10"/>
  <c r="CV181" i="10"/>
  <c r="P181" i="10"/>
  <c r="BJ181" i="10"/>
  <c r="BL181" i="10"/>
  <c r="Z181" i="10"/>
  <c r="BB181" i="10"/>
  <c r="CW181" i="10"/>
  <c r="AK181" i="10"/>
  <c r="BT181" i="10"/>
  <c r="CA181" i="10"/>
  <c r="AD181" i="10"/>
  <c r="CF181" i="10"/>
  <c r="CT181" i="10"/>
  <c r="AH181" i="10"/>
  <c r="BM181" i="10"/>
  <c r="CJ181" i="10"/>
  <c r="D181" i="10"/>
  <c r="C181" i="10"/>
  <c r="AV209" i="10" s="1"/>
  <c r="AR181" i="10"/>
  <c r="BW181" i="10"/>
  <c r="K181" i="10"/>
  <c r="AM181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N181" i="10"/>
  <c r="AP181" i="10"/>
  <c r="AO181" i="10"/>
  <c r="CB181" i="10"/>
  <c r="CE181" i="10"/>
  <c r="AT181" i="10"/>
  <c r="T181" i="10"/>
  <c r="J181" i="10"/>
  <c r="AL181" i="10"/>
  <c r="CG181" i="10"/>
  <c r="U181" i="10"/>
  <c r="AZ181" i="10"/>
  <c r="AU181" i="10"/>
  <c r="CO181" i="10"/>
  <c r="AN181" i="10"/>
  <c r="CD181" i="10"/>
  <c r="R181" i="10"/>
  <c r="AW181" i="10"/>
  <c r="BP181" i="10"/>
  <c r="CU181" i="10"/>
  <c r="CN181" i="10"/>
  <c r="AB181" i="10"/>
  <c r="BG181" i="10"/>
  <c r="CI181" i="10"/>
  <c r="W181" i="10"/>
  <c r="BC35" i="11" a="1"/>
  <c r="BC35" i="11" s="1"/>
  <c r="BC138" i="11" a="1"/>
  <c r="BC138" i="11" s="1"/>
  <c r="AJ182" i="10" s="1"/>
  <c r="AU239" i="10"/>
  <c r="AU250" i="10"/>
  <c r="AU242" i="10"/>
  <c r="AU221" i="10"/>
  <c r="BI181" i="10"/>
  <c r="CK181" i="10"/>
  <c r="Y181" i="10"/>
  <c r="BD181" i="10"/>
  <c r="AY181" i="10"/>
  <c r="BY181" i="10"/>
  <c r="BK181" i="10"/>
  <c r="CH181" i="10"/>
  <c r="V181" i="10"/>
  <c r="BQ181" i="10"/>
  <c r="E181" i="10"/>
  <c r="AF181" i="10"/>
  <c r="O181" i="10"/>
  <c r="AC181" i="10"/>
  <c r="AE181" i="10"/>
  <c r="BN181" i="10"/>
  <c r="CS181" i="10"/>
  <c r="AG181" i="10"/>
  <c r="AV181" i="10"/>
  <c r="BO181" i="10"/>
  <c r="BX181" i="10"/>
  <c r="L181" i="10"/>
  <c r="AQ181" i="10"/>
  <c r="BS181" i="10"/>
  <c r="G181" i="10"/>
  <c r="AU255" i="10"/>
  <c r="AU245" i="10"/>
  <c r="AU254" i="10"/>
  <c r="CQ181" i="10"/>
  <c r="BU181" i="10"/>
  <c r="I181" i="10"/>
  <c r="AJ181" i="10"/>
  <c r="S181" i="10"/>
  <c r="AS181" i="10"/>
  <c r="BF181" i="10"/>
  <c r="BR181" i="10"/>
  <c r="F181" i="10"/>
  <c r="BA181" i="10"/>
  <c r="CR181" i="10"/>
  <c r="H181" i="10"/>
  <c r="BZ181" i="10"/>
  <c r="M181" i="10"/>
  <c r="CL181" i="10"/>
  <c r="AX181" i="10"/>
  <c r="CC181" i="10"/>
  <c r="Q181" i="10"/>
  <c r="X181" i="10"/>
  <c r="AI181" i="10"/>
  <c r="BH181" i="10"/>
  <c r="CM181" i="10"/>
  <c r="AA181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AV244" i="10" l="1"/>
  <c r="AV210" i="10"/>
  <c r="AV246" i="10" s="1"/>
  <c r="B182" i="10"/>
  <c r="AV250" i="10"/>
  <c r="AV251" i="10"/>
  <c r="AV255" i="10"/>
  <c r="AV243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U257" i="10"/>
  <c r="CL182" i="10"/>
  <c r="BH182" i="10"/>
  <c r="BR182" i="10"/>
  <c r="F182" i="10"/>
  <c r="U182" i="10"/>
  <c r="BW182" i="10"/>
  <c r="CO182" i="10"/>
  <c r="BC182" i="10"/>
  <c r="BO182" i="10"/>
  <c r="C182" i="10"/>
  <c r="AX182" i="10"/>
  <c r="CC182" i="10"/>
  <c r="BX182" i="10"/>
  <c r="BG182" i="10"/>
  <c r="AW182" i="10"/>
  <c r="CA182" i="10"/>
  <c r="O182" i="10"/>
  <c r="AT182" i="10"/>
  <c r="BY182" i="10"/>
  <c r="CR182" i="10"/>
  <c r="BU182" i="10"/>
  <c r="I182" i="10"/>
  <c r="AN182" i="10"/>
  <c r="CF182" i="10"/>
  <c r="T182" i="10"/>
  <c r="AV247" i="10"/>
  <c r="J182" i="10"/>
  <c r="CI182" i="10"/>
  <c r="BB182" i="10"/>
  <c r="CG182" i="10"/>
  <c r="CB182" i="10"/>
  <c r="AA182" i="10"/>
  <c r="AC182" i="10"/>
  <c r="G182" i="10"/>
  <c r="AY182" i="10"/>
  <c r="CT182" i="10"/>
  <c r="AH182" i="10"/>
  <c r="BI182" i="10"/>
  <c r="AR182" i="10"/>
  <c r="K182" i="10"/>
  <c r="BS182" i="10"/>
  <c r="BK182" i="10"/>
  <c r="CP182" i="10"/>
  <c r="AD182" i="10"/>
  <c r="BA182" i="10"/>
  <c r="BL182" i="10"/>
  <c r="BE182" i="10"/>
  <c r="CJ182" i="10"/>
  <c r="X182" i="10"/>
  <c r="BP182" i="10"/>
  <c r="D182" i="10"/>
  <c r="AV253" i="10"/>
  <c r="AV256" i="10"/>
  <c r="AV248" i="10"/>
  <c r="AV245" i="10"/>
  <c r="AW207" i="10"/>
  <c r="AW213" i="10"/>
  <c r="AW238" i="10"/>
  <c r="AW220" i="10"/>
  <c r="AW224" i="10"/>
  <c r="AW209" i="10"/>
  <c r="AW227" i="10"/>
  <c r="AW225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26" i="10"/>
  <c r="AW230" i="10"/>
  <c r="AW211" i="10"/>
  <c r="AW217" i="10"/>
  <c r="BD35" i="11" a="1"/>
  <c r="BD35" i="11" s="1"/>
  <c r="BD138" i="11" a="1"/>
  <c r="BD138" i="11" s="1"/>
  <c r="AW183" i="10" s="1"/>
  <c r="N183" i="10"/>
  <c r="Z183" i="10"/>
  <c r="CA183" i="10"/>
  <c r="CI183" i="10"/>
  <c r="AX183" i="10"/>
  <c r="CE183" i="10"/>
  <c r="BT183" i="10"/>
  <c r="BQ182" i="10"/>
  <c r="AM182" i="10"/>
  <c r="AL182" i="10"/>
  <c r="BM182" i="10"/>
  <c r="AV182" i="10"/>
  <c r="BF182" i="10"/>
  <c r="CN182" i="10"/>
  <c r="CU182" i="10"/>
  <c r="AI182" i="10"/>
  <c r="CD182" i="10"/>
  <c r="R182" i="10"/>
  <c r="AK182" i="10"/>
  <c r="L182" i="10"/>
  <c r="BV182" i="10"/>
  <c r="W182" i="10"/>
  <c r="AU182" i="10"/>
  <c r="BZ182" i="10"/>
  <c r="N182" i="10"/>
  <c r="AG182" i="10"/>
  <c r="AF182" i="10"/>
  <c r="AO182" i="10"/>
  <c r="BT182" i="10"/>
  <c r="H182" i="10"/>
  <c r="AZ182" i="10"/>
  <c r="AV239" i="10"/>
  <c r="AQ182" i="10"/>
  <c r="E182" i="10"/>
  <c r="CH182" i="10"/>
  <c r="V182" i="10"/>
  <c r="AS182" i="10"/>
  <c r="P182" i="10"/>
  <c r="Z182" i="10"/>
  <c r="AB182" i="10"/>
  <c r="CE182" i="10"/>
  <c r="S182" i="10"/>
  <c r="BN182" i="10"/>
  <c r="CW182" i="10"/>
  <c r="Q182" i="10"/>
  <c r="CM182" i="10"/>
  <c r="AP182" i="10"/>
  <c r="CQ182" i="10"/>
  <c r="AE182" i="10"/>
  <c r="BJ182" i="10"/>
  <c r="CS182" i="10"/>
  <c r="M182" i="10"/>
  <c r="CK182" i="10"/>
  <c r="Y182" i="10"/>
  <c r="BD182" i="10"/>
  <c r="CV182" i="10"/>
  <c r="AV242" i="10"/>
  <c r="AV221" i="10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V112" i="10"/>
  <c r="A184" i="10"/>
  <c r="E55" i="7"/>
  <c r="I54" i="13"/>
  <c r="A54" i="10"/>
  <c r="K183" i="10" l="1"/>
  <c r="CH183" i="10"/>
  <c r="D183" i="10"/>
  <c r="AR183" i="10"/>
  <c r="AH183" i="10"/>
  <c r="S183" i="10"/>
  <c r="AS183" i="10"/>
  <c r="BF183" i="10"/>
  <c r="AV183" i="10"/>
  <c r="O183" i="10"/>
  <c r="CJ183" i="10"/>
  <c r="T183" i="10"/>
  <c r="BW183" i="10"/>
  <c r="R183" i="10"/>
  <c r="V183" i="10"/>
  <c r="BP183" i="10"/>
  <c r="CP183" i="10"/>
  <c r="BD183" i="10"/>
  <c r="CF183" i="10"/>
  <c r="P183" i="10"/>
  <c r="BN183" i="10"/>
  <c r="W183" i="10"/>
  <c r="BX183" i="10"/>
  <c r="AQ183" i="10"/>
  <c r="BI183" i="10"/>
  <c r="BA183" i="10"/>
  <c r="BS183" i="10"/>
  <c r="AY183" i="10"/>
  <c r="J183" i="10"/>
  <c r="G183" i="10"/>
  <c r="CB183" i="10"/>
  <c r="AU183" i="10"/>
  <c r="AO183" i="10"/>
  <c r="CV183" i="10"/>
  <c r="L183" i="10"/>
  <c r="BJ183" i="10"/>
  <c r="BB183" i="10"/>
  <c r="AW254" i="10"/>
  <c r="E183" i="10"/>
  <c r="CW183" i="10"/>
  <c r="B183" i="10"/>
  <c r="X183" i="10"/>
  <c r="CK183" i="10"/>
  <c r="BO183" i="10"/>
  <c r="C183" i="10"/>
  <c r="AD183" i="10"/>
  <c r="M183" i="10"/>
  <c r="BC183" i="10"/>
  <c r="Y183" i="10"/>
  <c r="CR183" i="10"/>
  <c r="AF183" i="10"/>
  <c r="BK183" i="10"/>
  <c r="CL183" i="10"/>
  <c r="BU183" i="10"/>
  <c r="AN183" i="10"/>
  <c r="BE183" i="10"/>
  <c r="CN183" i="10"/>
  <c r="AB183" i="10"/>
  <c r="BG183" i="10"/>
  <c r="CD183" i="10"/>
  <c r="CO183" i="10"/>
  <c r="BR183" i="10"/>
  <c r="F183" i="10"/>
  <c r="U183" i="10"/>
  <c r="AM183" i="10"/>
  <c r="CU183" i="10"/>
  <c r="AI183" i="10"/>
  <c r="BV183" i="10"/>
  <c r="BY183" i="10"/>
  <c r="H183" i="10"/>
  <c r="CT183" i="10"/>
  <c r="AJ183" i="10"/>
  <c r="BL183" i="10"/>
  <c r="CQ183" i="10"/>
  <c r="AE183" i="10"/>
  <c r="AT183" i="10"/>
  <c r="I183" i="10"/>
  <c r="BZ183" i="10"/>
  <c r="AZ183" i="10"/>
  <c r="BH183" i="10"/>
  <c r="CM183" i="10"/>
  <c r="AA183" i="10"/>
  <c r="AP183" i="10"/>
  <c r="AC183" i="10"/>
  <c r="AL183" i="10"/>
  <c r="CG183" i="10"/>
  <c r="AG183" i="10"/>
  <c r="BQ183" i="10"/>
  <c r="CS183" i="10"/>
  <c r="Q183" i="10"/>
  <c r="AV257" i="10"/>
  <c r="AW247" i="10"/>
  <c r="AW250" i="10"/>
  <c r="AW253" i="10"/>
  <c r="AW244" i="10"/>
  <c r="AW245" i="10"/>
  <c r="AW256" i="10"/>
  <c r="AK183" i="10"/>
  <c r="CC183" i="10"/>
  <c r="BM183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25" i="10"/>
  <c r="AX212" i="10"/>
  <c r="AX216" i="10"/>
  <c r="AX233" i="10"/>
  <c r="AX224" i="10"/>
  <c r="AX219" i="10"/>
  <c r="AX218" i="10"/>
  <c r="AX232" i="10"/>
  <c r="AX214" i="10"/>
  <c r="AX234" i="10"/>
  <c r="AX215" i="10"/>
  <c r="AX220" i="10"/>
  <c r="AX228" i="10"/>
  <c r="AX210" i="10"/>
  <c r="AX226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BE138" i="11" a="1"/>
  <c r="BE138" i="11" s="1"/>
  <c r="AD184" i="10" s="1"/>
  <c r="AW246" i="10"/>
  <c r="AW242" i="10"/>
  <c r="AW221" i="10"/>
  <c r="AW248" i="10"/>
  <c r="AW239" i="10"/>
  <c r="AW243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Q184" i="10" l="1"/>
  <c r="B184" i="10"/>
  <c r="AX248" i="10"/>
  <c r="AX245" i="10"/>
  <c r="CW184" i="10"/>
  <c r="AX251" i="10"/>
  <c r="AX247" i="10"/>
  <c r="AX246" i="10"/>
  <c r="AX253" i="10"/>
  <c r="AX250" i="10"/>
  <c r="AZ184" i="10"/>
  <c r="CS184" i="10"/>
  <c r="BL184" i="10"/>
  <c r="CA184" i="10"/>
  <c r="BV184" i="10"/>
  <c r="AK184" i="10"/>
  <c r="T184" i="10"/>
  <c r="AG184" i="10"/>
  <c r="AS184" i="10"/>
  <c r="BX184" i="10"/>
  <c r="L184" i="10"/>
  <c r="AE184" i="10"/>
  <c r="F184" i="10"/>
  <c r="BP184" i="10"/>
  <c r="CC184" i="10"/>
  <c r="BE184" i="10"/>
  <c r="CJ184" i="10"/>
  <c r="X184" i="10"/>
  <c r="AU184" i="10"/>
  <c r="BF184" i="10"/>
  <c r="BO184" i="10"/>
  <c r="C184" i="10"/>
  <c r="AX184" i="10"/>
  <c r="BZ184" i="10"/>
  <c r="N184" i="10"/>
  <c r="AX256" i="10"/>
  <c r="AX243" i="10"/>
  <c r="AY208" i="10"/>
  <c r="AY224" i="10"/>
  <c r="AY207" i="10"/>
  <c r="AY212" i="10"/>
  <c r="AY237" i="10"/>
  <c r="AY236" i="10"/>
  <c r="AY232" i="10"/>
  <c r="AY231" i="10"/>
  <c r="AY216" i="10"/>
  <c r="AY228" i="10"/>
  <c r="AY226" i="10"/>
  <c r="AY225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K185" i="10" s="1"/>
  <c r="D184" i="10"/>
  <c r="Q184" i="10"/>
  <c r="AV184" i="10"/>
  <c r="BG184" i="10"/>
  <c r="AP184" i="10"/>
  <c r="E184" i="10"/>
  <c r="BK184" i="10"/>
  <c r="CO184" i="10"/>
  <c r="AC184" i="10"/>
  <c r="BH184" i="10"/>
  <c r="CQ184" i="10"/>
  <c r="K184" i="10"/>
  <c r="CG184" i="10"/>
  <c r="CI184" i="10"/>
  <c r="AW184" i="10"/>
  <c r="AO184" i="10"/>
  <c r="BT184" i="10"/>
  <c r="H184" i="10"/>
  <c r="AA184" i="10"/>
  <c r="Z184" i="10"/>
  <c r="AY184" i="10"/>
  <c r="CT184" i="10"/>
  <c r="AH184" i="10"/>
  <c r="BJ184" i="10"/>
  <c r="AX242" i="10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W257" i="10"/>
  <c r="CR184" i="10"/>
  <c r="AF184" i="10"/>
  <c r="AM184" i="10"/>
  <c r="J184" i="10"/>
  <c r="CF184" i="10"/>
  <c r="V184" i="10"/>
  <c r="BY184" i="10"/>
  <c r="M184" i="10"/>
  <c r="AR184" i="10"/>
  <c r="BW184" i="10"/>
  <c r="BR184" i="10"/>
  <c r="U184" i="10"/>
  <c r="W184" i="10"/>
  <c r="CK184" i="10"/>
  <c r="Y184" i="10"/>
  <c r="BD184" i="10"/>
  <c r="CM184" i="10"/>
  <c r="G184" i="10"/>
  <c r="CU184" i="10"/>
  <c r="AI184" i="10"/>
  <c r="CD184" i="10"/>
  <c r="R184" i="10"/>
  <c r="AT184" i="10"/>
  <c r="AX255" i="10"/>
  <c r="BA184" i="10"/>
  <c r="CH184" i="10"/>
  <c r="CB184" i="10"/>
  <c r="P184" i="10"/>
  <c r="O184" i="10"/>
  <c r="BQ184" i="10"/>
  <c r="AJ184" i="10"/>
  <c r="BM184" i="10"/>
  <c r="BI184" i="10"/>
  <c r="CN184" i="10"/>
  <c r="AB184" i="10"/>
  <c r="BC184" i="10"/>
  <c r="AL184" i="10"/>
  <c r="CV184" i="10"/>
  <c r="BB184" i="10"/>
  <c r="BU184" i="10"/>
  <c r="I184" i="10"/>
  <c r="AN184" i="10"/>
  <c r="BS184" i="10"/>
  <c r="CL184" i="10"/>
  <c r="CE184" i="10"/>
  <c r="S184" i="10"/>
  <c r="BN184" i="10"/>
  <c r="CP184" i="10"/>
  <c r="AX239" i="10"/>
  <c r="AX244" i="10"/>
  <c r="AY95" i="10"/>
  <c r="AY94" i="10"/>
  <c r="AY98" i="10"/>
  <c r="AY97" i="10"/>
  <c r="AY96" i="10"/>
  <c r="AY114" i="10" s="1"/>
  <c r="AY100" i="10"/>
  <c r="AY118" i="10" s="1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B185" i="10" l="1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39" i="10"/>
  <c r="H185" i="10"/>
  <c r="BY185" i="10"/>
  <c r="M185" i="10"/>
  <c r="X185" i="10"/>
  <c r="G185" i="10"/>
  <c r="AG185" i="10"/>
  <c r="CP185" i="10"/>
  <c r="BV185" i="10"/>
  <c r="J185" i="10"/>
  <c r="AO185" i="10"/>
  <c r="BH185" i="10"/>
  <c r="BO185" i="10"/>
  <c r="AX185" i="10"/>
  <c r="CN185" i="10"/>
  <c r="AD185" i="10"/>
  <c r="AL185" i="10"/>
  <c r="CG185" i="10"/>
  <c r="U185" i="10"/>
  <c r="BD185" i="10"/>
  <c r="BC185" i="10"/>
  <c r="BL185" i="10"/>
  <c r="CQ185" i="10"/>
  <c r="AE185" i="10"/>
  <c r="BG185" i="10"/>
  <c r="AX257" i="10"/>
  <c r="AY252" i="10"/>
  <c r="AY244" i="10"/>
  <c r="CD185" i="10"/>
  <c r="CE185" i="10"/>
  <c r="BI185" i="10"/>
  <c r="CJ185" i="10"/>
  <c r="D185" i="10"/>
  <c r="BN185" i="10"/>
  <c r="BT185" i="10"/>
  <c r="BJ185" i="10"/>
  <c r="BF185" i="10"/>
  <c r="CK185" i="10"/>
  <c r="Y185" i="10"/>
  <c r="AN185" i="10"/>
  <c r="AI185" i="10"/>
  <c r="AH185" i="10"/>
  <c r="AZ185" i="10"/>
  <c r="CH185" i="10"/>
  <c r="V185" i="10"/>
  <c r="BQ185" i="10"/>
  <c r="E185" i="10"/>
  <c r="AJ185" i="10"/>
  <c r="W185" i="10"/>
  <c r="AV185" i="10"/>
  <c r="CA185" i="10"/>
  <c r="O185" i="10"/>
  <c r="AQ185" i="10"/>
  <c r="BG35" i="11" a="1"/>
  <c r="BG35" i="11" s="1"/>
  <c r="BG138" i="11" a="1"/>
  <c r="BG138" i="11" s="1"/>
  <c r="AR186" i="10" s="1"/>
  <c r="AZ225" i="10"/>
  <c r="AZ207" i="10"/>
  <c r="AZ218" i="10"/>
  <c r="AZ214" i="10"/>
  <c r="AZ215" i="10"/>
  <c r="AZ238" i="10"/>
  <c r="AZ226" i="10"/>
  <c r="AZ224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56" i="10" s="1"/>
  <c r="AZ233" i="10"/>
  <c r="AZ228" i="10"/>
  <c r="AZ235" i="10"/>
  <c r="AZ229" i="10"/>
  <c r="AY221" i="10"/>
  <c r="AY242" i="10"/>
  <c r="AY248" i="10"/>
  <c r="BM185" i="10"/>
  <c r="AT185" i="10"/>
  <c r="AS185" i="10"/>
  <c r="BP185" i="10"/>
  <c r="BS185" i="10"/>
  <c r="R185" i="10"/>
  <c r="AB185" i="10"/>
  <c r="N185" i="10"/>
  <c r="AP185" i="10"/>
  <c r="BU185" i="10"/>
  <c r="I185" i="10"/>
  <c r="T185" i="10"/>
  <c r="C185" i="10"/>
  <c r="AZ210" i="10" s="1"/>
  <c r="CC185" i="10"/>
  <c r="AY185" i="10"/>
  <c r="BR185" i="10"/>
  <c r="F185" i="10"/>
  <c r="BA185" i="10"/>
  <c r="CV185" i="10"/>
  <c r="L185" i="10"/>
  <c r="CR185" i="10"/>
  <c r="AF185" i="10"/>
  <c r="BK185" i="10"/>
  <c r="CM185" i="10"/>
  <c r="AA185" i="10"/>
  <c r="AY243" i="10"/>
  <c r="Q185" i="10"/>
  <c r="CO185" i="10"/>
  <c r="AC185" i="10"/>
  <c r="AR185" i="10"/>
  <c r="AM185" i="10"/>
  <c r="CS185" i="10"/>
  <c r="S185" i="10"/>
  <c r="CL185" i="10"/>
  <c r="Z185" i="10"/>
  <c r="BE185" i="10"/>
  <c r="CF185" i="10"/>
  <c r="CU185" i="10"/>
  <c r="CT185" i="10"/>
  <c r="AW185" i="10"/>
  <c r="BZ185" i="10"/>
  <c r="BB185" i="10"/>
  <c r="CW185" i="10"/>
  <c r="AK185" i="10"/>
  <c r="BX185" i="10"/>
  <c r="CI185" i="10"/>
  <c r="CB185" i="10"/>
  <c r="P185" i="10"/>
  <c r="AU185" i="10"/>
  <c r="BW185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AZ209" i="10" l="1"/>
  <c r="AZ245" i="10" s="1"/>
  <c r="B186" i="10"/>
  <c r="AZ244" i="10"/>
  <c r="AZ255" i="10"/>
  <c r="AZ243" i="10"/>
  <c r="AZ252" i="10"/>
  <c r="AZ239" i="10"/>
  <c r="AZ251" i="10"/>
  <c r="AE186" i="10"/>
  <c r="BW186" i="10"/>
  <c r="J186" i="10"/>
  <c r="I186" i="10"/>
  <c r="BP186" i="10"/>
  <c r="CQ186" i="10"/>
  <c r="AK186" i="10"/>
  <c r="AT186" i="10"/>
  <c r="AD186" i="10"/>
  <c r="BC186" i="10"/>
  <c r="BV186" i="10"/>
  <c r="AW186" i="10"/>
  <c r="BA186" i="10"/>
  <c r="T186" i="10"/>
  <c r="N186" i="10"/>
  <c r="AF186" i="10"/>
  <c r="BZ186" i="10"/>
  <c r="BO186" i="10"/>
  <c r="C186" i="10"/>
  <c r="CS186" i="10"/>
  <c r="CV186" i="10"/>
  <c r="P186" i="10"/>
  <c r="AC186" i="10"/>
  <c r="CN186" i="10"/>
  <c r="AB186" i="10"/>
  <c r="BA78" i="10"/>
  <c r="BA88" i="10"/>
  <c r="BC88" i="10" s="1"/>
  <c r="B273" i="10" s="1"/>
  <c r="BA87" i="10"/>
  <c r="BC87" i="10" s="1"/>
  <c r="B272" i="10" s="1"/>
  <c r="BA84" i="10"/>
  <c r="BA86" i="10"/>
  <c r="BA77" i="10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Y257" i="10"/>
  <c r="AZ247" i="10"/>
  <c r="AZ250" i="10"/>
  <c r="CD186" i="10"/>
  <c r="AA186" i="10"/>
  <c r="AX186" i="10"/>
  <c r="BR186" i="10"/>
  <c r="AV186" i="10"/>
  <c r="BK186" i="10"/>
  <c r="CK186" i="10"/>
  <c r="CM186" i="10"/>
  <c r="BE186" i="10"/>
  <c r="AM186" i="10"/>
  <c r="V186" i="10"/>
  <c r="Y186" i="10"/>
  <c r="CF186" i="10"/>
  <c r="BJ186" i="10"/>
  <c r="BU186" i="10"/>
  <c r="BM186" i="10"/>
  <c r="CO186" i="10"/>
  <c r="AY186" i="10"/>
  <c r="BF186" i="10"/>
  <c r="AO186" i="10"/>
  <c r="CB186" i="10"/>
  <c r="BN186" i="10"/>
  <c r="M186" i="10"/>
  <c r="BX186" i="10"/>
  <c r="L186" i="10"/>
  <c r="AZ221" i="10"/>
  <c r="AZ242" i="10"/>
  <c r="AZ248" i="10"/>
  <c r="AZ249" i="10"/>
  <c r="AZ246" i="10"/>
  <c r="AZ254" i="10"/>
  <c r="Q186" i="10"/>
  <c r="CL186" i="10"/>
  <c r="BI186" i="10"/>
  <c r="CC186" i="10"/>
  <c r="X186" i="10"/>
  <c r="O186" i="10"/>
  <c r="AZ186" i="10"/>
  <c r="AQ186" i="10"/>
  <c r="CI186" i="10"/>
  <c r="W186" i="10"/>
  <c r="F186" i="10"/>
  <c r="E186" i="10"/>
  <c r="BL186" i="10"/>
  <c r="CA186" i="10"/>
  <c r="CH186" i="10"/>
  <c r="BG186" i="10"/>
  <c r="CU186" i="10"/>
  <c r="AI186" i="10"/>
  <c r="R186" i="10"/>
  <c r="U186" i="10"/>
  <c r="BD186" i="10"/>
  <c r="CG186" i="10"/>
  <c r="AL186" i="10"/>
  <c r="BH186" i="10"/>
  <c r="BA226" i="10"/>
  <c r="BC226" i="10" s="1"/>
  <c r="F263" i="10" s="1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24" i="10"/>
  <c r="BA206" i="10"/>
  <c r="BA227" i="10"/>
  <c r="BC227" i="10" s="1"/>
  <c r="F264" i="10" s="1"/>
  <c r="BA225" i="10"/>
  <c r="BC225" i="10" s="1"/>
  <c r="F262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Y186" i="10"/>
  <c r="CR186" i="10"/>
  <c r="Z186" i="10"/>
  <c r="AG186" i="10"/>
  <c r="CJ186" i="10"/>
  <c r="D186" i="10"/>
  <c r="AP186" i="10"/>
  <c r="H186" i="10"/>
  <c r="CP186" i="10"/>
  <c r="BS186" i="10"/>
  <c r="G186" i="10"/>
  <c r="AH186" i="10"/>
  <c r="BB186" i="10"/>
  <c r="AN186" i="10"/>
  <c r="AU186" i="10"/>
  <c r="BT186" i="10"/>
  <c r="K186" i="10"/>
  <c r="CE186" i="10"/>
  <c r="S186" i="10"/>
  <c r="CT186" i="10"/>
  <c r="CW186" i="10"/>
  <c r="AJ186" i="10"/>
  <c r="AS186" i="10"/>
  <c r="BQ186" i="10"/>
  <c r="BA97" i="10"/>
  <c r="BC97" i="10" s="1"/>
  <c r="C264" i="10" s="1"/>
  <c r="I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AZ112" i="10"/>
  <c r="AZ91" i="10"/>
  <c r="I272" i="10" l="1"/>
  <c r="C74" i="12" s="1"/>
  <c r="I268" i="10"/>
  <c r="C89" i="13" s="1"/>
  <c r="E89" i="13" s="1"/>
  <c r="I263" i="10"/>
  <c r="C65" i="12" s="1"/>
  <c r="I269" i="10"/>
  <c r="C71" i="12" s="1"/>
  <c r="I262" i="10"/>
  <c r="C83" i="13" s="1"/>
  <c r="E83" i="13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A239" i="10"/>
  <c r="BC224" i="10"/>
  <c r="F261" i="10" s="1"/>
  <c r="F276" i="10" s="1"/>
  <c r="BA244" i="10"/>
  <c r="BC244" i="10" s="1"/>
  <c r="G263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A243" i="10"/>
  <c r="BC243" i="10" s="1"/>
  <c r="G262" i="10" s="1"/>
  <c r="BC207" i="10"/>
  <c r="E262" i="10" s="1"/>
  <c r="H262" i="10" s="1"/>
  <c r="BA254" i="10"/>
  <c r="BC254" i="10" s="1"/>
  <c r="G273" i="10" s="1"/>
  <c r="BC218" i="10"/>
  <c r="E273" i="10" s="1"/>
  <c r="H273" i="10" s="1"/>
  <c r="AZ257" i="10"/>
  <c r="BA251" i="10"/>
  <c r="BC251" i="10" s="1"/>
  <c r="G270" i="10" s="1"/>
  <c r="BC215" i="10"/>
  <c r="E270" i="10" s="1"/>
  <c r="BA221" i="10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66" i="12"/>
  <c r="C85" i="13"/>
  <c r="E85" i="13" s="1"/>
  <c r="C64" i="12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C95" i="13" l="1"/>
  <c r="E95" i="13" s="1"/>
  <c r="C93" i="13"/>
  <c r="E93" i="13" s="1"/>
  <c r="C70" i="12"/>
  <c r="B64" i="12"/>
  <c r="B83" i="13"/>
  <c r="D83" i="13" s="1"/>
  <c r="H271" i="10"/>
  <c r="B73" i="12" s="1"/>
  <c r="C84" i="13"/>
  <c r="E84" i="13" s="1"/>
  <c r="C88" i="13"/>
  <c r="E88" i="13" s="1"/>
  <c r="H268" i="10"/>
  <c r="B70" i="12" s="1"/>
  <c r="C86" i="13"/>
  <c r="E86" i="13" s="1"/>
  <c r="H270" i="10"/>
  <c r="B72" i="12" s="1"/>
  <c r="H267" i="10"/>
  <c r="B69" i="12" s="1"/>
  <c r="H263" i="10"/>
  <c r="B65" i="12" s="1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BC242" i="10"/>
  <c r="G261" i="10" s="1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I261" i="10"/>
  <c r="C276" i="10"/>
  <c r="BC112" i="10"/>
  <c r="D261" i="10" s="1"/>
  <c r="D276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B84" i="13" l="1"/>
  <c r="D84" i="13" s="1"/>
  <c r="F84" i="13" s="1"/>
  <c r="B89" i="13"/>
  <c r="D89" i="13" s="1"/>
  <c r="F89" i="13" s="1"/>
  <c r="B71" i="12"/>
  <c r="B92" i="13"/>
  <c r="D92" i="13" s="1"/>
  <c r="F92" i="13" s="1"/>
  <c r="B88" i="13"/>
  <c r="D88" i="13" s="1"/>
  <c r="F88" i="13" s="1"/>
  <c r="F86" i="13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B38" i="8" s="1" a="1"/>
  <c r="B38" i="8" s="1"/>
  <c r="C63" i="12"/>
  <c r="I276" i="10"/>
  <c r="C82" i="13"/>
  <c r="E82" i="13" s="1"/>
  <c r="F82" i="13" s="1"/>
  <c r="B37" i="8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<sst xmlns="http://schemas.openxmlformats.org/spreadsheetml/2006/main" count="876" uniqueCount="230">
  <si>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</si>
  <si>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</si>
  <si>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</si>
  <si>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</si>
  <si>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</si>
  <si>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</si>
  <si>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</si>
  <si>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</si>
  <si>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</si>
  <si>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</si>
  <si>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</si>
  <si>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</si>
  <si>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</si>
  <si>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</si>
  <si>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</si>
  <si>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</si>
  <si>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</si>
  <si>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</si>
  <si>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</si>
  <si>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</si>
  <si>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</si>
  <si>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</si>
  <si>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</si>
  <si>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</si>
  <si>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</si>
  <si>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</si>
  <si>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</si>
  <si>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</si>
  <si>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</si>
  <si>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</si>
  <si>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</si>
  <si>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</si>
  <si>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</si>
  <si>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</si>
  <si>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</si>
  <si>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</si>
  <si>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</si>
  <si>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</si>
  <si>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</si>
  <si>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</si>
  <si>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</si>
  <si>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</si>
  <si>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</si>
  <si>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</si>
  <si>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</si>
  <si>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</si>
  <si>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</si>
  <si>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</si>
  <si>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</si>
  <si>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</si>
  <si>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</si>
  <si>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</si>
  <si>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</si>
  <si>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</si>
  <si>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</si>
  <si>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</si>
  <si>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</si>
  <si>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</si>
  <si>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</si>
  <si>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</si>
  <si>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</si>
  <si>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</si>
  <si>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</si>
  <si>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</si>
  <si>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</si>
  <si>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</si>
  <si>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</si>
  <si>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</si>
  <si>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</si>
  <si>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</si>
  <si>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</si>
  <si>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</si>
  <si>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</si>
  <si>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</si>
  <si>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</si>
  <si>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</si>
  <si>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</si>
  <si>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</si>
  <si>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</si>
  <si>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</si>
  <si>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</si>
  <si>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</si>
  <si>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</si>
  <si>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</si>
  <si>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</si>
  <si>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</si>
  <si>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</si>
  <si>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</si>
  <si>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</si>
  <si>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</si>
  <si>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</si>
  <si>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</si>
  <si>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</si>
  <si>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</si>
  <si>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</si>
  <si>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</si>
  <si>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</si>
  <si>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</si>
  <si>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</si>
  <si>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</si>
  <si>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</si>
  <si>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</si>
  <si>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</si>
  <si>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</si>
  <si>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</si>
  <si>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</si>
  <si>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</si>
  <si>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</si>
  <si>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</si>
  <si>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</si>
  <si>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</si>
  <si>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</si>
  <si>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</si>
  <si>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</si>
  <si>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</si>
  <si>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</si>
  <si>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</si>
  <si>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</si>
  <si>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</si>
  <si>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</si>
  <si>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</si>
  <si>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</si>
  <si>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</si>
  <si>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</si>
  <si>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</si>
  <si>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</si>
  <si>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</si>
  <si>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</si>
  <si>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</si>
  <si>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</si>
  <si>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</si>
  <si>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</si>
  <si>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</si>
  <si>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</si>
  <si>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</si>
  <si>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</si>
  <si>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</si>
  <si>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</si>
  <si>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</si>
  <si>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</si>
  <si>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</si>
  <si>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</si>
  <si>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</si>
  <si>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</si>
  <si>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</si>
  <si>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</si>
  <si>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</si>
  <si>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</si>
  <si>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</si>
  <si>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</si>
  <si>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</si>
  <si>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</si>
  <si>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</si>
  <si>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</si>
  <si>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</si>
  <si>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</si>
  <si>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</si>
  <si>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</si>
  <si>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</si>
  <si>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</si>
  <si>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</si>
  <si>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</si>
  <si>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</si>
  <si>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</si>
  <si>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</si>
  <si>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</si>
  <si>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</si>
  <si>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</si>
  <si>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</si>
  <si>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</si>
  <si>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</si>
  <si>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</si>
  <si>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</si>
  <si>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</si>
  <si>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</si>
  <si>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</si>
  <si>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</si>
  <si>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</si>
  <si>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</si>
  <si>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</si>
  <si>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</si>
  <si>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</si>
  <si>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</si>
  <si>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</si>
  <si>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</si>
  <si>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</si>
  <si>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</si>
  <si>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</si>
  <si>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</si>
  <si>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</si>
  <si>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</si>
  <si>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</si>
  <si>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</si>
  <si>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</si>
  <si>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</si>
  <si>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</si>
  <si>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</si>
  <si>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</si>
  <si>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</si>
  <si>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</si>
  <si>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</si>
  <si>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</si>
  <si>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</si>
  <si>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</si>
  <si>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</si>
  <si>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</si>
  <si>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</si>
  <si>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here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</si>
  <si>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</si>
  <si>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</si>
  <si>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</si>
  <si>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</si>
  <si>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</si>
  <si>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</si>
  <si>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</si>
  <si>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</si>
  <si>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</si>
  <si>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</si>
  <si>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Oct-2019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</si>
  <si>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</si>
  <si>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</si>
  <si>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</si>
  <si>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</si>
  <si>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</si>
  <si>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</si>
  <si>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</si>
  <si>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</si>
  <si>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</si>
  <si>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</si>
  <si>
    <t>v0.9.2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</si>
</sst>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(hours)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202.25</c:v>
                </c:pt>
                <c:pt idx="1">
                  <c:v>202.25</c:v>
                </c:pt>
                <c:pt idx="2">
                  <c:v>202.25</c:v>
                </c:pt>
                <c:pt idx="3">
                  <c:v>202.25</c:v>
                </c:pt>
                <c:pt idx="4">
                  <c:v>202.25</c:v>
                </c:pt>
                <c:pt idx="5">
                  <c:v>202.25</c:v>
                </c:pt>
                <c:pt idx="6">
                  <c:v>202.25</c:v>
                </c:pt>
                <c:pt idx="7">
                  <c:v>202.25</c:v>
                </c:pt>
                <c:pt idx="8">
                  <c:v>202.25</c:v>
                </c:pt>
                <c:pt idx="9">
                  <c:v>202.25</c:v>
                </c:pt>
                <c:pt idx="10">
                  <c:v>202.25</c:v>
                </c:pt>
                <c:pt idx="11">
                  <c:v>202.25</c:v>
                </c:pt>
                <c:pt idx="12">
                  <c:v>202.25</c:v>
                </c:pt>
                <c:pt idx="13">
                  <c:v>202.25</c:v>
                </c:pt>
                <c:pt idx="14">
                  <c:v>202.25</c:v>
                </c:pt>
                <c:pt idx="15">
                  <c:v>202.25</c:v>
                </c:pt>
                <c:pt idx="16">
                  <c:v>202.25</c:v>
                </c:pt>
                <c:pt idx="17">
                  <c:v>202.25</c:v>
                </c:pt>
                <c:pt idx="18">
                  <c:v>202.25</c:v>
                </c:pt>
                <c:pt idx="19">
                  <c:v>202.25</c:v>
                </c:pt>
                <c:pt idx="20">
                  <c:v>202.25</c:v>
                </c:pt>
                <c:pt idx="21">
                  <c:v>202.25</c:v>
                </c:pt>
                <c:pt idx="22">
                  <c:v>202.25</c:v>
                </c:pt>
                <c:pt idx="23">
                  <c:v>202.25</c:v>
                </c:pt>
                <c:pt idx="24">
                  <c:v>202.25</c:v>
                </c:pt>
                <c:pt idx="25">
                  <c:v>202.25</c:v>
                </c:pt>
                <c:pt idx="26">
                  <c:v>202.25</c:v>
                </c:pt>
                <c:pt idx="27">
                  <c:v>202.25</c:v>
                </c:pt>
                <c:pt idx="28">
                  <c:v>202.25</c:v>
                </c:pt>
                <c:pt idx="29">
                  <c:v>202.25</c:v>
                </c:pt>
                <c:pt idx="30">
                  <c:v>202.25</c:v>
                </c:pt>
                <c:pt idx="31">
                  <c:v>202.25</c:v>
                </c:pt>
                <c:pt idx="32">
                  <c:v>202.25</c:v>
                </c:pt>
                <c:pt idx="33">
                  <c:v>202.25</c:v>
                </c:pt>
                <c:pt idx="34">
                  <c:v>202.25</c:v>
                </c:pt>
                <c:pt idx="35">
                  <c:v>202.25</c:v>
                </c:pt>
                <c:pt idx="36">
                  <c:v>202.25</c:v>
                </c:pt>
                <c:pt idx="37">
                  <c:v>202.25</c:v>
                </c:pt>
                <c:pt idx="38">
                  <c:v>202.25</c:v>
                </c:pt>
                <c:pt idx="39">
                  <c:v>202.25</c:v>
                </c:pt>
                <c:pt idx="40">
                  <c:v>202.25</c:v>
                </c:pt>
                <c:pt idx="41">
                  <c:v>202.25</c:v>
                </c:pt>
                <c:pt idx="42">
                  <c:v>202.25</c:v>
                </c:pt>
                <c:pt idx="43">
                  <c:v>202.25</c:v>
                </c:pt>
                <c:pt idx="44">
                  <c:v>202.25</c:v>
                </c:pt>
                <c:pt idx="45">
                  <c:v>202.25</c:v>
                </c:pt>
                <c:pt idx="46">
                  <c:v>202.25</c:v>
                </c:pt>
                <c:pt idx="47">
                  <c:v>202.25</c:v>
                </c:pt>
                <c:pt idx="48">
                  <c:v>202.25</c:v>
                </c:pt>
                <c:pt idx="49">
                  <c:v>202.25</c:v>
                </c:pt>
                <c:pt idx="50">
                  <c:v>202.25</c:v>
                </c:pt>
                <c:pt idx="51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22.6875</c:v>
                </c:pt>
                <c:pt idx="1">
                  <c:v>22.6875</c:v>
                </c:pt>
                <c:pt idx="2">
                  <c:v>22.6875</c:v>
                </c:pt>
                <c:pt idx="3">
                  <c:v>22.6875</c:v>
                </c:pt>
                <c:pt idx="4">
                  <c:v>22.6875</c:v>
                </c:pt>
                <c:pt idx="5">
                  <c:v>22.6875</c:v>
                </c:pt>
                <c:pt idx="6">
                  <c:v>22.6875</c:v>
                </c:pt>
                <c:pt idx="7">
                  <c:v>22.6875</c:v>
                </c:pt>
                <c:pt idx="8">
                  <c:v>22.6875</c:v>
                </c:pt>
                <c:pt idx="9">
                  <c:v>22.6875</c:v>
                </c:pt>
                <c:pt idx="10">
                  <c:v>22.6875</c:v>
                </c:pt>
                <c:pt idx="11">
                  <c:v>22.6875</c:v>
                </c:pt>
                <c:pt idx="12">
                  <c:v>22.6875</c:v>
                </c:pt>
                <c:pt idx="13">
                  <c:v>22.6875</c:v>
                </c:pt>
                <c:pt idx="14">
                  <c:v>22.6875</c:v>
                </c:pt>
                <c:pt idx="15">
                  <c:v>22.6875</c:v>
                </c:pt>
                <c:pt idx="16">
                  <c:v>22.6875</c:v>
                </c:pt>
                <c:pt idx="17">
                  <c:v>22.6875</c:v>
                </c:pt>
                <c:pt idx="18">
                  <c:v>22.6875</c:v>
                </c:pt>
                <c:pt idx="19">
                  <c:v>22.6875</c:v>
                </c:pt>
                <c:pt idx="20">
                  <c:v>22.6875</c:v>
                </c:pt>
                <c:pt idx="21">
                  <c:v>22.6875</c:v>
                </c:pt>
                <c:pt idx="22">
                  <c:v>22.6875</c:v>
                </c:pt>
                <c:pt idx="23">
                  <c:v>22.6875</c:v>
                </c:pt>
                <c:pt idx="24">
                  <c:v>22.6875</c:v>
                </c:pt>
                <c:pt idx="25">
                  <c:v>22.6875</c:v>
                </c:pt>
                <c:pt idx="26">
                  <c:v>22.6875</c:v>
                </c:pt>
                <c:pt idx="27">
                  <c:v>22.6875</c:v>
                </c:pt>
                <c:pt idx="28">
                  <c:v>22.6875</c:v>
                </c:pt>
                <c:pt idx="29">
                  <c:v>22.6875</c:v>
                </c:pt>
                <c:pt idx="30">
                  <c:v>22.6875</c:v>
                </c:pt>
                <c:pt idx="31">
                  <c:v>22.6875</c:v>
                </c:pt>
                <c:pt idx="32">
                  <c:v>22.6875</c:v>
                </c:pt>
                <c:pt idx="33">
                  <c:v>22.6875</c:v>
                </c:pt>
                <c:pt idx="34">
                  <c:v>22.6875</c:v>
                </c:pt>
                <c:pt idx="35">
                  <c:v>22.6875</c:v>
                </c:pt>
                <c:pt idx="36">
                  <c:v>22.6875</c:v>
                </c:pt>
                <c:pt idx="37">
                  <c:v>22.6875</c:v>
                </c:pt>
                <c:pt idx="38">
                  <c:v>22.6875</c:v>
                </c:pt>
                <c:pt idx="39">
                  <c:v>22.6875</c:v>
                </c:pt>
                <c:pt idx="40">
                  <c:v>22.6875</c:v>
                </c:pt>
                <c:pt idx="41">
                  <c:v>22.6875</c:v>
                </c:pt>
                <c:pt idx="42">
                  <c:v>22.6875</c:v>
                </c:pt>
                <c:pt idx="43">
                  <c:v>22.6875</c:v>
                </c:pt>
                <c:pt idx="44">
                  <c:v>22.6875</c:v>
                </c:pt>
                <c:pt idx="45">
                  <c:v>22.6875</c:v>
                </c:pt>
                <c:pt idx="46">
                  <c:v>22.6875</c:v>
                </c:pt>
                <c:pt idx="47">
                  <c:v>22.6875</c:v>
                </c:pt>
                <c:pt idx="48">
                  <c:v>22.6875</c:v>
                </c:pt>
                <c:pt idx="49">
                  <c:v>22.6875</c:v>
                </c:pt>
                <c:pt idx="50">
                  <c:v>22.6875</c:v>
                </c:pt>
                <c:pt idx="51">
                  <c:v>22.6875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44</c:v>
                </c:pt>
                <c:pt idx="2">
                  <c:v>12.000000000000002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6.1875</c:v>
                </c:pt>
                <c:pt idx="1">
                  <c:v>14</c:v>
                </c:pt>
                <c:pt idx="2">
                  <c:v>1.6666666666666666E-2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43.428571428571402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13.714285714285786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31</xdr:col>
      <xdr:colOff>88900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31</xdr:col>
      <xdr:colOff>95250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30</xdr:col>
      <xdr:colOff>365126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J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163</v>
      </c>
      <c r="X1" t="s">
        <v>169</v>
      </c>
      <c r="Z1" t="s">
        <v>192</v>
      </c>
      <c r="AB1" t="s">
        <v>199</v>
      </c>
      <c r="AD1" t="s">
        <v>208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164</v>
      </c>
      <c r="X2" s="77" t="s">
        <v>11</v>
      </c>
      <c r="Z2" t="s">
        <v>193</v>
      </c>
      <c r="AB2" t="s">
        <v>95</v>
      </c>
      <c r="AD2" t="s">
        <v>209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165</v>
      </c>
      <c r="X3" s="77" t="s">
        <v>186</v>
      </c>
      <c r="Z3" t="s">
        <v>104</v>
      </c>
      <c r="AB3" t="s">
        <v>138</v>
      </c>
      <c r="AD3" t="s">
        <v>210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170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171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172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173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174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211</v>
      </c>
    </row>
    <row r="2" spans="1:19" x14ac:dyDescent="0.35">
      <c r="A2" t="s">
        <v>229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65"/>
      <c r="C5" s="166"/>
      <c r="D5" s="166"/>
      <c r="E5" s="166"/>
      <c r="F5" s="166"/>
      <c r="G5" s="167"/>
    </row>
    <row r="6" spans="1:19" ht="15" thickBot="1" x14ac:dyDescent="0.4"/>
    <row r="7" spans="1:19" ht="15" thickBot="1" x14ac:dyDescent="0.4">
      <c r="A7" s="57" t="s">
        <v>1</v>
      </c>
      <c r="B7" s="165"/>
      <c r="C7" s="166"/>
      <c r="D7" s="166"/>
      <c r="E7" s="166"/>
      <c r="F7" s="166"/>
      <c r="G7" s="167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3" t="s">
        <v>111</v>
      </c>
    </row>
    <row r="12" spans="1:19" ht="15" thickBot="1" x14ac:dyDescent="0.4"/>
    <row r="13" spans="1:19" ht="15" thickBot="1" x14ac:dyDescent="0.4">
      <c r="A13" s="57" t="s">
        <v>75</v>
      </c>
      <c r="B13" s="123" t="s">
        <v>77</v>
      </c>
    </row>
    <row r="14" spans="1:19" ht="15" thickBot="1" x14ac:dyDescent="0.4"/>
    <row r="15" spans="1:19" ht="15" thickBot="1" x14ac:dyDescent="0.4">
      <c r="A15" s="57" t="s">
        <v>168</v>
      </c>
      <c r="B15" s="123" t="s">
        <v>11</v>
      </c>
    </row>
    <row r="16" spans="1:19" ht="15" thickBot="1" x14ac:dyDescent="0.4"/>
    <row r="17" spans="1:2" ht="15" thickBot="1" x14ac:dyDescent="0.4">
      <c r="A17" s="57" t="str">
        <f>"Number of "&amp;B15&amp;":"</f>
        <v>Number of Caseloads:</v>
      </c>
      <c r="B17" s="123">
        <v>5</v>
      </c>
    </row>
    <row r="18" spans="1:2" ht="15" thickBot="1" x14ac:dyDescent="0.4"/>
    <row r="19" spans="1:2" ht="15" thickBot="1" x14ac:dyDescent="0.4">
      <c r="A19" s="57" t="str">
        <f>B15&amp;" Names:"</f>
        <v>Caseloads Names:</v>
      </c>
      <c r="B19" s="57" t="str">
        <f>B15&amp;" Description:"</f>
        <v>Caseloads Description:</v>
      </c>
    </row>
    <row r="20" spans="1:2" x14ac:dyDescent="0.35">
      <c r="A20" s="124" t="s">
        <v>212</v>
      </c>
      <c r="B20" s="124"/>
    </row>
    <row r="21" spans="1:2" x14ac:dyDescent="0.35">
      <c r="A21" s="125" t="s">
        <v>213</v>
      </c>
      <c r="B21" s="125"/>
    </row>
    <row r="22" spans="1:2" x14ac:dyDescent="0.35">
      <c r="A22" s="125" t="s">
        <v>214</v>
      </c>
      <c r="B22" s="125"/>
    </row>
    <row r="23" spans="1:2" x14ac:dyDescent="0.35">
      <c r="A23" s="125" t="s">
        <v>215</v>
      </c>
      <c r="B23" s="125"/>
    </row>
    <row r="24" spans="1:2" ht="15" thickBot="1" x14ac:dyDescent="0.4">
      <c r="A24" s="125" t="s">
        <v>216</v>
      </c>
      <c r="B24" s="125"/>
    </row>
    <row r="25" spans="1:2" hidden="1" x14ac:dyDescent="0.35">
      <c r="A25" s="125" t="s">
        <v>206</v>
      </c>
      <c r="B25" s="125"/>
    </row>
    <row r="26" spans="1:2" hidden="1" x14ac:dyDescent="0.35">
      <c r="A26" s="125" t="s">
        <v>2</v>
      </c>
      <c r="B26" s="125"/>
    </row>
    <row r="27" spans="1:2" hidden="1" x14ac:dyDescent="0.35">
      <c r="A27" s="125" t="s">
        <v>3</v>
      </c>
      <c r="B27" s="125"/>
    </row>
    <row r="28" spans="1:2" hidden="1" x14ac:dyDescent="0.35">
      <c r="A28" s="125" t="s">
        <v>4</v>
      </c>
      <c r="B28" s="125"/>
    </row>
    <row r="29" spans="1:2" hidden="1" x14ac:dyDescent="0.35">
      <c r="A29" s="125" t="s">
        <v>5</v>
      </c>
      <c r="B29" s="125"/>
    </row>
    <row r="30" spans="1:2" hidden="1" x14ac:dyDescent="0.35">
      <c r="A30" s="125" t="s">
        <v>6</v>
      </c>
      <c r="B30" s="125"/>
    </row>
    <row r="31" spans="1:2" hidden="1" x14ac:dyDescent="0.35">
      <c r="A31" s="125" t="s">
        <v>7</v>
      </c>
      <c r="B31" s="125"/>
    </row>
    <row r="32" spans="1:2" hidden="1" x14ac:dyDescent="0.35">
      <c r="A32" s="125" t="s">
        <v>8</v>
      </c>
      <c r="B32" s="125"/>
    </row>
    <row r="33" spans="1:19" hidden="1" x14ac:dyDescent="0.35">
      <c r="A33" s="125" t="s">
        <v>9</v>
      </c>
      <c r="B33" s="125"/>
    </row>
    <row r="34" spans="1:19" ht="15" hidden="1" thickBot="1" x14ac:dyDescent="0.4">
      <c r="A34" s="125" t="s">
        <v>10</v>
      </c>
      <c r="B34" s="125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sTpGYX6+es3g4N+S6rKhVjB0PM7petiqc9KnnT+6i5hTxJYCEXNPem7L1KFC7An53Rj+3JuBFvoX740wbq7FXw==" saltValue="yNeAFkWIM9mmfB4QJQsqRw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A270" sqref="A270:XFD1048576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6"/>
    </row>
    <row r="4" spans="1:21" ht="15" hidden="1" thickBot="1" x14ac:dyDescent="0.4"/>
    <row r="5" spans="1:21" ht="15" thickBot="1" x14ac:dyDescent="0.4">
      <c r="A5" s="57" t="s">
        <v>106</v>
      </c>
      <c r="B5" s="56" t="s">
        <v>140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0</v>
      </c>
      <c r="D9" s="60">
        <f>IF(A9="","",B6)</f>
        <v>2019</v>
      </c>
      <c r="E9" s="60">
        <f>IF(A9="","",MONTH(DATEVALUE(B5&amp;" 1")))</f>
        <v>3</v>
      </c>
      <c r="F9" s="127">
        <v>14</v>
      </c>
      <c r="G9" s="127"/>
      <c r="H9" s="127">
        <v>29</v>
      </c>
      <c r="I9" s="127">
        <v>57</v>
      </c>
      <c r="J9" s="127">
        <v>30</v>
      </c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7</v>
      </c>
      <c r="D10" s="61" t="str">
        <f>IF(E10=1,MAX($D$9:D9)+1,"")</f>
        <v/>
      </c>
      <c r="E10" s="61">
        <f>IF(A10="","",IF(E9=12,1,E9+1))</f>
        <v>4</v>
      </c>
      <c r="F10" s="127">
        <v>14</v>
      </c>
      <c r="G10" s="127"/>
      <c r="H10" s="127">
        <v>8</v>
      </c>
      <c r="I10" s="127">
        <v>57</v>
      </c>
      <c r="J10" s="127">
        <v>30</v>
      </c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7"/>
    </row>
    <row r="11" spans="1:21" x14ac:dyDescent="0.35">
      <c r="A11" s="24">
        <f t="shared" si="0"/>
        <v>3</v>
      </c>
      <c r="C11" s="38">
        <f t="shared" si="1"/>
        <v>14</v>
      </c>
      <c r="D11" s="61" t="str">
        <f>IF(E11=1,MAX($D$9:D10)+1,"")</f>
        <v/>
      </c>
      <c r="E11" s="61">
        <f t="shared" ref="E11:E74" si="2">IF(A11="","",IF(E10=12,1,E10+1))</f>
        <v>5</v>
      </c>
      <c r="F11" s="127">
        <v>14</v>
      </c>
      <c r="G11" s="127"/>
      <c r="H11" s="127">
        <v>13</v>
      </c>
      <c r="I11" s="127">
        <v>60</v>
      </c>
      <c r="J11" s="127">
        <v>30</v>
      </c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7"/>
    </row>
    <row r="12" spans="1:21" x14ac:dyDescent="0.35">
      <c r="A12" s="24">
        <f t="shared" si="0"/>
        <v>4</v>
      </c>
      <c r="C12" s="38">
        <f t="shared" si="1"/>
        <v>21</v>
      </c>
      <c r="D12" s="61" t="str">
        <f>IF(E12=1,MAX($D$9:D11)+1,"")</f>
        <v/>
      </c>
      <c r="E12" s="61">
        <f t="shared" si="2"/>
        <v>6</v>
      </c>
      <c r="F12" s="127">
        <v>10</v>
      </c>
      <c r="G12" s="127"/>
      <c r="H12" s="127">
        <v>20</v>
      </c>
      <c r="I12" s="127">
        <v>63</v>
      </c>
      <c r="J12" s="127">
        <v>30</v>
      </c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7"/>
    </row>
    <row r="13" spans="1:21" x14ac:dyDescent="0.35">
      <c r="A13" s="24">
        <f t="shared" si="0"/>
        <v>5</v>
      </c>
      <c r="C13" s="38">
        <f t="shared" si="1"/>
        <v>28</v>
      </c>
      <c r="D13" s="61" t="str">
        <f>IF(E13=1,MAX($D$9:D12)+1,"")</f>
        <v/>
      </c>
      <c r="E13" s="61">
        <f t="shared" si="2"/>
        <v>7</v>
      </c>
      <c r="F13" s="127">
        <v>10</v>
      </c>
      <c r="G13" s="127">
        <v>7</v>
      </c>
      <c r="H13" s="127">
        <v>19</v>
      </c>
      <c r="I13" s="127">
        <v>63</v>
      </c>
      <c r="J13" s="127">
        <v>30</v>
      </c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7"/>
    </row>
    <row r="14" spans="1:21" x14ac:dyDescent="0.35">
      <c r="A14" s="24">
        <f t="shared" si="0"/>
        <v>6</v>
      </c>
      <c r="C14" s="38">
        <f t="shared" si="1"/>
        <v>35</v>
      </c>
      <c r="D14" s="61" t="str">
        <f>IF(E14=1,MAX($D$9:D13)+1,"")</f>
        <v/>
      </c>
      <c r="E14" s="61">
        <f t="shared" si="2"/>
        <v>8</v>
      </c>
      <c r="F14" s="127">
        <v>10</v>
      </c>
      <c r="G14" s="127">
        <v>7</v>
      </c>
      <c r="H14" s="127">
        <v>21</v>
      </c>
      <c r="I14" s="127">
        <v>63</v>
      </c>
      <c r="J14" s="127">
        <v>30</v>
      </c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7"/>
    </row>
    <row r="15" spans="1:21" x14ac:dyDescent="0.35">
      <c r="A15" s="24">
        <f t="shared" si="0"/>
        <v>7</v>
      </c>
      <c r="C15" s="38">
        <f t="shared" si="1"/>
        <v>42</v>
      </c>
      <c r="D15" s="61" t="str">
        <f>IF(E15=1,MAX($D$9:D14)+1,"")</f>
        <v/>
      </c>
      <c r="E15" s="61">
        <f t="shared" si="2"/>
        <v>9</v>
      </c>
      <c r="F15" s="127">
        <v>12</v>
      </c>
      <c r="G15" s="127">
        <v>7</v>
      </c>
      <c r="H15" s="127">
        <v>14</v>
      </c>
      <c r="I15" s="127">
        <v>63</v>
      </c>
      <c r="J15" s="127">
        <v>30</v>
      </c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7"/>
    </row>
    <row r="16" spans="1:21" x14ac:dyDescent="0.35">
      <c r="A16" s="24">
        <f t="shared" si="0"/>
        <v>8</v>
      </c>
      <c r="C16" s="38">
        <f t="shared" si="1"/>
        <v>49</v>
      </c>
      <c r="D16" s="61" t="str">
        <f>IF(E16=1,MAX($D$9:D15)+1,"")</f>
        <v/>
      </c>
      <c r="E16" s="61">
        <f t="shared" si="2"/>
        <v>10</v>
      </c>
      <c r="F16" s="127">
        <v>14</v>
      </c>
      <c r="G16" s="127">
        <v>7</v>
      </c>
      <c r="H16" s="127">
        <v>7</v>
      </c>
      <c r="I16" s="127">
        <v>63</v>
      </c>
      <c r="J16" s="127">
        <v>30</v>
      </c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7"/>
    </row>
    <row r="17" spans="1:21" x14ac:dyDescent="0.35">
      <c r="A17" s="24">
        <f t="shared" si="0"/>
        <v>9</v>
      </c>
      <c r="C17" s="38">
        <f t="shared" si="1"/>
        <v>56</v>
      </c>
      <c r="D17" s="61" t="str">
        <f>IF(E17=1,MAX($D$9:D16)+1,"")</f>
        <v/>
      </c>
      <c r="E17" s="61">
        <f t="shared" si="2"/>
        <v>11</v>
      </c>
      <c r="F17" s="127">
        <v>35</v>
      </c>
      <c r="G17" s="127">
        <v>17</v>
      </c>
      <c r="H17" s="127">
        <v>13</v>
      </c>
      <c r="I17" s="127">
        <v>70</v>
      </c>
      <c r="J17" s="127">
        <v>30</v>
      </c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7"/>
    </row>
    <row r="18" spans="1:21" x14ac:dyDescent="0.35">
      <c r="A18" s="24">
        <f t="shared" si="0"/>
        <v>10</v>
      </c>
      <c r="C18" s="38">
        <f t="shared" si="1"/>
        <v>63</v>
      </c>
      <c r="D18" s="61" t="str">
        <f>IF(E18=1,MAX($D$9:D17)+1,"")</f>
        <v/>
      </c>
      <c r="E18" s="61">
        <f t="shared" si="2"/>
        <v>12</v>
      </c>
      <c r="F18" s="127">
        <v>35</v>
      </c>
      <c r="G18" s="127">
        <v>17</v>
      </c>
      <c r="H18" s="127">
        <v>13</v>
      </c>
      <c r="I18" s="127">
        <v>70</v>
      </c>
      <c r="J18" s="127">
        <v>30</v>
      </c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7"/>
    </row>
    <row r="19" spans="1:21" x14ac:dyDescent="0.35">
      <c r="A19" s="24">
        <f t="shared" si="0"/>
        <v>11</v>
      </c>
      <c r="C19" s="38">
        <f t="shared" si="1"/>
        <v>70</v>
      </c>
      <c r="D19" s="61">
        <f>IF(E19=1,MAX($D$9:D18)+1,"")</f>
        <v>2020</v>
      </c>
      <c r="E19" s="61">
        <f t="shared" si="2"/>
        <v>1</v>
      </c>
      <c r="F19" s="127">
        <v>35</v>
      </c>
      <c r="G19" s="127">
        <v>25</v>
      </c>
      <c r="H19" s="127">
        <v>18</v>
      </c>
      <c r="I19" s="127">
        <v>70</v>
      </c>
      <c r="J19" s="127">
        <v>30</v>
      </c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7"/>
    </row>
    <row r="20" spans="1:21" x14ac:dyDescent="0.35">
      <c r="A20" s="24">
        <f t="shared" si="0"/>
        <v>12</v>
      </c>
      <c r="C20" s="38">
        <f t="shared" si="1"/>
        <v>77</v>
      </c>
      <c r="D20" s="61" t="str">
        <f>IF(E20=1,MAX($D$9:D19)+1,"")</f>
        <v/>
      </c>
      <c r="E20" s="61">
        <f t="shared" si="2"/>
        <v>2</v>
      </c>
      <c r="F20" s="127">
        <v>42</v>
      </c>
      <c r="G20" s="127">
        <v>25</v>
      </c>
      <c r="H20" s="127">
        <v>18</v>
      </c>
      <c r="I20" s="127">
        <v>70</v>
      </c>
      <c r="J20" s="127">
        <v>37</v>
      </c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7"/>
    </row>
    <row r="21" spans="1:21" x14ac:dyDescent="0.35">
      <c r="A21" s="24">
        <f t="shared" si="0"/>
        <v>13</v>
      </c>
      <c r="C21" s="38">
        <f t="shared" si="1"/>
        <v>84</v>
      </c>
      <c r="D21" s="61" t="str">
        <f>IF(E21=1,MAX($D$9:D20)+1,"")</f>
        <v/>
      </c>
      <c r="E21" s="61">
        <f t="shared" si="2"/>
        <v>3</v>
      </c>
      <c r="F21" s="127">
        <v>28</v>
      </c>
      <c r="G21" s="127"/>
      <c r="H21" s="127">
        <v>5</v>
      </c>
      <c r="I21" s="127">
        <v>62</v>
      </c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127"/>
      <c r="S90" s="127"/>
      <c r="T90" s="127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127"/>
      <c r="S94" s="127"/>
      <c r="T94" s="127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27"/>
      <c r="R95" s="127"/>
      <c r="S95" s="127"/>
      <c r="T95" s="127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7"/>
      <c r="S100" s="127"/>
      <c r="T100" s="127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7"/>
      <c r="S101" s="127"/>
      <c r="T101" s="127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7"/>
      <c r="S102" s="127"/>
      <c r="T102" s="127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27"/>
      <c r="R105" s="127"/>
      <c r="S105" s="127"/>
      <c r="T105" s="127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7"/>
      <c r="Q111" s="127"/>
      <c r="R111" s="127"/>
      <c r="S111" s="127"/>
      <c r="T111" s="127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127"/>
      <c r="Q113" s="127"/>
      <c r="R113" s="127"/>
      <c r="S113" s="127"/>
      <c r="T113" s="127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127"/>
      <c r="Q114" s="127"/>
      <c r="R114" s="127"/>
      <c r="S114" s="127"/>
      <c r="T114" s="127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127"/>
      <c r="Q115" s="127"/>
      <c r="R115" s="127"/>
      <c r="S115" s="127"/>
      <c r="T115" s="127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7"/>
      <c r="G116" s="127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27"/>
      <c r="T116" s="127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127"/>
      <c r="Q117" s="127"/>
      <c r="R117" s="127"/>
      <c r="S117" s="127"/>
      <c r="T117" s="127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7"/>
      <c r="G118" s="127"/>
      <c r="H118" s="127"/>
      <c r="I118" s="127"/>
      <c r="J118" s="127"/>
      <c r="K118" s="127"/>
      <c r="L118" s="127"/>
      <c r="M118" s="127"/>
      <c r="N118" s="127"/>
      <c r="O118" s="127"/>
      <c r="P118" s="127"/>
      <c r="Q118" s="127"/>
      <c r="R118" s="127"/>
      <c r="S118" s="127"/>
      <c r="T118" s="127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127"/>
      <c r="Q119" s="127"/>
      <c r="R119" s="127"/>
      <c r="S119" s="127"/>
      <c r="T119" s="127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27"/>
      <c r="T123" s="127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127"/>
      <c r="Q124" s="127"/>
      <c r="R124" s="127"/>
      <c r="S124" s="127"/>
      <c r="T124" s="127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127"/>
      <c r="Q125" s="127"/>
      <c r="R125" s="127"/>
      <c r="S125" s="127"/>
      <c r="T125" s="127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127"/>
      <c r="Q126" s="127"/>
      <c r="R126" s="127"/>
      <c r="S126" s="127"/>
      <c r="T126" s="127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27"/>
      <c r="T127" s="127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127"/>
      <c r="Q128" s="127"/>
      <c r="R128" s="127"/>
      <c r="S128" s="127"/>
      <c r="T128" s="127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127"/>
      <c r="Q131" s="127"/>
      <c r="R131" s="127"/>
      <c r="S131" s="127"/>
      <c r="T131" s="127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27"/>
      <c r="T132" s="127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27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7"/>
      <c r="G137" s="127"/>
      <c r="H137" s="127"/>
      <c r="I137" s="127"/>
      <c r="J137" s="127"/>
      <c r="K137" s="127"/>
      <c r="L137" s="127"/>
      <c r="M137" s="127"/>
      <c r="N137" s="127"/>
      <c r="O137" s="127"/>
      <c r="P137" s="127"/>
      <c r="Q137" s="127"/>
      <c r="R137" s="127"/>
      <c r="S137" s="127"/>
      <c r="T137" s="127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7"/>
      <c r="G138" s="127"/>
      <c r="H138" s="127"/>
      <c r="I138" s="127"/>
      <c r="J138" s="127"/>
      <c r="K138" s="127"/>
      <c r="L138" s="127"/>
      <c r="M138" s="127"/>
      <c r="N138" s="127"/>
      <c r="O138" s="127"/>
      <c r="P138" s="127"/>
      <c r="Q138" s="127"/>
      <c r="R138" s="127"/>
      <c r="S138" s="127"/>
      <c r="T138" s="127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7"/>
      <c r="G148" s="127"/>
      <c r="H148" s="127"/>
      <c r="I148" s="127"/>
      <c r="J148" s="127"/>
      <c r="K148" s="127"/>
      <c r="L148" s="127"/>
      <c r="M148" s="127"/>
      <c r="N148" s="127"/>
      <c r="O148" s="127"/>
      <c r="P148" s="127"/>
      <c r="Q148" s="127"/>
      <c r="R148" s="127"/>
      <c r="S148" s="127"/>
      <c r="T148" s="127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7"/>
      <c r="G149" s="127"/>
      <c r="H149" s="127"/>
      <c r="I149" s="127"/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7"/>
      <c r="G150" s="127"/>
      <c r="H150" s="127"/>
      <c r="I150" s="127"/>
      <c r="J150" s="127"/>
      <c r="K150" s="127"/>
      <c r="L150" s="127"/>
      <c r="M150" s="127"/>
      <c r="N150" s="127"/>
      <c r="O150" s="127"/>
      <c r="P150" s="127"/>
      <c r="Q150" s="127"/>
      <c r="R150" s="127"/>
      <c r="S150" s="127"/>
      <c r="T150" s="127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7"/>
      <c r="G151" s="127"/>
      <c r="H151" s="127"/>
      <c r="I151" s="127"/>
      <c r="J151" s="127"/>
      <c r="K151" s="127"/>
      <c r="L151" s="127"/>
      <c r="M151" s="127"/>
      <c r="N151" s="127"/>
      <c r="O151" s="127"/>
      <c r="P151" s="127"/>
      <c r="Q151" s="127"/>
      <c r="R151" s="127"/>
      <c r="S151" s="127"/>
      <c r="T151" s="127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7"/>
      <c r="G152" s="127"/>
      <c r="H152" s="127"/>
      <c r="I152" s="127"/>
      <c r="J152" s="127"/>
      <c r="K152" s="127"/>
      <c r="L152" s="127"/>
      <c r="M152" s="127"/>
      <c r="N152" s="127"/>
      <c r="O152" s="127"/>
      <c r="P152" s="127"/>
      <c r="Q152" s="127"/>
      <c r="R152" s="127"/>
      <c r="S152" s="127"/>
      <c r="T152" s="127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7"/>
      <c r="G153" s="127"/>
      <c r="H153" s="127"/>
      <c r="I153" s="127"/>
      <c r="J153" s="127"/>
      <c r="K153" s="127"/>
      <c r="L153" s="127"/>
      <c r="M153" s="127"/>
      <c r="N153" s="127"/>
      <c r="O153" s="127"/>
      <c r="P153" s="127"/>
      <c r="Q153" s="127"/>
      <c r="R153" s="127"/>
      <c r="S153" s="127"/>
      <c r="T153" s="127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7"/>
      <c r="G154" s="127"/>
      <c r="H154" s="127"/>
      <c r="I154" s="127"/>
      <c r="J154" s="127"/>
      <c r="K154" s="127"/>
      <c r="L154" s="127"/>
      <c r="M154" s="127"/>
      <c r="N154" s="127"/>
      <c r="O154" s="127"/>
      <c r="P154" s="127"/>
      <c r="Q154" s="127"/>
      <c r="R154" s="127"/>
      <c r="S154" s="127"/>
      <c r="T154" s="127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7"/>
      <c r="G155" s="127"/>
      <c r="H155" s="127"/>
      <c r="I155" s="127"/>
      <c r="J155" s="127"/>
      <c r="K155" s="127"/>
      <c r="L155" s="127"/>
      <c r="M155" s="127"/>
      <c r="N155" s="127"/>
      <c r="O155" s="127"/>
      <c r="P155" s="127"/>
      <c r="Q155" s="127"/>
      <c r="R155" s="127"/>
      <c r="S155" s="127"/>
      <c r="T155" s="127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27"/>
      <c r="T156" s="127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7"/>
      <c r="G157" s="127"/>
      <c r="H157" s="127"/>
      <c r="I157" s="127"/>
      <c r="J157" s="127"/>
      <c r="K157" s="127"/>
      <c r="L157" s="127"/>
      <c r="M157" s="127"/>
      <c r="N157" s="127"/>
      <c r="O157" s="127"/>
      <c r="P157" s="127"/>
      <c r="Q157" s="127"/>
      <c r="R157" s="127"/>
      <c r="S157" s="127"/>
      <c r="T157" s="127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7"/>
      <c r="G158" s="127"/>
      <c r="H158" s="127"/>
      <c r="I158" s="127"/>
      <c r="J158" s="127"/>
      <c r="K158" s="127"/>
      <c r="L158" s="127"/>
      <c r="M158" s="127"/>
      <c r="N158" s="127"/>
      <c r="O158" s="127"/>
      <c r="P158" s="127"/>
      <c r="Q158" s="127"/>
      <c r="R158" s="127"/>
      <c r="S158" s="127"/>
      <c r="T158" s="127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7"/>
      <c r="G159" s="127"/>
      <c r="H159" s="127"/>
      <c r="I159" s="127"/>
      <c r="J159" s="127"/>
      <c r="K159" s="127"/>
      <c r="L159" s="127"/>
      <c r="M159" s="127"/>
      <c r="N159" s="127"/>
      <c r="O159" s="127"/>
      <c r="P159" s="127"/>
      <c r="Q159" s="127"/>
      <c r="R159" s="127"/>
      <c r="S159" s="127"/>
      <c r="T159" s="127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7"/>
      <c r="G160" s="127"/>
      <c r="H160" s="127"/>
      <c r="I160" s="127"/>
      <c r="J160" s="127"/>
      <c r="K160" s="127"/>
      <c r="L160" s="127"/>
      <c r="M160" s="127"/>
      <c r="N160" s="127"/>
      <c r="O160" s="127"/>
      <c r="P160" s="127"/>
      <c r="Q160" s="127"/>
      <c r="R160" s="127"/>
      <c r="S160" s="127"/>
      <c r="T160" s="127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7"/>
      <c r="G161" s="127"/>
      <c r="H161" s="127"/>
      <c r="I161" s="127"/>
      <c r="J161" s="127"/>
      <c r="K161" s="127"/>
      <c r="L161" s="127"/>
      <c r="M161" s="127"/>
      <c r="N161" s="127"/>
      <c r="O161" s="127"/>
      <c r="P161" s="127"/>
      <c r="Q161" s="127"/>
      <c r="R161" s="127"/>
      <c r="S161" s="127"/>
      <c r="T161" s="127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7"/>
      <c r="G162" s="127"/>
      <c r="H162" s="127"/>
      <c r="I162" s="127"/>
      <c r="J162" s="127"/>
      <c r="K162" s="127"/>
      <c r="L162" s="127"/>
      <c r="M162" s="127"/>
      <c r="N162" s="127"/>
      <c r="O162" s="127"/>
      <c r="P162" s="127"/>
      <c r="Q162" s="127"/>
      <c r="R162" s="127"/>
      <c r="S162" s="127"/>
      <c r="T162" s="127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7"/>
      <c r="G163" s="127"/>
      <c r="H163" s="127"/>
      <c r="I163" s="127"/>
      <c r="J163" s="127"/>
      <c r="K163" s="127"/>
      <c r="L163" s="127"/>
      <c r="M163" s="127"/>
      <c r="N163" s="127"/>
      <c r="O163" s="127"/>
      <c r="P163" s="127"/>
      <c r="Q163" s="127"/>
      <c r="R163" s="127"/>
      <c r="S163" s="127"/>
      <c r="T163" s="127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7"/>
      <c r="G164" s="127"/>
      <c r="H164" s="127"/>
      <c r="I164" s="127"/>
      <c r="J164" s="127"/>
      <c r="K164" s="127"/>
      <c r="L164" s="127"/>
      <c r="M164" s="127"/>
      <c r="N164" s="127"/>
      <c r="O164" s="127"/>
      <c r="P164" s="127"/>
      <c r="Q164" s="127"/>
      <c r="R164" s="127"/>
      <c r="S164" s="127"/>
      <c r="T164" s="127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7"/>
      <c r="G165" s="127"/>
      <c r="H165" s="127"/>
      <c r="I165" s="127"/>
      <c r="J165" s="127"/>
      <c r="K165" s="127"/>
      <c r="L165" s="127"/>
      <c r="M165" s="127"/>
      <c r="N165" s="127"/>
      <c r="O165" s="127"/>
      <c r="P165" s="127"/>
      <c r="Q165" s="127"/>
      <c r="R165" s="127"/>
      <c r="S165" s="127"/>
      <c r="T165" s="127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T167" s="127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T168" s="127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T169" s="127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T170" s="127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T171" s="127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T172" s="127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7"/>
      <c r="G174" s="127"/>
      <c r="H174" s="127"/>
      <c r="I174" s="127"/>
      <c r="J174" s="127"/>
      <c r="K174" s="127"/>
      <c r="L174" s="127"/>
      <c r="M174" s="127"/>
      <c r="N174" s="127"/>
      <c r="O174" s="127"/>
      <c r="P174" s="127"/>
      <c r="Q174" s="127"/>
      <c r="R174" s="127"/>
      <c r="S174" s="127"/>
      <c r="T174" s="127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7"/>
      <c r="G175" s="127"/>
      <c r="H175" s="127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7"/>
      <c r="G176" s="127"/>
      <c r="H176" s="127"/>
      <c r="I176" s="127"/>
      <c r="J176" s="127"/>
      <c r="K176" s="127"/>
      <c r="L176" s="127"/>
      <c r="M176" s="127"/>
      <c r="N176" s="127"/>
      <c r="O176" s="127"/>
      <c r="P176" s="127"/>
      <c r="Q176" s="127"/>
      <c r="R176" s="127"/>
      <c r="S176" s="127"/>
      <c r="T176" s="127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7"/>
      <c r="G179" s="127"/>
      <c r="H179" s="127"/>
      <c r="I179" s="127"/>
      <c r="J179" s="127"/>
      <c r="K179" s="127"/>
      <c r="L179" s="127"/>
      <c r="M179" s="127"/>
      <c r="N179" s="127"/>
      <c r="O179" s="127"/>
      <c r="P179" s="127"/>
      <c r="Q179" s="127"/>
      <c r="R179" s="127"/>
      <c r="S179" s="127"/>
      <c r="T179" s="127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7"/>
      <c r="G180" s="127"/>
      <c r="H180" s="127"/>
      <c r="I180" s="127"/>
      <c r="J180" s="127"/>
      <c r="K180" s="127"/>
      <c r="L180" s="127"/>
      <c r="M180" s="127"/>
      <c r="N180" s="127"/>
      <c r="O180" s="127"/>
      <c r="P180" s="127"/>
      <c r="Q180" s="127"/>
      <c r="R180" s="127"/>
      <c r="S180" s="127"/>
      <c r="T180" s="127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7"/>
      <c r="G181" s="127"/>
      <c r="H181" s="127"/>
      <c r="I181" s="127"/>
      <c r="J181" s="127"/>
      <c r="K181" s="127"/>
      <c r="L181" s="127"/>
      <c r="M181" s="127"/>
      <c r="N181" s="127"/>
      <c r="O181" s="127"/>
      <c r="P181" s="127"/>
      <c r="Q181" s="127"/>
      <c r="R181" s="127"/>
      <c r="S181" s="127"/>
      <c r="T181" s="127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7"/>
      <c r="G182" s="127"/>
      <c r="H182" s="127"/>
      <c r="I182" s="127"/>
      <c r="J182" s="127"/>
      <c r="K182" s="127"/>
      <c r="L182" s="127"/>
      <c r="M182" s="127"/>
      <c r="N182" s="127"/>
      <c r="O182" s="127"/>
      <c r="P182" s="127"/>
      <c r="Q182" s="127"/>
      <c r="R182" s="127"/>
      <c r="S182" s="127"/>
      <c r="T182" s="127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7"/>
      <c r="G183" s="127"/>
      <c r="H183" s="127"/>
      <c r="I183" s="127"/>
      <c r="J183" s="127"/>
      <c r="K183" s="127"/>
      <c r="L183" s="127"/>
      <c r="M183" s="127"/>
      <c r="N183" s="127"/>
      <c r="O183" s="127"/>
      <c r="P183" s="127"/>
      <c r="Q183" s="127"/>
      <c r="R183" s="127"/>
      <c r="S183" s="127"/>
      <c r="T183" s="127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7"/>
      <c r="G184" s="127"/>
      <c r="H184" s="127"/>
      <c r="I184" s="127"/>
      <c r="J184" s="127"/>
      <c r="K184" s="127"/>
      <c r="L184" s="127"/>
      <c r="M184" s="127"/>
      <c r="N184" s="127"/>
      <c r="O184" s="127"/>
      <c r="P184" s="127"/>
      <c r="Q184" s="127"/>
      <c r="R184" s="127"/>
      <c r="S184" s="127"/>
      <c r="T184" s="127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7"/>
      <c r="G187" s="127"/>
      <c r="H187" s="127"/>
      <c r="I187" s="127"/>
      <c r="J187" s="127"/>
      <c r="K187" s="127"/>
      <c r="L187" s="127"/>
      <c r="M187" s="127"/>
      <c r="N187" s="127"/>
      <c r="O187" s="127"/>
      <c r="P187" s="127"/>
      <c r="Q187" s="127"/>
      <c r="R187" s="127"/>
      <c r="S187" s="127"/>
      <c r="T187" s="127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7"/>
      <c r="G188" s="127"/>
      <c r="H188" s="127"/>
      <c r="I188" s="127"/>
      <c r="J188" s="127"/>
      <c r="K188" s="127"/>
      <c r="L188" s="127"/>
      <c r="M188" s="127"/>
      <c r="N188" s="127"/>
      <c r="O188" s="127"/>
      <c r="P188" s="127"/>
      <c r="Q188" s="127"/>
      <c r="R188" s="127"/>
      <c r="S188" s="127"/>
      <c r="T188" s="127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7"/>
      <c r="G190" s="127"/>
      <c r="H190" s="127"/>
      <c r="I190" s="127"/>
      <c r="J190" s="127"/>
      <c r="K190" s="127"/>
      <c r="L190" s="127"/>
      <c r="M190" s="127"/>
      <c r="N190" s="127"/>
      <c r="O190" s="127"/>
      <c r="P190" s="127"/>
      <c r="Q190" s="127"/>
      <c r="R190" s="127"/>
      <c r="S190" s="127"/>
      <c r="T190" s="127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7"/>
      <c r="G192" s="127"/>
      <c r="H192" s="127"/>
      <c r="I192" s="127"/>
      <c r="J192" s="127"/>
      <c r="K192" s="127"/>
      <c r="L192" s="127"/>
      <c r="M192" s="127"/>
      <c r="N192" s="127"/>
      <c r="O192" s="127"/>
      <c r="P192" s="127"/>
      <c r="Q192" s="127"/>
      <c r="R192" s="127"/>
      <c r="S192" s="127"/>
      <c r="T192" s="127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7"/>
      <c r="G193" s="127"/>
      <c r="H193" s="127"/>
      <c r="I193" s="127"/>
      <c r="J193" s="127"/>
      <c r="K193" s="127"/>
      <c r="L193" s="127"/>
      <c r="M193" s="127"/>
      <c r="N193" s="127"/>
      <c r="O193" s="127"/>
      <c r="P193" s="127"/>
      <c r="Q193" s="127"/>
      <c r="R193" s="127"/>
      <c r="S193" s="127"/>
      <c r="T193" s="127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7"/>
      <c r="G194" s="127"/>
      <c r="H194" s="127"/>
      <c r="I194" s="127"/>
      <c r="J194" s="127"/>
      <c r="K194" s="127"/>
      <c r="L194" s="127"/>
      <c r="M194" s="127"/>
      <c r="N194" s="127"/>
      <c r="O194" s="127"/>
      <c r="P194" s="127"/>
      <c r="Q194" s="127"/>
      <c r="R194" s="127"/>
      <c r="S194" s="127"/>
      <c r="T194" s="127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7"/>
      <c r="G195" s="127"/>
      <c r="H195" s="127"/>
      <c r="I195" s="127"/>
      <c r="J195" s="127"/>
      <c r="K195" s="127"/>
      <c r="L195" s="127"/>
      <c r="M195" s="127"/>
      <c r="N195" s="127"/>
      <c r="O195" s="127"/>
      <c r="P195" s="127"/>
      <c r="Q195" s="127"/>
      <c r="R195" s="127"/>
      <c r="S195" s="127"/>
      <c r="T195" s="127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7"/>
      <c r="G196" s="127"/>
      <c r="H196" s="127"/>
      <c r="I196" s="127"/>
      <c r="J196" s="127"/>
      <c r="K196" s="127"/>
      <c r="L196" s="127"/>
      <c r="M196" s="127"/>
      <c r="N196" s="127"/>
      <c r="O196" s="127"/>
      <c r="P196" s="127"/>
      <c r="Q196" s="127"/>
      <c r="R196" s="127"/>
      <c r="S196" s="127"/>
      <c r="T196" s="127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7"/>
      <c r="G197" s="127"/>
      <c r="H197" s="127"/>
      <c r="I197" s="127"/>
      <c r="J197" s="127"/>
      <c r="K197" s="127"/>
      <c r="L197" s="127"/>
      <c r="M197" s="127"/>
      <c r="N197" s="127"/>
      <c r="O197" s="127"/>
      <c r="P197" s="127"/>
      <c r="Q197" s="127"/>
      <c r="R197" s="127"/>
      <c r="S197" s="127"/>
      <c r="T197" s="127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7"/>
      <c r="G198" s="127"/>
      <c r="H198" s="127"/>
      <c r="I198" s="127"/>
      <c r="J198" s="127"/>
      <c r="K198" s="127"/>
      <c r="L198" s="127"/>
      <c r="M198" s="127"/>
      <c r="N198" s="127"/>
      <c r="O198" s="127"/>
      <c r="P198" s="127"/>
      <c r="Q198" s="127"/>
      <c r="R198" s="127"/>
      <c r="S198" s="127"/>
      <c r="T198" s="127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7"/>
      <c r="G199" s="127"/>
      <c r="H199" s="127"/>
      <c r="I199" s="127"/>
      <c r="J199" s="127"/>
      <c r="K199" s="127"/>
      <c r="L199" s="127"/>
      <c r="M199" s="127"/>
      <c r="N199" s="127"/>
      <c r="O199" s="127"/>
      <c r="P199" s="127"/>
      <c r="Q199" s="127"/>
      <c r="R199" s="127"/>
      <c r="S199" s="127"/>
      <c r="T199" s="127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7"/>
      <c r="G200" s="127"/>
      <c r="H200" s="127"/>
      <c r="I200" s="127"/>
      <c r="J200" s="127"/>
      <c r="K200" s="127"/>
      <c r="L200" s="127"/>
      <c r="M200" s="127"/>
      <c r="N200" s="127"/>
      <c r="O200" s="127"/>
      <c r="P200" s="127"/>
      <c r="Q200" s="127"/>
      <c r="R200" s="127"/>
      <c r="S200" s="127"/>
      <c r="T200" s="127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7"/>
      <c r="G201" s="127"/>
      <c r="H201" s="127"/>
      <c r="I201" s="127"/>
      <c r="J201" s="127"/>
      <c r="K201" s="127"/>
      <c r="L201" s="127"/>
      <c r="M201" s="127"/>
      <c r="N201" s="127"/>
      <c r="O201" s="127"/>
      <c r="P201" s="127"/>
      <c r="Q201" s="127"/>
      <c r="R201" s="127"/>
      <c r="S201" s="127"/>
      <c r="T201" s="127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7"/>
      <c r="G202" s="127"/>
      <c r="H202" s="127"/>
      <c r="I202" s="127"/>
      <c r="J202" s="127"/>
      <c r="K202" s="127"/>
      <c r="L202" s="127"/>
      <c r="M202" s="127"/>
      <c r="N202" s="127"/>
      <c r="O202" s="127"/>
      <c r="P202" s="127"/>
      <c r="Q202" s="127"/>
      <c r="R202" s="127"/>
      <c r="S202" s="127"/>
      <c r="T202" s="127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7"/>
      <c r="G203" s="127"/>
      <c r="H203" s="127"/>
      <c r="I203" s="127"/>
      <c r="J203" s="127"/>
      <c r="K203" s="127"/>
      <c r="L203" s="127"/>
      <c r="M203" s="127"/>
      <c r="N203" s="127"/>
      <c r="O203" s="127"/>
      <c r="P203" s="127"/>
      <c r="Q203" s="127"/>
      <c r="R203" s="127"/>
      <c r="S203" s="127"/>
      <c r="T203" s="127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7"/>
      <c r="R204" s="127"/>
      <c r="S204" s="127"/>
      <c r="T204" s="127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7"/>
      <c r="G205" s="127"/>
      <c r="H205" s="127"/>
      <c r="I205" s="127"/>
      <c r="J205" s="127"/>
      <c r="K205" s="127"/>
      <c r="L205" s="127"/>
      <c r="M205" s="127"/>
      <c r="N205" s="127"/>
      <c r="O205" s="127"/>
      <c r="P205" s="127"/>
      <c r="Q205" s="127"/>
      <c r="R205" s="127"/>
      <c r="S205" s="127"/>
      <c r="T205" s="127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7"/>
      <c r="G206" s="127"/>
      <c r="H206" s="127"/>
      <c r="I206" s="127"/>
      <c r="J206" s="127"/>
      <c r="K206" s="127"/>
      <c r="L206" s="127"/>
      <c r="M206" s="127"/>
      <c r="N206" s="127"/>
      <c r="O206" s="127"/>
      <c r="P206" s="127"/>
      <c r="Q206" s="127"/>
      <c r="R206" s="127"/>
      <c r="S206" s="127"/>
      <c r="T206" s="127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7"/>
      <c r="G207" s="127"/>
      <c r="H207" s="127"/>
      <c r="I207" s="127"/>
      <c r="J207" s="127"/>
      <c r="K207" s="127"/>
      <c r="L207" s="127"/>
      <c r="M207" s="127"/>
      <c r="N207" s="127"/>
      <c r="O207" s="127"/>
      <c r="P207" s="127"/>
      <c r="Q207" s="127"/>
      <c r="R207" s="127"/>
      <c r="S207" s="127"/>
      <c r="T207" s="127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7"/>
      <c r="G208" s="127"/>
      <c r="H208" s="127"/>
      <c r="I208" s="127"/>
      <c r="J208" s="127"/>
      <c r="K208" s="127"/>
      <c r="L208" s="127"/>
      <c r="M208" s="127"/>
      <c r="N208" s="127"/>
      <c r="O208" s="127"/>
      <c r="P208" s="127"/>
      <c r="Q208" s="127"/>
      <c r="R208" s="127"/>
      <c r="S208" s="127"/>
      <c r="T208" s="127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7"/>
      <c r="G209" s="127"/>
      <c r="H209" s="127"/>
      <c r="I209" s="127"/>
      <c r="J209" s="127"/>
      <c r="K209" s="127"/>
      <c r="L209" s="127"/>
      <c r="M209" s="127"/>
      <c r="N209" s="127"/>
      <c r="O209" s="127"/>
      <c r="P209" s="127"/>
      <c r="Q209" s="127"/>
      <c r="R209" s="127"/>
      <c r="S209" s="127"/>
      <c r="T209" s="127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7"/>
      <c r="G210" s="127"/>
      <c r="H210" s="127"/>
      <c r="I210" s="127"/>
      <c r="J210" s="127"/>
      <c r="K210" s="127"/>
      <c r="L210" s="127"/>
      <c r="M210" s="127"/>
      <c r="N210" s="127"/>
      <c r="O210" s="127"/>
      <c r="P210" s="127"/>
      <c r="Q210" s="127"/>
      <c r="R210" s="127"/>
      <c r="S210" s="127"/>
      <c r="T210" s="127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7"/>
      <c r="R211" s="127"/>
      <c r="S211" s="127"/>
      <c r="T211" s="127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7"/>
      <c r="G212" s="127"/>
      <c r="H212" s="127"/>
      <c r="I212" s="127"/>
      <c r="J212" s="127"/>
      <c r="K212" s="127"/>
      <c r="L212" s="127"/>
      <c r="M212" s="127"/>
      <c r="N212" s="127"/>
      <c r="O212" s="127"/>
      <c r="P212" s="127"/>
      <c r="Q212" s="127"/>
      <c r="R212" s="127"/>
      <c r="S212" s="127"/>
      <c r="T212" s="127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7"/>
      <c r="G213" s="127"/>
      <c r="H213" s="127"/>
      <c r="I213" s="127"/>
      <c r="J213" s="127"/>
      <c r="K213" s="127"/>
      <c r="L213" s="127"/>
      <c r="M213" s="127"/>
      <c r="N213" s="127"/>
      <c r="O213" s="127"/>
      <c r="P213" s="127"/>
      <c r="Q213" s="127"/>
      <c r="R213" s="127"/>
      <c r="S213" s="127"/>
      <c r="T213" s="127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7"/>
      <c r="G214" s="127"/>
      <c r="H214" s="127"/>
      <c r="I214" s="127"/>
      <c r="J214" s="127"/>
      <c r="K214" s="127"/>
      <c r="L214" s="127"/>
      <c r="M214" s="127"/>
      <c r="N214" s="127"/>
      <c r="O214" s="127"/>
      <c r="P214" s="127"/>
      <c r="Q214" s="127"/>
      <c r="R214" s="127"/>
      <c r="S214" s="127"/>
      <c r="T214" s="127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7"/>
      <c r="G215" s="127"/>
      <c r="H215" s="127"/>
      <c r="I215" s="127"/>
      <c r="J215" s="127"/>
      <c r="K215" s="127"/>
      <c r="L215" s="127"/>
      <c r="M215" s="127"/>
      <c r="N215" s="127"/>
      <c r="O215" s="127"/>
      <c r="P215" s="127"/>
      <c r="Q215" s="127"/>
      <c r="R215" s="127"/>
      <c r="S215" s="127"/>
      <c r="T215" s="127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7"/>
      <c r="G217" s="127"/>
      <c r="H217" s="127"/>
      <c r="I217" s="127"/>
      <c r="J217" s="127"/>
      <c r="K217" s="127"/>
      <c r="L217" s="127"/>
      <c r="M217" s="127"/>
      <c r="N217" s="127"/>
      <c r="O217" s="127"/>
      <c r="P217" s="127"/>
      <c r="Q217" s="127"/>
      <c r="R217" s="127"/>
      <c r="S217" s="127"/>
      <c r="T217" s="127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7"/>
      <c r="G218" s="127"/>
      <c r="H218" s="127"/>
      <c r="I218" s="127"/>
      <c r="J218" s="127"/>
      <c r="K218" s="127"/>
      <c r="L218" s="127"/>
      <c r="M218" s="127"/>
      <c r="N218" s="127"/>
      <c r="O218" s="127"/>
      <c r="P218" s="127"/>
      <c r="Q218" s="127"/>
      <c r="R218" s="127"/>
      <c r="S218" s="127"/>
      <c r="T218" s="127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7"/>
      <c r="G219" s="127"/>
      <c r="H219" s="127"/>
      <c r="I219" s="127"/>
      <c r="J219" s="127"/>
      <c r="K219" s="127"/>
      <c r="L219" s="127"/>
      <c r="M219" s="127"/>
      <c r="N219" s="127"/>
      <c r="O219" s="127"/>
      <c r="P219" s="127"/>
      <c r="Q219" s="127"/>
      <c r="R219" s="127"/>
      <c r="S219" s="127"/>
      <c r="T219" s="127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7"/>
      <c r="G221" s="127"/>
      <c r="H221" s="127"/>
      <c r="I221" s="127"/>
      <c r="J221" s="127"/>
      <c r="K221" s="127"/>
      <c r="L221" s="127"/>
      <c r="M221" s="127"/>
      <c r="N221" s="127"/>
      <c r="O221" s="127"/>
      <c r="P221" s="127"/>
      <c r="Q221" s="127"/>
      <c r="R221" s="127"/>
      <c r="S221" s="127"/>
      <c r="T221" s="127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7"/>
      <c r="G222" s="127"/>
      <c r="H222" s="127"/>
      <c r="I222" s="127"/>
      <c r="J222" s="127"/>
      <c r="K222" s="127"/>
      <c r="L222" s="127"/>
      <c r="M222" s="127"/>
      <c r="N222" s="127"/>
      <c r="O222" s="127"/>
      <c r="P222" s="127"/>
      <c r="Q222" s="127"/>
      <c r="R222" s="127"/>
      <c r="S222" s="127"/>
      <c r="T222" s="127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7"/>
      <c r="G223" s="127"/>
      <c r="H223" s="127"/>
      <c r="I223" s="127"/>
      <c r="J223" s="127"/>
      <c r="K223" s="127"/>
      <c r="L223" s="127"/>
      <c r="M223" s="127"/>
      <c r="N223" s="127"/>
      <c r="O223" s="127"/>
      <c r="P223" s="127"/>
      <c r="Q223" s="127"/>
      <c r="R223" s="127"/>
      <c r="S223" s="127"/>
      <c r="T223" s="127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7"/>
      <c r="G224" s="127"/>
      <c r="H224" s="127"/>
      <c r="I224" s="127"/>
      <c r="J224" s="127"/>
      <c r="K224" s="127"/>
      <c r="L224" s="127"/>
      <c r="M224" s="127"/>
      <c r="N224" s="127"/>
      <c r="O224" s="127"/>
      <c r="P224" s="127"/>
      <c r="Q224" s="127"/>
      <c r="R224" s="127"/>
      <c r="S224" s="127"/>
      <c r="T224" s="127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7"/>
      <c r="G225" s="127"/>
      <c r="H225" s="127"/>
      <c r="I225" s="127"/>
      <c r="J225" s="127"/>
      <c r="K225" s="127"/>
      <c r="L225" s="127"/>
      <c r="M225" s="127"/>
      <c r="N225" s="127"/>
      <c r="O225" s="127"/>
      <c r="P225" s="127"/>
      <c r="Q225" s="127"/>
      <c r="R225" s="127"/>
      <c r="S225" s="127"/>
      <c r="T225" s="127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7"/>
      <c r="G226" s="127"/>
      <c r="H226" s="127"/>
      <c r="I226" s="127"/>
      <c r="J226" s="127"/>
      <c r="K226" s="127"/>
      <c r="L226" s="127"/>
      <c r="M226" s="127"/>
      <c r="N226" s="127"/>
      <c r="O226" s="127"/>
      <c r="P226" s="127"/>
      <c r="Q226" s="127"/>
      <c r="R226" s="127"/>
      <c r="S226" s="127"/>
      <c r="T226" s="127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7"/>
      <c r="G227" s="127"/>
      <c r="H227" s="127"/>
      <c r="I227" s="127"/>
      <c r="J227" s="127"/>
      <c r="K227" s="127"/>
      <c r="L227" s="127"/>
      <c r="M227" s="127"/>
      <c r="N227" s="127"/>
      <c r="O227" s="127"/>
      <c r="P227" s="127"/>
      <c r="Q227" s="127"/>
      <c r="R227" s="127"/>
      <c r="S227" s="127"/>
      <c r="T227" s="127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7"/>
      <c r="G228" s="127"/>
      <c r="H228" s="127"/>
      <c r="I228" s="127"/>
      <c r="J228" s="127"/>
      <c r="K228" s="127"/>
      <c r="L228" s="127"/>
      <c r="M228" s="127"/>
      <c r="N228" s="127"/>
      <c r="O228" s="127"/>
      <c r="P228" s="127"/>
      <c r="Q228" s="127"/>
      <c r="R228" s="127"/>
      <c r="S228" s="127"/>
      <c r="T228" s="127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7"/>
      <c r="G229" s="127"/>
      <c r="H229" s="127"/>
      <c r="I229" s="127"/>
      <c r="J229" s="127"/>
      <c r="K229" s="127"/>
      <c r="L229" s="127"/>
      <c r="M229" s="127"/>
      <c r="N229" s="127"/>
      <c r="O229" s="127"/>
      <c r="P229" s="127"/>
      <c r="Q229" s="127"/>
      <c r="R229" s="127"/>
      <c r="S229" s="127"/>
      <c r="T229" s="127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7"/>
      <c r="G230" s="127"/>
      <c r="H230" s="127"/>
      <c r="I230" s="127"/>
      <c r="J230" s="127"/>
      <c r="K230" s="127"/>
      <c r="L230" s="127"/>
      <c r="M230" s="127"/>
      <c r="N230" s="127"/>
      <c r="O230" s="127"/>
      <c r="P230" s="127"/>
      <c r="Q230" s="127"/>
      <c r="R230" s="127"/>
      <c r="S230" s="127"/>
      <c r="T230" s="127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7"/>
      <c r="G231" s="127"/>
      <c r="H231" s="127"/>
      <c r="I231" s="127"/>
      <c r="J231" s="127"/>
      <c r="K231" s="127"/>
      <c r="L231" s="127"/>
      <c r="M231" s="127"/>
      <c r="N231" s="127"/>
      <c r="O231" s="127"/>
      <c r="P231" s="127"/>
      <c r="Q231" s="127"/>
      <c r="R231" s="127"/>
      <c r="S231" s="127"/>
      <c r="T231" s="127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7"/>
      <c r="G232" s="127"/>
      <c r="H232" s="127"/>
      <c r="I232" s="127"/>
      <c r="J232" s="127"/>
      <c r="K232" s="127"/>
      <c r="L232" s="127"/>
      <c r="M232" s="127"/>
      <c r="N232" s="127"/>
      <c r="O232" s="127"/>
      <c r="P232" s="127"/>
      <c r="Q232" s="127"/>
      <c r="R232" s="127"/>
      <c r="S232" s="127"/>
      <c r="T232" s="127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7"/>
      <c r="G233" s="127"/>
      <c r="H233" s="127"/>
      <c r="I233" s="127"/>
      <c r="J233" s="127"/>
      <c r="K233" s="127"/>
      <c r="L233" s="127"/>
      <c r="M233" s="127"/>
      <c r="N233" s="127"/>
      <c r="O233" s="127"/>
      <c r="P233" s="127"/>
      <c r="Q233" s="127"/>
      <c r="R233" s="127"/>
      <c r="S233" s="127"/>
      <c r="T233" s="127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7"/>
      <c r="G234" s="127"/>
      <c r="H234" s="127"/>
      <c r="I234" s="127"/>
      <c r="J234" s="127"/>
      <c r="K234" s="127"/>
      <c r="L234" s="127"/>
      <c r="M234" s="127"/>
      <c r="N234" s="127"/>
      <c r="O234" s="127"/>
      <c r="P234" s="127"/>
      <c r="Q234" s="127"/>
      <c r="R234" s="127"/>
      <c r="S234" s="127"/>
      <c r="T234" s="127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7"/>
      <c r="G235" s="127"/>
      <c r="H235" s="127"/>
      <c r="I235" s="127"/>
      <c r="J235" s="127"/>
      <c r="K235" s="127"/>
      <c r="L235" s="127"/>
      <c r="M235" s="127"/>
      <c r="N235" s="127"/>
      <c r="O235" s="127"/>
      <c r="P235" s="127"/>
      <c r="Q235" s="127"/>
      <c r="R235" s="127"/>
      <c r="S235" s="127"/>
      <c r="T235" s="127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7"/>
      <c r="G236" s="127"/>
      <c r="H236" s="127"/>
      <c r="I236" s="127"/>
      <c r="J236" s="127"/>
      <c r="K236" s="127"/>
      <c r="L236" s="127"/>
      <c r="M236" s="127"/>
      <c r="N236" s="127"/>
      <c r="O236" s="127"/>
      <c r="P236" s="127"/>
      <c r="Q236" s="127"/>
      <c r="R236" s="127"/>
      <c r="S236" s="127"/>
      <c r="T236" s="127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7"/>
      <c r="G237" s="127"/>
      <c r="H237" s="127"/>
      <c r="I237" s="127"/>
      <c r="J237" s="127"/>
      <c r="K237" s="127"/>
      <c r="L237" s="127"/>
      <c r="M237" s="127"/>
      <c r="N237" s="127"/>
      <c r="O237" s="127"/>
      <c r="P237" s="127"/>
      <c r="Q237" s="127"/>
      <c r="R237" s="127"/>
      <c r="S237" s="127"/>
      <c r="T237" s="127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7"/>
      <c r="G238" s="127"/>
      <c r="H238" s="127"/>
      <c r="I238" s="127"/>
      <c r="J238" s="127"/>
      <c r="K238" s="127"/>
      <c r="L238" s="127"/>
      <c r="M238" s="127"/>
      <c r="N238" s="127"/>
      <c r="O238" s="127"/>
      <c r="P238" s="127"/>
      <c r="Q238" s="127"/>
      <c r="R238" s="127"/>
      <c r="S238" s="127"/>
      <c r="T238" s="127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7"/>
      <c r="G239" s="127"/>
      <c r="H239" s="127"/>
      <c r="I239" s="127"/>
      <c r="J239" s="127"/>
      <c r="K239" s="127"/>
      <c r="L239" s="127"/>
      <c r="M239" s="127"/>
      <c r="N239" s="127"/>
      <c r="O239" s="127"/>
      <c r="P239" s="127"/>
      <c r="Q239" s="127"/>
      <c r="R239" s="127"/>
      <c r="S239" s="127"/>
      <c r="T239" s="127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7"/>
      <c r="G240" s="127"/>
      <c r="H240" s="127"/>
      <c r="I240" s="127"/>
      <c r="J240" s="127"/>
      <c r="K240" s="127"/>
      <c r="L240" s="127"/>
      <c r="M240" s="127"/>
      <c r="N240" s="127"/>
      <c r="O240" s="127"/>
      <c r="P240" s="127"/>
      <c r="Q240" s="127"/>
      <c r="R240" s="127"/>
      <c r="S240" s="127"/>
      <c r="T240" s="127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7"/>
      <c r="G241" s="127"/>
      <c r="H241" s="127"/>
      <c r="I241" s="127"/>
      <c r="J241" s="127"/>
      <c r="K241" s="127"/>
      <c r="L241" s="127"/>
      <c r="M241" s="127"/>
      <c r="N241" s="127"/>
      <c r="O241" s="127"/>
      <c r="P241" s="127"/>
      <c r="Q241" s="127"/>
      <c r="R241" s="127"/>
      <c r="S241" s="127"/>
      <c r="T241" s="127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7"/>
      <c r="G242" s="127"/>
      <c r="H242" s="127"/>
      <c r="I242" s="127"/>
      <c r="J242" s="127"/>
      <c r="K242" s="127"/>
      <c r="L242" s="127"/>
      <c r="M242" s="127"/>
      <c r="N242" s="127"/>
      <c r="O242" s="127"/>
      <c r="P242" s="127"/>
      <c r="Q242" s="127"/>
      <c r="R242" s="127"/>
      <c r="S242" s="127"/>
      <c r="T242" s="127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7"/>
      <c r="G243" s="127"/>
      <c r="H243" s="127"/>
      <c r="I243" s="127"/>
      <c r="J243" s="127"/>
      <c r="K243" s="127"/>
      <c r="L243" s="127"/>
      <c r="M243" s="127"/>
      <c r="N243" s="127"/>
      <c r="O243" s="127"/>
      <c r="P243" s="127"/>
      <c r="Q243" s="127"/>
      <c r="R243" s="127"/>
      <c r="S243" s="127"/>
      <c r="T243" s="127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7"/>
      <c r="G244" s="127"/>
      <c r="H244" s="127"/>
      <c r="I244" s="127"/>
      <c r="J244" s="127"/>
      <c r="K244" s="127"/>
      <c r="L244" s="127"/>
      <c r="M244" s="127"/>
      <c r="N244" s="127"/>
      <c r="O244" s="127"/>
      <c r="P244" s="127"/>
      <c r="Q244" s="127"/>
      <c r="R244" s="127"/>
      <c r="S244" s="127"/>
      <c r="T244" s="127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7"/>
      <c r="G245" s="127"/>
      <c r="H245" s="127"/>
      <c r="I245" s="127"/>
      <c r="J245" s="127"/>
      <c r="K245" s="127"/>
      <c r="L245" s="127"/>
      <c r="M245" s="127"/>
      <c r="N245" s="127"/>
      <c r="O245" s="127"/>
      <c r="P245" s="127"/>
      <c r="Q245" s="127"/>
      <c r="R245" s="127"/>
      <c r="S245" s="127"/>
      <c r="T245" s="127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7"/>
      <c r="G246" s="127"/>
      <c r="H246" s="127"/>
      <c r="I246" s="127"/>
      <c r="J246" s="127"/>
      <c r="K246" s="127"/>
      <c r="L246" s="127"/>
      <c r="M246" s="127"/>
      <c r="N246" s="127"/>
      <c r="O246" s="127"/>
      <c r="P246" s="127"/>
      <c r="Q246" s="127"/>
      <c r="R246" s="127"/>
      <c r="S246" s="127"/>
      <c r="T246" s="127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7"/>
      <c r="G247" s="127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7"/>
      <c r="G248" s="127"/>
      <c r="H248" s="127"/>
      <c r="I248" s="127"/>
      <c r="J248" s="127"/>
      <c r="K248" s="127"/>
      <c r="L248" s="127"/>
      <c r="M248" s="127"/>
      <c r="N248" s="127"/>
      <c r="O248" s="127"/>
      <c r="P248" s="127"/>
      <c r="Q248" s="127"/>
      <c r="R248" s="127"/>
      <c r="S248" s="127"/>
      <c r="T248" s="127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7"/>
      <c r="G249" s="127"/>
      <c r="H249" s="127"/>
      <c r="I249" s="127"/>
      <c r="J249" s="127"/>
      <c r="K249" s="127"/>
      <c r="L249" s="127"/>
      <c r="M249" s="127"/>
      <c r="N249" s="127"/>
      <c r="O249" s="127"/>
      <c r="P249" s="127"/>
      <c r="Q249" s="127"/>
      <c r="R249" s="127"/>
      <c r="S249" s="127"/>
      <c r="T249" s="127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7"/>
      <c r="G250" s="127"/>
      <c r="H250" s="127"/>
      <c r="I250" s="127"/>
      <c r="J250" s="127"/>
      <c r="K250" s="127"/>
      <c r="L250" s="127"/>
      <c r="M250" s="127"/>
      <c r="N250" s="127"/>
      <c r="O250" s="127"/>
      <c r="P250" s="127"/>
      <c r="Q250" s="127"/>
      <c r="R250" s="127"/>
      <c r="S250" s="127"/>
      <c r="T250" s="127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7"/>
      <c r="G251" s="127"/>
      <c r="H251" s="127"/>
      <c r="I251" s="127"/>
      <c r="J251" s="127"/>
      <c r="K251" s="127"/>
      <c r="L251" s="127"/>
      <c r="M251" s="127"/>
      <c r="N251" s="127"/>
      <c r="O251" s="127"/>
      <c r="P251" s="127"/>
      <c r="Q251" s="127"/>
      <c r="R251" s="127"/>
      <c r="S251" s="127"/>
      <c r="T251" s="127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7"/>
      <c r="G252" s="127"/>
      <c r="H252" s="127"/>
      <c r="I252" s="127"/>
      <c r="J252" s="127"/>
      <c r="K252" s="127"/>
      <c r="L252" s="127"/>
      <c r="M252" s="127"/>
      <c r="N252" s="127"/>
      <c r="O252" s="127"/>
      <c r="P252" s="127"/>
      <c r="Q252" s="127"/>
      <c r="R252" s="127"/>
      <c r="S252" s="127"/>
      <c r="T252" s="127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7"/>
      <c r="G253" s="127"/>
      <c r="H253" s="127"/>
      <c r="I253" s="127"/>
      <c r="J253" s="127"/>
      <c r="K253" s="127"/>
      <c r="L253" s="127"/>
      <c r="M253" s="127"/>
      <c r="N253" s="127"/>
      <c r="O253" s="127"/>
      <c r="P253" s="127"/>
      <c r="Q253" s="127"/>
      <c r="R253" s="127"/>
      <c r="S253" s="127"/>
      <c r="T253" s="127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7"/>
      <c r="G254" s="127"/>
      <c r="H254" s="127"/>
      <c r="I254" s="127"/>
      <c r="J254" s="127"/>
      <c r="K254" s="127"/>
      <c r="L254" s="127"/>
      <c r="M254" s="127"/>
      <c r="N254" s="127"/>
      <c r="O254" s="127"/>
      <c r="P254" s="127"/>
      <c r="Q254" s="127"/>
      <c r="R254" s="127"/>
      <c r="S254" s="127"/>
      <c r="T254" s="127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7"/>
      <c r="G255" s="127"/>
      <c r="H255" s="127"/>
      <c r="I255" s="127"/>
      <c r="J255" s="127"/>
      <c r="K255" s="127"/>
      <c r="L255" s="127"/>
      <c r="M255" s="127"/>
      <c r="N255" s="127"/>
      <c r="O255" s="127"/>
      <c r="P255" s="127"/>
      <c r="Q255" s="127"/>
      <c r="R255" s="127"/>
      <c r="S255" s="127"/>
      <c r="T255" s="127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7"/>
      <c r="G256" s="127"/>
      <c r="H256" s="127"/>
      <c r="I256" s="127"/>
      <c r="J256" s="127"/>
      <c r="K256" s="127"/>
      <c r="L256" s="127"/>
      <c r="M256" s="127"/>
      <c r="N256" s="127"/>
      <c r="O256" s="127"/>
      <c r="P256" s="127"/>
      <c r="Q256" s="127"/>
      <c r="R256" s="127"/>
      <c r="S256" s="127"/>
      <c r="T256" s="127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7"/>
      <c r="G257" s="127"/>
      <c r="H257" s="127"/>
      <c r="I257" s="127"/>
      <c r="J257" s="127"/>
      <c r="K257" s="127"/>
      <c r="L257" s="127"/>
      <c r="M257" s="127"/>
      <c r="N257" s="127"/>
      <c r="O257" s="127"/>
      <c r="P257" s="127"/>
      <c r="Q257" s="127"/>
      <c r="R257" s="127"/>
      <c r="S257" s="127"/>
      <c r="T257" s="127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7"/>
      <c r="G258" s="127"/>
      <c r="H258" s="127"/>
      <c r="I258" s="127"/>
      <c r="J258" s="127"/>
      <c r="K258" s="127"/>
      <c r="L258" s="127"/>
      <c r="M258" s="127"/>
      <c r="N258" s="127"/>
      <c r="O258" s="127"/>
      <c r="P258" s="127"/>
      <c r="Q258" s="127"/>
      <c r="R258" s="127"/>
      <c r="S258" s="127"/>
      <c r="T258" s="127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7"/>
      <c r="G259" s="127"/>
      <c r="H259" s="127"/>
      <c r="I259" s="127"/>
      <c r="J259" s="127"/>
      <c r="K259" s="127"/>
      <c r="L259" s="127"/>
      <c r="M259" s="127"/>
      <c r="N259" s="127"/>
      <c r="O259" s="127"/>
      <c r="P259" s="127"/>
      <c r="Q259" s="127"/>
      <c r="R259" s="127"/>
      <c r="S259" s="127"/>
      <c r="T259" s="127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7"/>
      <c r="G260" s="127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27"/>
      <c r="T260" s="127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7"/>
      <c r="G261" s="127"/>
      <c r="H261" s="127"/>
      <c r="I261" s="127"/>
      <c r="J261" s="127"/>
      <c r="K261" s="127"/>
      <c r="L261" s="127"/>
      <c r="M261" s="127"/>
      <c r="N261" s="127"/>
      <c r="O261" s="127"/>
      <c r="P261" s="127"/>
      <c r="Q261" s="127"/>
      <c r="R261" s="127"/>
      <c r="S261" s="127"/>
      <c r="T261" s="127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7"/>
      <c r="G262" s="127"/>
      <c r="H262" s="127"/>
      <c r="I262" s="127"/>
      <c r="J262" s="127"/>
      <c r="K262" s="127"/>
      <c r="L262" s="127"/>
      <c r="M262" s="127"/>
      <c r="N262" s="127"/>
      <c r="O262" s="127"/>
      <c r="P262" s="127"/>
      <c r="Q262" s="127"/>
      <c r="R262" s="127"/>
      <c r="S262" s="127"/>
      <c r="T262" s="127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7"/>
      <c r="G263" s="127"/>
      <c r="H263" s="127"/>
      <c r="I263" s="127"/>
      <c r="J263" s="127"/>
      <c r="K263" s="127"/>
      <c r="L263" s="127"/>
      <c r="M263" s="127"/>
      <c r="N263" s="127"/>
      <c r="O263" s="127"/>
      <c r="P263" s="127"/>
      <c r="Q263" s="127"/>
      <c r="R263" s="127"/>
      <c r="S263" s="127"/>
      <c r="T263" s="127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7"/>
      <c r="G264" s="127"/>
      <c r="H264" s="127"/>
      <c r="I264" s="127"/>
      <c r="J264" s="127"/>
      <c r="K264" s="127"/>
      <c r="L264" s="127"/>
      <c r="M264" s="127"/>
      <c r="N264" s="127"/>
      <c r="O264" s="127"/>
      <c r="P264" s="127"/>
      <c r="Q264" s="127"/>
      <c r="R264" s="127"/>
      <c r="S264" s="127"/>
      <c r="T264" s="127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7"/>
      <c r="G265" s="127"/>
      <c r="H265" s="127"/>
      <c r="I265" s="127"/>
      <c r="J265" s="127"/>
      <c r="K265" s="127"/>
      <c r="L265" s="127"/>
      <c r="M265" s="127"/>
      <c r="N265" s="127"/>
      <c r="O265" s="127"/>
      <c r="P265" s="127"/>
      <c r="Q265" s="127"/>
      <c r="R265" s="127"/>
      <c r="S265" s="127"/>
      <c r="T265" s="127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7"/>
      <c r="G266" s="127"/>
      <c r="H266" s="127"/>
      <c r="I266" s="127"/>
      <c r="J266" s="127"/>
      <c r="K266" s="127"/>
      <c r="L266" s="127"/>
      <c r="M266" s="127"/>
      <c r="N266" s="127"/>
      <c r="O266" s="127"/>
      <c r="P266" s="127"/>
      <c r="Q266" s="127"/>
      <c r="R266" s="127"/>
      <c r="S266" s="127"/>
      <c r="T266" s="127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7"/>
      <c r="G267" s="127"/>
      <c r="H267" s="127"/>
      <c r="I267" s="127"/>
      <c r="J267" s="127"/>
      <c r="K267" s="127"/>
      <c r="L267" s="127"/>
      <c r="M267" s="127"/>
      <c r="N267" s="127"/>
      <c r="O267" s="127"/>
      <c r="P267" s="127"/>
      <c r="Q267" s="127"/>
      <c r="R267" s="127"/>
      <c r="S267" s="127"/>
      <c r="T267" s="127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8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2"/>
  <sheetViews>
    <sheetView showGridLines="0" showRowColHeaders="0" zoomScaleNormal="100" workbookViewId="0">
      <selection activeCell="A20" sqref="A20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29" t="s">
        <v>212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9" t="s">
        <v>95</v>
      </c>
    </row>
    <row r="7" spans="1:4" ht="15" thickBot="1" x14ac:dyDescent="0.4">
      <c r="A7" s="47" t="s">
        <v>93</v>
      </c>
      <c r="B7" s="129" t="s">
        <v>95</v>
      </c>
    </row>
    <row r="8" spans="1:4" ht="15" thickBot="1" x14ac:dyDescent="0.4">
      <c r="A8" s="47" t="s">
        <v>94</v>
      </c>
      <c r="B8" s="129" t="s">
        <v>95</v>
      </c>
    </row>
    <row r="9" spans="1:4" ht="15" thickBot="1" x14ac:dyDescent="0.4">
      <c r="A9" s="48" t="s">
        <v>29</v>
      </c>
      <c r="B9" s="130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9" t="s">
        <v>138</v>
      </c>
    </row>
    <row r="13" spans="1:4" ht="15" thickBot="1" x14ac:dyDescent="0.4">
      <c r="A13" s="34" t="s">
        <v>97</v>
      </c>
      <c r="B13" s="126" t="s">
        <v>218</v>
      </c>
    </row>
    <row r="14" spans="1:4" ht="15" thickBot="1" x14ac:dyDescent="0.4">
      <c r="A14" s="48" t="s">
        <v>98</v>
      </c>
      <c r="B14" s="126" t="s">
        <v>217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0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7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14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21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28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35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42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49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56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63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70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77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84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1"/>
  <sheetViews>
    <sheetView showGridLines="0" showRowColHeaders="0" workbookViewId="0">
      <selection activeCell="Y1" sqref="Y1:XFD1048576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166</v>
      </c>
    </row>
    <row r="2" spans="1:24" x14ac:dyDescent="0.35"/>
    <row r="3" spans="1:24" ht="15" thickBot="1" x14ac:dyDescent="0.4"/>
    <row r="4" spans="1:24" ht="29.5" thickBot="1" x14ac:dyDescent="0.4">
      <c r="B4" s="89" t="str">
        <f>Setup!B15</f>
        <v>Caseloads</v>
      </c>
      <c r="C4" s="90" t="s">
        <v>187</v>
      </c>
      <c r="D4" s="90" t="s">
        <v>180</v>
      </c>
      <c r="E4" s="89" t="s">
        <v>161</v>
      </c>
      <c r="F4" s="89" t="s">
        <v>162</v>
      </c>
      <c r="G4" s="89" t="s">
        <v>88</v>
      </c>
      <c r="H4" s="89" t="s">
        <v>167</v>
      </c>
      <c r="I4" s="89" t="s">
        <v>178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x14ac:dyDescent="0.35">
      <c r="B5" s="37" t="str">
        <f>Setup!A20</f>
        <v>20 Group Sessions</v>
      </c>
      <c r="C5" s="131">
        <v>30</v>
      </c>
      <c r="D5" s="131">
        <v>110</v>
      </c>
      <c r="E5" s="132">
        <v>0</v>
      </c>
      <c r="F5" s="132">
        <v>7</v>
      </c>
      <c r="G5" s="124" t="s">
        <v>164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04">
        <f>MAX(0,D5-J5)</f>
        <v>10.25</v>
      </c>
      <c r="N5" s="104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12.8125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5.8571428571428577</v>
      </c>
      <c r="T5" s="24" t="str">
        <f>IF(TEXT(P5,"#")="",0,TEXT(P5,"#"))&amp;" - "&amp;IF(TEXT(Q5,"#")="",0,TEXT(Q5,"#"))</f>
        <v>0 - 13</v>
      </c>
      <c r="U5" s="24" t="str">
        <f>IF(TEXT(R5,"#")="",0,TEXT(R5,"#"))&amp;" - "&amp;IF(TEXT(S5,"#")="",0,TEXT(S5,"#"))</f>
        <v>0 - 6</v>
      </c>
      <c r="V5" s="24">
        <f>P5+R5</f>
        <v>0</v>
      </c>
      <c r="W5" s="24">
        <f>Q5+S5</f>
        <v>18.669642857142858</v>
      </c>
      <c r="X5" s="24" t="str">
        <f>IF(TEXT(P5+R5,"#")="",0,TEXT(P5+R5,"#"))&amp;" - "&amp;IF(TEXT(Q5+S5,"#")="",0,TEXT(Q5+S5,"#"))</f>
        <v>0 - 19</v>
      </c>
    </row>
    <row r="6" spans="1:24" x14ac:dyDescent="0.35">
      <c r="B6" s="47" t="str">
        <f>Setup!A21</f>
        <v>40 Group Session</v>
      </c>
      <c r="C6" s="133">
        <v>45</v>
      </c>
      <c r="D6" s="133">
        <v>210</v>
      </c>
      <c r="E6" s="134">
        <v>0</v>
      </c>
      <c r="F6" s="134">
        <v>2</v>
      </c>
      <c r="G6" s="125" t="s">
        <v>165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04">
        <f t="shared" ref="M6:M20" si="5">MAX(0,D6-J6)</f>
        <v>0</v>
      </c>
      <c r="N6" s="104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x14ac:dyDescent="0.35">
      <c r="B7" s="47" t="str">
        <f>Setup!A22</f>
        <v>8 Group Session</v>
      </c>
      <c r="C7" s="133">
        <v>20</v>
      </c>
      <c r="D7" s="133">
        <v>10</v>
      </c>
      <c r="E7" s="134">
        <v>0</v>
      </c>
      <c r="F7" s="134">
        <v>7</v>
      </c>
      <c r="G7" s="125" t="s">
        <v>219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04">
        <f t="shared" si="5"/>
        <v>0</v>
      </c>
      <c r="N7" s="104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x14ac:dyDescent="0.35">
      <c r="B8" s="47" t="str">
        <f>Setup!A23</f>
        <v>20 Individual</v>
      </c>
      <c r="C8" s="133">
        <v>21</v>
      </c>
      <c r="D8" s="133">
        <v>256</v>
      </c>
      <c r="E8" s="134">
        <v>0</v>
      </c>
      <c r="F8" s="134">
        <v>7</v>
      </c>
      <c r="G8" s="125" t="s">
        <v>219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04">
        <f t="shared" si="5"/>
        <v>186.17500000000001</v>
      </c>
      <c r="N8" s="104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134.11874999999998</v>
      </c>
      <c r="Q8" s="24">
        <f>(M8*INDEX(Service!$B$6:$J$80,MATCH(B8,Service!$B$6:$B$80,0),8))/IF(Summary!$B$7="hours",60,1)</f>
        <v>139.63124999999999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134 - 140</v>
      </c>
      <c r="U8" s="24" t="str">
        <f t="shared" si="9"/>
        <v>0 - 0</v>
      </c>
      <c r="V8" s="24">
        <f t="shared" si="10"/>
        <v>134.11874999999998</v>
      </c>
      <c r="W8" s="24">
        <f t="shared" si="11"/>
        <v>139.63124999999999</v>
      </c>
      <c r="X8" s="24" t="str">
        <f t="shared" si="12"/>
        <v>134 - 140</v>
      </c>
    </row>
    <row r="9" spans="1:24" ht="15" thickBot="1" x14ac:dyDescent="0.4">
      <c r="B9" s="47" t="str">
        <f>Setup!A24</f>
        <v>40 Individual</v>
      </c>
      <c r="C9" s="133">
        <v>15</v>
      </c>
      <c r="D9" s="133">
        <v>55</v>
      </c>
      <c r="E9" s="134">
        <v>0</v>
      </c>
      <c r="F9" s="134">
        <v>7</v>
      </c>
      <c r="G9" s="125" t="s">
        <v>219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04">
        <f t="shared" si="5"/>
        <v>5.125</v>
      </c>
      <c r="N9" s="104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5.125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0 - 5</v>
      </c>
      <c r="U9" s="24" t="str">
        <f t="shared" si="9"/>
        <v>0 - 0</v>
      </c>
      <c r="V9" s="24">
        <f t="shared" si="10"/>
        <v>0</v>
      </c>
      <c r="W9" s="24">
        <f t="shared" si="11"/>
        <v>5.125</v>
      </c>
      <c r="X9" s="24" t="str">
        <f t="shared" si="12"/>
        <v>0 - 5</v>
      </c>
    </row>
    <row r="10" spans="1:24" hidden="1" x14ac:dyDescent="0.35">
      <c r="B10" s="47" t="str">
        <f>Setup!A25</f>
        <v>Caseload 6</v>
      </c>
      <c r="C10" s="135"/>
      <c r="D10" s="133"/>
      <c r="E10" s="134"/>
      <c r="F10" s="134"/>
      <c r="G10" s="125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04">
        <f t="shared" si="5"/>
        <v>0</v>
      </c>
      <c r="N10" s="104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hidden="1" x14ac:dyDescent="0.35">
      <c r="B11" s="47" t="str">
        <f>Setup!A26</f>
        <v>Caseload 7</v>
      </c>
      <c r="C11" s="135"/>
      <c r="D11" s="133"/>
      <c r="E11" s="134"/>
      <c r="F11" s="134"/>
      <c r="G11" s="125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04">
        <f t="shared" si="5"/>
        <v>0</v>
      </c>
      <c r="N11" s="104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hidden="1" x14ac:dyDescent="0.35">
      <c r="B12" s="47" t="str">
        <f>Setup!A27</f>
        <v>Caseload 8</v>
      </c>
      <c r="C12" s="135"/>
      <c r="D12" s="133"/>
      <c r="E12" s="134"/>
      <c r="F12" s="134"/>
      <c r="G12" s="125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04">
        <f t="shared" si="5"/>
        <v>0</v>
      </c>
      <c r="N12" s="104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hidden="1" x14ac:dyDescent="0.35">
      <c r="B13" s="47" t="str">
        <f>Setup!A28</f>
        <v>Caseload 9</v>
      </c>
      <c r="C13" s="135"/>
      <c r="D13" s="133"/>
      <c r="E13" s="134"/>
      <c r="F13" s="134"/>
      <c r="G13" s="125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04">
        <f t="shared" si="5"/>
        <v>0</v>
      </c>
      <c r="N13" s="104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hidden="1" x14ac:dyDescent="0.35">
      <c r="B14" s="47" t="str">
        <f>Setup!A29</f>
        <v>Caseload 10</v>
      </c>
      <c r="C14" s="135"/>
      <c r="D14" s="133"/>
      <c r="E14" s="134"/>
      <c r="F14" s="134"/>
      <c r="G14" s="125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04">
        <f t="shared" si="5"/>
        <v>0</v>
      </c>
      <c r="N14" s="104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hidden="1" x14ac:dyDescent="0.35">
      <c r="B15" s="47" t="str">
        <f>Setup!A30</f>
        <v>Caseload 11</v>
      </c>
      <c r="C15" s="135"/>
      <c r="D15" s="133"/>
      <c r="E15" s="134"/>
      <c r="F15" s="134"/>
      <c r="G15" s="125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04">
        <f t="shared" si="5"/>
        <v>0</v>
      </c>
      <c r="N15" s="104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hidden="1" x14ac:dyDescent="0.35">
      <c r="B16" s="47" t="str">
        <f>Setup!A31</f>
        <v>Caseload 12</v>
      </c>
      <c r="C16" s="135"/>
      <c r="D16" s="133"/>
      <c r="E16" s="134"/>
      <c r="F16" s="134"/>
      <c r="G16" s="125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04">
        <f t="shared" si="5"/>
        <v>0</v>
      </c>
      <c r="N16" s="104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2:24" hidden="1" x14ac:dyDescent="0.35">
      <c r="B17" s="47" t="str">
        <f>Setup!A32</f>
        <v>Caseload 13</v>
      </c>
      <c r="C17" s="135"/>
      <c r="D17" s="133"/>
      <c r="E17" s="134"/>
      <c r="F17" s="134"/>
      <c r="G17" s="125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04">
        <f t="shared" si="5"/>
        <v>0</v>
      </c>
      <c r="N17" s="104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2:24" hidden="1" x14ac:dyDescent="0.35">
      <c r="B18" s="47" t="str">
        <f>Setup!A33</f>
        <v>Caseload 14</v>
      </c>
      <c r="C18" s="135"/>
      <c r="D18" s="133"/>
      <c r="E18" s="134"/>
      <c r="F18" s="134"/>
      <c r="G18" s="125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04">
        <f t="shared" si="5"/>
        <v>0</v>
      </c>
      <c r="N18" s="104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2:24" ht="15" hidden="1" thickBot="1" x14ac:dyDescent="0.4">
      <c r="B19" s="48" t="str">
        <f>Setup!A34</f>
        <v>Caseload 15</v>
      </c>
      <c r="C19" s="136"/>
      <c r="D19" s="133"/>
      <c r="E19" s="137"/>
      <c r="F19" s="137"/>
      <c r="G19" s="130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04">
        <f t="shared" si="5"/>
        <v>0</v>
      </c>
      <c r="N19" s="104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2:24" ht="15" thickBot="1" x14ac:dyDescent="0.4">
      <c r="B20" s="92" t="s">
        <v>181</v>
      </c>
      <c r="C20" s="123">
        <v>60</v>
      </c>
      <c r="D20" s="123">
        <v>195</v>
      </c>
      <c r="E20" s="123">
        <v>0</v>
      </c>
      <c r="F20" s="123">
        <v>1</v>
      </c>
      <c r="G20" s="129" t="s">
        <v>165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04">
        <f t="shared" si="5"/>
        <v>0</v>
      </c>
      <c r="N20" s="104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2:24" x14ac:dyDescent="0.35"/>
  </sheetData>
  <sheetProtection algorithmName="SHA-512" hashValue="FDlrvLPHSwwJZpP7QoqbXvasIDVMkyQqfxBbbb4Ga1qWbyxdbMpqqmlLW8gnoLk59L2j/TZLsKqzTbcJIZxB6g==" saltValue="65FBMTAW5cZfJ4Bo+xYBHQ==" spinCount="100000" sheet="1" objects="1" scenarios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showRowColHeaders="0" zoomScaleNormal="100" workbookViewId="0">
      <selection activeCell="D3" sqref="D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197</v>
      </c>
      <c r="C3" s="138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160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9" t="s">
        <v>220</v>
      </c>
      <c r="D6" s="140">
        <v>120</v>
      </c>
      <c r="E6" s="140">
        <v>7</v>
      </c>
      <c r="F6" s="141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4">
        <f>SUMIF($E$6:$E$10,1,$H$6:$H$10)</f>
        <v>75</v>
      </c>
      <c r="J6" s="171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2" t="s">
        <v>221</v>
      </c>
      <c r="D7" s="143">
        <v>15</v>
      </c>
      <c r="E7" s="143">
        <v>1</v>
      </c>
      <c r="F7" s="144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5"/>
      <c r="J7" s="172"/>
    </row>
    <row r="8" spans="1:10" x14ac:dyDescent="0.35">
      <c r="B8" s="94" t="str" cm="1">
        <f t="array" ref="B8">INDEX('Data Validation (Hide)'!$B$2:$B$16,ROUNDUP(ROW(A3)/5,0),1)</f>
        <v>20 Group Sessions</v>
      </c>
      <c r="C8" s="142" t="s">
        <v>220</v>
      </c>
      <c r="D8" s="143">
        <v>120</v>
      </c>
      <c r="E8" s="143">
        <v>7</v>
      </c>
      <c r="F8" s="144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5"/>
      <c r="J8" s="172"/>
    </row>
    <row r="9" spans="1:10" x14ac:dyDescent="0.35">
      <c r="B9" s="109" t="str" cm="1">
        <f t="array" ref="B9">INDEX('Data Validation (Hide)'!$B$2:$B$16,ROUNDUP(ROW(A4)/5,0),1)</f>
        <v>20 Group Sessions</v>
      </c>
      <c r="C9" s="142"/>
      <c r="D9" s="143"/>
      <c r="E9" s="143"/>
      <c r="F9" s="144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5"/>
      <c r="J9" s="172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5"/>
      <c r="D10" s="146"/>
      <c r="E10" s="146"/>
      <c r="F10" s="147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6"/>
      <c r="J10" s="173"/>
    </row>
    <row r="11" spans="1:10" x14ac:dyDescent="0.35">
      <c r="B11" s="95" t="str" cm="1">
        <f t="array" ref="B11">INDEX('Data Validation (Hide)'!$B$2:$B$16,ROUNDUP(ROW(A6)/5,0),1)</f>
        <v>40 Group Session</v>
      </c>
      <c r="C11" s="139" t="s">
        <v>222</v>
      </c>
      <c r="D11" s="140">
        <v>120</v>
      </c>
      <c r="E11" s="140">
        <v>7</v>
      </c>
      <c r="F11" s="141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4">
        <f>SUMIF($E$11:$E$15,1,$H$11:$H$15)</f>
        <v>120</v>
      </c>
      <c r="J11" s="174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2" t="s">
        <v>223</v>
      </c>
      <c r="D12" s="143">
        <v>120</v>
      </c>
      <c r="E12" s="143">
        <v>1</v>
      </c>
      <c r="F12" s="144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5"/>
      <c r="J12" s="175"/>
    </row>
    <row r="13" spans="1:10" x14ac:dyDescent="0.35">
      <c r="B13" s="94" t="str" cm="1">
        <f t="array" ref="B13">INDEX('Data Validation (Hide)'!$B$2:$B$16,ROUNDUP(ROW(A8)/5,0),1)</f>
        <v>40 Group Session</v>
      </c>
      <c r="C13" s="142"/>
      <c r="D13" s="143"/>
      <c r="E13" s="143"/>
      <c r="F13" s="144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5"/>
      <c r="J13" s="175"/>
    </row>
    <row r="14" spans="1:10" x14ac:dyDescent="0.35">
      <c r="B14" s="96" t="str" cm="1">
        <f t="array" ref="B14">INDEX('Data Validation (Hide)'!$B$2:$B$16,ROUNDUP(ROW(A9)/5,0),1)</f>
        <v>40 Group Session</v>
      </c>
      <c r="C14" s="142"/>
      <c r="D14" s="143"/>
      <c r="E14" s="143"/>
      <c r="F14" s="144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5"/>
      <c r="J14" s="175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5"/>
      <c r="D15" s="146"/>
      <c r="E15" s="146"/>
      <c r="F15" s="147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6"/>
      <c r="J15" s="176"/>
    </row>
    <row r="16" spans="1:10" x14ac:dyDescent="0.35">
      <c r="B16" s="95" t="str" cm="1">
        <f t="array" ref="B16">INDEX('Data Validation (Hide)'!$B$2:$B$16,ROUNDUP(ROW(A11)/5,0),1)</f>
        <v>8 Group Session</v>
      </c>
      <c r="C16" s="139" t="s">
        <v>220</v>
      </c>
      <c r="D16" s="140">
        <v>240</v>
      </c>
      <c r="E16" s="140">
        <v>7</v>
      </c>
      <c r="F16" s="141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4">
        <f>SUMIF($E$16:$E$20,1,$H$16:$H$20)</f>
        <v>0</v>
      </c>
      <c r="J16" s="174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2"/>
      <c r="D17" s="143"/>
      <c r="E17" s="143"/>
      <c r="F17" s="144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5"/>
      <c r="J17" s="175"/>
    </row>
    <row r="18" spans="2:10" x14ac:dyDescent="0.35">
      <c r="B18" s="94" t="str" cm="1">
        <f t="array" ref="B18">INDEX('Data Validation (Hide)'!$B$2:$B$16,ROUNDUP(ROW(A13)/5,0),1)</f>
        <v>8 Group Session</v>
      </c>
      <c r="C18" s="142"/>
      <c r="D18" s="143"/>
      <c r="E18" s="143"/>
      <c r="F18" s="144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5"/>
      <c r="J18" s="175"/>
    </row>
    <row r="19" spans="2:10" x14ac:dyDescent="0.35">
      <c r="B19" s="96" t="str" cm="1">
        <f t="array" ref="B19">INDEX('Data Validation (Hide)'!$B$2:$B$16,ROUNDUP(ROW(A14)/5,0),1)</f>
        <v>8 Group Session</v>
      </c>
      <c r="C19" s="142"/>
      <c r="D19" s="143"/>
      <c r="E19" s="143"/>
      <c r="F19" s="144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5"/>
      <c r="J19" s="175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5"/>
      <c r="D20" s="146"/>
      <c r="E20" s="146"/>
      <c r="F20" s="147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6"/>
      <c r="J20" s="176"/>
    </row>
    <row r="21" spans="2:10" x14ac:dyDescent="0.35">
      <c r="B21" s="95" t="str" cm="1">
        <f t="array" ref="B21">INDEX('Data Validation (Hide)'!$B$2:$B$16,ROUNDUP(ROW(A16)/5,0),1)</f>
        <v>20 Individual</v>
      </c>
      <c r="C21" s="139" t="s">
        <v>221</v>
      </c>
      <c r="D21" s="140">
        <v>45</v>
      </c>
      <c r="E21" s="140">
        <v>1</v>
      </c>
      <c r="F21" s="141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4">
        <f>SUMIF($E$21:$E$25,1,$H$21:$H$25)</f>
        <v>45</v>
      </c>
      <c r="J21" s="174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2"/>
      <c r="D22" s="143"/>
      <c r="E22" s="143"/>
      <c r="F22" s="144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5"/>
      <c r="J22" s="175"/>
    </row>
    <row r="23" spans="2:10" x14ac:dyDescent="0.35">
      <c r="B23" s="94" t="str" cm="1">
        <f t="array" ref="B23">INDEX('Data Validation (Hide)'!$B$2:$B$16,ROUNDUP(ROW(A18)/5,0),1)</f>
        <v>20 Individual</v>
      </c>
      <c r="C23" s="142"/>
      <c r="D23" s="143"/>
      <c r="E23" s="143"/>
      <c r="F23" s="144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5"/>
      <c r="J23" s="175"/>
    </row>
    <row r="24" spans="2:10" x14ac:dyDescent="0.35">
      <c r="B24" s="96" t="str" cm="1">
        <f t="array" ref="B24">INDEX('Data Validation (Hide)'!$B$2:$B$16,ROUNDUP(ROW(A19)/5,0),1)</f>
        <v>20 Individual</v>
      </c>
      <c r="C24" s="142"/>
      <c r="D24" s="143"/>
      <c r="E24" s="143"/>
      <c r="F24" s="144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5"/>
      <c r="J24" s="175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5"/>
      <c r="D25" s="146"/>
      <c r="E25" s="146"/>
      <c r="F25" s="147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6"/>
      <c r="J25" s="176"/>
    </row>
    <row r="26" spans="2:10" x14ac:dyDescent="0.35">
      <c r="B26" s="95" t="str" cm="1">
        <f t="array" ref="B26">INDEX('Data Validation (Hide)'!$B$2:$B$16,ROUNDUP(ROW(A21)/5,0),1)</f>
        <v>40 Individual</v>
      </c>
      <c r="C26" s="139" t="s">
        <v>221</v>
      </c>
      <c r="D26" s="140">
        <v>60</v>
      </c>
      <c r="E26" s="140">
        <v>1</v>
      </c>
      <c r="F26" s="141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4">
        <f>SUMIF($E$26:$E$30,1,$H$26:$H$30)</f>
        <v>60</v>
      </c>
      <c r="J26" s="174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2"/>
      <c r="D27" s="143"/>
      <c r="E27" s="143"/>
      <c r="F27" s="144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5"/>
      <c r="J27" s="175"/>
    </row>
    <row r="28" spans="2:10" x14ac:dyDescent="0.35">
      <c r="B28" s="94" t="str" cm="1">
        <f t="array" ref="B28">INDEX('Data Validation (Hide)'!$B$2:$B$16,ROUNDUP(ROW(A23)/5,0),1)</f>
        <v>40 Individual</v>
      </c>
      <c r="C28" s="142"/>
      <c r="D28" s="143"/>
      <c r="E28" s="143"/>
      <c r="F28" s="144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5"/>
      <c r="J28" s="175"/>
    </row>
    <row r="29" spans="2:10" x14ac:dyDescent="0.35">
      <c r="B29" s="96" t="str" cm="1">
        <f t="array" ref="B29">INDEX('Data Validation (Hide)'!$B$2:$B$16,ROUNDUP(ROW(A24)/5,0),1)</f>
        <v>40 Individual</v>
      </c>
      <c r="C29" s="142"/>
      <c r="D29" s="143"/>
      <c r="E29" s="143"/>
      <c r="F29" s="144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5"/>
      <c r="J29" s="175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5"/>
      <c r="D30" s="146"/>
      <c r="E30" s="146"/>
      <c r="F30" s="147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6"/>
      <c r="J30" s="176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9"/>
      <c r="D31" s="140"/>
      <c r="E31" s="140"/>
      <c r="F31" s="141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68">
        <f>SUMIF($E$31:$E$35,1,$H$31:$H$35)</f>
        <v>0</v>
      </c>
      <c r="J31" s="168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2"/>
      <c r="D32" s="143"/>
      <c r="E32" s="143"/>
      <c r="F32" s="144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69"/>
      <c r="J32" s="169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2"/>
      <c r="D33" s="143"/>
      <c r="E33" s="143"/>
      <c r="F33" s="144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69"/>
      <c r="J33" s="169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2"/>
      <c r="D34" s="143"/>
      <c r="E34" s="143"/>
      <c r="F34" s="144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69"/>
      <c r="J34" s="169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5"/>
      <c r="D35" s="146"/>
      <c r="E35" s="146"/>
      <c r="F35" s="147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0"/>
      <c r="J35" s="170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9"/>
      <c r="D36" s="140"/>
      <c r="E36" s="140"/>
      <c r="F36" s="141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68">
        <f>SUMIF($E$36:$E$40,1,$H$36:$H$40)</f>
        <v>0</v>
      </c>
      <c r="J36" s="168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2"/>
      <c r="D37" s="143"/>
      <c r="E37" s="143"/>
      <c r="F37" s="144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69"/>
      <c r="J37" s="169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2"/>
      <c r="D38" s="143"/>
      <c r="E38" s="143"/>
      <c r="F38" s="144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69"/>
      <c r="J38" s="169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2"/>
      <c r="D39" s="143"/>
      <c r="E39" s="143"/>
      <c r="F39" s="144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69"/>
      <c r="J39" s="169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5"/>
      <c r="D40" s="146"/>
      <c r="E40" s="146"/>
      <c r="F40" s="147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0"/>
      <c r="J40" s="170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9"/>
      <c r="D41" s="140"/>
      <c r="E41" s="140"/>
      <c r="F41" s="141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68">
        <f>SUMIF($E$41:$E$45,1,$H$41:$H$45)</f>
        <v>0</v>
      </c>
      <c r="J41" s="168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2"/>
      <c r="D42" s="143"/>
      <c r="E42" s="143"/>
      <c r="F42" s="144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69"/>
      <c r="J42" s="169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2"/>
      <c r="D43" s="143"/>
      <c r="E43" s="143"/>
      <c r="F43" s="144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69"/>
      <c r="J43" s="169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2"/>
      <c r="D44" s="143"/>
      <c r="E44" s="143"/>
      <c r="F44" s="144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69"/>
      <c r="J44" s="169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5"/>
      <c r="D45" s="146"/>
      <c r="E45" s="146"/>
      <c r="F45" s="147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0"/>
      <c r="J45" s="170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9"/>
      <c r="D46" s="140"/>
      <c r="E46" s="140"/>
      <c r="F46" s="141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68">
        <f>SUMIF($E$46:$E$50,1,$H$46:$H$50)</f>
        <v>0</v>
      </c>
      <c r="J46" s="168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2"/>
      <c r="D47" s="143"/>
      <c r="E47" s="143"/>
      <c r="F47" s="144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69"/>
      <c r="J47" s="169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2"/>
      <c r="D48" s="143"/>
      <c r="E48" s="143"/>
      <c r="F48" s="144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69"/>
      <c r="J48" s="169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2"/>
      <c r="D49" s="143"/>
      <c r="E49" s="143"/>
      <c r="F49" s="144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69"/>
      <c r="J49" s="169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5"/>
      <c r="D50" s="146"/>
      <c r="E50" s="146"/>
      <c r="F50" s="147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0"/>
      <c r="J50" s="170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9"/>
      <c r="D51" s="140"/>
      <c r="E51" s="140"/>
      <c r="F51" s="141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68">
        <f>SUMIF($E$51:$E$55,1,$H$51:$H$55)</f>
        <v>0</v>
      </c>
      <c r="J51" s="168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2"/>
      <c r="D52" s="143"/>
      <c r="E52" s="143"/>
      <c r="F52" s="144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69"/>
      <c r="J52" s="169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2"/>
      <c r="D53" s="143"/>
      <c r="E53" s="143"/>
      <c r="F53" s="144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69"/>
      <c r="J53" s="169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2"/>
      <c r="D54" s="143"/>
      <c r="E54" s="143"/>
      <c r="F54" s="144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69"/>
      <c r="J54" s="169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5"/>
      <c r="D55" s="146"/>
      <c r="E55" s="146"/>
      <c r="F55" s="147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0"/>
      <c r="J55" s="170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9"/>
      <c r="D56" s="140"/>
      <c r="E56" s="140"/>
      <c r="F56" s="141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68">
        <f>SUMIF($E$56:$E$60,1,$H$56:$H$60)</f>
        <v>0</v>
      </c>
      <c r="J56" s="168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2"/>
      <c r="D57" s="143"/>
      <c r="E57" s="143"/>
      <c r="F57" s="144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69"/>
      <c r="J57" s="169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2"/>
      <c r="D58" s="143"/>
      <c r="E58" s="143"/>
      <c r="F58" s="144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69"/>
      <c r="J58" s="169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2"/>
      <c r="D59" s="143"/>
      <c r="E59" s="143"/>
      <c r="F59" s="144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69"/>
      <c r="J59" s="169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5"/>
      <c r="D60" s="146"/>
      <c r="E60" s="146"/>
      <c r="F60" s="147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0"/>
      <c r="J60" s="170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9"/>
      <c r="D61" s="140"/>
      <c r="E61" s="140"/>
      <c r="F61" s="141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68">
        <f>SUMIF($E$61:$E$65,1,$H$61:$H$65)</f>
        <v>0</v>
      </c>
      <c r="J61" s="168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2"/>
      <c r="D62" s="143"/>
      <c r="E62" s="143"/>
      <c r="F62" s="144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69"/>
      <c r="J62" s="169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2"/>
      <c r="D63" s="143"/>
      <c r="E63" s="143"/>
      <c r="F63" s="144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69"/>
      <c r="J63" s="169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2"/>
      <c r="D64" s="143"/>
      <c r="E64" s="143"/>
      <c r="F64" s="144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69"/>
      <c r="J64" s="169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5"/>
      <c r="D65" s="146"/>
      <c r="E65" s="146"/>
      <c r="F65" s="147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0"/>
      <c r="J65" s="170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9"/>
      <c r="D66" s="140"/>
      <c r="E66" s="140"/>
      <c r="F66" s="141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68">
        <f>SUMIF($E$66:$E$70,1,$H$66:$H$70)</f>
        <v>0</v>
      </c>
      <c r="J66" s="168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2"/>
      <c r="D67" s="143"/>
      <c r="E67" s="143"/>
      <c r="F67" s="144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69"/>
      <c r="J67" s="169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2"/>
      <c r="D68" s="143"/>
      <c r="E68" s="143"/>
      <c r="F68" s="144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69"/>
      <c r="J68" s="169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2"/>
      <c r="D69" s="143"/>
      <c r="E69" s="143"/>
      <c r="F69" s="144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69"/>
      <c r="J69" s="169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5"/>
      <c r="D70" s="146"/>
      <c r="E70" s="146"/>
      <c r="F70" s="147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0"/>
      <c r="J70" s="170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9"/>
      <c r="D71" s="140"/>
      <c r="E71" s="140"/>
      <c r="F71" s="141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68">
        <f>SUMIF($E$71:$E$75,1,$H$71:$H$75)</f>
        <v>0</v>
      </c>
      <c r="J71" s="168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2"/>
      <c r="D72" s="143"/>
      <c r="E72" s="143"/>
      <c r="F72" s="144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69"/>
      <c r="J72" s="169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2"/>
      <c r="D73" s="143"/>
      <c r="E73" s="143"/>
      <c r="F73" s="144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69"/>
      <c r="J73" s="169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2"/>
      <c r="D74" s="143"/>
      <c r="E74" s="143"/>
      <c r="F74" s="144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69"/>
      <c r="J74" s="169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5"/>
      <c r="D75" s="146"/>
      <c r="E75" s="146"/>
      <c r="F75" s="147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0"/>
      <c r="J75" s="170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9"/>
      <c r="D76" s="140"/>
      <c r="E76" s="140"/>
      <c r="F76" s="141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68">
        <f>SUMIF($E$76:$E$80,1,$H$76:$H$80)</f>
        <v>0</v>
      </c>
      <c r="J76" s="168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2"/>
      <c r="D77" s="143"/>
      <c r="E77" s="143"/>
      <c r="F77" s="144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69"/>
      <c r="J77" s="169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2"/>
      <c r="D78" s="143"/>
      <c r="E78" s="143"/>
      <c r="F78" s="144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69"/>
      <c r="J78" s="169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2"/>
      <c r="D79" s="143"/>
      <c r="E79" s="143"/>
      <c r="F79" s="144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69"/>
      <c r="J79" s="169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5"/>
      <c r="D80" s="146"/>
      <c r="E80" s="146"/>
      <c r="F80" s="147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0"/>
      <c r="J80" s="170"/>
    </row>
    <row r="81" spans="5:10" x14ac:dyDescent="0.35">
      <c r="E81" s="29"/>
      <c r="H81" s="29"/>
      <c r="I81" s="29"/>
      <c r="J81" s="29"/>
    </row>
  </sheetData>
  <sheetProtection algorithmName="SHA-512" hashValue="ge+vL1mDvCrknkwqLliPkZYWTjn9NzU8QJSO9t1n71JEmn5AtuGaHNMBtY6ehqee8CaoN7uDc2nvNKxZjA4hew==" saltValue="0Q2yMKJuPYc6mAiOla+cYA==" spinCount="100000" sheet="1" objects="1" scenarios="1" formatColumns="0" formatRows="0"/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196</v>
      </c>
      <c r="G1" t="s">
        <v>198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194</v>
      </c>
      <c r="F2" t="s">
        <v>195</v>
      </c>
      <c r="G2" t="s">
        <v>194</v>
      </c>
      <c r="H2" t="s">
        <v>195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DA5" sqref="DA5:DA56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0.31578947368421051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0.32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6</v>
      </c>
      <c r="O5" s="15">
        <f>INDEX($B$5:$C$19,MATCH(L$1,$A$5:$A$19,0),2)*O$3</f>
        <v>8</v>
      </c>
      <c r="P5" s="5">
        <f>SUMIF(L$4:O$4,P$4,L5:O5)</f>
        <v>44</v>
      </c>
      <c r="Q5" s="6">
        <f>SUMIF(L$4:O$4,Q$4,L5:O5)</f>
        <v>58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38</v>
      </c>
      <c r="CU5" s="7">
        <f>SUMIFS($F5:$CQ5,$F$2:$CQ$2,CU$2,$F$4:$CQ$4,CU$4)</f>
        <v>44</v>
      </c>
      <c r="CV5" s="5">
        <f>SUM(CR5,CT5)</f>
        <v>202.25</v>
      </c>
      <c r="CW5" s="6">
        <f>SUM(CS5,CU5)</f>
        <v>224.9375</v>
      </c>
      <c r="CY5" s="7">
        <f t="array" ref="CY5:CY56">Summary_LowerBound</f>
        <v>202.25</v>
      </c>
      <c r="CZ5" s="5">
        <f t="array" ref="CZ5">Summary_UpperBound</f>
        <v>224.9375</v>
      </c>
      <c r="DA5" s="6">
        <f>IF(ROUND(CZ5-CY5,0)=0,1/IF(Summary!$B$7="minutes",1,60),CZ5-CY5)</f>
        <v>22.6875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6</v>
      </c>
      <c r="O6" s="6">
        <f t="shared" ref="O6:O56" si="9">INDEX($B$5:$C$19,MATCH(L$1,$A$5:$A$19,0),2)*O$3</f>
        <v>8</v>
      </c>
      <c r="P6" s="5">
        <f t="shared" ref="P6:P56" si="10">SUMIF(L$4:O$4,P$4,L6:O6)</f>
        <v>44</v>
      </c>
      <c r="Q6" s="6">
        <f t="shared" ref="Q6:Q56" si="11">SUMIF(L$4:O$4,Q$4,L6:O6)</f>
        <v>58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38</v>
      </c>
      <c r="CU6" s="7">
        <f t="shared" si="90"/>
        <v>44</v>
      </c>
      <c r="CV6" s="5">
        <f t="shared" ref="CV6:CV56" si="91">SUM(CR6,CT6)</f>
        <v>202.25</v>
      </c>
      <c r="CW6" s="6">
        <f t="shared" ref="CW6:CW56" si="92">SUM(CS6,CU6)</f>
        <v>224.9375</v>
      </c>
      <c r="CY6" s="7">
        <v>202.25</v>
      </c>
      <c r="CZ6" s="5">
        <f t="array" ref="CZ6">Summary_UpperBound</f>
        <v>224.9375</v>
      </c>
      <c r="DA6" s="6">
        <f>IF(ROUND(CZ6-CY6,0)=0,1/IF(Summary!$B$7="minutes",1,60),CZ6-CY6)</f>
        <v>22.6875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6</v>
      </c>
      <c r="O7" s="6">
        <f t="shared" si="9"/>
        <v>8</v>
      </c>
      <c r="P7" s="5">
        <f t="shared" si="10"/>
        <v>44</v>
      </c>
      <c r="Q7" s="6">
        <f t="shared" si="11"/>
        <v>58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38</v>
      </c>
      <c r="CU7" s="7">
        <f t="shared" si="90"/>
        <v>44</v>
      </c>
      <c r="CV7" s="5">
        <f t="shared" si="91"/>
        <v>202.25</v>
      </c>
      <c r="CW7" s="6">
        <f t="shared" si="92"/>
        <v>224.9375</v>
      </c>
      <c r="CY7" s="7">
        <v>202.25</v>
      </c>
      <c r="CZ7" s="5">
        <f t="array" ref="CZ7">Summary_UpperBound</f>
        <v>224.9375</v>
      </c>
      <c r="DA7" s="6">
        <f>IF(ROUND(CZ7-CY7,0)=0,1/IF(Summary!$B$7="minutes",1,60),CZ7-CY7)</f>
        <v>22.6875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6</v>
      </c>
      <c r="O8" s="6">
        <f t="shared" si="9"/>
        <v>8</v>
      </c>
      <c r="P8" s="5">
        <f t="shared" si="10"/>
        <v>44</v>
      </c>
      <c r="Q8" s="6">
        <f t="shared" si="11"/>
        <v>58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38</v>
      </c>
      <c r="CU8" s="7">
        <f t="shared" si="90"/>
        <v>44</v>
      </c>
      <c r="CV8" s="5">
        <f t="shared" si="91"/>
        <v>202.25</v>
      </c>
      <c r="CW8" s="6">
        <f t="shared" si="92"/>
        <v>224.9375</v>
      </c>
      <c r="CY8" s="7">
        <v>202.25</v>
      </c>
      <c r="CZ8" s="5">
        <f t="array" ref="CZ8">Summary_UpperBound</f>
        <v>224.9375</v>
      </c>
      <c r="DA8" s="6">
        <f>IF(ROUND(CZ8-CY8,0)=0,1/IF(Summary!$B$7="minutes",1,60),CZ8-CY8)</f>
        <v>22.6875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3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6</v>
      </c>
      <c r="O9" s="6">
        <f t="shared" si="9"/>
        <v>8</v>
      </c>
      <c r="P9" s="5">
        <f t="shared" si="10"/>
        <v>44</v>
      </c>
      <c r="Q9" s="6">
        <f t="shared" si="11"/>
        <v>58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38</v>
      </c>
      <c r="CU9" s="7">
        <f t="shared" si="90"/>
        <v>44</v>
      </c>
      <c r="CV9" s="5">
        <f t="shared" si="91"/>
        <v>202.25</v>
      </c>
      <c r="CW9" s="6">
        <f t="shared" si="92"/>
        <v>224.9375</v>
      </c>
      <c r="CY9" s="7">
        <v>202.25</v>
      </c>
      <c r="CZ9" s="5">
        <f t="array" ref="CZ9">Summary_UpperBound</f>
        <v>224.9375</v>
      </c>
      <c r="DA9" s="6">
        <f>IF(ROUND(CZ9-CY9,0)=0,1/IF(Summary!$B$7="minutes",1,60),CZ9-CY9)</f>
        <v>22.6875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6</v>
      </c>
      <c r="O10" s="6">
        <f t="shared" si="9"/>
        <v>8</v>
      </c>
      <c r="P10" s="5">
        <f t="shared" si="10"/>
        <v>44</v>
      </c>
      <c r="Q10" s="6">
        <f t="shared" si="11"/>
        <v>58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38</v>
      </c>
      <c r="CU10" s="7">
        <f t="shared" si="90"/>
        <v>44</v>
      </c>
      <c r="CV10" s="5">
        <f t="shared" si="91"/>
        <v>202.25</v>
      </c>
      <c r="CW10" s="6">
        <f t="shared" si="92"/>
        <v>224.9375</v>
      </c>
      <c r="CY10" s="7">
        <v>202.25</v>
      </c>
      <c r="CZ10" s="5">
        <f t="array" ref="CZ10">Summary_UpperBound</f>
        <v>224.9375</v>
      </c>
      <c r="DA10" s="6">
        <f>IF(ROUND(CZ10-CY10,0)=0,1/IF(Summary!$B$7="minutes",1,60),CZ10-CY10)</f>
        <v>22.6875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6</v>
      </c>
      <c r="O11" s="6">
        <f t="shared" si="9"/>
        <v>8</v>
      </c>
      <c r="P11" s="5">
        <f t="shared" si="10"/>
        <v>44</v>
      </c>
      <c r="Q11" s="6">
        <f t="shared" si="11"/>
        <v>58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38</v>
      </c>
      <c r="CU11" s="7">
        <f t="shared" si="90"/>
        <v>44</v>
      </c>
      <c r="CV11" s="5">
        <f t="shared" si="91"/>
        <v>202.25</v>
      </c>
      <c r="CW11" s="6">
        <f t="shared" si="92"/>
        <v>224.9375</v>
      </c>
      <c r="CY11" s="7">
        <v>202.25</v>
      </c>
      <c r="CZ11" s="5">
        <f t="array" ref="CZ11">Summary_UpperBound</f>
        <v>224.9375</v>
      </c>
      <c r="DA11" s="6">
        <f>IF(ROUND(CZ11-CY11,0)=0,1/IF(Summary!$B$7="minutes",1,60),CZ11-CY11)</f>
        <v>22.6875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6</v>
      </c>
      <c r="O12" s="6">
        <f t="shared" si="9"/>
        <v>8</v>
      </c>
      <c r="P12" s="5">
        <f t="shared" si="10"/>
        <v>44</v>
      </c>
      <c r="Q12" s="6">
        <f t="shared" si="11"/>
        <v>58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38</v>
      </c>
      <c r="CU12" s="7">
        <f t="shared" si="90"/>
        <v>44</v>
      </c>
      <c r="CV12" s="5">
        <f t="shared" si="91"/>
        <v>202.25</v>
      </c>
      <c r="CW12" s="6">
        <f t="shared" si="92"/>
        <v>224.9375</v>
      </c>
      <c r="CY12" s="7">
        <v>202.25</v>
      </c>
      <c r="CZ12" s="5">
        <f t="array" ref="CZ12">Summary_UpperBound</f>
        <v>224.9375</v>
      </c>
      <c r="DA12" s="6">
        <f>IF(ROUND(CZ12-CY12,0)=0,1/IF(Summary!$B$7="minutes",1,60),CZ12-CY12)</f>
        <v>22.6875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6</v>
      </c>
      <c r="O13" s="6">
        <f t="shared" si="9"/>
        <v>8</v>
      </c>
      <c r="P13" s="5">
        <f t="shared" si="10"/>
        <v>44</v>
      </c>
      <c r="Q13" s="6">
        <f t="shared" si="11"/>
        <v>58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38</v>
      </c>
      <c r="CU13" s="7">
        <f t="shared" si="90"/>
        <v>44</v>
      </c>
      <c r="CV13" s="5">
        <f t="shared" si="91"/>
        <v>202.25</v>
      </c>
      <c r="CW13" s="6">
        <f t="shared" si="92"/>
        <v>224.9375</v>
      </c>
      <c r="CY13" s="7">
        <v>202.25</v>
      </c>
      <c r="CZ13" s="5">
        <f t="array" ref="CZ13">Summary_UpperBound</f>
        <v>224.9375</v>
      </c>
      <c r="DA13" s="6">
        <f>IF(ROUND(CZ13-CY13,0)=0,1/IF(Summary!$B$7="minutes",1,60),CZ13-CY13)</f>
        <v>22.6875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6</v>
      </c>
      <c r="O14" s="6">
        <f t="shared" si="9"/>
        <v>8</v>
      </c>
      <c r="P14" s="5">
        <f t="shared" si="10"/>
        <v>44</v>
      </c>
      <c r="Q14" s="6">
        <f t="shared" si="11"/>
        <v>58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38</v>
      </c>
      <c r="CU14" s="7">
        <f t="shared" si="90"/>
        <v>44</v>
      </c>
      <c r="CV14" s="5">
        <f t="shared" si="91"/>
        <v>202.25</v>
      </c>
      <c r="CW14" s="6">
        <f t="shared" si="92"/>
        <v>224.9375</v>
      </c>
      <c r="CY14" s="7">
        <v>202.25</v>
      </c>
      <c r="CZ14" s="5">
        <f t="array" ref="CZ14">Summary_UpperBound</f>
        <v>224.9375</v>
      </c>
      <c r="DA14" s="6">
        <f>IF(ROUND(CZ14-CY14,0)=0,1/IF(Summary!$B$7="minutes",1,60),CZ14-CY14)</f>
        <v>22.6875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6</v>
      </c>
      <c r="O15" s="6">
        <f t="shared" si="9"/>
        <v>8</v>
      </c>
      <c r="P15" s="5">
        <f t="shared" si="10"/>
        <v>44</v>
      </c>
      <c r="Q15" s="6">
        <f t="shared" si="11"/>
        <v>58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38</v>
      </c>
      <c r="CU15" s="7">
        <f t="shared" si="90"/>
        <v>44</v>
      </c>
      <c r="CV15" s="5">
        <f t="shared" si="91"/>
        <v>202.25</v>
      </c>
      <c r="CW15" s="6">
        <f t="shared" si="92"/>
        <v>224.9375</v>
      </c>
      <c r="CY15" s="7">
        <v>202.25</v>
      </c>
      <c r="CZ15" s="5">
        <f t="array" ref="CZ15">Summary_UpperBound</f>
        <v>224.9375</v>
      </c>
      <c r="DA15" s="6">
        <f>IF(ROUND(CZ15-CY15,0)=0,1/IF(Summary!$B$7="minutes",1,60),CZ15-CY15)</f>
        <v>22.6875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6</v>
      </c>
      <c r="O16" s="6">
        <f t="shared" si="9"/>
        <v>8</v>
      </c>
      <c r="P16" s="5">
        <f t="shared" si="10"/>
        <v>44</v>
      </c>
      <c r="Q16" s="6">
        <f t="shared" si="11"/>
        <v>58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38</v>
      </c>
      <c r="CU16" s="7">
        <f t="shared" si="90"/>
        <v>44</v>
      </c>
      <c r="CV16" s="5">
        <f t="shared" si="91"/>
        <v>202.25</v>
      </c>
      <c r="CW16" s="6">
        <f t="shared" si="92"/>
        <v>224.9375</v>
      </c>
      <c r="CY16" s="7">
        <v>202.25</v>
      </c>
      <c r="CZ16" s="5">
        <f t="array" ref="CZ16">Summary_UpperBound</f>
        <v>224.9375</v>
      </c>
      <c r="DA16" s="6">
        <f>IF(ROUND(CZ16-CY16,0)=0,1/IF(Summary!$B$7="minutes",1,60),CZ16-CY16)</f>
        <v>22.6875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6</v>
      </c>
      <c r="O17" s="6">
        <f t="shared" si="9"/>
        <v>8</v>
      </c>
      <c r="P17" s="5">
        <f t="shared" si="10"/>
        <v>44</v>
      </c>
      <c r="Q17" s="6">
        <f t="shared" si="11"/>
        <v>58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38</v>
      </c>
      <c r="CU17" s="7">
        <f t="shared" si="90"/>
        <v>44</v>
      </c>
      <c r="CV17" s="5">
        <f t="shared" si="91"/>
        <v>202.25</v>
      </c>
      <c r="CW17" s="6">
        <f t="shared" si="92"/>
        <v>224.9375</v>
      </c>
      <c r="CY17" s="7">
        <v>202.25</v>
      </c>
      <c r="CZ17" s="5">
        <f t="array" ref="CZ17">Summary_UpperBound</f>
        <v>224.9375</v>
      </c>
      <c r="DA17" s="6">
        <f>IF(ROUND(CZ17-CY17,0)=0,1/IF(Summary!$B$7="minutes",1,60),CZ17-CY17)</f>
        <v>22.6875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6</v>
      </c>
      <c r="O18" s="6">
        <f t="shared" si="9"/>
        <v>8</v>
      </c>
      <c r="P18" s="5">
        <f t="shared" si="10"/>
        <v>44</v>
      </c>
      <c r="Q18" s="6">
        <f t="shared" si="11"/>
        <v>58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38</v>
      </c>
      <c r="CU18" s="7">
        <f t="shared" si="90"/>
        <v>44</v>
      </c>
      <c r="CV18" s="5">
        <f t="shared" si="91"/>
        <v>202.25</v>
      </c>
      <c r="CW18" s="6">
        <f t="shared" si="92"/>
        <v>224.9375</v>
      </c>
      <c r="CY18" s="7">
        <v>202.25</v>
      </c>
      <c r="CZ18" s="5">
        <f t="array" ref="CZ18">Summary_UpperBound</f>
        <v>224.9375</v>
      </c>
      <c r="DA18" s="6">
        <f>IF(ROUND(CZ18-CY18,0)=0,1/IF(Summary!$B$7="minutes",1,60),CZ18-CY18)</f>
        <v>22.6875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6</v>
      </c>
      <c r="O19" s="6">
        <f t="shared" si="9"/>
        <v>8</v>
      </c>
      <c r="P19" s="5">
        <f t="shared" si="10"/>
        <v>44</v>
      </c>
      <c r="Q19" s="6">
        <f t="shared" si="11"/>
        <v>58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38</v>
      </c>
      <c r="CU19" s="7">
        <f t="shared" si="90"/>
        <v>44</v>
      </c>
      <c r="CV19" s="5">
        <f t="shared" si="91"/>
        <v>202.25</v>
      </c>
      <c r="CW19" s="6">
        <f t="shared" si="92"/>
        <v>224.9375</v>
      </c>
      <c r="CY19" s="7">
        <v>202.25</v>
      </c>
      <c r="CZ19" s="5">
        <f t="array" ref="CZ19">Summary_UpperBound</f>
        <v>224.9375</v>
      </c>
      <c r="DA19" s="6">
        <f>IF(ROUND(CZ19-CY19,0)=0,1/IF(Summary!$B$7="minutes",1,60),CZ19-CY19)</f>
        <v>22.6875</v>
      </c>
    </row>
    <row r="20" spans="1:105" x14ac:dyDescent="0.35">
      <c r="B20" s="14"/>
      <c r="E20" s="12">
        <f t="shared" si="93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6</v>
      </c>
      <c r="O20" s="6">
        <f t="shared" si="9"/>
        <v>8</v>
      </c>
      <c r="P20" s="5">
        <f t="shared" si="10"/>
        <v>44</v>
      </c>
      <c r="Q20" s="6">
        <f t="shared" si="11"/>
        <v>58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38</v>
      </c>
      <c r="CU20" s="7">
        <f t="shared" si="90"/>
        <v>44</v>
      </c>
      <c r="CV20" s="5">
        <f t="shared" si="91"/>
        <v>202.25</v>
      </c>
      <c r="CW20" s="6">
        <f t="shared" si="92"/>
        <v>224.9375</v>
      </c>
      <c r="CY20" s="7">
        <v>202.25</v>
      </c>
      <c r="CZ20" s="5">
        <f t="array" ref="CZ20">Summary_UpperBound</f>
        <v>224.9375</v>
      </c>
      <c r="DA20" s="6">
        <f>IF(ROUND(CZ20-CY20,0)=0,1/IF(Summary!$B$7="minutes",1,60),CZ20-CY20)</f>
        <v>22.6875</v>
      </c>
    </row>
    <row r="21" spans="1:105" x14ac:dyDescent="0.35">
      <c r="B21" s="14"/>
      <c r="E21" s="12">
        <f t="shared" si="93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6</v>
      </c>
      <c r="O21" s="6">
        <f t="shared" si="9"/>
        <v>8</v>
      </c>
      <c r="P21" s="5">
        <f t="shared" si="10"/>
        <v>44</v>
      </c>
      <c r="Q21" s="6">
        <f t="shared" si="11"/>
        <v>58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38</v>
      </c>
      <c r="CU21" s="7">
        <f t="shared" si="90"/>
        <v>44</v>
      </c>
      <c r="CV21" s="5">
        <f t="shared" si="91"/>
        <v>202.25</v>
      </c>
      <c r="CW21" s="6">
        <f t="shared" si="92"/>
        <v>224.9375</v>
      </c>
      <c r="CY21" s="7">
        <v>202.25</v>
      </c>
      <c r="CZ21" s="5">
        <f t="array" ref="CZ21">Summary_UpperBound</f>
        <v>224.9375</v>
      </c>
      <c r="DA21" s="6">
        <f>IF(ROUND(CZ21-CY21,0)=0,1/IF(Summary!$B$7="minutes",1,60),CZ21-CY21)</f>
        <v>22.6875</v>
      </c>
    </row>
    <row r="22" spans="1:105" x14ac:dyDescent="0.35">
      <c r="B22" s="14"/>
      <c r="E22" s="12">
        <f t="shared" si="93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6</v>
      </c>
      <c r="O22" s="6">
        <f t="shared" si="9"/>
        <v>8</v>
      </c>
      <c r="P22" s="5">
        <f t="shared" si="10"/>
        <v>44</v>
      </c>
      <c r="Q22" s="6">
        <f t="shared" si="11"/>
        <v>58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38</v>
      </c>
      <c r="CU22" s="7">
        <f t="shared" si="90"/>
        <v>44</v>
      </c>
      <c r="CV22" s="5">
        <f t="shared" si="91"/>
        <v>202.25</v>
      </c>
      <c r="CW22" s="6">
        <f t="shared" si="92"/>
        <v>224.9375</v>
      </c>
      <c r="CY22" s="7">
        <v>202.25</v>
      </c>
      <c r="CZ22" s="5">
        <f t="array" ref="CZ22">Summary_UpperBound</f>
        <v>224.9375</v>
      </c>
      <c r="DA22" s="6">
        <f>IF(ROUND(CZ22-CY22,0)=0,1/IF(Summary!$B$7="minutes",1,60),CZ22-CY22)</f>
        <v>22.6875</v>
      </c>
    </row>
    <row r="23" spans="1:105" x14ac:dyDescent="0.35">
      <c r="B23" s="14"/>
      <c r="E23" s="12">
        <f t="shared" si="93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6</v>
      </c>
      <c r="O23" s="6">
        <f t="shared" si="9"/>
        <v>8</v>
      </c>
      <c r="P23" s="5">
        <f t="shared" si="10"/>
        <v>44</v>
      </c>
      <c r="Q23" s="6">
        <f t="shared" si="11"/>
        <v>58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38</v>
      </c>
      <c r="CU23" s="7">
        <f t="shared" si="90"/>
        <v>44</v>
      </c>
      <c r="CV23" s="5">
        <f t="shared" si="91"/>
        <v>202.25</v>
      </c>
      <c r="CW23" s="6">
        <f t="shared" si="92"/>
        <v>224.9375</v>
      </c>
      <c r="CY23" s="7">
        <v>202.25</v>
      </c>
      <c r="CZ23" s="5">
        <f t="array" ref="CZ23">Summary_UpperBound</f>
        <v>224.9375</v>
      </c>
      <c r="DA23" s="6">
        <f>IF(ROUND(CZ23-CY23,0)=0,1/IF(Summary!$B$7="minutes",1,60),CZ23-CY23)</f>
        <v>22.6875</v>
      </c>
    </row>
    <row r="24" spans="1:105" x14ac:dyDescent="0.35">
      <c r="B24" s="14"/>
      <c r="E24" s="12">
        <f t="shared" si="93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6</v>
      </c>
      <c r="O24" s="6">
        <f t="shared" si="9"/>
        <v>8</v>
      </c>
      <c r="P24" s="5">
        <f t="shared" si="10"/>
        <v>44</v>
      </c>
      <c r="Q24" s="6">
        <f t="shared" si="11"/>
        <v>58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38</v>
      </c>
      <c r="CU24" s="7">
        <f t="shared" si="90"/>
        <v>44</v>
      </c>
      <c r="CV24" s="5">
        <f t="shared" si="91"/>
        <v>202.25</v>
      </c>
      <c r="CW24" s="6">
        <f t="shared" si="92"/>
        <v>224.9375</v>
      </c>
      <c r="CY24" s="7">
        <v>202.25</v>
      </c>
      <c r="CZ24" s="5">
        <f t="array" ref="CZ24">Summary_UpperBound</f>
        <v>224.9375</v>
      </c>
      <c r="DA24" s="6">
        <f>IF(ROUND(CZ24-CY24,0)=0,1/IF(Summary!$B$7="minutes",1,60),CZ24-CY24)</f>
        <v>22.6875</v>
      </c>
    </row>
    <row r="25" spans="1:105" x14ac:dyDescent="0.35">
      <c r="B25" s="14"/>
      <c r="E25" s="12">
        <f t="shared" si="93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6</v>
      </c>
      <c r="O25" s="6">
        <f t="shared" si="9"/>
        <v>8</v>
      </c>
      <c r="P25" s="5">
        <f t="shared" si="10"/>
        <v>44</v>
      </c>
      <c r="Q25" s="6">
        <f t="shared" si="11"/>
        <v>58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38</v>
      </c>
      <c r="CU25" s="7">
        <f t="shared" si="90"/>
        <v>44</v>
      </c>
      <c r="CV25" s="5">
        <f t="shared" si="91"/>
        <v>202.25</v>
      </c>
      <c r="CW25" s="6">
        <f t="shared" si="92"/>
        <v>224.9375</v>
      </c>
      <c r="CY25" s="7">
        <v>202.25</v>
      </c>
      <c r="CZ25" s="5">
        <f t="array" ref="CZ25">Summary_UpperBound</f>
        <v>224.9375</v>
      </c>
      <c r="DA25" s="6">
        <f>IF(ROUND(CZ25-CY25,0)=0,1/IF(Summary!$B$7="minutes",1,60),CZ25-CY25)</f>
        <v>22.6875</v>
      </c>
    </row>
    <row r="26" spans="1:105" x14ac:dyDescent="0.35">
      <c r="B26" s="14"/>
      <c r="E26" s="12">
        <f t="shared" si="93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6</v>
      </c>
      <c r="O26" s="6">
        <f t="shared" si="9"/>
        <v>8</v>
      </c>
      <c r="P26" s="5">
        <f t="shared" si="10"/>
        <v>44</v>
      </c>
      <c r="Q26" s="6">
        <f t="shared" si="11"/>
        <v>58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38</v>
      </c>
      <c r="CU26" s="7">
        <f t="shared" si="90"/>
        <v>44</v>
      </c>
      <c r="CV26" s="5">
        <f t="shared" si="91"/>
        <v>202.25</v>
      </c>
      <c r="CW26" s="6">
        <f t="shared" si="92"/>
        <v>224.9375</v>
      </c>
      <c r="CY26" s="7">
        <v>202.25</v>
      </c>
      <c r="CZ26" s="5">
        <f t="array" ref="CZ26">Summary_UpperBound</f>
        <v>224.9375</v>
      </c>
      <c r="DA26" s="6">
        <f>IF(ROUND(CZ26-CY26,0)=0,1/IF(Summary!$B$7="minutes",1,60),CZ26-CY26)</f>
        <v>22.6875</v>
      </c>
    </row>
    <row r="27" spans="1:105" x14ac:dyDescent="0.35">
      <c r="B27" s="14"/>
      <c r="E27" s="12">
        <f t="shared" si="93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6</v>
      </c>
      <c r="O27" s="6">
        <f t="shared" si="9"/>
        <v>8</v>
      </c>
      <c r="P27" s="5">
        <f t="shared" si="10"/>
        <v>44</v>
      </c>
      <c r="Q27" s="6">
        <f t="shared" si="11"/>
        <v>58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38</v>
      </c>
      <c r="CU27" s="7">
        <f t="shared" si="90"/>
        <v>44</v>
      </c>
      <c r="CV27" s="5">
        <f t="shared" si="91"/>
        <v>202.25</v>
      </c>
      <c r="CW27" s="6">
        <f t="shared" si="92"/>
        <v>224.9375</v>
      </c>
      <c r="CY27" s="7">
        <v>202.25</v>
      </c>
      <c r="CZ27" s="5">
        <f t="array" ref="CZ27">Summary_UpperBound</f>
        <v>224.9375</v>
      </c>
      <c r="DA27" s="6">
        <f>IF(ROUND(CZ27-CY27,0)=0,1/IF(Summary!$B$7="minutes",1,60),CZ27-CY27)</f>
        <v>22.6875</v>
      </c>
    </row>
    <row r="28" spans="1:105" x14ac:dyDescent="0.35">
      <c r="B28" s="14"/>
      <c r="E28" s="12">
        <f t="shared" si="93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6</v>
      </c>
      <c r="O28" s="6">
        <f t="shared" si="9"/>
        <v>8</v>
      </c>
      <c r="P28" s="5">
        <f t="shared" si="10"/>
        <v>44</v>
      </c>
      <c r="Q28" s="6">
        <f t="shared" si="11"/>
        <v>58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38</v>
      </c>
      <c r="CU28" s="7">
        <f t="shared" si="90"/>
        <v>44</v>
      </c>
      <c r="CV28" s="5">
        <f t="shared" si="91"/>
        <v>202.25</v>
      </c>
      <c r="CW28" s="6">
        <f t="shared" si="92"/>
        <v>224.9375</v>
      </c>
      <c r="CY28" s="7">
        <v>202.25</v>
      </c>
      <c r="CZ28" s="5">
        <f t="array" ref="CZ28">Summary_UpperBound</f>
        <v>224.9375</v>
      </c>
      <c r="DA28" s="6">
        <f>IF(ROUND(CZ28-CY28,0)=0,1/IF(Summary!$B$7="minutes",1,60),CZ28-CY28)</f>
        <v>22.6875</v>
      </c>
    </row>
    <row r="29" spans="1:105" x14ac:dyDescent="0.35">
      <c r="B29" s="14"/>
      <c r="E29" s="12">
        <f t="shared" si="93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6</v>
      </c>
      <c r="O29" s="6">
        <f t="shared" si="9"/>
        <v>8</v>
      </c>
      <c r="P29" s="5">
        <f t="shared" si="10"/>
        <v>44</v>
      </c>
      <c r="Q29" s="6">
        <f t="shared" si="11"/>
        <v>58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38</v>
      </c>
      <c r="CU29" s="7">
        <f t="shared" si="90"/>
        <v>44</v>
      </c>
      <c r="CV29" s="5">
        <f t="shared" si="91"/>
        <v>202.25</v>
      </c>
      <c r="CW29" s="6">
        <f t="shared" si="92"/>
        <v>224.9375</v>
      </c>
      <c r="CY29" s="7">
        <v>202.25</v>
      </c>
      <c r="CZ29" s="5">
        <f t="array" ref="CZ29">Summary_UpperBound</f>
        <v>224.9375</v>
      </c>
      <c r="DA29" s="6">
        <f>IF(ROUND(CZ29-CY29,0)=0,1/IF(Summary!$B$7="minutes",1,60),CZ29-CY29)</f>
        <v>22.6875</v>
      </c>
    </row>
    <row r="30" spans="1:105" x14ac:dyDescent="0.35">
      <c r="B30" s="14"/>
      <c r="E30" s="12">
        <f t="shared" si="93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6</v>
      </c>
      <c r="O30" s="6">
        <f t="shared" si="9"/>
        <v>8</v>
      </c>
      <c r="P30" s="5">
        <f t="shared" si="10"/>
        <v>44</v>
      </c>
      <c r="Q30" s="6">
        <f t="shared" si="11"/>
        <v>58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38</v>
      </c>
      <c r="CU30" s="7">
        <f t="shared" si="90"/>
        <v>44</v>
      </c>
      <c r="CV30" s="5">
        <f t="shared" si="91"/>
        <v>202.25</v>
      </c>
      <c r="CW30" s="6">
        <f t="shared" si="92"/>
        <v>224.9375</v>
      </c>
      <c r="CY30" s="7">
        <v>202.25</v>
      </c>
      <c r="CZ30" s="5">
        <f t="array" ref="CZ30">Summary_UpperBound</f>
        <v>224.9375</v>
      </c>
      <c r="DA30" s="6">
        <f>IF(ROUND(CZ30-CY30,0)=0,1/IF(Summary!$B$7="minutes",1,60),CZ30-CY30)</f>
        <v>22.6875</v>
      </c>
    </row>
    <row r="31" spans="1:105" x14ac:dyDescent="0.35">
      <c r="B31" s="14"/>
      <c r="E31" s="12">
        <f t="shared" si="93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6</v>
      </c>
      <c r="O31" s="6">
        <f t="shared" si="9"/>
        <v>8</v>
      </c>
      <c r="P31" s="5">
        <f t="shared" si="10"/>
        <v>44</v>
      </c>
      <c r="Q31" s="6">
        <f t="shared" si="11"/>
        <v>58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38</v>
      </c>
      <c r="CU31" s="7">
        <f t="shared" si="90"/>
        <v>44</v>
      </c>
      <c r="CV31" s="5">
        <f t="shared" si="91"/>
        <v>202.25</v>
      </c>
      <c r="CW31" s="6">
        <f t="shared" si="92"/>
        <v>224.9375</v>
      </c>
      <c r="CY31" s="7">
        <v>202.25</v>
      </c>
      <c r="CZ31" s="5">
        <f t="array" ref="CZ31">Summary_UpperBound</f>
        <v>224.9375</v>
      </c>
      <c r="DA31" s="6">
        <f>IF(ROUND(CZ31-CY31,0)=0,1/IF(Summary!$B$7="minutes",1,60),CZ31-CY31)</f>
        <v>22.6875</v>
      </c>
    </row>
    <row r="32" spans="1:105" x14ac:dyDescent="0.35">
      <c r="B32" s="14"/>
      <c r="E32" s="12">
        <f t="shared" si="93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6</v>
      </c>
      <c r="O32" s="6">
        <f t="shared" si="9"/>
        <v>8</v>
      </c>
      <c r="P32" s="5">
        <f t="shared" si="10"/>
        <v>44</v>
      </c>
      <c r="Q32" s="6">
        <f t="shared" si="11"/>
        <v>58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38</v>
      </c>
      <c r="CU32" s="7">
        <f t="shared" si="90"/>
        <v>44</v>
      </c>
      <c r="CV32" s="5">
        <f t="shared" si="91"/>
        <v>202.25</v>
      </c>
      <c r="CW32" s="6">
        <f t="shared" si="92"/>
        <v>224.9375</v>
      </c>
      <c r="CY32" s="7">
        <v>202.25</v>
      </c>
      <c r="CZ32" s="5">
        <f t="array" ref="CZ32">Summary_UpperBound</f>
        <v>224.9375</v>
      </c>
      <c r="DA32" s="6">
        <f>IF(ROUND(CZ32-CY32,0)=0,1/IF(Summary!$B$7="minutes",1,60),CZ32-CY32)</f>
        <v>22.6875</v>
      </c>
    </row>
    <row r="33" spans="2:105" x14ac:dyDescent="0.35">
      <c r="B33" s="14"/>
      <c r="E33" s="12">
        <f t="shared" si="93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6</v>
      </c>
      <c r="O33" s="6">
        <f t="shared" si="9"/>
        <v>8</v>
      </c>
      <c r="P33" s="5">
        <f t="shared" si="10"/>
        <v>44</v>
      </c>
      <c r="Q33" s="6">
        <f t="shared" si="11"/>
        <v>58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38</v>
      </c>
      <c r="CU33" s="7">
        <f t="shared" si="90"/>
        <v>44</v>
      </c>
      <c r="CV33" s="5">
        <f t="shared" si="91"/>
        <v>202.25</v>
      </c>
      <c r="CW33" s="6">
        <f t="shared" si="92"/>
        <v>224.9375</v>
      </c>
      <c r="CY33" s="7">
        <v>202.25</v>
      </c>
      <c r="CZ33" s="5">
        <f t="array" ref="CZ33">Summary_UpperBound</f>
        <v>224.9375</v>
      </c>
      <c r="DA33" s="6">
        <f>IF(ROUND(CZ33-CY33,0)=0,1/IF(Summary!$B$7="minutes",1,60),CZ33-CY33)</f>
        <v>22.6875</v>
      </c>
    </row>
    <row r="34" spans="2:105" x14ac:dyDescent="0.35">
      <c r="B34" s="14"/>
      <c r="E34" s="12">
        <f t="shared" si="93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6</v>
      </c>
      <c r="O34" s="6">
        <f t="shared" si="9"/>
        <v>8</v>
      </c>
      <c r="P34" s="5">
        <f t="shared" si="10"/>
        <v>44</v>
      </c>
      <c r="Q34" s="6">
        <f t="shared" si="11"/>
        <v>58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38</v>
      </c>
      <c r="CU34" s="7">
        <f t="shared" si="90"/>
        <v>44</v>
      </c>
      <c r="CV34" s="5">
        <f t="shared" si="91"/>
        <v>202.25</v>
      </c>
      <c r="CW34" s="6">
        <f t="shared" si="92"/>
        <v>224.9375</v>
      </c>
      <c r="CY34" s="7">
        <v>202.25</v>
      </c>
      <c r="CZ34" s="5">
        <f t="array" ref="CZ34">Summary_UpperBound</f>
        <v>224.9375</v>
      </c>
      <c r="DA34" s="6">
        <f>IF(ROUND(CZ34-CY34,0)=0,1/IF(Summary!$B$7="minutes",1,60),CZ34-CY34)</f>
        <v>22.6875</v>
      </c>
    </row>
    <row r="35" spans="2:105" x14ac:dyDescent="0.35">
      <c r="B35" s="14"/>
      <c r="E35" s="12">
        <f t="shared" si="93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6</v>
      </c>
      <c r="O35" s="6">
        <f t="shared" si="9"/>
        <v>8</v>
      </c>
      <c r="P35" s="5">
        <f t="shared" si="10"/>
        <v>44</v>
      </c>
      <c r="Q35" s="6">
        <f t="shared" si="11"/>
        <v>58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38</v>
      </c>
      <c r="CU35" s="7">
        <f t="shared" si="90"/>
        <v>44</v>
      </c>
      <c r="CV35" s="5">
        <f t="shared" si="91"/>
        <v>202.25</v>
      </c>
      <c r="CW35" s="6">
        <f t="shared" si="92"/>
        <v>224.9375</v>
      </c>
      <c r="CY35" s="7">
        <v>202.25</v>
      </c>
      <c r="CZ35" s="5">
        <f t="array" ref="CZ35">Summary_UpperBound</f>
        <v>224.9375</v>
      </c>
      <c r="DA35" s="6">
        <f>IF(ROUND(CZ35-CY35,0)=0,1/IF(Summary!$B$7="minutes",1,60),CZ35-CY35)</f>
        <v>22.6875</v>
      </c>
    </row>
    <row r="36" spans="2:105" x14ac:dyDescent="0.35">
      <c r="B36" s="14"/>
      <c r="E36" s="12">
        <f t="shared" si="93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6</v>
      </c>
      <c r="O36" s="6">
        <f t="shared" si="9"/>
        <v>8</v>
      </c>
      <c r="P36" s="5">
        <f t="shared" si="10"/>
        <v>44</v>
      </c>
      <c r="Q36" s="6">
        <f t="shared" si="11"/>
        <v>58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38</v>
      </c>
      <c r="CU36" s="7">
        <f t="shared" si="90"/>
        <v>44</v>
      </c>
      <c r="CV36" s="5">
        <f t="shared" si="91"/>
        <v>202.25</v>
      </c>
      <c r="CW36" s="6">
        <f t="shared" si="92"/>
        <v>224.9375</v>
      </c>
      <c r="CY36" s="7">
        <v>202.25</v>
      </c>
      <c r="CZ36" s="5">
        <f t="array" ref="CZ36">Summary_UpperBound</f>
        <v>224.9375</v>
      </c>
      <c r="DA36" s="6">
        <f>IF(ROUND(CZ36-CY36,0)=0,1/IF(Summary!$B$7="minutes",1,60),CZ36-CY36)</f>
        <v>22.6875</v>
      </c>
    </row>
    <row r="37" spans="2:105" x14ac:dyDescent="0.35">
      <c r="B37" s="14"/>
      <c r="E37" s="12">
        <f t="shared" si="93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6</v>
      </c>
      <c r="O37" s="6">
        <f t="shared" si="9"/>
        <v>8</v>
      </c>
      <c r="P37" s="5">
        <f t="shared" si="10"/>
        <v>44</v>
      </c>
      <c r="Q37" s="6">
        <f t="shared" si="11"/>
        <v>58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38</v>
      </c>
      <c r="CU37" s="7">
        <f t="shared" si="90"/>
        <v>44</v>
      </c>
      <c r="CV37" s="5">
        <f t="shared" si="91"/>
        <v>202.25</v>
      </c>
      <c r="CW37" s="6">
        <f t="shared" si="92"/>
        <v>224.9375</v>
      </c>
      <c r="CY37" s="7">
        <v>202.25</v>
      </c>
      <c r="CZ37" s="5">
        <f t="array" ref="CZ37">Summary_UpperBound</f>
        <v>224.9375</v>
      </c>
      <c r="DA37" s="6">
        <f>IF(ROUND(CZ37-CY37,0)=0,1/IF(Summary!$B$7="minutes",1,60),CZ37-CY37)</f>
        <v>22.6875</v>
      </c>
    </row>
    <row r="38" spans="2:105" x14ac:dyDescent="0.35">
      <c r="B38" s="14"/>
      <c r="E38" s="12">
        <f t="shared" si="93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6</v>
      </c>
      <c r="O38" s="6">
        <f t="shared" si="9"/>
        <v>8</v>
      </c>
      <c r="P38" s="5">
        <f t="shared" si="10"/>
        <v>44</v>
      </c>
      <c r="Q38" s="6">
        <f t="shared" si="11"/>
        <v>58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38</v>
      </c>
      <c r="CU38" s="7">
        <f t="shared" si="90"/>
        <v>44</v>
      </c>
      <c r="CV38" s="5">
        <f t="shared" si="91"/>
        <v>202.25</v>
      </c>
      <c r="CW38" s="6">
        <f t="shared" si="92"/>
        <v>224.9375</v>
      </c>
      <c r="CY38" s="7">
        <v>202.25</v>
      </c>
      <c r="CZ38" s="5">
        <f t="array" ref="CZ38">Summary_UpperBound</f>
        <v>224.9375</v>
      </c>
      <c r="DA38" s="6">
        <f>IF(ROUND(CZ38-CY38,0)=0,1/IF(Summary!$B$7="minutes",1,60),CZ38-CY38)</f>
        <v>22.6875</v>
      </c>
    </row>
    <row r="39" spans="2:105" x14ac:dyDescent="0.35">
      <c r="B39" s="14"/>
      <c r="E39" s="12">
        <f t="shared" si="93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6</v>
      </c>
      <c r="O39" s="6">
        <f t="shared" si="9"/>
        <v>8</v>
      </c>
      <c r="P39" s="5">
        <f t="shared" si="10"/>
        <v>44</v>
      </c>
      <c r="Q39" s="6">
        <f t="shared" si="11"/>
        <v>58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38</v>
      </c>
      <c r="CU39" s="7">
        <f t="shared" si="90"/>
        <v>44</v>
      </c>
      <c r="CV39" s="5">
        <f t="shared" si="91"/>
        <v>202.25</v>
      </c>
      <c r="CW39" s="6">
        <f t="shared" si="92"/>
        <v>224.9375</v>
      </c>
      <c r="CY39" s="7">
        <v>202.25</v>
      </c>
      <c r="CZ39" s="5">
        <f t="array" ref="CZ39">Summary_UpperBound</f>
        <v>224.9375</v>
      </c>
      <c r="DA39" s="6">
        <f>IF(ROUND(CZ39-CY39,0)=0,1/IF(Summary!$B$7="minutes",1,60),CZ39-CY39)</f>
        <v>22.6875</v>
      </c>
    </row>
    <row r="40" spans="2:105" x14ac:dyDescent="0.35">
      <c r="B40" s="14"/>
      <c r="E40" s="12">
        <f t="shared" si="93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6</v>
      </c>
      <c r="O40" s="6">
        <f t="shared" si="9"/>
        <v>8</v>
      </c>
      <c r="P40" s="5">
        <f t="shared" si="10"/>
        <v>44</v>
      </c>
      <c r="Q40" s="6">
        <f t="shared" si="11"/>
        <v>58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38</v>
      </c>
      <c r="CU40" s="7">
        <f t="shared" si="90"/>
        <v>44</v>
      </c>
      <c r="CV40" s="5">
        <f t="shared" si="91"/>
        <v>202.25</v>
      </c>
      <c r="CW40" s="6">
        <f t="shared" si="92"/>
        <v>224.9375</v>
      </c>
      <c r="CY40" s="7">
        <v>202.25</v>
      </c>
      <c r="CZ40" s="5">
        <f t="array" ref="CZ40">Summary_UpperBound</f>
        <v>224.9375</v>
      </c>
      <c r="DA40" s="6">
        <f>IF(ROUND(CZ40-CY40,0)=0,1/IF(Summary!$B$7="minutes",1,60),CZ40-CY40)</f>
        <v>22.6875</v>
      </c>
    </row>
    <row r="41" spans="2:105" x14ac:dyDescent="0.35">
      <c r="B41" s="14"/>
      <c r="E41" s="12">
        <f t="shared" si="93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6</v>
      </c>
      <c r="O41" s="6">
        <f t="shared" si="9"/>
        <v>8</v>
      </c>
      <c r="P41" s="5">
        <f t="shared" si="10"/>
        <v>44</v>
      </c>
      <c r="Q41" s="6">
        <f t="shared" si="11"/>
        <v>58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38</v>
      </c>
      <c r="CU41" s="7">
        <f t="shared" si="90"/>
        <v>44</v>
      </c>
      <c r="CV41" s="5">
        <f t="shared" si="91"/>
        <v>202.25</v>
      </c>
      <c r="CW41" s="6">
        <f t="shared" si="92"/>
        <v>224.9375</v>
      </c>
      <c r="CY41" s="7">
        <v>202.25</v>
      </c>
      <c r="CZ41" s="5">
        <f t="array" ref="CZ41">Summary_UpperBound</f>
        <v>224.9375</v>
      </c>
      <c r="DA41" s="6">
        <f>IF(ROUND(CZ41-CY41,0)=0,1/IF(Summary!$B$7="minutes",1,60),CZ41-CY41)</f>
        <v>22.6875</v>
      </c>
    </row>
    <row r="42" spans="2:105" x14ac:dyDescent="0.35">
      <c r="B42" s="14"/>
      <c r="E42" s="12">
        <f t="shared" si="93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6</v>
      </c>
      <c r="O42" s="6">
        <f t="shared" si="9"/>
        <v>8</v>
      </c>
      <c r="P42" s="5">
        <f t="shared" si="10"/>
        <v>44</v>
      </c>
      <c r="Q42" s="6">
        <f t="shared" si="11"/>
        <v>58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38</v>
      </c>
      <c r="CU42" s="7">
        <f t="shared" si="90"/>
        <v>44</v>
      </c>
      <c r="CV42" s="5">
        <f t="shared" si="91"/>
        <v>202.25</v>
      </c>
      <c r="CW42" s="6">
        <f t="shared" si="92"/>
        <v>224.9375</v>
      </c>
      <c r="CY42" s="7">
        <v>202.25</v>
      </c>
      <c r="CZ42" s="5">
        <f t="array" ref="CZ42">Summary_UpperBound</f>
        <v>224.9375</v>
      </c>
      <c r="DA42" s="6">
        <f>IF(ROUND(CZ42-CY42,0)=0,1/IF(Summary!$B$7="minutes",1,60),CZ42-CY42)</f>
        <v>22.6875</v>
      </c>
    </row>
    <row r="43" spans="2:105" x14ac:dyDescent="0.35">
      <c r="B43" s="14"/>
      <c r="E43" s="12">
        <f t="shared" si="93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6</v>
      </c>
      <c r="O43" s="6">
        <f t="shared" si="9"/>
        <v>8</v>
      </c>
      <c r="P43" s="5">
        <f t="shared" si="10"/>
        <v>44</v>
      </c>
      <c r="Q43" s="6">
        <f t="shared" si="11"/>
        <v>58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38</v>
      </c>
      <c r="CU43" s="7">
        <f t="shared" si="90"/>
        <v>44</v>
      </c>
      <c r="CV43" s="5">
        <f t="shared" si="91"/>
        <v>202.25</v>
      </c>
      <c r="CW43" s="6">
        <f t="shared" si="92"/>
        <v>224.9375</v>
      </c>
      <c r="CY43" s="7">
        <v>202.25</v>
      </c>
      <c r="CZ43" s="5">
        <f t="array" ref="CZ43">Summary_UpperBound</f>
        <v>224.9375</v>
      </c>
      <c r="DA43" s="6">
        <f>IF(ROUND(CZ43-CY43,0)=0,1/IF(Summary!$B$7="minutes",1,60),CZ43-CY43)</f>
        <v>22.6875</v>
      </c>
    </row>
    <row r="44" spans="2:105" x14ac:dyDescent="0.35">
      <c r="B44" s="14"/>
      <c r="E44" s="12">
        <f t="shared" si="93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6</v>
      </c>
      <c r="O44" s="6">
        <f t="shared" si="9"/>
        <v>8</v>
      </c>
      <c r="P44" s="5">
        <f t="shared" si="10"/>
        <v>44</v>
      </c>
      <c r="Q44" s="6">
        <f t="shared" si="11"/>
        <v>58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38</v>
      </c>
      <c r="CU44" s="7">
        <f t="shared" si="90"/>
        <v>44</v>
      </c>
      <c r="CV44" s="5">
        <f t="shared" si="91"/>
        <v>202.25</v>
      </c>
      <c r="CW44" s="6">
        <f t="shared" si="92"/>
        <v>224.9375</v>
      </c>
      <c r="CY44" s="7">
        <v>202.25</v>
      </c>
      <c r="CZ44" s="5">
        <f t="array" ref="CZ44">Summary_UpperBound</f>
        <v>224.9375</v>
      </c>
      <c r="DA44" s="6">
        <f>IF(ROUND(CZ44-CY44,0)=0,1/IF(Summary!$B$7="minutes",1,60),CZ44-CY44)</f>
        <v>22.6875</v>
      </c>
    </row>
    <row r="45" spans="2:105" x14ac:dyDescent="0.35">
      <c r="B45" s="14"/>
      <c r="E45" s="12">
        <f t="shared" si="93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6</v>
      </c>
      <c r="O45" s="6">
        <f t="shared" si="9"/>
        <v>8</v>
      </c>
      <c r="P45" s="5">
        <f t="shared" si="10"/>
        <v>44</v>
      </c>
      <c r="Q45" s="6">
        <f t="shared" si="11"/>
        <v>58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38</v>
      </c>
      <c r="CU45" s="7">
        <f t="shared" si="90"/>
        <v>44</v>
      </c>
      <c r="CV45" s="5">
        <f t="shared" si="91"/>
        <v>202.25</v>
      </c>
      <c r="CW45" s="6">
        <f t="shared" si="92"/>
        <v>224.9375</v>
      </c>
      <c r="CY45" s="7">
        <v>202.25</v>
      </c>
      <c r="CZ45" s="5">
        <f t="array" ref="CZ45">Summary_UpperBound</f>
        <v>224.9375</v>
      </c>
      <c r="DA45" s="6">
        <f>IF(ROUND(CZ45-CY45,0)=0,1/IF(Summary!$B$7="minutes",1,60),CZ45-CY45)</f>
        <v>22.6875</v>
      </c>
    </row>
    <row r="46" spans="2:105" x14ac:dyDescent="0.35">
      <c r="B46" s="14"/>
      <c r="E46" s="12">
        <f t="shared" si="93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6</v>
      </c>
      <c r="O46" s="6">
        <f t="shared" si="9"/>
        <v>8</v>
      </c>
      <c r="P46" s="5">
        <f t="shared" si="10"/>
        <v>44</v>
      </c>
      <c r="Q46" s="6">
        <f t="shared" si="11"/>
        <v>58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38</v>
      </c>
      <c r="CU46" s="7">
        <f t="shared" si="90"/>
        <v>44</v>
      </c>
      <c r="CV46" s="5">
        <f t="shared" si="91"/>
        <v>202.25</v>
      </c>
      <c r="CW46" s="6">
        <f t="shared" si="92"/>
        <v>224.9375</v>
      </c>
      <c r="CY46" s="7">
        <v>202.25</v>
      </c>
      <c r="CZ46" s="5">
        <f t="array" ref="CZ46">Summary_UpperBound</f>
        <v>224.9375</v>
      </c>
      <c r="DA46" s="6">
        <f>IF(ROUND(CZ46-CY46,0)=0,1/IF(Summary!$B$7="minutes",1,60),CZ46-CY46)</f>
        <v>22.6875</v>
      </c>
    </row>
    <row r="47" spans="2:105" x14ac:dyDescent="0.35">
      <c r="B47" s="14"/>
      <c r="E47" s="12">
        <f t="shared" si="93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6</v>
      </c>
      <c r="O47" s="6">
        <f t="shared" si="9"/>
        <v>8</v>
      </c>
      <c r="P47" s="5">
        <f t="shared" si="10"/>
        <v>44</v>
      </c>
      <c r="Q47" s="6">
        <f t="shared" si="11"/>
        <v>58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38</v>
      </c>
      <c r="CU47" s="7">
        <f t="shared" si="90"/>
        <v>44</v>
      </c>
      <c r="CV47" s="5">
        <f t="shared" si="91"/>
        <v>202.25</v>
      </c>
      <c r="CW47" s="6">
        <f t="shared" si="92"/>
        <v>224.9375</v>
      </c>
      <c r="CY47" s="7">
        <v>202.25</v>
      </c>
      <c r="CZ47" s="5">
        <f t="array" ref="CZ47">Summary_UpperBound</f>
        <v>224.9375</v>
      </c>
      <c r="DA47" s="6">
        <f>IF(ROUND(CZ47-CY47,0)=0,1/IF(Summary!$B$7="minutes",1,60),CZ47-CY47)</f>
        <v>22.6875</v>
      </c>
    </row>
    <row r="48" spans="2:105" x14ac:dyDescent="0.35">
      <c r="B48" s="14"/>
      <c r="E48" s="12">
        <f t="shared" si="93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6</v>
      </c>
      <c r="O48" s="6">
        <f t="shared" si="9"/>
        <v>8</v>
      </c>
      <c r="P48" s="5">
        <f t="shared" si="10"/>
        <v>44</v>
      </c>
      <c r="Q48" s="6">
        <f t="shared" si="11"/>
        <v>58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38</v>
      </c>
      <c r="CU48" s="7">
        <f t="shared" si="90"/>
        <v>44</v>
      </c>
      <c r="CV48" s="5">
        <f t="shared" si="91"/>
        <v>202.25</v>
      </c>
      <c r="CW48" s="6">
        <f t="shared" si="92"/>
        <v>224.9375</v>
      </c>
      <c r="CY48" s="7">
        <v>202.25</v>
      </c>
      <c r="CZ48" s="5">
        <f t="array" ref="CZ48">Summary_UpperBound</f>
        <v>224.9375</v>
      </c>
      <c r="DA48" s="6">
        <f>IF(ROUND(CZ48-CY48,0)=0,1/IF(Summary!$B$7="minutes",1,60),CZ48-CY48)</f>
        <v>22.6875</v>
      </c>
    </row>
    <row r="49" spans="2:105" x14ac:dyDescent="0.35">
      <c r="B49" s="14"/>
      <c r="E49" s="12">
        <f t="shared" si="93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6</v>
      </c>
      <c r="O49" s="6">
        <f t="shared" si="9"/>
        <v>8</v>
      </c>
      <c r="P49" s="5">
        <f t="shared" si="10"/>
        <v>44</v>
      </c>
      <c r="Q49" s="6">
        <f t="shared" si="11"/>
        <v>58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38</v>
      </c>
      <c r="CU49" s="7">
        <f t="shared" si="90"/>
        <v>44</v>
      </c>
      <c r="CV49" s="5">
        <f t="shared" si="91"/>
        <v>202.25</v>
      </c>
      <c r="CW49" s="6">
        <f t="shared" si="92"/>
        <v>224.9375</v>
      </c>
      <c r="CY49" s="7">
        <v>202.25</v>
      </c>
      <c r="CZ49" s="5">
        <f t="array" ref="CZ49">Summary_UpperBound</f>
        <v>224.9375</v>
      </c>
      <c r="DA49" s="6">
        <f>IF(ROUND(CZ49-CY49,0)=0,1/IF(Summary!$B$7="minutes",1,60),CZ49-CY49)</f>
        <v>22.6875</v>
      </c>
    </row>
    <row r="50" spans="2:105" x14ac:dyDescent="0.35">
      <c r="B50" s="14"/>
      <c r="E50" s="12">
        <f t="shared" si="93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6</v>
      </c>
      <c r="O50" s="6">
        <f t="shared" si="9"/>
        <v>8</v>
      </c>
      <c r="P50" s="5">
        <f t="shared" si="10"/>
        <v>44</v>
      </c>
      <c r="Q50" s="6">
        <f t="shared" si="11"/>
        <v>58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38</v>
      </c>
      <c r="CU50" s="7">
        <f t="shared" si="90"/>
        <v>44</v>
      </c>
      <c r="CV50" s="5">
        <f t="shared" si="91"/>
        <v>202.25</v>
      </c>
      <c r="CW50" s="6">
        <f t="shared" si="92"/>
        <v>224.9375</v>
      </c>
      <c r="CY50" s="7">
        <v>202.25</v>
      </c>
      <c r="CZ50" s="5">
        <f t="array" ref="CZ50">Summary_UpperBound</f>
        <v>224.9375</v>
      </c>
      <c r="DA50" s="6">
        <f>IF(ROUND(CZ50-CY50,0)=0,1/IF(Summary!$B$7="minutes",1,60),CZ50-CY50)</f>
        <v>22.6875</v>
      </c>
    </row>
    <row r="51" spans="2:105" x14ac:dyDescent="0.35">
      <c r="B51" s="14"/>
      <c r="E51" s="12">
        <f t="shared" si="93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6</v>
      </c>
      <c r="O51" s="6">
        <f t="shared" si="9"/>
        <v>8</v>
      </c>
      <c r="P51" s="5">
        <f t="shared" si="10"/>
        <v>44</v>
      </c>
      <c r="Q51" s="6">
        <f t="shared" si="11"/>
        <v>58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38</v>
      </c>
      <c r="CU51" s="7">
        <f t="shared" si="90"/>
        <v>44</v>
      </c>
      <c r="CV51" s="5">
        <f t="shared" si="91"/>
        <v>202.25</v>
      </c>
      <c r="CW51" s="6">
        <f t="shared" si="92"/>
        <v>224.9375</v>
      </c>
      <c r="CY51" s="7">
        <v>202.25</v>
      </c>
      <c r="CZ51" s="5">
        <f t="array" ref="CZ51">Summary_UpperBound</f>
        <v>224.9375</v>
      </c>
      <c r="DA51" s="6">
        <f>IF(ROUND(CZ51-CY51,0)=0,1/IF(Summary!$B$7="minutes",1,60),CZ51-CY51)</f>
        <v>22.6875</v>
      </c>
    </row>
    <row r="52" spans="2:105" x14ac:dyDescent="0.35">
      <c r="B52" s="14"/>
      <c r="E52" s="12">
        <f t="shared" si="93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6</v>
      </c>
      <c r="O52" s="6">
        <f t="shared" si="9"/>
        <v>8</v>
      </c>
      <c r="P52" s="5">
        <f t="shared" si="10"/>
        <v>44</v>
      </c>
      <c r="Q52" s="6">
        <f t="shared" si="11"/>
        <v>58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38</v>
      </c>
      <c r="CU52" s="7">
        <f t="shared" si="90"/>
        <v>44</v>
      </c>
      <c r="CV52" s="5">
        <f t="shared" si="91"/>
        <v>202.25</v>
      </c>
      <c r="CW52" s="6">
        <f t="shared" si="92"/>
        <v>224.9375</v>
      </c>
      <c r="CY52" s="7">
        <v>202.25</v>
      </c>
      <c r="CZ52" s="5">
        <f t="array" ref="CZ52">Summary_UpperBound</f>
        <v>224.9375</v>
      </c>
      <c r="DA52" s="6">
        <f>IF(ROUND(CZ52-CY52,0)=0,1/IF(Summary!$B$7="minutes",1,60),CZ52-CY52)</f>
        <v>22.6875</v>
      </c>
    </row>
    <row r="53" spans="2:105" x14ac:dyDescent="0.35">
      <c r="B53" s="14"/>
      <c r="E53" s="12">
        <f t="shared" si="93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6</v>
      </c>
      <c r="O53" s="6">
        <f t="shared" si="9"/>
        <v>8</v>
      </c>
      <c r="P53" s="5">
        <f t="shared" si="10"/>
        <v>44</v>
      </c>
      <c r="Q53" s="6">
        <f t="shared" si="11"/>
        <v>58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38</v>
      </c>
      <c r="CU53" s="7">
        <f t="shared" si="90"/>
        <v>44</v>
      </c>
      <c r="CV53" s="5">
        <f t="shared" si="91"/>
        <v>202.25</v>
      </c>
      <c r="CW53" s="6">
        <f t="shared" si="92"/>
        <v>224.9375</v>
      </c>
      <c r="CY53" s="7">
        <v>202.25</v>
      </c>
      <c r="CZ53" s="5">
        <f t="array" ref="CZ53">Summary_UpperBound</f>
        <v>224.9375</v>
      </c>
      <c r="DA53" s="6">
        <f>IF(ROUND(CZ53-CY53,0)=0,1/IF(Summary!$B$7="minutes",1,60),CZ53-CY53)</f>
        <v>22.6875</v>
      </c>
    </row>
    <row r="54" spans="2:105" x14ac:dyDescent="0.35">
      <c r="B54" s="14"/>
      <c r="E54" s="12">
        <f t="shared" si="93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6</v>
      </c>
      <c r="O54" s="6">
        <f t="shared" si="9"/>
        <v>8</v>
      </c>
      <c r="P54" s="5">
        <f t="shared" si="10"/>
        <v>44</v>
      </c>
      <c r="Q54" s="6">
        <f t="shared" si="11"/>
        <v>58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38</v>
      </c>
      <c r="CU54" s="7">
        <f t="shared" si="90"/>
        <v>44</v>
      </c>
      <c r="CV54" s="5">
        <f t="shared" si="91"/>
        <v>202.25</v>
      </c>
      <c r="CW54" s="6">
        <f t="shared" si="92"/>
        <v>224.9375</v>
      </c>
      <c r="CY54" s="7">
        <v>202.25</v>
      </c>
      <c r="CZ54" s="5">
        <f t="array" ref="CZ54">Summary_UpperBound</f>
        <v>224.9375</v>
      </c>
      <c r="DA54" s="6">
        <f>IF(ROUND(CZ54-CY54,0)=0,1/IF(Summary!$B$7="minutes",1,60),CZ54-CY54)</f>
        <v>22.6875</v>
      </c>
    </row>
    <row r="55" spans="2:105" x14ac:dyDescent="0.35">
      <c r="B55" s="14"/>
      <c r="E55" s="12">
        <f t="shared" si="93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6</v>
      </c>
      <c r="O55" s="6">
        <f t="shared" si="9"/>
        <v>8</v>
      </c>
      <c r="P55" s="5">
        <f t="shared" si="10"/>
        <v>44</v>
      </c>
      <c r="Q55" s="6">
        <f t="shared" si="11"/>
        <v>58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38</v>
      </c>
      <c r="CU55" s="7">
        <f t="shared" si="90"/>
        <v>44</v>
      </c>
      <c r="CV55" s="5">
        <f t="shared" si="91"/>
        <v>202.25</v>
      </c>
      <c r="CW55" s="6">
        <f t="shared" si="92"/>
        <v>224.9375</v>
      </c>
      <c r="CY55" s="7">
        <v>202.25</v>
      </c>
      <c r="CZ55" s="5">
        <f t="array" ref="CZ55">Summary_UpperBound</f>
        <v>224.9375</v>
      </c>
      <c r="DA55" s="6">
        <f>IF(ROUND(CZ55-CY55,0)=0,1/IF(Summary!$B$7="minutes",1,60),CZ55-CY55)</f>
        <v>22.6875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6</v>
      </c>
      <c r="O56" s="10">
        <f t="shared" si="9"/>
        <v>8</v>
      </c>
      <c r="P56" s="9">
        <f t="shared" si="10"/>
        <v>44</v>
      </c>
      <c r="Q56" s="10">
        <f t="shared" si="11"/>
        <v>58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38</v>
      </c>
      <c r="CU56" s="7">
        <f t="shared" si="90"/>
        <v>44</v>
      </c>
      <c r="CV56" s="9">
        <f t="shared" si="91"/>
        <v>202.25</v>
      </c>
      <c r="CW56" s="10">
        <f t="shared" si="92"/>
        <v>224.9375</v>
      </c>
      <c r="CY56" s="8">
        <v>202.25</v>
      </c>
      <c r="CZ56" s="9">
        <f t="array" ref="CZ56">Summary_UpperBound</f>
        <v>224.9375</v>
      </c>
      <c r="DA56" s="6">
        <f>IF(ROUND(CZ56-CY56,0)=0,1/IF(Summary!$B$7="minutes",1,60),CZ56-CY56)</f>
        <v>22.6875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43.75</v>
      </c>
      <c r="G59" s="5">
        <f>AVERAGE(G5:G56)-F59</f>
        <v>2.1875</v>
      </c>
      <c r="H59" s="5">
        <f t="shared" ref="H59:BR59" si="94">AVERAGE(H5:H56)</f>
        <v>20</v>
      </c>
      <c r="I59" s="5">
        <f>AVERAGE(I5:I56)-H59</f>
        <v>4.0000000000000036</v>
      </c>
      <c r="J59" s="5">
        <f t="shared" si="94"/>
        <v>63.75</v>
      </c>
      <c r="K59" s="5">
        <f>AVERAGE(K5:K56)-J59</f>
        <v>6.1875</v>
      </c>
      <c r="L59" s="5">
        <f t="shared" si="94"/>
        <v>38</v>
      </c>
      <c r="M59" s="5">
        <f>AVERAGE(M5:M56)-L59</f>
        <v>12</v>
      </c>
      <c r="N59" s="5">
        <f t="shared" si="94"/>
        <v>6</v>
      </c>
      <c r="O59" s="5">
        <f>AVERAGE(O5:O56)-N59</f>
        <v>2</v>
      </c>
      <c r="P59" s="5">
        <f t="shared" si="94"/>
        <v>44</v>
      </c>
      <c r="Q59" s="5">
        <f>AVERAGE(Q5:Q56)-P59</f>
        <v>14</v>
      </c>
      <c r="R59" s="5">
        <f t="shared" si="94"/>
        <v>0</v>
      </c>
      <c r="S59" s="5">
        <f>AVERAGE(S5:S56)-R59</f>
        <v>0</v>
      </c>
      <c r="T59" s="5">
        <f t="shared" si="94"/>
        <v>12.000000000000002</v>
      </c>
      <c r="U59" s="5">
        <f>AVERAGE(U5:U56)-T59</f>
        <v>0</v>
      </c>
      <c r="V59" s="5">
        <f t="shared" si="94"/>
        <v>12.000000000000002</v>
      </c>
      <c r="W59" s="5">
        <f>AVERAGE(W5:W56)-V59</f>
        <v>0</v>
      </c>
      <c r="X59" s="5">
        <f t="shared" si="94"/>
        <v>52.5</v>
      </c>
      <c r="Y59" s="5">
        <f>AVERAGE(Y5:Y56)-X59</f>
        <v>0.75</v>
      </c>
      <c r="Z59" s="5">
        <f t="shared" si="94"/>
        <v>0</v>
      </c>
      <c r="AA59" s="5">
        <f>AVERAGE(AA5:AA56)-Z59</f>
        <v>0</v>
      </c>
      <c r="AB59" s="5">
        <f t="shared" si="94"/>
        <v>52.5</v>
      </c>
      <c r="AC59" s="5">
        <f>AVERAGE(AC5:AC56)-AB59</f>
        <v>0.75</v>
      </c>
      <c r="AD59" s="5">
        <f t="shared" si="94"/>
        <v>30</v>
      </c>
      <c r="AE59" s="5">
        <f>AVERAGE(AE5:AE56)-AD59</f>
        <v>1.75</v>
      </c>
      <c r="AF59" s="5">
        <f t="shared" si="94"/>
        <v>0</v>
      </c>
      <c r="AG59" s="5">
        <f>AVERAGE(AG5:AG56)-AF59</f>
        <v>0</v>
      </c>
      <c r="AH59" s="5">
        <f t="shared" si="94"/>
        <v>30</v>
      </c>
      <c r="AI59" s="5">
        <f>AVERAGE(AI5:AI56)-AH59</f>
        <v>1.75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6.1875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showRowColHeaders="0" workbookViewId="0">
      <selection activeCell="Y7" sqref="Y7:AQ8"/>
    </sheetView>
  </sheetViews>
  <sheetFormatPr defaultColWidth="0" defaultRowHeight="14.5" zeroHeight="1" x14ac:dyDescent="0.35"/>
  <cols>
    <col min="1" max="1" width="8.7265625" customWidth="1"/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7" width="8.7265625" customWidth="1"/>
    <col min="48" max="16384" width="8.7265625" hidden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4" spans="1:46" x14ac:dyDescent="0.35"/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4" t="s">
        <v>49</v>
      </c>
      <c r="C7" s="139" t="s">
        <v>224</v>
      </c>
      <c r="D7" s="148" t="s">
        <v>225</v>
      </c>
      <c r="E7" s="148" t="s">
        <v>225</v>
      </c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1"/>
      <c r="R7" s="124" t="s">
        <v>226</v>
      </c>
      <c r="S7" s="124">
        <v>42</v>
      </c>
      <c r="T7" s="124">
        <v>3600</v>
      </c>
      <c r="U7" s="37">
        <f>IF(T7*S7=0,"",T7*S7)</f>
        <v>151200</v>
      </c>
      <c r="V7" s="179">
        <f>IFERROR(U7/52,"")</f>
        <v>2907.6923076923076</v>
      </c>
      <c r="W7" s="179">
        <f>IFERROR(V7/COUNTIF(C7:Q7,"="&amp;"x"),"")</f>
        <v>969.23076923076917</v>
      </c>
      <c r="X7" s="5"/>
      <c r="Y7" s="124"/>
      <c r="Z7" s="139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1"/>
      <c r="AO7" s="124"/>
      <c r="AP7" s="124"/>
      <c r="AQ7" s="124"/>
      <c r="AR7" s="37" t="str">
        <f>IF(AQ7*AP7=0,"",AQ7*AP7)</f>
        <v/>
      </c>
      <c r="AS7" s="179" t="str">
        <f t="shared" ref="AS7:AS70" si="0">IFERROR(AR7/52,"")</f>
        <v/>
      </c>
      <c r="AT7" s="179" t="str">
        <f>IFERROR(AS7/COUNTIF(Z7:AN7,"="&amp;"x"),"")</f>
        <v/>
      </c>
    </row>
    <row r="8" spans="1:46" x14ac:dyDescent="0.35">
      <c r="B8" s="125" t="s">
        <v>227</v>
      </c>
      <c r="C8" s="142"/>
      <c r="D8" s="127"/>
      <c r="E8" s="127"/>
      <c r="F8" s="127" t="s">
        <v>225</v>
      </c>
      <c r="G8" s="127" t="s">
        <v>225</v>
      </c>
      <c r="H8" s="127"/>
      <c r="I8" s="127"/>
      <c r="J8" s="127"/>
      <c r="K8" s="127"/>
      <c r="L8" s="127"/>
      <c r="M8" s="127"/>
      <c r="N8" s="127"/>
      <c r="O8" s="127"/>
      <c r="P8" s="127"/>
      <c r="Q8" s="144"/>
      <c r="R8" s="125" t="s">
        <v>228</v>
      </c>
      <c r="S8" s="125">
        <v>42</v>
      </c>
      <c r="T8" s="125">
        <v>4200</v>
      </c>
      <c r="U8" s="47">
        <f t="shared" ref="U8:U71" si="1">IF(T8*S8=0,"",T8*S8)</f>
        <v>176400</v>
      </c>
      <c r="V8" s="180">
        <f t="shared" ref="V8:V70" si="2">IFERROR(U8/52,"")</f>
        <v>3392.3076923076924</v>
      </c>
      <c r="W8" s="180">
        <f t="shared" ref="W8:W71" si="3">IFERROR(V8/COUNTIF(C8:Q8,"="&amp;"x"),"")</f>
        <v>1696.1538461538462</v>
      </c>
      <c r="X8" s="5"/>
      <c r="Y8" s="125"/>
      <c r="Z8" s="142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44"/>
      <c r="AO8" s="125"/>
      <c r="AP8" s="125"/>
      <c r="AQ8" s="125"/>
      <c r="AR8" s="47" t="str">
        <f t="shared" ref="AR8:AR71" si="4">IF(AQ8*AP8=0,"",AQ8*AP8)</f>
        <v/>
      </c>
      <c r="AS8" s="180" t="str">
        <f t="shared" si="0"/>
        <v/>
      </c>
      <c r="AT8" s="180" t="str">
        <f t="shared" ref="AT8:AT71" si="5">IFERROR(AS8/COUNTIF(Z8:AN8,"="&amp;"x"),"")</f>
        <v/>
      </c>
    </row>
    <row r="9" spans="1:46" x14ac:dyDescent="0.35">
      <c r="B9" s="125"/>
      <c r="C9" s="142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44"/>
      <c r="R9" s="125"/>
      <c r="S9" s="125"/>
      <c r="T9" s="125"/>
      <c r="U9" s="47" t="str">
        <f t="shared" si="1"/>
        <v/>
      </c>
      <c r="V9" s="180" t="str">
        <f t="shared" si="2"/>
        <v/>
      </c>
      <c r="W9" s="180" t="str">
        <f t="shared" si="3"/>
        <v/>
      </c>
      <c r="X9" s="5"/>
      <c r="Y9" s="125"/>
      <c r="Z9" s="142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44"/>
      <c r="AO9" s="125"/>
      <c r="AP9" s="125"/>
      <c r="AQ9" s="125"/>
      <c r="AR9" s="47" t="str">
        <f t="shared" si="4"/>
        <v/>
      </c>
      <c r="AS9" s="180" t="str">
        <f t="shared" si="0"/>
        <v/>
      </c>
      <c r="AT9" s="180" t="str">
        <f t="shared" si="5"/>
        <v/>
      </c>
    </row>
    <row r="10" spans="1:46" x14ac:dyDescent="0.35">
      <c r="B10" s="125"/>
      <c r="C10" s="142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44"/>
      <c r="R10" s="125"/>
      <c r="S10" s="125"/>
      <c r="T10" s="125"/>
      <c r="U10" s="47" t="str">
        <f t="shared" si="1"/>
        <v/>
      </c>
      <c r="V10" s="180" t="str">
        <f t="shared" si="2"/>
        <v/>
      </c>
      <c r="W10" s="180" t="str">
        <f t="shared" si="3"/>
        <v/>
      </c>
      <c r="X10" s="5"/>
      <c r="Y10" s="125"/>
      <c r="Z10" s="142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44"/>
      <c r="AO10" s="125"/>
      <c r="AP10" s="125"/>
      <c r="AQ10" s="125"/>
      <c r="AR10" s="47" t="str">
        <f t="shared" si="4"/>
        <v/>
      </c>
      <c r="AS10" s="180" t="str">
        <f t="shared" si="0"/>
        <v/>
      </c>
      <c r="AT10" s="180" t="str">
        <f t="shared" si="5"/>
        <v/>
      </c>
    </row>
    <row r="11" spans="1:46" x14ac:dyDescent="0.35">
      <c r="B11" s="125"/>
      <c r="C11" s="142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44"/>
      <c r="R11" s="125"/>
      <c r="S11" s="125"/>
      <c r="T11" s="125"/>
      <c r="U11" s="47" t="str">
        <f t="shared" si="1"/>
        <v/>
      </c>
      <c r="V11" s="180" t="str">
        <f t="shared" si="2"/>
        <v/>
      </c>
      <c r="W11" s="180" t="str">
        <f t="shared" si="3"/>
        <v/>
      </c>
      <c r="X11" s="5"/>
      <c r="Y11" s="125"/>
      <c r="Z11" s="142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144"/>
      <c r="AO11" s="125"/>
      <c r="AP11" s="125"/>
      <c r="AQ11" s="125"/>
      <c r="AR11" s="47" t="str">
        <f t="shared" si="4"/>
        <v/>
      </c>
      <c r="AS11" s="180" t="str">
        <f t="shared" si="0"/>
        <v/>
      </c>
      <c r="AT11" s="180" t="str">
        <f t="shared" si="5"/>
        <v/>
      </c>
    </row>
    <row r="12" spans="1:46" x14ac:dyDescent="0.35">
      <c r="B12" s="125"/>
      <c r="C12" s="142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44"/>
      <c r="R12" s="125"/>
      <c r="S12" s="125"/>
      <c r="T12" s="125"/>
      <c r="U12" s="47" t="str">
        <f t="shared" si="1"/>
        <v/>
      </c>
      <c r="V12" s="180" t="str">
        <f t="shared" si="2"/>
        <v/>
      </c>
      <c r="W12" s="180" t="str">
        <f t="shared" si="3"/>
        <v/>
      </c>
      <c r="X12" s="5"/>
      <c r="Y12" s="125"/>
      <c r="Z12" s="142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44"/>
      <c r="AO12" s="125"/>
      <c r="AP12" s="125"/>
      <c r="AQ12" s="125"/>
      <c r="AR12" s="47" t="str">
        <f t="shared" si="4"/>
        <v/>
      </c>
      <c r="AS12" s="180" t="str">
        <f t="shared" si="0"/>
        <v/>
      </c>
      <c r="AT12" s="180" t="str">
        <f t="shared" si="5"/>
        <v/>
      </c>
    </row>
    <row r="13" spans="1:46" x14ac:dyDescent="0.35">
      <c r="B13" s="125"/>
      <c r="C13" s="142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44"/>
      <c r="R13" s="125"/>
      <c r="S13" s="125"/>
      <c r="T13" s="125"/>
      <c r="U13" s="47" t="str">
        <f t="shared" si="1"/>
        <v/>
      </c>
      <c r="V13" s="180" t="str">
        <f t="shared" si="2"/>
        <v/>
      </c>
      <c r="W13" s="180" t="str">
        <f t="shared" si="3"/>
        <v/>
      </c>
      <c r="X13" s="5"/>
      <c r="Y13" s="125"/>
      <c r="Z13" s="142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44"/>
      <c r="AO13" s="125"/>
      <c r="AP13" s="125"/>
      <c r="AQ13" s="125"/>
      <c r="AR13" s="47" t="str">
        <f t="shared" si="4"/>
        <v/>
      </c>
      <c r="AS13" s="180" t="str">
        <f t="shared" si="0"/>
        <v/>
      </c>
      <c r="AT13" s="180" t="str">
        <f t="shared" si="5"/>
        <v/>
      </c>
    </row>
    <row r="14" spans="1:46" x14ac:dyDescent="0.35">
      <c r="B14" s="125"/>
      <c r="C14" s="142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44"/>
      <c r="R14" s="125"/>
      <c r="S14" s="125"/>
      <c r="T14" s="125"/>
      <c r="U14" s="47" t="str">
        <f t="shared" si="1"/>
        <v/>
      </c>
      <c r="V14" s="180" t="str">
        <f t="shared" si="2"/>
        <v/>
      </c>
      <c r="W14" s="180" t="str">
        <f t="shared" si="3"/>
        <v/>
      </c>
      <c r="X14" s="5"/>
      <c r="Y14" s="125"/>
      <c r="Z14" s="142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44"/>
      <c r="AO14" s="125"/>
      <c r="AP14" s="125"/>
      <c r="AQ14" s="125"/>
      <c r="AR14" s="47" t="str">
        <f t="shared" si="4"/>
        <v/>
      </c>
      <c r="AS14" s="180" t="str">
        <f t="shared" si="0"/>
        <v/>
      </c>
      <c r="AT14" s="180" t="str">
        <f t="shared" si="5"/>
        <v/>
      </c>
    </row>
    <row r="15" spans="1:46" x14ac:dyDescent="0.35">
      <c r="B15" s="125"/>
      <c r="C15" s="142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44"/>
      <c r="R15" s="125"/>
      <c r="S15" s="125"/>
      <c r="T15" s="125"/>
      <c r="U15" s="47" t="str">
        <f t="shared" si="1"/>
        <v/>
      </c>
      <c r="V15" s="180" t="str">
        <f t="shared" si="2"/>
        <v/>
      </c>
      <c r="W15" s="180" t="str">
        <f t="shared" si="3"/>
        <v/>
      </c>
      <c r="X15" s="5"/>
      <c r="Y15" s="125"/>
      <c r="Z15" s="142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44"/>
      <c r="AO15" s="125"/>
      <c r="AP15" s="125"/>
      <c r="AQ15" s="125"/>
      <c r="AR15" s="47" t="str">
        <f t="shared" si="4"/>
        <v/>
      </c>
      <c r="AS15" s="180" t="str">
        <f t="shared" si="0"/>
        <v/>
      </c>
      <c r="AT15" s="180" t="str">
        <f t="shared" si="5"/>
        <v/>
      </c>
    </row>
    <row r="16" spans="1:46" x14ac:dyDescent="0.35">
      <c r="B16" s="125"/>
      <c r="C16" s="142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44"/>
      <c r="R16" s="125"/>
      <c r="S16" s="125"/>
      <c r="T16" s="125"/>
      <c r="U16" s="47" t="str">
        <f t="shared" si="1"/>
        <v/>
      </c>
      <c r="V16" s="180" t="str">
        <f t="shared" si="2"/>
        <v/>
      </c>
      <c r="W16" s="180" t="str">
        <f t="shared" si="3"/>
        <v/>
      </c>
      <c r="Y16" s="125"/>
      <c r="Z16" s="142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44"/>
      <c r="AO16" s="125"/>
      <c r="AP16" s="125"/>
      <c r="AQ16" s="125"/>
      <c r="AR16" s="47" t="str">
        <f t="shared" si="4"/>
        <v/>
      </c>
      <c r="AS16" s="180" t="str">
        <f t="shared" si="0"/>
        <v/>
      </c>
      <c r="AT16" s="180" t="str">
        <f t="shared" si="5"/>
        <v/>
      </c>
    </row>
    <row r="17" spans="2:46" x14ac:dyDescent="0.35">
      <c r="B17" s="125"/>
      <c r="C17" s="142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44"/>
      <c r="R17" s="125"/>
      <c r="S17" s="125"/>
      <c r="T17" s="125"/>
      <c r="U17" s="47" t="str">
        <f t="shared" si="1"/>
        <v/>
      </c>
      <c r="V17" s="180" t="str">
        <f t="shared" si="2"/>
        <v/>
      </c>
      <c r="W17" s="180" t="str">
        <f t="shared" si="3"/>
        <v/>
      </c>
      <c r="Y17" s="125"/>
      <c r="Z17" s="142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44"/>
      <c r="AO17" s="125"/>
      <c r="AP17" s="125"/>
      <c r="AQ17" s="125"/>
      <c r="AR17" s="47" t="str">
        <f t="shared" si="4"/>
        <v/>
      </c>
      <c r="AS17" s="180" t="str">
        <f t="shared" si="0"/>
        <v/>
      </c>
      <c r="AT17" s="180" t="str">
        <f t="shared" si="5"/>
        <v/>
      </c>
    </row>
    <row r="18" spans="2:46" x14ac:dyDescent="0.35">
      <c r="B18" s="125"/>
      <c r="C18" s="142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44"/>
      <c r="R18" s="125"/>
      <c r="S18" s="125"/>
      <c r="T18" s="125"/>
      <c r="U18" s="47" t="str">
        <f t="shared" si="1"/>
        <v/>
      </c>
      <c r="V18" s="180" t="str">
        <f t="shared" si="2"/>
        <v/>
      </c>
      <c r="W18" s="180" t="str">
        <f t="shared" si="3"/>
        <v/>
      </c>
      <c r="Y18" s="125"/>
      <c r="Z18" s="142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44"/>
      <c r="AO18" s="125"/>
      <c r="AP18" s="125"/>
      <c r="AQ18" s="125"/>
      <c r="AR18" s="47" t="str">
        <f t="shared" si="4"/>
        <v/>
      </c>
      <c r="AS18" s="180" t="str">
        <f t="shared" si="0"/>
        <v/>
      </c>
      <c r="AT18" s="180" t="str">
        <f t="shared" si="5"/>
        <v/>
      </c>
    </row>
    <row r="19" spans="2:46" x14ac:dyDescent="0.35">
      <c r="B19" s="125"/>
      <c r="C19" s="142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44"/>
      <c r="R19" s="125"/>
      <c r="S19" s="125"/>
      <c r="T19" s="125"/>
      <c r="U19" s="47" t="str">
        <f t="shared" si="1"/>
        <v/>
      </c>
      <c r="V19" s="180" t="str">
        <f t="shared" si="2"/>
        <v/>
      </c>
      <c r="W19" s="180" t="str">
        <f t="shared" si="3"/>
        <v/>
      </c>
      <c r="Y19" s="125"/>
      <c r="Z19" s="142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44"/>
      <c r="AO19" s="125"/>
      <c r="AP19" s="125"/>
      <c r="AQ19" s="125"/>
      <c r="AR19" s="47" t="str">
        <f t="shared" si="4"/>
        <v/>
      </c>
      <c r="AS19" s="180" t="str">
        <f t="shared" si="0"/>
        <v/>
      </c>
      <c r="AT19" s="180" t="str">
        <f t="shared" si="5"/>
        <v/>
      </c>
    </row>
    <row r="20" spans="2:46" x14ac:dyDescent="0.35">
      <c r="B20" s="125"/>
      <c r="C20" s="142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44"/>
      <c r="R20" s="125"/>
      <c r="S20" s="125"/>
      <c r="T20" s="125"/>
      <c r="U20" s="47" t="str">
        <f t="shared" si="1"/>
        <v/>
      </c>
      <c r="V20" s="180" t="str">
        <f t="shared" si="2"/>
        <v/>
      </c>
      <c r="W20" s="180" t="str">
        <f t="shared" si="3"/>
        <v/>
      </c>
      <c r="Y20" s="125"/>
      <c r="Z20" s="142"/>
      <c r="AA20" s="127"/>
      <c r="AB20" s="127"/>
      <c r="AC20" s="127"/>
      <c r="AD20" s="127"/>
      <c r="AE20" s="127"/>
      <c r="AF20" s="127"/>
      <c r="AG20" s="127"/>
      <c r="AH20" s="127"/>
      <c r="AI20" s="127"/>
      <c r="AJ20" s="127"/>
      <c r="AK20" s="127"/>
      <c r="AL20" s="127"/>
      <c r="AM20" s="127"/>
      <c r="AN20" s="144"/>
      <c r="AO20" s="125"/>
      <c r="AP20" s="125"/>
      <c r="AQ20" s="125"/>
      <c r="AR20" s="47" t="str">
        <f t="shared" si="4"/>
        <v/>
      </c>
      <c r="AS20" s="180" t="str">
        <f t="shared" si="0"/>
        <v/>
      </c>
      <c r="AT20" s="180" t="str">
        <f t="shared" si="5"/>
        <v/>
      </c>
    </row>
    <row r="21" spans="2:46" x14ac:dyDescent="0.35">
      <c r="B21" s="125"/>
      <c r="C21" s="142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44"/>
      <c r="R21" s="125"/>
      <c r="S21" s="125"/>
      <c r="T21" s="125"/>
      <c r="U21" s="47" t="str">
        <f t="shared" si="1"/>
        <v/>
      </c>
      <c r="V21" s="180" t="str">
        <f t="shared" si="2"/>
        <v/>
      </c>
      <c r="W21" s="180" t="str">
        <f t="shared" si="3"/>
        <v/>
      </c>
      <c r="Y21" s="125"/>
      <c r="Z21" s="142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44"/>
      <c r="AO21" s="125"/>
      <c r="AP21" s="125"/>
      <c r="AQ21" s="125"/>
      <c r="AR21" s="47" t="str">
        <f t="shared" si="4"/>
        <v/>
      </c>
      <c r="AS21" s="180" t="str">
        <f t="shared" si="0"/>
        <v/>
      </c>
      <c r="AT21" s="180" t="str">
        <f t="shared" si="5"/>
        <v/>
      </c>
    </row>
    <row r="22" spans="2:46" x14ac:dyDescent="0.35">
      <c r="B22" s="125"/>
      <c r="C22" s="142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44"/>
      <c r="R22" s="125"/>
      <c r="S22" s="125"/>
      <c r="T22" s="125"/>
      <c r="U22" s="47" t="str">
        <f t="shared" si="1"/>
        <v/>
      </c>
      <c r="V22" s="180" t="str">
        <f t="shared" si="2"/>
        <v/>
      </c>
      <c r="W22" s="180" t="str">
        <f t="shared" si="3"/>
        <v/>
      </c>
      <c r="Y22" s="125"/>
      <c r="Z22" s="142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44"/>
      <c r="AO22" s="125"/>
      <c r="AP22" s="125"/>
      <c r="AQ22" s="125"/>
      <c r="AR22" s="47" t="str">
        <f t="shared" si="4"/>
        <v/>
      </c>
      <c r="AS22" s="180" t="str">
        <f t="shared" si="0"/>
        <v/>
      </c>
      <c r="AT22" s="180" t="str">
        <f t="shared" si="5"/>
        <v/>
      </c>
    </row>
    <row r="23" spans="2:46" x14ac:dyDescent="0.35">
      <c r="B23" s="125"/>
      <c r="C23" s="142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44"/>
      <c r="R23" s="125"/>
      <c r="S23" s="125"/>
      <c r="T23" s="125"/>
      <c r="U23" s="47" t="str">
        <f t="shared" si="1"/>
        <v/>
      </c>
      <c r="V23" s="180" t="str">
        <f t="shared" si="2"/>
        <v/>
      </c>
      <c r="W23" s="180" t="str">
        <f t="shared" si="3"/>
        <v/>
      </c>
      <c r="Y23" s="125"/>
      <c r="Z23" s="142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44"/>
      <c r="AO23" s="125"/>
      <c r="AP23" s="125"/>
      <c r="AQ23" s="125"/>
      <c r="AR23" s="47" t="str">
        <f t="shared" si="4"/>
        <v/>
      </c>
      <c r="AS23" s="180" t="str">
        <f t="shared" si="0"/>
        <v/>
      </c>
      <c r="AT23" s="180" t="str">
        <f t="shared" si="5"/>
        <v/>
      </c>
    </row>
    <row r="24" spans="2:46" x14ac:dyDescent="0.35">
      <c r="B24" s="125"/>
      <c r="C24" s="142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44"/>
      <c r="R24" s="125"/>
      <c r="S24" s="125"/>
      <c r="T24" s="125"/>
      <c r="U24" s="47" t="str">
        <f t="shared" si="1"/>
        <v/>
      </c>
      <c r="V24" s="180" t="str">
        <f t="shared" si="2"/>
        <v/>
      </c>
      <c r="W24" s="180" t="str">
        <f t="shared" si="3"/>
        <v/>
      </c>
      <c r="Y24" s="125"/>
      <c r="Z24" s="142"/>
      <c r="AA24" s="127"/>
      <c r="AB24" s="127"/>
      <c r="AC24" s="127"/>
      <c r="AD24" s="127"/>
      <c r="AE24" s="127"/>
      <c r="AF24" s="127"/>
      <c r="AG24" s="127"/>
      <c r="AH24" s="127"/>
      <c r="AI24" s="127"/>
      <c r="AJ24" s="127"/>
      <c r="AK24" s="127"/>
      <c r="AL24" s="127"/>
      <c r="AM24" s="127"/>
      <c r="AN24" s="144"/>
      <c r="AO24" s="125"/>
      <c r="AP24" s="125"/>
      <c r="AQ24" s="125"/>
      <c r="AR24" s="47" t="str">
        <f t="shared" si="4"/>
        <v/>
      </c>
      <c r="AS24" s="180" t="str">
        <f t="shared" si="0"/>
        <v/>
      </c>
      <c r="AT24" s="180" t="str">
        <f t="shared" si="5"/>
        <v/>
      </c>
    </row>
    <row r="25" spans="2:46" x14ac:dyDescent="0.35">
      <c r="B25" s="125"/>
      <c r="C25" s="142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44"/>
      <c r="R25" s="125"/>
      <c r="S25" s="125"/>
      <c r="T25" s="125"/>
      <c r="U25" s="47" t="str">
        <f t="shared" si="1"/>
        <v/>
      </c>
      <c r="V25" s="180" t="str">
        <f t="shared" si="2"/>
        <v/>
      </c>
      <c r="W25" s="180" t="str">
        <f t="shared" si="3"/>
        <v/>
      </c>
      <c r="Y25" s="125"/>
      <c r="Z25" s="142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44"/>
      <c r="AO25" s="125"/>
      <c r="AP25" s="125"/>
      <c r="AQ25" s="125"/>
      <c r="AR25" s="47" t="str">
        <f t="shared" si="4"/>
        <v/>
      </c>
      <c r="AS25" s="180" t="str">
        <f t="shared" si="0"/>
        <v/>
      </c>
      <c r="AT25" s="180" t="str">
        <f t="shared" si="5"/>
        <v/>
      </c>
    </row>
    <row r="26" spans="2:46" x14ac:dyDescent="0.35">
      <c r="B26" s="125"/>
      <c r="C26" s="142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44"/>
      <c r="R26" s="125"/>
      <c r="S26" s="125"/>
      <c r="T26" s="125"/>
      <c r="U26" s="47" t="str">
        <f t="shared" si="1"/>
        <v/>
      </c>
      <c r="V26" s="180" t="str">
        <f t="shared" si="2"/>
        <v/>
      </c>
      <c r="W26" s="180" t="str">
        <f t="shared" si="3"/>
        <v/>
      </c>
      <c r="Y26" s="125"/>
      <c r="Z26" s="142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44"/>
      <c r="AO26" s="125"/>
      <c r="AP26" s="125"/>
      <c r="AQ26" s="125"/>
      <c r="AR26" s="47" t="str">
        <f t="shared" si="4"/>
        <v/>
      </c>
      <c r="AS26" s="180" t="str">
        <f t="shared" si="0"/>
        <v/>
      </c>
      <c r="AT26" s="180" t="str">
        <f t="shared" si="5"/>
        <v/>
      </c>
    </row>
    <row r="27" spans="2:46" x14ac:dyDescent="0.35">
      <c r="B27" s="125"/>
      <c r="C27" s="142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44"/>
      <c r="R27" s="125"/>
      <c r="S27" s="125"/>
      <c r="T27" s="125"/>
      <c r="U27" s="47" t="str">
        <f t="shared" si="1"/>
        <v/>
      </c>
      <c r="V27" s="180" t="str">
        <f t="shared" si="2"/>
        <v/>
      </c>
      <c r="W27" s="180" t="str">
        <f t="shared" si="3"/>
        <v/>
      </c>
      <c r="Y27" s="125"/>
      <c r="Z27" s="142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44"/>
      <c r="AO27" s="125"/>
      <c r="AP27" s="125"/>
      <c r="AQ27" s="125"/>
      <c r="AR27" s="47" t="str">
        <f t="shared" si="4"/>
        <v/>
      </c>
      <c r="AS27" s="180" t="str">
        <f t="shared" si="0"/>
        <v/>
      </c>
      <c r="AT27" s="180" t="str">
        <f t="shared" si="5"/>
        <v/>
      </c>
    </row>
    <row r="28" spans="2:46" x14ac:dyDescent="0.35">
      <c r="B28" s="125"/>
      <c r="C28" s="142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44"/>
      <c r="R28" s="125"/>
      <c r="S28" s="125"/>
      <c r="T28" s="125"/>
      <c r="U28" s="47" t="str">
        <f t="shared" si="1"/>
        <v/>
      </c>
      <c r="V28" s="180" t="str">
        <f t="shared" si="2"/>
        <v/>
      </c>
      <c r="W28" s="180" t="str">
        <f t="shared" si="3"/>
        <v/>
      </c>
      <c r="Y28" s="125"/>
      <c r="Z28" s="142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44"/>
      <c r="AO28" s="125"/>
      <c r="AP28" s="125"/>
      <c r="AQ28" s="125"/>
      <c r="AR28" s="47" t="str">
        <f t="shared" si="4"/>
        <v/>
      </c>
      <c r="AS28" s="180" t="str">
        <f t="shared" si="0"/>
        <v/>
      </c>
      <c r="AT28" s="180" t="str">
        <f t="shared" si="5"/>
        <v/>
      </c>
    </row>
    <row r="29" spans="2:46" x14ac:dyDescent="0.35">
      <c r="B29" s="125"/>
      <c r="C29" s="142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44"/>
      <c r="R29" s="125"/>
      <c r="S29" s="125"/>
      <c r="T29" s="125"/>
      <c r="U29" s="47" t="str">
        <f t="shared" si="1"/>
        <v/>
      </c>
      <c r="V29" s="180" t="str">
        <f t="shared" si="2"/>
        <v/>
      </c>
      <c r="W29" s="180" t="str">
        <f t="shared" si="3"/>
        <v/>
      </c>
      <c r="Y29" s="125"/>
      <c r="Z29" s="142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44"/>
      <c r="AO29" s="125"/>
      <c r="AP29" s="125"/>
      <c r="AQ29" s="125"/>
      <c r="AR29" s="47" t="str">
        <f t="shared" si="4"/>
        <v/>
      </c>
      <c r="AS29" s="180" t="str">
        <f t="shared" si="0"/>
        <v/>
      </c>
      <c r="AT29" s="180" t="str">
        <f t="shared" si="5"/>
        <v/>
      </c>
    </row>
    <row r="30" spans="2:46" x14ac:dyDescent="0.35">
      <c r="B30" s="125"/>
      <c r="C30" s="142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44"/>
      <c r="R30" s="125"/>
      <c r="S30" s="125"/>
      <c r="T30" s="125"/>
      <c r="U30" s="47" t="str">
        <f t="shared" si="1"/>
        <v/>
      </c>
      <c r="V30" s="180" t="str">
        <f t="shared" si="2"/>
        <v/>
      </c>
      <c r="W30" s="180" t="str">
        <f t="shared" si="3"/>
        <v/>
      </c>
      <c r="Y30" s="125"/>
      <c r="Z30" s="142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44"/>
      <c r="AO30" s="125"/>
      <c r="AP30" s="125"/>
      <c r="AQ30" s="125"/>
      <c r="AR30" s="47" t="str">
        <f t="shared" si="4"/>
        <v/>
      </c>
      <c r="AS30" s="180" t="str">
        <f t="shared" si="0"/>
        <v/>
      </c>
      <c r="AT30" s="180" t="str">
        <f t="shared" si="5"/>
        <v/>
      </c>
    </row>
    <row r="31" spans="2:46" x14ac:dyDescent="0.35">
      <c r="B31" s="125"/>
      <c r="C31" s="142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44"/>
      <c r="R31" s="125"/>
      <c r="S31" s="125"/>
      <c r="T31" s="125"/>
      <c r="U31" s="47" t="str">
        <f t="shared" si="1"/>
        <v/>
      </c>
      <c r="V31" s="180" t="str">
        <f t="shared" si="2"/>
        <v/>
      </c>
      <c r="W31" s="180" t="str">
        <f t="shared" si="3"/>
        <v/>
      </c>
      <c r="Y31" s="125"/>
      <c r="Z31" s="142"/>
      <c r="AA31" s="127"/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44"/>
      <c r="AO31" s="125"/>
      <c r="AP31" s="125"/>
      <c r="AQ31" s="125"/>
      <c r="AR31" s="47" t="str">
        <f t="shared" si="4"/>
        <v/>
      </c>
      <c r="AS31" s="180" t="str">
        <f t="shared" si="0"/>
        <v/>
      </c>
      <c r="AT31" s="180" t="str">
        <f t="shared" si="5"/>
        <v/>
      </c>
    </row>
    <row r="32" spans="2:46" x14ac:dyDescent="0.35">
      <c r="B32" s="125"/>
      <c r="C32" s="142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44"/>
      <c r="R32" s="125"/>
      <c r="S32" s="125"/>
      <c r="T32" s="125"/>
      <c r="U32" s="47" t="str">
        <f t="shared" si="1"/>
        <v/>
      </c>
      <c r="V32" s="180" t="str">
        <f t="shared" si="2"/>
        <v/>
      </c>
      <c r="W32" s="180" t="str">
        <f t="shared" si="3"/>
        <v/>
      </c>
      <c r="Y32" s="125"/>
      <c r="Z32" s="142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44"/>
      <c r="AO32" s="125"/>
      <c r="AP32" s="125"/>
      <c r="AQ32" s="125"/>
      <c r="AR32" s="47" t="str">
        <f t="shared" si="4"/>
        <v/>
      </c>
      <c r="AS32" s="180" t="str">
        <f t="shared" si="0"/>
        <v/>
      </c>
      <c r="AT32" s="180" t="str">
        <f t="shared" si="5"/>
        <v/>
      </c>
    </row>
    <row r="33" spans="2:46" x14ac:dyDescent="0.35">
      <c r="B33" s="125"/>
      <c r="C33" s="142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44"/>
      <c r="R33" s="125"/>
      <c r="S33" s="125"/>
      <c r="T33" s="125"/>
      <c r="U33" s="47" t="str">
        <f t="shared" si="1"/>
        <v/>
      </c>
      <c r="V33" s="180" t="str">
        <f t="shared" si="2"/>
        <v/>
      </c>
      <c r="W33" s="180" t="str">
        <f t="shared" si="3"/>
        <v/>
      </c>
      <c r="Y33" s="125"/>
      <c r="Z33" s="142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44"/>
      <c r="AO33" s="125"/>
      <c r="AP33" s="125"/>
      <c r="AQ33" s="125"/>
      <c r="AR33" s="47" t="str">
        <f t="shared" si="4"/>
        <v/>
      </c>
      <c r="AS33" s="180" t="str">
        <f t="shared" si="0"/>
        <v/>
      </c>
      <c r="AT33" s="180" t="str">
        <f t="shared" si="5"/>
        <v/>
      </c>
    </row>
    <row r="34" spans="2:46" x14ac:dyDescent="0.35">
      <c r="B34" s="125"/>
      <c r="C34" s="142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44"/>
      <c r="R34" s="125"/>
      <c r="S34" s="125"/>
      <c r="T34" s="125"/>
      <c r="U34" s="47" t="str">
        <f t="shared" si="1"/>
        <v/>
      </c>
      <c r="V34" s="180" t="str">
        <f t="shared" si="2"/>
        <v/>
      </c>
      <c r="W34" s="180" t="str">
        <f t="shared" si="3"/>
        <v/>
      </c>
      <c r="Y34" s="125"/>
      <c r="Z34" s="142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44"/>
      <c r="AO34" s="125"/>
      <c r="AP34" s="125"/>
      <c r="AQ34" s="125"/>
      <c r="AR34" s="47" t="str">
        <f t="shared" si="4"/>
        <v/>
      </c>
      <c r="AS34" s="180" t="str">
        <f t="shared" si="0"/>
        <v/>
      </c>
      <c r="AT34" s="180" t="str">
        <f t="shared" si="5"/>
        <v/>
      </c>
    </row>
    <row r="35" spans="2:46" x14ac:dyDescent="0.35">
      <c r="B35" s="125"/>
      <c r="C35" s="142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44"/>
      <c r="R35" s="125"/>
      <c r="S35" s="125"/>
      <c r="T35" s="125"/>
      <c r="U35" s="47" t="str">
        <f t="shared" si="1"/>
        <v/>
      </c>
      <c r="V35" s="180" t="str">
        <f t="shared" si="2"/>
        <v/>
      </c>
      <c r="W35" s="180" t="str">
        <f t="shared" si="3"/>
        <v/>
      </c>
      <c r="Y35" s="125"/>
      <c r="Z35" s="142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44"/>
      <c r="AO35" s="125"/>
      <c r="AP35" s="125"/>
      <c r="AQ35" s="125"/>
      <c r="AR35" s="47" t="str">
        <f t="shared" si="4"/>
        <v/>
      </c>
      <c r="AS35" s="180" t="str">
        <f t="shared" si="0"/>
        <v/>
      </c>
      <c r="AT35" s="180" t="str">
        <f t="shared" si="5"/>
        <v/>
      </c>
    </row>
    <row r="36" spans="2:46" x14ac:dyDescent="0.35">
      <c r="B36" s="125"/>
      <c r="C36" s="142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44"/>
      <c r="R36" s="125"/>
      <c r="S36" s="125"/>
      <c r="T36" s="125"/>
      <c r="U36" s="47" t="str">
        <f t="shared" si="1"/>
        <v/>
      </c>
      <c r="V36" s="180" t="str">
        <f t="shared" si="2"/>
        <v/>
      </c>
      <c r="W36" s="180" t="str">
        <f t="shared" si="3"/>
        <v/>
      </c>
      <c r="Y36" s="125"/>
      <c r="Z36" s="142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44"/>
      <c r="AO36" s="125"/>
      <c r="AP36" s="125"/>
      <c r="AQ36" s="125"/>
      <c r="AR36" s="47" t="str">
        <f t="shared" si="4"/>
        <v/>
      </c>
      <c r="AS36" s="180" t="str">
        <f t="shared" si="0"/>
        <v/>
      </c>
      <c r="AT36" s="180" t="str">
        <f t="shared" si="5"/>
        <v/>
      </c>
    </row>
    <row r="37" spans="2:46" x14ac:dyDescent="0.35">
      <c r="B37" s="125"/>
      <c r="C37" s="142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44"/>
      <c r="R37" s="125"/>
      <c r="S37" s="125"/>
      <c r="T37" s="125"/>
      <c r="U37" s="47" t="str">
        <f t="shared" si="1"/>
        <v/>
      </c>
      <c r="V37" s="180" t="str">
        <f t="shared" si="2"/>
        <v/>
      </c>
      <c r="W37" s="180" t="str">
        <f t="shared" si="3"/>
        <v/>
      </c>
      <c r="Y37" s="125"/>
      <c r="Z37" s="142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  <c r="AM37" s="127"/>
      <c r="AN37" s="144"/>
      <c r="AO37" s="125"/>
      <c r="AP37" s="125"/>
      <c r="AQ37" s="125"/>
      <c r="AR37" s="47" t="str">
        <f t="shared" si="4"/>
        <v/>
      </c>
      <c r="AS37" s="180" t="str">
        <f t="shared" si="0"/>
        <v/>
      </c>
      <c r="AT37" s="180" t="str">
        <f t="shared" si="5"/>
        <v/>
      </c>
    </row>
    <row r="38" spans="2:46" x14ac:dyDescent="0.35">
      <c r="B38" s="125"/>
      <c r="C38" s="142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44"/>
      <c r="R38" s="125"/>
      <c r="S38" s="125"/>
      <c r="T38" s="125"/>
      <c r="U38" s="47" t="str">
        <f t="shared" si="1"/>
        <v/>
      </c>
      <c r="V38" s="180" t="str">
        <f t="shared" si="2"/>
        <v/>
      </c>
      <c r="W38" s="180" t="str">
        <f t="shared" si="3"/>
        <v/>
      </c>
      <c r="Y38" s="125"/>
      <c r="Z38" s="142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  <c r="AM38" s="127"/>
      <c r="AN38" s="144"/>
      <c r="AO38" s="125"/>
      <c r="AP38" s="125"/>
      <c r="AQ38" s="125"/>
      <c r="AR38" s="47" t="str">
        <f t="shared" si="4"/>
        <v/>
      </c>
      <c r="AS38" s="180" t="str">
        <f t="shared" si="0"/>
        <v/>
      </c>
      <c r="AT38" s="180" t="str">
        <f t="shared" si="5"/>
        <v/>
      </c>
    </row>
    <row r="39" spans="2:46" x14ac:dyDescent="0.35">
      <c r="B39" s="125"/>
      <c r="C39" s="142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44"/>
      <c r="R39" s="125"/>
      <c r="S39" s="125"/>
      <c r="T39" s="125"/>
      <c r="U39" s="47" t="str">
        <f t="shared" si="1"/>
        <v/>
      </c>
      <c r="V39" s="180" t="str">
        <f t="shared" si="2"/>
        <v/>
      </c>
      <c r="W39" s="180" t="str">
        <f t="shared" si="3"/>
        <v/>
      </c>
      <c r="Y39" s="125"/>
      <c r="Z39" s="142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  <c r="AM39" s="127"/>
      <c r="AN39" s="144"/>
      <c r="AO39" s="125"/>
      <c r="AP39" s="125"/>
      <c r="AQ39" s="125"/>
      <c r="AR39" s="47" t="str">
        <f t="shared" si="4"/>
        <v/>
      </c>
      <c r="AS39" s="180" t="str">
        <f t="shared" si="0"/>
        <v/>
      </c>
      <c r="AT39" s="180" t="str">
        <f t="shared" si="5"/>
        <v/>
      </c>
    </row>
    <row r="40" spans="2:46" x14ac:dyDescent="0.35">
      <c r="B40" s="125"/>
      <c r="C40" s="142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44"/>
      <c r="R40" s="125"/>
      <c r="S40" s="125"/>
      <c r="T40" s="125"/>
      <c r="U40" s="47" t="str">
        <f t="shared" si="1"/>
        <v/>
      </c>
      <c r="V40" s="180" t="str">
        <f t="shared" si="2"/>
        <v/>
      </c>
      <c r="W40" s="180" t="str">
        <f t="shared" si="3"/>
        <v/>
      </c>
      <c r="Y40" s="125"/>
      <c r="Z40" s="142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44"/>
      <c r="AO40" s="125"/>
      <c r="AP40" s="125"/>
      <c r="AQ40" s="125"/>
      <c r="AR40" s="47" t="str">
        <f t="shared" si="4"/>
        <v/>
      </c>
      <c r="AS40" s="180" t="str">
        <f t="shared" si="0"/>
        <v/>
      </c>
      <c r="AT40" s="180" t="str">
        <f t="shared" si="5"/>
        <v/>
      </c>
    </row>
    <row r="41" spans="2:46" x14ac:dyDescent="0.35">
      <c r="B41" s="125"/>
      <c r="C41" s="142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44"/>
      <c r="R41" s="125"/>
      <c r="S41" s="125"/>
      <c r="T41" s="125"/>
      <c r="U41" s="47" t="str">
        <f t="shared" si="1"/>
        <v/>
      </c>
      <c r="V41" s="180" t="str">
        <f t="shared" si="2"/>
        <v/>
      </c>
      <c r="W41" s="180" t="str">
        <f t="shared" si="3"/>
        <v/>
      </c>
      <c r="Y41" s="125"/>
      <c r="Z41" s="142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  <c r="AM41" s="127"/>
      <c r="AN41" s="144"/>
      <c r="AO41" s="125"/>
      <c r="AP41" s="125"/>
      <c r="AQ41" s="125"/>
      <c r="AR41" s="47" t="str">
        <f t="shared" si="4"/>
        <v/>
      </c>
      <c r="AS41" s="180" t="str">
        <f t="shared" si="0"/>
        <v/>
      </c>
      <c r="AT41" s="180" t="str">
        <f t="shared" si="5"/>
        <v/>
      </c>
    </row>
    <row r="42" spans="2:46" x14ac:dyDescent="0.35">
      <c r="B42" s="125"/>
      <c r="C42" s="142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44"/>
      <c r="R42" s="125"/>
      <c r="S42" s="125"/>
      <c r="T42" s="125"/>
      <c r="U42" s="47" t="str">
        <f t="shared" si="1"/>
        <v/>
      </c>
      <c r="V42" s="180" t="str">
        <f t="shared" si="2"/>
        <v/>
      </c>
      <c r="W42" s="180" t="str">
        <f t="shared" si="3"/>
        <v/>
      </c>
      <c r="Y42" s="125"/>
      <c r="Z42" s="142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44"/>
      <c r="AO42" s="125"/>
      <c r="AP42" s="125"/>
      <c r="AQ42" s="125"/>
      <c r="AR42" s="47" t="str">
        <f t="shared" si="4"/>
        <v/>
      </c>
      <c r="AS42" s="180" t="str">
        <f t="shared" si="0"/>
        <v/>
      </c>
      <c r="AT42" s="180" t="str">
        <f t="shared" si="5"/>
        <v/>
      </c>
    </row>
    <row r="43" spans="2:46" x14ac:dyDescent="0.35">
      <c r="B43" s="125"/>
      <c r="C43" s="142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44"/>
      <c r="R43" s="125"/>
      <c r="S43" s="125"/>
      <c r="T43" s="125"/>
      <c r="U43" s="47" t="str">
        <f t="shared" si="1"/>
        <v/>
      </c>
      <c r="V43" s="180" t="str">
        <f t="shared" si="2"/>
        <v/>
      </c>
      <c r="W43" s="180" t="str">
        <f t="shared" si="3"/>
        <v/>
      </c>
      <c r="Y43" s="125"/>
      <c r="Z43" s="142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44"/>
      <c r="AO43" s="125"/>
      <c r="AP43" s="125"/>
      <c r="AQ43" s="125"/>
      <c r="AR43" s="47" t="str">
        <f t="shared" si="4"/>
        <v/>
      </c>
      <c r="AS43" s="180" t="str">
        <f t="shared" si="0"/>
        <v/>
      </c>
      <c r="AT43" s="180" t="str">
        <f t="shared" si="5"/>
        <v/>
      </c>
    </row>
    <row r="44" spans="2:46" x14ac:dyDescent="0.35">
      <c r="B44" s="125"/>
      <c r="C44" s="142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44"/>
      <c r="R44" s="125"/>
      <c r="S44" s="125"/>
      <c r="T44" s="125"/>
      <c r="U44" s="47" t="str">
        <f t="shared" si="1"/>
        <v/>
      </c>
      <c r="V44" s="180" t="str">
        <f t="shared" si="2"/>
        <v/>
      </c>
      <c r="W44" s="180" t="str">
        <f t="shared" si="3"/>
        <v/>
      </c>
      <c r="Y44" s="125"/>
      <c r="Z44" s="142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44"/>
      <c r="AO44" s="125"/>
      <c r="AP44" s="125"/>
      <c r="AQ44" s="125"/>
      <c r="AR44" s="47" t="str">
        <f t="shared" si="4"/>
        <v/>
      </c>
      <c r="AS44" s="180" t="str">
        <f t="shared" si="0"/>
        <v/>
      </c>
      <c r="AT44" s="180" t="str">
        <f t="shared" si="5"/>
        <v/>
      </c>
    </row>
    <row r="45" spans="2:46" x14ac:dyDescent="0.35">
      <c r="B45" s="125"/>
      <c r="C45" s="142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44"/>
      <c r="R45" s="125"/>
      <c r="S45" s="125"/>
      <c r="T45" s="125"/>
      <c r="U45" s="47" t="str">
        <f t="shared" si="1"/>
        <v/>
      </c>
      <c r="V45" s="180" t="str">
        <f t="shared" si="2"/>
        <v/>
      </c>
      <c r="W45" s="180" t="str">
        <f t="shared" si="3"/>
        <v/>
      </c>
      <c r="Y45" s="125"/>
      <c r="Z45" s="142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44"/>
      <c r="AO45" s="125"/>
      <c r="AP45" s="125"/>
      <c r="AQ45" s="125"/>
      <c r="AR45" s="47" t="str">
        <f t="shared" si="4"/>
        <v/>
      </c>
      <c r="AS45" s="180" t="str">
        <f t="shared" si="0"/>
        <v/>
      </c>
      <c r="AT45" s="180" t="str">
        <f t="shared" si="5"/>
        <v/>
      </c>
    </row>
    <row r="46" spans="2:46" x14ac:dyDescent="0.35">
      <c r="B46" s="125"/>
      <c r="C46" s="142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44"/>
      <c r="R46" s="125"/>
      <c r="S46" s="125"/>
      <c r="T46" s="125"/>
      <c r="U46" s="47" t="str">
        <f t="shared" si="1"/>
        <v/>
      </c>
      <c r="V46" s="180" t="str">
        <f t="shared" si="2"/>
        <v/>
      </c>
      <c r="W46" s="180" t="str">
        <f t="shared" si="3"/>
        <v/>
      </c>
      <c r="Y46" s="125"/>
      <c r="Z46" s="142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44"/>
      <c r="AO46" s="125"/>
      <c r="AP46" s="125"/>
      <c r="AQ46" s="125"/>
      <c r="AR46" s="47" t="str">
        <f t="shared" si="4"/>
        <v/>
      </c>
      <c r="AS46" s="180" t="str">
        <f t="shared" si="0"/>
        <v/>
      </c>
      <c r="AT46" s="180" t="str">
        <f t="shared" si="5"/>
        <v/>
      </c>
    </row>
    <row r="47" spans="2:46" x14ac:dyDescent="0.35">
      <c r="B47" s="125"/>
      <c r="C47" s="142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44"/>
      <c r="R47" s="125"/>
      <c r="S47" s="125"/>
      <c r="T47" s="125"/>
      <c r="U47" s="47" t="str">
        <f t="shared" si="1"/>
        <v/>
      </c>
      <c r="V47" s="180" t="str">
        <f t="shared" si="2"/>
        <v/>
      </c>
      <c r="W47" s="180" t="str">
        <f t="shared" si="3"/>
        <v/>
      </c>
      <c r="Y47" s="125"/>
      <c r="Z47" s="142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44"/>
      <c r="AO47" s="125"/>
      <c r="AP47" s="125"/>
      <c r="AQ47" s="125"/>
      <c r="AR47" s="47" t="str">
        <f t="shared" si="4"/>
        <v/>
      </c>
      <c r="AS47" s="180" t="str">
        <f t="shared" si="0"/>
        <v/>
      </c>
      <c r="AT47" s="180" t="str">
        <f t="shared" si="5"/>
        <v/>
      </c>
    </row>
    <row r="48" spans="2:46" x14ac:dyDescent="0.35">
      <c r="B48" s="125"/>
      <c r="C48" s="142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44"/>
      <c r="R48" s="125"/>
      <c r="S48" s="125"/>
      <c r="T48" s="125"/>
      <c r="U48" s="47" t="str">
        <f t="shared" si="1"/>
        <v/>
      </c>
      <c r="V48" s="180" t="str">
        <f t="shared" si="2"/>
        <v/>
      </c>
      <c r="W48" s="180" t="str">
        <f t="shared" si="3"/>
        <v/>
      </c>
      <c r="Y48" s="125"/>
      <c r="Z48" s="142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44"/>
      <c r="AO48" s="125"/>
      <c r="AP48" s="125"/>
      <c r="AQ48" s="125"/>
      <c r="AR48" s="47" t="str">
        <f t="shared" si="4"/>
        <v/>
      </c>
      <c r="AS48" s="180" t="str">
        <f t="shared" si="0"/>
        <v/>
      </c>
      <c r="AT48" s="180" t="str">
        <f t="shared" si="5"/>
        <v/>
      </c>
    </row>
    <row r="49" spans="2:46" x14ac:dyDescent="0.35">
      <c r="B49" s="125"/>
      <c r="C49" s="142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44"/>
      <c r="R49" s="125"/>
      <c r="S49" s="125"/>
      <c r="T49" s="125"/>
      <c r="U49" s="47" t="str">
        <f t="shared" si="1"/>
        <v/>
      </c>
      <c r="V49" s="180" t="str">
        <f t="shared" si="2"/>
        <v/>
      </c>
      <c r="W49" s="180" t="str">
        <f t="shared" si="3"/>
        <v/>
      </c>
      <c r="Y49" s="125"/>
      <c r="Z49" s="142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44"/>
      <c r="AO49" s="125"/>
      <c r="AP49" s="125"/>
      <c r="AQ49" s="125"/>
      <c r="AR49" s="47" t="str">
        <f t="shared" si="4"/>
        <v/>
      </c>
      <c r="AS49" s="180" t="str">
        <f t="shared" si="0"/>
        <v/>
      </c>
      <c r="AT49" s="180" t="str">
        <f t="shared" si="5"/>
        <v/>
      </c>
    </row>
    <row r="50" spans="2:46" x14ac:dyDescent="0.35">
      <c r="B50" s="125"/>
      <c r="C50" s="142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44"/>
      <c r="R50" s="125"/>
      <c r="S50" s="125"/>
      <c r="T50" s="125"/>
      <c r="U50" s="47" t="str">
        <f t="shared" si="1"/>
        <v/>
      </c>
      <c r="V50" s="180" t="str">
        <f t="shared" si="2"/>
        <v/>
      </c>
      <c r="W50" s="180" t="str">
        <f t="shared" si="3"/>
        <v/>
      </c>
      <c r="Y50" s="125"/>
      <c r="Z50" s="142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44"/>
      <c r="AO50" s="125"/>
      <c r="AP50" s="125"/>
      <c r="AQ50" s="125"/>
      <c r="AR50" s="47" t="str">
        <f t="shared" si="4"/>
        <v/>
      </c>
      <c r="AS50" s="180" t="str">
        <f t="shared" si="0"/>
        <v/>
      </c>
      <c r="AT50" s="180" t="str">
        <f t="shared" si="5"/>
        <v/>
      </c>
    </row>
    <row r="51" spans="2:46" x14ac:dyDescent="0.35">
      <c r="B51" s="125"/>
      <c r="C51" s="142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44"/>
      <c r="R51" s="125"/>
      <c r="S51" s="125"/>
      <c r="T51" s="125"/>
      <c r="U51" s="47" t="str">
        <f t="shared" si="1"/>
        <v/>
      </c>
      <c r="V51" s="180" t="str">
        <f t="shared" si="2"/>
        <v/>
      </c>
      <c r="W51" s="180" t="str">
        <f t="shared" si="3"/>
        <v/>
      </c>
      <c r="Y51" s="125"/>
      <c r="Z51" s="142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44"/>
      <c r="AO51" s="125"/>
      <c r="AP51" s="125"/>
      <c r="AQ51" s="125"/>
      <c r="AR51" s="47" t="str">
        <f t="shared" si="4"/>
        <v/>
      </c>
      <c r="AS51" s="180" t="str">
        <f t="shared" si="0"/>
        <v/>
      </c>
      <c r="AT51" s="180" t="str">
        <f t="shared" si="5"/>
        <v/>
      </c>
    </row>
    <row r="52" spans="2:46" x14ac:dyDescent="0.35">
      <c r="B52" s="125"/>
      <c r="C52" s="142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44"/>
      <c r="R52" s="125"/>
      <c r="S52" s="125"/>
      <c r="T52" s="125"/>
      <c r="U52" s="47" t="str">
        <f t="shared" si="1"/>
        <v/>
      </c>
      <c r="V52" s="180" t="str">
        <f t="shared" si="2"/>
        <v/>
      </c>
      <c r="W52" s="180" t="str">
        <f t="shared" si="3"/>
        <v/>
      </c>
      <c r="Y52" s="125"/>
      <c r="Z52" s="142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44"/>
      <c r="AO52" s="125"/>
      <c r="AP52" s="125"/>
      <c r="AQ52" s="125"/>
      <c r="AR52" s="47" t="str">
        <f t="shared" si="4"/>
        <v/>
      </c>
      <c r="AS52" s="180" t="str">
        <f t="shared" si="0"/>
        <v/>
      </c>
      <c r="AT52" s="180" t="str">
        <f t="shared" si="5"/>
        <v/>
      </c>
    </row>
    <row r="53" spans="2:46" x14ac:dyDescent="0.35">
      <c r="B53" s="125"/>
      <c r="C53" s="142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44"/>
      <c r="R53" s="125"/>
      <c r="S53" s="125"/>
      <c r="T53" s="125"/>
      <c r="U53" s="47" t="str">
        <f t="shared" si="1"/>
        <v/>
      </c>
      <c r="V53" s="180" t="str">
        <f t="shared" si="2"/>
        <v/>
      </c>
      <c r="W53" s="180" t="str">
        <f t="shared" si="3"/>
        <v/>
      </c>
      <c r="Y53" s="125"/>
      <c r="Z53" s="142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44"/>
      <c r="AO53" s="125"/>
      <c r="AP53" s="125"/>
      <c r="AQ53" s="125"/>
      <c r="AR53" s="47" t="str">
        <f t="shared" si="4"/>
        <v/>
      </c>
      <c r="AS53" s="180" t="str">
        <f t="shared" si="0"/>
        <v/>
      </c>
      <c r="AT53" s="180" t="str">
        <f t="shared" si="5"/>
        <v/>
      </c>
    </row>
    <row r="54" spans="2:46" x14ac:dyDescent="0.35">
      <c r="B54" s="125"/>
      <c r="C54" s="142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44"/>
      <c r="R54" s="125"/>
      <c r="S54" s="125"/>
      <c r="T54" s="125"/>
      <c r="U54" s="47" t="str">
        <f t="shared" si="1"/>
        <v/>
      </c>
      <c r="V54" s="180" t="str">
        <f t="shared" si="2"/>
        <v/>
      </c>
      <c r="W54" s="180" t="str">
        <f t="shared" si="3"/>
        <v/>
      </c>
      <c r="Y54" s="125"/>
      <c r="Z54" s="142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44"/>
      <c r="AO54" s="125"/>
      <c r="AP54" s="125"/>
      <c r="AQ54" s="125"/>
      <c r="AR54" s="47" t="str">
        <f t="shared" si="4"/>
        <v/>
      </c>
      <c r="AS54" s="180" t="str">
        <f t="shared" si="0"/>
        <v/>
      </c>
      <c r="AT54" s="180" t="str">
        <f t="shared" si="5"/>
        <v/>
      </c>
    </row>
    <row r="55" spans="2:46" x14ac:dyDescent="0.35">
      <c r="B55" s="125"/>
      <c r="C55" s="142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44"/>
      <c r="R55" s="125"/>
      <c r="S55" s="125"/>
      <c r="T55" s="125"/>
      <c r="U55" s="47" t="str">
        <f t="shared" si="1"/>
        <v/>
      </c>
      <c r="V55" s="180" t="str">
        <f t="shared" si="2"/>
        <v/>
      </c>
      <c r="W55" s="180" t="str">
        <f t="shared" si="3"/>
        <v/>
      </c>
      <c r="Y55" s="125"/>
      <c r="Z55" s="142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44"/>
      <c r="AO55" s="125"/>
      <c r="AP55" s="125"/>
      <c r="AQ55" s="125"/>
      <c r="AR55" s="47" t="str">
        <f t="shared" si="4"/>
        <v/>
      </c>
      <c r="AS55" s="180" t="str">
        <f t="shared" si="0"/>
        <v/>
      </c>
      <c r="AT55" s="180" t="str">
        <f t="shared" si="5"/>
        <v/>
      </c>
    </row>
    <row r="56" spans="2:46" x14ac:dyDescent="0.35">
      <c r="B56" s="125"/>
      <c r="C56" s="142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44"/>
      <c r="R56" s="125"/>
      <c r="S56" s="125"/>
      <c r="T56" s="125"/>
      <c r="U56" s="47" t="str">
        <f t="shared" si="1"/>
        <v/>
      </c>
      <c r="V56" s="180" t="str">
        <f t="shared" si="2"/>
        <v/>
      </c>
      <c r="W56" s="180" t="str">
        <f t="shared" si="3"/>
        <v/>
      </c>
      <c r="Y56" s="125"/>
      <c r="Z56" s="142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44"/>
      <c r="AO56" s="125"/>
      <c r="AP56" s="125"/>
      <c r="AQ56" s="125"/>
      <c r="AR56" s="47" t="str">
        <f t="shared" si="4"/>
        <v/>
      </c>
      <c r="AS56" s="180" t="str">
        <f t="shared" si="0"/>
        <v/>
      </c>
      <c r="AT56" s="180" t="str">
        <f t="shared" si="5"/>
        <v/>
      </c>
    </row>
    <row r="57" spans="2:46" x14ac:dyDescent="0.35">
      <c r="B57" s="125"/>
      <c r="C57" s="142"/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44"/>
      <c r="R57" s="125"/>
      <c r="S57" s="125"/>
      <c r="T57" s="125"/>
      <c r="U57" s="47" t="str">
        <f t="shared" si="1"/>
        <v/>
      </c>
      <c r="V57" s="180" t="str">
        <f t="shared" si="2"/>
        <v/>
      </c>
      <c r="W57" s="180" t="str">
        <f t="shared" si="3"/>
        <v/>
      </c>
      <c r="Y57" s="125"/>
      <c r="Z57" s="142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44"/>
      <c r="AO57" s="125"/>
      <c r="AP57" s="125"/>
      <c r="AQ57" s="125"/>
      <c r="AR57" s="47" t="str">
        <f t="shared" si="4"/>
        <v/>
      </c>
      <c r="AS57" s="180" t="str">
        <f t="shared" si="0"/>
        <v/>
      </c>
      <c r="AT57" s="180" t="str">
        <f t="shared" si="5"/>
        <v/>
      </c>
    </row>
    <row r="58" spans="2:46" x14ac:dyDescent="0.35">
      <c r="B58" s="125"/>
      <c r="C58" s="142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44"/>
      <c r="R58" s="125"/>
      <c r="S58" s="125"/>
      <c r="T58" s="125"/>
      <c r="U58" s="47" t="str">
        <f t="shared" si="1"/>
        <v/>
      </c>
      <c r="V58" s="180" t="str">
        <f t="shared" si="2"/>
        <v/>
      </c>
      <c r="W58" s="180" t="str">
        <f t="shared" si="3"/>
        <v/>
      </c>
      <c r="Y58" s="125"/>
      <c r="Z58" s="142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44"/>
      <c r="AO58" s="125"/>
      <c r="AP58" s="125"/>
      <c r="AQ58" s="125"/>
      <c r="AR58" s="47" t="str">
        <f t="shared" si="4"/>
        <v/>
      </c>
      <c r="AS58" s="180" t="str">
        <f t="shared" si="0"/>
        <v/>
      </c>
      <c r="AT58" s="180" t="str">
        <f t="shared" si="5"/>
        <v/>
      </c>
    </row>
    <row r="59" spans="2:46" x14ac:dyDescent="0.35">
      <c r="B59" s="125"/>
      <c r="C59" s="142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44"/>
      <c r="R59" s="125"/>
      <c r="S59" s="125"/>
      <c r="T59" s="125"/>
      <c r="U59" s="47" t="str">
        <f t="shared" si="1"/>
        <v/>
      </c>
      <c r="V59" s="180" t="str">
        <f t="shared" si="2"/>
        <v/>
      </c>
      <c r="W59" s="180" t="str">
        <f t="shared" si="3"/>
        <v/>
      </c>
      <c r="Y59" s="125"/>
      <c r="Z59" s="142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44"/>
      <c r="AO59" s="125"/>
      <c r="AP59" s="125"/>
      <c r="AQ59" s="125"/>
      <c r="AR59" s="47" t="str">
        <f t="shared" si="4"/>
        <v/>
      </c>
      <c r="AS59" s="180" t="str">
        <f t="shared" si="0"/>
        <v/>
      </c>
      <c r="AT59" s="180" t="str">
        <f t="shared" si="5"/>
        <v/>
      </c>
    </row>
    <row r="60" spans="2:46" x14ac:dyDescent="0.35">
      <c r="B60" s="125"/>
      <c r="C60" s="142"/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44"/>
      <c r="R60" s="125"/>
      <c r="S60" s="125"/>
      <c r="T60" s="125"/>
      <c r="U60" s="47" t="str">
        <f t="shared" si="1"/>
        <v/>
      </c>
      <c r="V60" s="180" t="str">
        <f t="shared" si="2"/>
        <v/>
      </c>
      <c r="W60" s="180" t="str">
        <f t="shared" si="3"/>
        <v/>
      </c>
      <c r="Y60" s="125"/>
      <c r="Z60" s="142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44"/>
      <c r="AO60" s="125"/>
      <c r="AP60" s="125"/>
      <c r="AQ60" s="125"/>
      <c r="AR60" s="47" t="str">
        <f t="shared" si="4"/>
        <v/>
      </c>
      <c r="AS60" s="180" t="str">
        <f t="shared" si="0"/>
        <v/>
      </c>
      <c r="AT60" s="180" t="str">
        <f t="shared" si="5"/>
        <v/>
      </c>
    </row>
    <row r="61" spans="2:46" x14ac:dyDescent="0.35">
      <c r="B61" s="125"/>
      <c r="C61" s="142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44"/>
      <c r="R61" s="125"/>
      <c r="S61" s="125"/>
      <c r="T61" s="125"/>
      <c r="U61" s="47" t="str">
        <f t="shared" si="1"/>
        <v/>
      </c>
      <c r="V61" s="180" t="str">
        <f t="shared" si="2"/>
        <v/>
      </c>
      <c r="W61" s="180" t="str">
        <f t="shared" si="3"/>
        <v/>
      </c>
      <c r="Y61" s="125"/>
      <c r="Z61" s="142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44"/>
      <c r="AO61" s="125"/>
      <c r="AP61" s="125"/>
      <c r="AQ61" s="125"/>
      <c r="AR61" s="47" t="str">
        <f t="shared" si="4"/>
        <v/>
      </c>
      <c r="AS61" s="180" t="str">
        <f t="shared" si="0"/>
        <v/>
      </c>
      <c r="AT61" s="180" t="str">
        <f t="shared" si="5"/>
        <v/>
      </c>
    </row>
    <row r="62" spans="2:46" x14ac:dyDescent="0.35">
      <c r="B62" s="125"/>
      <c r="C62" s="142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44"/>
      <c r="R62" s="125"/>
      <c r="S62" s="125"/>
      <c r="T62" s="125"/>
      <c r="U62" s="47" t="str">
        <f t="shared" si="1"/>
        <v/>
      </c>
      <c r="V62" s="180" t="str">
        <f t="shared" si="2"/>
        <v/>
      </c>
      <c r="W62" s="180" t="str">
        <f t="shared" si="3"/>
        <v/>
      </c>
      <c r="Y62" s="125"/>
      <c r="Z62" s="142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44"/>
      <c r="AO62" s="125"/>
      <c r="AP62" s="125"/>
      <c r="AQ62" s="125"/>
      <c r="AR62" s="47" t="str">
        <f t="shared" si="4"/>
        <v/>
      </c>
      <c r="AS62" s="180" t="str">
        <f t="shared" si="0"/>
        <v/>
      </c>
      <c r="AT62" s="180" t="str">
        <f t="shared" si="5"/>
        <v/>
      </c>
    </row>
    <row r="63" spans="2:46" x14ac:dyDescent="0.35">
      <c r="B63" s="125"/>
      <c r="C63" s="142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44"/>
      <c r="R63" s="125"/>
      <c r="S63" s="125"/>
      <c r="T63" s="125"/>
      <c r="U63" s="47" t="str">
        <f t="shared" si="1"/>
        <v/>
      </c>
      <c r="V63" s="180" t="str">
        <f t="shared" si="2"/>
        <v/>
      </c>
      <c r="W63" s="180" t="str">
        <f t="shared" si="3"/>
        <v/>
      </c>
      <c r="Y63" s="125"/>
      <c r="Z63" s="142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44"/>
      <c r="AO63" s="125"/>
      <c r="AP63" s="125"/>
      <c r="AQ63" s="125"/>
      <c r="AR63" s="47" t="str">
        <f t="shared" si="4"/>
        <v/>
      </c>
      <c r="AS63" s="180" t="str">
        <f t="shared" si="0"/>
        <v/>
      </c>
      <c r="AT63" s="180" t="str">
        <f t="shared" si="5"/>
        <v/>
      </c>
    </row>
    <row r="64" spans="2:46" x14ac:dyDescent="0.35">
      <c r="B64" s="125"/>
      <c r="C64" s="142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44"/>
      <c r="R64" s="125"/>
      <c r="S64" s="125"/>
      <c r="T64" s="125"/>
      <c r="U64" s="47" t="str">
        <f t="shared" si="1"/>
        <v/>
      </c>
      <c r="V64" s="180" t="str">
        <f t="shared" si="2"/>
        <v/>
      </c>
      <c r="W64" s="180" t="str">
        <f t="shared" si="3"/>
        <v/>
      </c>
      <c r="Y64" s="125"/>
      <c r="Z64" s="142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44"/>
      <c r="AO64" s="125"/>
      <c r="AP64" s="125"/>
      <c r="AQ64" s="125"/>
      <c r="AR64" s="47" t="str">
        <f t="shared" si="4"/>
        <v/>
      </c>
      <c r="AS64" s="180" t="str">
        <f t="shared" si="0"/>
        <v/>
      </c>
      <c r="AT64" s="180" t="str">
        <f t="shared" si="5"/>
        <v/>
      </c>
    </row>
    <row r="65" spans="2:46" x14ac:dyDescent="0.35">
      <c r="B65" s="125"/>
      <c r="C65" s="142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44"/>
      <c r="R65" s="125"/>
      <c r="S65" s="125"/>
      <c r="T65" s="125"/>
      <c r="U65" s="47" t="str">
        <f t="shared" si="1"/>
        <v/>
      </c>
      <c r="V65" s="180" t="str">
        <f t="shared" si="2"/>
        <v/>
      </c>
      <c r="W65" s="180" t="str">
        <f t="shared" si="3"/>
        <v/>
      </c>
      <c r="Y65" s="125"/>
      <c r="Z65" s="142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44"/>
      <c r="AO65" s="125"/>
      <c r="AP65" s="125"/>
      <c r="AQ65" s="125"/>
      <c r="AR65" s="47" t="str">
        <f t="shared" si="4"/>
        <v/>
      </c>
      <c r="AS65" s="180" t="str">
        <f t="shared" si="0"/>
        <v/>
      </c>
      <c r="AT65" s="180" t="str">
        <f t="shared" si="5"/>
        <v/>
      </c>
    </row>
    <row r="66" spans="2:46" x14ac:dyDescent="0.35">
      <c r="B66" s="125"/>
      <c r="C66" s="142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44"/>
      <c r="R66" s="125"/>
      <c r="S66" s="125"/>
      <c r="T66" s="125"/>
      <c r="U66" s="47" t="str">
        <f t="shared" si="1"/>
        <v/>
      </c>
      <c r="V66" s="180" t="str">
        <f t="shared" si="2"/>
        <v/>
      </c>
      <c r="W66" s="180" t="str">
        <f t="shared" si="3"/>
        <v/>
      </c>
      <c r="Y66" s="125"/>
      <c r="Z66" s="142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44"/>
      <c r="AO66" s="125"/>
      <c r="AP66" s="125"/>
      <c r="AQ66" s="125"/>
      <c r="AR66" s="47" t="str">
        <f t="shared" si="4"/>
        <v/>
      </c>
      <c r="AS66" s="180" t="str">
        <f t="shared" si="0"/>
        <v/>
      </c>
      <c r="AT66" s="180" t="str">
        <f t="shared" si="5"/>
        <v/>
      </c>
    </row>
    <row r="67" spans="2:46" x14ac:dyDescent="0.35">
      <c r="B67" s="125"/>
      <c r="C67" s="142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44"/>
      <c r="R67" s="125"/>
      <c r="S67" s="125"/>
      <c r="T67" s="125"/>
      <c r="U67" s="47" t="str">
        <f t="shared" si="1"/>
        <v/>
      </c>
      <c r="V67" s="180" t="str">
        <f t="shared" si="2"/>
        <v/>
      </c>
      <c r="W67" s="180" t="str">
        <f t="shared" si="3"/>
        <v/>
      </c>
      <c r="Y67" s="125"/>
      <c r="Z67" s="142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44"/>
      <c r="AO67" s="125"/>
      <c r="AP67" s="125"/>
      <c r="AQ67" s="125"/>
      <c r="AR67" s="47" t="str">
        <f t="shared" si="4"/>
        <v/>
      </c>
      <c r="AS67" s="180" t="str">
        <f t="shared" si="0"/>
        <v/>
      </c>
      <c r="AT67" s="180" t="str">
        <f t="shared" si="5"/>
        <v/>
      </c>
    </row>
    <row r="68" spans="2:46" x14ac:dyDescent="0.35">
      <c r="B68" s="125"/>
      <c r="C68" s="142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44"/>
      <c r="R68" s="125"/>
      <c r="S68" s="125"/>
      <c r="T68" s="125"/>
      <c r="U68" s="47" t="str">
        <f t="shared" si="1"/>
        <v/>
      </c>
      <c r="V68" s="180" t="str">
        <f t="shared" si="2"/>
        <v/>
      </c>
      <c r="W68" s="180" t="str">
        <f t="shared" si="3"/>
        <v/>
      </c>
      <c r="Y68" s="125"/>
      <c r="Z68" s="142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44"/>
      <c r="AO68" s="125"/>
      <c r="AP68" s="125"/>
      <c r="AQ68" s="125"/>
      <c r="AR68" s="47" t="str">
        <f t="shared" si="4"/>
        <v/>
      </c>
      <c r="AS68" s="180" t="str">
        <f t="shared" si="0"/>
        <v/>
      </c>
      <c r="AT68" s="180" t="str">
        <f t="shared" si="5"/>
        <v/>
      </c>
    </row>
    <row r="69" spans="2:46" x14ac:dyDescent="0.35">
      <c r="B69" s="125"/>
      <c r="C69" s="142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44"/>
      <c r="R69" s="125"/>
      <c r="S69" s="125"/>
      <c r="T69" s="125"/>
      <c r="U69" s="47" t="str">
        <f t="shared" si="1"/>
        <v/>
      </c>
      <c r="V69" s="180" t="str">
        <f t="shared" si="2"/>
        <v/>
      </c>
      <c r="W69" s="180" t="str">
        <f t="shared" si="3"/>
        <v/>
      </c>
      <c r="Y69" s="125"/>
      <c r="Z69" s="142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44"/>
      <c r="AO69" s="125"/>
      <c r="AP69" s="125"/>
      <c r="AQ69" s="125"/>
      <c r="AR69" s="47" t="str">
        <f t="shared" si="4"/>
        <v/>
      </c>
      <c r="AS69" s="180" t="str">
        <f t="shared" si="0"/>
        <v/>
      </c>
      <c r="AT69" s="180" t="str">
        <f t="shared" si="5"/>
        <v/>
      </c>
    </row>
    <row r="70" spans="2:46" x14ac:dyDescent="0.35">
      <c r="B70" s="125"/>
      <c r="C70" s="142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44"/>
      <c r="R70" s="125"/>
      <c r="S70" s="125"/>
      <c r="T70" s="125"/>
      <c r="U70" s="47" t="str">
        <f t="shared" si="1"/>
        <v/>
      </c>
      <c r="V70" s="180" t="str">
        <f t="shared" si="2"/>
        <v/>
      </c>
      <c r="W70" s="180" t="str">
        <f t="shared" si="3"/>
        <v/>
      </c>
      <c r="Y70" s="125"/>
      <c r="Z70" s="142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44"/>
      <c r="AO70" s="125"/>
      <c r="AP70" s="125"/>
      <c r="AQ70" s="125"/>
      <c r="AR70" s="47" t="str">
        <f t="shared" si="4"/>
        <v/>
      </c>
      <c r="AS70" s="180" t="str">
        <f t="shared" si="0"/>
        <v/>
      </c>
      <c r="AT70" s="180" t="str">
        <f t="shared" si="5"/>
        <v/>
      </c>
    </row>
    <row r="71" spans="2:46" x14ac:dyDescent="0.35">
      <c r="B71" s="125"/>
      <c r="C71" s="142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44"/>
      <c r="R71" s="125"/>
      <c r="S71" s="125"/>
      <c r="T71" s="125"/>
      <c r="U71" s="47" t="str">
        <f t="shared" si="1"/>
        <v/>
      </c>
      <c r="V71" s="180" t="str">
        <f t="shared" ref="V71:V106" si="6">IFERROR(U71/52,"")</f>
        <v/>
      </c>
      <c r="W71" s="180" t="str">
        <f t="shared" si="3"/>
        <v/>
      </c>
      <c r="Y71" s="125"/>
      <c r="Z71" s="142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44"/>
      <c r="AO71" s="125"/>
      <c r="AP71" s="125"/>
      <c r="AQ71" s="125"/>
      <c r="AR71" s="47" t="str">
        <f t="shared" si="4"/>
        <v/>
      </c>
      <c r="AS71" s="180" t="str">
        <f t="shared" ref="AS71:AS106" si="7">IFERROR(AR71/52,"")</f>
        <v/>
      </c>
      <c r="AT71" s="180" t="str">
        <f t="shared" si="5"/>
        <v/>
      </c>
    </row>
    <row r="72" spans="2:46" x14ac:dyDescent="0.35">
      <c r="B72" s="125"/>
      <c r="C72" s="142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44"/>
      <c r="R72" s="125"/>
      <c r="S72" s="125"/>
      <c r="T72" s="125"/>
      <c r="U72" s="47" t="str">
        <f t="shared" ref="U72:U106" si="8">IF(T72*S72=0,"",T72*S72)</f>
        <v/>
      </c>
      <c r="V72" s="180" t="str">
        <f t="shared" si="6"/>
        <v/>
      </c>
      <c r="W72" s="180" t="str">
        <f t="shared" ref="W72:W106" si="9">IFERROR(V72/COUNTIF(C72:Q72,"="&amp;"x"),"")</f>
        <v/>
      </c>
      <c r="Y72" s="125"/>
      <c r="Z72" s="142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44"/>
      <c r="AO72" s="125"/>
      <c r="AP72" s="125"/>
      <c r="AQ72" s="125"/>
      <c r="AR72" s="47" t="str">
        <f t="shared" ref="AR72:AR106" si="10">IF(AQ72*AP72=0,"",AQ72*AP72)</f>
        <v/>
      </c>
      <c r="AS72" s="180" t="str">
        <f t="shared" si="7"/>
        <v/>
      </c>
      <c r="AT72" s="180" t="str">
        <f t="shared" ref="AT72:AT106" si="11">IFERROR(AS72/COUNTIF(Z72:AN72,"="&amp;"x"),"")</f>
        <v/>
      </c>
    </row>
    <row r="73" spans="2:46" x14ac:dyDescent="0.35">
      <c r="B73" s="125"/>
      <c r="C73" s="142"/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44"/>
      <c r="R73" s="125"/>
      <c r="S73" s="125"/>
      <c r="T73" s="125"/>
      <c r="U73" s="47" t="str">
        <f t="shared" si="8"/>
        <v/>
      </c>
      <c r="V73" s="180" t="str">
        <f t="shared" si="6"/>
        <v/>
      </c>
      <c r="W73" s="180" t="str">
        <f t="shared" si="9"/>
        <v/>
      </c>
      <c r="Y73" s="125"/>
      <c r="Z73" s="142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44"/>
      <c r="AO73" s="125"/>
      <c r="AP73" s="125"/>
      <c r="AQ73" s="125"/>
      <c r="AR73" s="47" t="str">
        <f t="shared" si="10"/>
        <v/>
      </c>
      <c r="AS73" s="180" t="str">
        <f t="shared" si="7"/>
        <v/>
      </c>
      <c r="AT73" s="180" t="str">
        <f t="shared" si="11"/>
        <v/>
      </c>
    </row>
    <row r="74" spans="2:46" x14ac:dyDescent="0.35">
      <c r="B74" s="125"/>
      <c r="C74" s="142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44"/>
      <c r="R74" s="125"/>
      <c r="S74" s="125"/>
      <c r="T74" s="125"/>
      <c r="U74" s="47" t="str">
        <f t="shared" si="8"/>
        <v/>
      </c>
      <c r="V74" s="180" t="str">
        <f t="shared" si="6"/>
        <v/>
      </c>
      <c r="W74" s="180" t="str">
        <f t="shared" si="9"/>
        <v/>
      </c>
      <c r="Y74" s="125"/>
      <c r="Z74" s="142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44"/>
      <c r="AO74" s="125"/>
      <c r="AP74" s="125"/>
      <c r="AQ74" s="125"/>
      <c r="AR74" s="47" t="str">
        <f t="shared" si="10"/>
        <v/>
      </c>
      <c r="AS74" s="180" t="str">
        <f t="shared" si="7"/>
        <v/>
      </c>
      <c r="AT74" s="180" t="str">
        <f t="shared" si="11"/>
        <v/>
      </c>
    </row>
    <row r="75" spans="2:46" x14ac:dyDescent="0.35">
      <c r="B75" s="125"/>
      <c r="C75" s="142"/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44"/>
      <c r="R75" s="125"/>
      <c r="S75" s="125"/>
      <c r="T75" s="125"/>
      <c r="U75" s="47" t="str">
        <f t="shared" si="8"/>
        <v/>
      </c>
      <c r="V75" s="180" t="str">
        <f t="shared" si="6"/>
        <v/>
      </c>
      <c r="W75" s="180" t="str">
        <f t="shared" si="9"/>
        <v/>
      </c>
      <c r="Y75" s="125"/>
      <c r="Z75" s="142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44"/>
      <c r="AO75" s="125"/>
      <c r="AP75" s="125"/>
      <c r="AQ75" s="125"/>
      <c r="AR75" s="47" t="str">
        <f t="shared" si="10"/>
        <v/>
      </c>
      <c r="AS75" s="180" t="str">
        <f t="shared" si="7"/>
        <v/>
      </c>
      <c r="AT75" s="180" t="str">
        <f t="shared" si="11"/>
        <v/>
      </c>
    </row>
    <row r="76" spans="2:46" x14ac:dyDescent="0.35">
      <c r="B76" s="125"/>
      <c r="C76" s="142"/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44"/>
      <c r="R76" s="125"/>
      <c r="S76" s="125"/>
      <c r="T76" s="125"/>
      <c r="U76" s="47" t="str">
        <f t="shared" si="8"/>
        <v/>
      </c>
      <c r="V76" s="180" t="str">
        <f t="shared" si="6"/>
        <v/>
      </c>
      <c r="W76" s="180" t="str">
        <f t="shared" si="9"/>
        <v/>
      </c>
      <c r="Y76" s="125"/>
      <c r="Z76" s="142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44"/>
      <c r="AO76" s="125"/>
      <c r="AP76" s="125"/>
      <c r="AQ76" s="125"/>
      <c r="AR76" s="47" t="str">
        <f t="shared" si="10"/>
        <v/>
      </c>
      <c r="AS76" s="180" t="str">
        <f t="shared" si="7"/>
        <v/>
      </c>
      <c r="AT76" s="180" t="str">
        <f t="shared" si="11"/>
        <v/>
      </c>
    </row>
    <row r="77" spans="2:46" x14ac:dyDescent="0.35">
      <c r="B77" s="125"/>
      <c r="C77" s="142"/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44"/>
      <c r="R77" s="125"/>
      <c r="S77" s="125"/>
      <c r="T77" s="125"/>
      <c r="U77" s="47" t="str">
        <f t="shared" si="8"/>
        <v/>
      </c>
      <c r="V77" s="180" t="str">
        <f t="shared" si="6"/>
        <v/>
      </c>
      <c r="W77" s="180" t="str">
        <f t="shared" si="9"/>
        <v/>
      </c>
      <c r="Y77" s="125"/>
      <c r="Z77" s="142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44"/>
      <c r="AO77" s="125"/>
      <c r="AP77" s="125"/>
      <c r="AQ77" s="125"/>
      <c r="AR77" s="47" t="str">
        <f t="shared" si="10"/>
        <v/>
      </c>
      <c r="AS77" s="180" t="str">
        <f t="shared" si="7"/>
        <v/>
      </c>
      <c r="AT77" s="180" t="str">
        <f t="shared" si="11"/>
        <v/>
      </c>
    </row>
    <row r="78" spans="2:46" x14ac:dyDescent="0.35">
      <c r="B78" s="125"/>
      <c r="C78" s="142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44"/>
      <c r="R78" s="125"/>
      <c r="S78" s="125"/>
      <c r="T78" s="125"/>
      <c r="U78" s="47" t="str">
        <f t="shared" si="8"/>
        <v/>
      </c>
      <c r="V78" s="180" t="str">
        <f t="shared" si="6"/>
        <v/>
      </c>
      <c r="W78" s="180" t="str">
        <f t="shared" si="9"/>
        <v/>
      </c>
      <c r="Y78" s="125"/>
      <c r="Z78" s="142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44"/>
      <c r="AO78" s="125"/>
      <c r="AP78" s="125"/>
      <c r="AQ78" s="125"/>
      <c r="AR78" s="47" t="str">
        <f t="shared" si="10"/>
        <v/>
      </c>
      <c r="AS78" s="180" t="str">
        <f t="shared" si="7"/>
        <v/>
      </c>
      <c r="AT78" s="180" t="str">
        <f t="shared" si="11"/>
        <v/>
      </c>
    </row>
    <row r="79" spans="2:46" x14ac:dyDescent="0.35">
      <c r="B79" s="125"/>
      <c r="C79" s="142"/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44"/>
      <c r="R79" s="125"/>
      <c r="S79" s="125"/>
      <c r="T79" s="125"/>
      <c r="U79" s="47" t="str">
        <f t="shared" si="8"/>
        <v/>
      </c>
      <c r="V79" s="180" t="str">
        <f t="shared" si="6"/>
        <v/>
      </c>
      <c r="W79" s="180" t="str">
        <f t="shared" si="9"/>
        <v/>
      </c>
      <c r="Y79" s="125"/>
      <c r="Z79" s="142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44"/>
      <c r="AO79" s="125"/>
      <c r="AP79" s="125"/>
      <c r="AQ79" s="125"/>
      <c r="AR79" s="47" t="str">
        <f t="shared" si="10"/>
        <v/>
      </c>
      <c r="AS79" s="180" t="str">
        <f t="shared" si="7"/>
        <v/>
      </c>
      <c r="AT79" s="180" t="str">
        <f t="shared" si="11"/>
        <v/>
      </c>
    </row>
    <row r="80" spans="2:46" x14ac:dyDescent="0.35">
      <c r="B80" s="125"/>
      <c r="C80" s="142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44"/>
      <c r="R80" s="125"/>
      <c r="S80" s="125"/>
      <c r="T80" s="125"/>
      <c r="U80" s="47" t="str">
        <f t="shared" si="8"/>
        <v/>
      </c>
      <c r="V80" s="180" t="str">
        <f t="shared" si="6"/>
        <v/>
      </c>
      <c r="W80" s="180" t="str">
        <f t="shared" si="9"/>
        <v/>
      </c>
      <c r="Y80" s="125"/>
      <c r="Z80" s="142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44"/>
      <c r="AO80" s="125"/>
      <c r="AP80" s="125"/>
      <c r="AQ80" s="125"/>
      <c r="AR80" s="47" t="str">
        <f t="shared" si="10"/>
        <v/>
      </c>
      <c r="AS80" s="180" t="str">
        <f t="shared" si="7"/>
        <v/>
      </c>
      <c r="AT80" s="180" t="str">
        <f t="shared" si="11"/>
        <v/>
      </c>
    </row>
    <row r="81" spans="2:46" x14ac:dyDescent="0.35">
      <c r="B81" s="125"/>
      <c r="C81" s="142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44"/>
      <c r="R81" s="125"/>
      <c r="S81" s="125"/>
      <c r="T81" s="125"/>
      <c r="U81" s="47" t="str">
        <f t="shared" si="8"/>
        <v/>
      </c>
      <c r="V81" s="180" t="str">
        <f t="shared" si="6"/>
        <v/>
      </c>
      <c r="W81" s="180" t="str">
        <f t="shared" si="9"/>
        <v/>
      </c>
      <c r="Y81" s="125"/>
      <c r="Z81" s="142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44"/>
      <c r="AO81" s="125"/>
      <c r="AP81" s="125"/>
      <c r="AQ81" s="125"/>
      <c r="AR81" s="47" t="str">
        <f t="shared" si="10"/>
        <v/>
      </c>
      <c r="AS81" s="180" t="str">
        <f t="shared" si="7"/>
        <v/>
      </c>
      <c r="AT81" s="180" t="str">
        <f t="shared" si="11"/>
        <v/>
      </c>
    </row>
    <row r="82" spans="2:46" x14ac:dyDescent="0.35">
      <c r="B82" s="125"/>
      <c r="C82" s="142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44"/>
      <c r="R82" s="125"/>
      <c r="S82" s="125"/>
      <c r="T82" s="125"/>
      <c r="U82" s="47" t="str">
        <f t="shared" si="8"/>
        <v/>
      </c>
      <c r="V82" s="180" t="str">
        <f t="shared" si="6"/>
        <v/>
      </c>
      <c r="W82" s="180" t="str">
        <f t="shared" si="9"/>
        <v/>
      </c>
      <c r="Y82" s="125"/>
      <c r="Z82" s="142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44"/>
      <c r="AO82" s="125"/>
      <c r="AP82" s="125"/>
      <c r="AQ82" s="125"/>
      <c r="AR82" s="47" t="str">
        <f t="shared" si="10"/>
        <v/>
      </c>
      <c r="AS82" s="180" t="str">
        <f t="shared" si="7"/>
        <v/>
      </c>
      <c r="AT82" s="180" t="str">
        <f t="shared" si="11"/>
        <v/>
      </c>
    </row>
    <row r="83" spans="2:46" x14ac:dyDescent="0.35">
      <c r="B83" s="125"/>
      <c r="C83" s="142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44"/>
      <c r="R83" s="125"/>
      <c r="S83" s="125"/>
      <c r="T83" s="125"/>
      <c r="U83" s="47" t="str">
        <f t="shared" si="8"/>
        <v/>
      </c>
      <c r="V83" s="180" t="str">
        <f t="shared" si="6"/>
        <v/>
      </c>
      <c r="W83" s="180" t="str">
        <f t="shared" si="9"/>
        <v/>
      </c>
      <c r="Y83" s="125"/>
      <c r="Z83" s="142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44"/>
      <c r="AO83" s="125"/>
      <c r="AP83" s="125"/>
      <c r="AQ83" s="125"/>
      <c r="AR83" s="47" t="str">
        <f t="shared" si="10"/>
        <v/>
      </c>
      <c r="AS83" s="180" t="str">
        <f t="shared" si="7"/>
        <v/>
      </c>
      <c r="AT83" s="180" t="str">
        <f t="shared" si="11"/>
        <v/>
      </c>
    </row>
    <row r="84" spans="2:46" x14ac:dyDescent="0.35">
      <c r="B84" s="125"/>
      <c r="C84" s="142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44"/>
      <c r="R84" s="125"/>
      <c r="S84" s="125"/>
      <c r="T84" s="125"/>
      <c r="U84" s="47" t="str">
        <f t="shared" si="8"/>
        <v/>
      </c>
      <c r="V84" s="180" t="str">
        <f t="shared" si="6"/>
        <v/>
      </c>
      <c r="W84" s="180" t="str">
        <f t="shared" si="9"/>
        <v/>
      </c>
      <c r="Y84" s="125"/>
      <c r="Z84" s="142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44"/>
      <c r="AO84" s="125"/>
      <c r="AP84" s="125"/>
      <c r="AQ84" s="125"/>
      <c r="AR84" s="47" t="str">
        <f t="shared" si="10"/>
        <v/>
      </c>
      <c r="AS84" s="180" t="str">
        <f t="shared" si="7"/>
        <v/>
      </c>
      <c r="AT84" s="180" t="str">
        <f t="shared" si="11"/>
        <v/>
      </c>
    </row>
    <row r="85" spans="2:46" x14ac:dyDescent="0.35">
      <c r="B85" s="125"/>
      <c r="C85" s="142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44"/>
      <c r="R85" s="125"/>
      <c r="S85" s="125"/>
      <c r="T85" s="125"/>
      <c r="U85" s="47" t="str">
        <f t="shared" si="8"/>
        <v/>
      </c>
      <c r="V85" s="180" t="str">
        <f t="shared" si="6"/>
        <v/>
      </c>
      <c r="W85" s="180" t="str">
        <f t="shared" si="9"/>
        <v/>
      </c>
      <c r="Y85" s="125"/>
      <c r="Z85" s="142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44"/>
      <c r="AO85" s="125"/>
      <c r="AP85" s="125"/>
      <c r="AQ85" s="125"/>
      <c r="AR85" s="47" t="str">
        <f t="shared" si="10"/>
        <v/>
      </c>
      <c r="AS85" s="180" t="str">
        <f t="shared" si="7"/>
        <v/>
      </c>
      <c r="AT85" s="180" t="str">
        <f t="shared" si="11"/>
        <v/>
      </c>
    </row>
    <row r="86" spans="2:46" x14ac:dyDescent="0.35">
      <c r="B86" s="125"/>
      <c r="C86" s="142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44"/>
      <c r="R86" s="125"/>
      <c r="S86" s="125"/>
      <c r="T86" s="125"/>
      <c r="U86" s="47" t="str">
        <f t="shared" si="8"/>
        <v/>
      </c>
      <c r="V86" s="180" t="str">
        <f t="shared" si="6"/>
        <v/>
      </c>
      <c r="W86" s="180" t="str">
        <f t="shared" si="9"/>
        <v/>
      </c>
      <c r="Y86" s="125"/>
      <c r="Z86" s="142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44"/>
      <c r="AO86" s="125"/>
      <c r="AP86" s="125"/>
      <c r="AQ86" s="125"/>
      <c r="AR86" s="47" t="str">
        <f t="shared" si="10"/>
        <v/>
      </c>
      <c r="AS86" s="180" t="str">
        <f t="shared" si="7"/>
        <v/>
      </c>
      <c r="AT86" s="180" t="str">
        <f t="shared" si="11"/>
        <v/>
      </c>
    </row>
    <row r="87" spans="2:46" x14ac:dyDescent="0.35">
      <c r="B87" s="125"/>
      <c r="C87" s="142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44"/>
      <c r="R87" s="125"/>
      <c r="S87" s="125"/>
      <c r="T87" s="125"/>
      <c r="U87" s="47" t="str">
        <f t="shared" si="8"/>
        <v/>
      </c>
      <c r="V87" s="180" t="str">
        <f t="shared" si="6"/>
        <v/>
      </c>
      <c r="W87" s="180" t="str">
        <f t="shared" si="9"/>
        <v/>
      </c>
      <c r="Y87" s="125"/>
      <c r="Z87" s="142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44"/>
      <c r="AO87" s="125"/>
      <c r="AP87" s="125"/>
      <c r="AQ87" s="125"/>
      <c r="AR87" s="47" t="str">
        <f t="shared" si="10"/>
        <v/>
      </c>
      <c r="AS87" s="180" t="str">
        <f t="shared" si="7"/>
        <v/>
      </c>
      <c r="AT87" s="180" t="str">
        <f t="shared" si="11"/>
        <v/>
      </c>
    </row>
    <row r="88" spans="2:46" x14ac:dyDescent="0.35">
      <c r="B88" s="125"/>
      <c r="C88" s="142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44"/>
      <c r="R88" s="125"/>
      <c r="S88" s="125"/>
      <c r="T88" s="125"/>
      <c r="U88" s="47" t="str">
        <f t="shared" si="8"/>
        <v/>
      </c>
      <c r="V88" s="180" t="str">
        <f t="shared" si="6"/>
        <v/>
      </c>
      <c r="W88" s="180" t="str">
        <f t="shared" si="9"/>
        <v/>
      </c>
      <c r="Y88" s="125"/>
      <c r="Z88" s="142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44"/>
      <c r="AO88" s="125"/>
      <c r="AP88" s="125"/>
      <c r="AQ88" s="125"/>
      <c r="AR88" s="47" t="str">
        <f t="shared" si="10"/>
        <v/>
      </c>
      <c r="AS88" s="180" t="str">
        <f t="shared" si="7"/>
        <v/>
      </c>
      <c r="AT88" s="180" t="str">
        <f t="shared" si="11"/>
        <v/>
      </c>
    </row>
    <row r="89" spans="2:46" x14ac:dyDescent="0.35">
      <c r="B89" s="125"/>
      <c r="C89" s="142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44"/>
      <c r="R89" s="125"/>
      <c r="S89" s="125"/>
      <c r="T89" s="125"/>
      <c r="U89" s="47" t="str">
        <f t="shared" si="8"/>
        <v/>
      </c>
      <c r="V89" s="180" t="str">
        <f t="shared" si="6"/>
        <v/>
      </c>
      <c r="W89" s="180" t="str">
        <f t="shared" si="9"/>
        <v/>
      </c>
      <c r="Y89" s="125"/>
      <c r="Z89" s="142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27"/>
      <c r="AN89" s="144"/>
      <c r="AO89" s="125"/>
      <c r="AP89" s="125"/>
      <c r="AQ89" s="125"/>
      <c r="AR89" s="47" t="str">
        <f t="shared" si="10"/>
        <v/>
      </c>
      <c r="AS89" s="180" t="str">
        <f t="shared" si="7"/>
        <v/>
      </c>
      <c r="AT89" s="180" t="str">
        <f t="shared" si="11"/>
        <v/>
      </c>
    </row>
    <row r="90" spans="2:46" x14ac:dyDescent="0.35">
      <c r="B90" s="125"/>
      <c r="C90" s="142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44"/>
      <c r="R90" s="125"/>
      <c r="S90" s="125"/>
      <c r="T90" s="125"/>
      <c r="U90" s="47" t="str">
        <f t="shared" si="8"/>
        <v/>
      </c>
      <c r="V90" s="180" t="str">
        <f t="shared" si="6"/>
        <v/>
      </c>
      <c r="W90" s="180" t="str">
        <f t="shared" si="9"/>
        <v/>
      </c>
      <c r="Y90" s="125"/>
      <c r="Z90" s="142"/>
      <c r="AA90" s="127"/>
      <c r="AB90" s="127"/>
      <c r="AC90" s="127"/>
      <c r="AD90" s="127"/>
      <c r="AE90" s="127"/>
      <c r="AF90" s="127"/>
      <c r="AG90" s="127"/>
      <c r="AH90" s="127"/>
      <c r="AI90" s="127"/>
      <c r="AJ90" s="127"/>
      <c r="AK90" s="127"/>
      <c r="AL90" s="127"/>
      <c r="AM90" s="127"/>
      <c r="AN90" s="144"/>
      <c r="AO90" s="125"/>
      <c r="AP90" s="125"/>
      <c r="AQ90" s="125"/>
      <c r="AR90" s="47" t="str">
        <f t="shared" si="10"/>
        <v/>
      </c>
      <c r="AS90" s="180" t="str">
        <f t="shared" si="7"/>
        <v/>
      </c>
      <c r="AT90" s="180" t="str">
        <f t="shared" si="11"/>
        <v/>
      </c>
    </row>
    <row r="91" spans="2:46" x14ac:dyDescent="0.35">
      <c r="B91" s="125"/>
      <c r="C91" s="142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44"/>
      <c r="R91" s="125"/>
      <c r="S91" s="125"/>
      <c r="T91" s="125"/>
      <c r="U91" s="47" t="str">
        <f t="shared" si="8"/>
        <v/>
      </c>
      <c r="V91" s="180" t="str">
        <f t="shared" si="6"/>
        <v/>
      </c>
      <c r="W91" s="180" t="str">
        <f t="shared" si="9"/>
        <v/>
      </c>
      <c r="Y91" s="125"/>
      <c r="Z91" s="142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44"/>
      <c r="AO91" s="125"/>
      <c r="AP91" s="125"/>
      <c r="AQ91" s="125"/>
      <c r="AR91" s="47" t="str">
        <f t="shared" si="10"/>
        <v/>
      </c>
      <c r="AS91" s="180" t="str">
        <f t="shared" si="7"/>
        <v/>
      </c>
      <c r="AT91" s="180" t="str">
        <f t="shared" si="11"/>
        <v/>
      </c>
    </row>
    <row r="92" spans="2:46" x14ac:dyDescent="0.35">
      <c r="B92" s="125"/>
      <c r="C92" s="142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44"/>
      <c r="R92" s="125"/>
      <c r="S92" s="125"/>
      <c r="T92" s="125"/>
      <c r="U92" s="47" t="str">
        <f t="shared" si="8"/>
        <v/>
      </c>
      <c r="V92" s="180" t="str">
        <f t="shared" si="6"/>
        <v/>
      </c>
      <c r="W92" s="180" t="str">
        <f t="shared" si="9"/>
        <v/>
      </c>
      <c r="Y92" s="125"/>
      <c r="Z92" s="142"/>
      <c r="AA92" s="127"/>
      <c r="AB92" s="127"/>
      <c r="AC92" s="127"/>
      <c r="AD92" s="127"/>
      <c r="AE92" s="127"/>
      <c r="AF92" s="127"/>
      <c r="AG92" s="127"/>
      <c r="AH92" s="127"/>
      <c r="AI92" s="127"/>
      <c r="AJ92" s="127"/>
      <c r="AK92" s="127"/>
      <c r="AL92" s="127"/>
      <c r="AM92" s="127"/>
      <c r="AN92" s="144"/>
      <c r="AO92" s="125"/>
      <c r="AP92" s="125"/>
      <c r="AQ92" s="125"/>
      <c r="AR92" s="47" t="str">
        <f t="shared" si="10"/>
        <v/>
      </c>
      <c r="AS92" s="180" t="str">
        <f t="shared" si="7"/>
        <v/>
      </c>
      <c r="AT92" s="180" t="str">
        <f t="shared" si="11"/>
        <v/>
      </c>
    </row>
    <row r="93" spans="2:46" x14ac:dyDescent="0.35">
      <c r="B93" s="125"/>
      <c r="C93" s="142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44"/>
      <c r="R93" s="125"/>
      <c r="S93" s="125"/>
      <c r="T93" s="125"/>
      <c r="U93" s="47" t="str">
        <f t="shared" si="8"/>
        <v/>
      </c>
      <c r="V93" s="180" t="str">
        <f t="shared" si="6"/>
        <v/>
      </c>
      <c r="W93" s="180" t="str">
        <f t="shared" si="9"/>
        <v/>
      </c>
      <c r="Y93" s="125"/>
      <c r="Z93" s="142"/>
      <c r="AA93" s="127"/>
      <c r="AB93" s="127"/>
      <c r="AC93" s="127"/>
      <c r="AD93" s="127"/>
      <c r="AE93" s="127"/>
      <c r="AF93" s="127"/>
      <c r="AG93" s="127"/>
      <c r="AH93" s="127"/>
      <c r="AI93" s="127"/>
      <c r="AJ93" s="127"/>
      <c r="AK93" s="127"/>
      <c r="AL93" s="127"/>
      <c r="AM93" s="127"/>
      <c r="AN93" s="144"/>
      <c r="AO93" s="125"/>
      <c r="AP93" s="125"/>
      <c r="AQ93" s="125"/>
      <c r="AR93" s="47" t="str">
        <f t="shared" si="10"/>
        <v/>
      </c>
      <c r="AS93" s="180" t="str">
        <f t="shared" si="7"/>
        <v/>
      </c>
      <c r="AT93" s="180" t="str">
        <f t="shared" si="11"/>
        <v/>
      </c>
    </row>
    <row r="94" spans="2:46" x14ac:dyDescent="0.35">
      <c r="B94" s="125"/>
      <c r="C94" s="142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44"/>
      <c r="R94" s="125"/>
      <c r="S94" s="125"/>
      <c r="T94" s="125"/>
      <c r="U94" s="47" t="str">
        <f t="shared" si="8"/>
        <v/>
      </c>
      <c r="V94" s="180" t="str">
        <f t="shared" si="6"/>
        <v/>
      </c>
      <c r="W94" s="180" t="str">
        <f t="shared" si="9"/>
        <v/>
      </c>
      <c r="Y94" s="125"/>
      <c r="Z94" s="142"/>
      <c r="AA94" s="127"/>
      <c r="AB94" s="127"/>
      <c r="AC94" s="127"/>
      <c r="AD94" s="127"/>
      <c r="AE94" s="127"/>
      <c r="AF94" s="127"/>
      <c r="AG94" s="127"/>
      <c r="AH94" s="127"/>
      <c r="AI94" s="127"/>
      <c r="AJ94" s="127"/>
      <c r="AK94" s="127"/>
      <c r="AL94" s="127"/>
      <c r="AM94" s="127"/>
      <c r="AN94" s="144"/>
      <c r="AO94" s="125"/>
      <c r="AP94" s="125"/>
      <c r="AQ94" s="125"/>
      <c r="AR94" s="47" t="str">
        <f t="shared" si="10"/>
        <v/>
      </c>
      <c r="AS94" s="180" t="str">
        <f t="shared" si="7"/>
        <v/>
      </c>
      <c r="AT94" s="180" t="str">
        <f t="shared" si="11"/>
        <v/>
      </c>
    </row>
    <row r="95" spans="2:46" x14ac:dyDescent="0.35">
      <c r="B95" s="125"/>
      <c r="C95" s="142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44"/>
      <c r="R95" s="125"/>
      <c r="S95" s="125"/>
      <c r="T95" s="125"/>
      <c r="U95" s="47" t="str">
        <f t="shared" si="8"/>
        <v/>
      </c>
      <c r="V95" s="180" t="str">
        <f t="shared" si="6"/>
        <v/>
      </c>
      <c r="W95" s="180" t="str">
        <f t="shared" si="9"/>
        <v/>
      </c>
      <c r="Y95" s="125"/>
      <c r="Z95" s="142"/>
      <c r="AA95" s="127"/>
      <c r="AB95" s="127"/>
      <c r="AC95" s="127"/>
      <c r="AD95" s="127"/>
      <c r="AE95" s="127"/>
      <c r="AF95" s="127"/>
      <c r="AG95" s="127"/>
      <c r="AH95" s="127"/>
      <c r="AI95" s="127"/>
      <c r="AJ95" s="127"/>
      <c r="AK95" s="127"/>
      <c r="AL95" s="127"/>
      <c r="AM95" s="127"/>
      <c r="AN95" s="144"/>
      <c r="AO95" s="125"/>
      <c r="AP95" s="125"/>
      <c r="AQ95" s="125"/>
      <c r="AR95" s="47" t="str">
        <f t="shared" si="10"/>
        <v/>
      </c>
      <c r="AS95" s="180" t="str">
        <f t="shared" si="7"/>
        <v/>
      </c>
      <c r="AT95" s="180" t="str">
        <f t="shared" si="11"/>
        <v/>
      </c>
    </row>
    <row r="96" spans="2:46" x14ac:dyDescent="0.35">
      <c r="B96" s="125"/>
      <c r="C96" s="142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44"/>
      <c r="R96" s="125"/>
      <c r="S96" s="125"/>
      <c r="T96" s="125"/>
      <c r="U96" s="47" t="str">
        <f t="shared" si="8"/>
        <v/>
      </c>
      <c r="V96" s="180" t="str">
        <f t="shared" si="6"/>
        <v/>
      </c>
      <c r="W96" s="180" t="str">
        <f t="shared" si="9"/>
        <v/>
      </c>
      <c r="Y96" s="125"/>
      <c r="Z96" s="142"/>
      <c r="AA96" s="127"/>
      <c r="AB96" s="127"/>
      <c r="AC96" s="127"/>
      <c r="AD96" s="127"/>
      <c r="AE96" s="127"/>
      <c r="AF96" s="127"/>
      <c r="AG96" s="127"/>
      <c r="AH96" s="127"/>
      <c r="AI96" s="127"/>
      <c r="AJ96" s="127"/>
      <c r="AK96" s="127"/>
      <c r="AL96" s="127"/>
      <c r="AM96" s="127"/>
      <c r="AN96" s="144"/>
      <c r="AO96" s="125"/>
      <c r="AP96" s="125"/>
      <c r="AQ96" s="125"/>
      <c r="AR96" s="47" t="str">
        <f t="shared" si="10"/>
        <v/>
      </c>
      <c r="AS96" s="180" t="str">
        <f t="shared" si="7"/>
        <v/>
      </c>
      <c r="AT96" s="180" t="str">
        <f t="shared" si="11"/>
        <v/>
      </c>
    </row>
    <row r="97" spans="2:46" x14ac:dyDescent="0.35">
      <c r="B97" s="125"/>
      <c r="C97" s="142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44"/>
      <c r="R97" s="125"/>
      <c r="S97" s="125"/>
      <c r="T97" s="125"/>
      <c r="U97" s="47" t="str">
        <f t="shared" si="8"/>
        <v/>
      </c>
      <c r="V97" s="180" t="str">
        <f t="shared" si="6"/>
        <v/>
      </c>
      <c r="W97" s="180" t="str">
        <f t="shared" si="9"/>
        <v/>
      </c>
      <c r="Y97" s="125"/>
      <c r="Z97" s="142"/>
      <c r="AA97" s="127"/>
      <c r="AB97" s="127"/>
      <c r="AC97" s="127"/>
      <c r="AD97" s="127"/>
      <c r="AE97" s="127"/>
      <c r="AF97" s="127"/>
      <c r="AG97" s="127"/>
      <c r="AH97" s="127"/>
      <c r="AI97" s="127"/>
      <c r="AJ97" s="127"/>
      <c r="AK97" s="127"/>
      <c r="AL97" s="127"/>
      <c r="AM97" s="127"/>
      <c r="AN97" s="144"/>
      <c r="AO97" s="125"/>
      <c r="AP97" s="125"/>
      <c r="AQ97" s="125"/>
      <c r="AR97" s="47" t="str">
        <f t="shared" si="10"/>
        <v/>
      </c>
      <c r="AS97" s="180" t="str">
        <f t="shared" si="7"/>
        <v/>
      </c>
      <c r="AT97" s="180" t="str">
        <f t="shared" si="11"/>
        <v/>
      </c>
    </row>
    <row r="98" spans="2:46" x14ac:dyDescent="0.35">
      <c r="B98" s="125"/>
      <c r="C98" s="142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44"/>
      <c r="R98" s="125"/>
      <c r="S98" s="125"/>
      <c r="T98" s="125"/>
      <c r="U98" s="47" t="str">
        <f t="shared" si="8"/>
        <v/>
      </c>
      <c r="V98" s="180" t="str">
        <f t="shared" si="6"/>
        <v/>
      </c>
      <c r="W98" s="180" t="str">
        <f t="shared" si="9"/>
        <v/>
      </c>
      <c r="Y98" s="125"/>
      <c r="Z98" s="142"/>
      <c r="AA98" s="127"/>
      <c r="AB98" s="127"/>
      <c r="AC98" s="127"/>
      <c r="AD98" s="127"/>
      <c r="AE98" s="127"/>
      <c r="AF98" s="127"/>
      <c r="AG98" s="127"/>
      <c r="AH98" s="127"/>
      <c r="AI98" s="127"/>
      <c r="AJ98" s="127"/>
      <c r="AK98" s="127"/>
      <c r="AL98" s="127"/>
      <c r="AM98" s="127"/>
      <c r="AN98" s="144"/>
      <c r="AO98" s="125"/>
      <c r="AP98" s="125"/>
      <c r="AQ98" s="125"/>
      <c r="AR98" s="47" t="str">
        <f t="shared" si="10"/>
        <v/>
      </c>
      <c r="AS98" s="180" t="str">
        <f t="shared" si="7"/>
        <v/>
      </c>
      <c r="AT98" s="180" t="str">
        <f t="shared" si="11"/>
        <v/>
      </c>
    </row>
    <row r="99" spans="2:46" x14ac:dyDescent="0.35">
      <c r="B99" s="125"/>
      <c r="C99" s="142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44"/>
      <c r="R99" s="125"/>
      <c r="S99" s="125"/>
      <c r="T99" s="125"/>
      <c r="U99" s="47" t="str">
        <f t="shared" si="8"/>
        <v/>
      </c>
      <c r="V99" s="180" t="str">
        <f t="shared" si="6"/>
        <v/>
      </c>
      <c r="W99" s="180" t="str">
        <f t="shared" si="9"/>
        <v/>
      </c>
      <c r="Y99" s="125"/>
      <c r="Z99" s="142"/>
      <c r="AA99" s="127"/>
      <c r="AB99" s="127"/>
      <c r="AC99" s="127"/>
      <c r="AD99" s="127"/>
      <c r="AE99" s="127"/>
      <c r="AF99" s="127"/>
      <c r="AG99" s="127"/>
      <c r="AH99" s="127"/>
      <c r="AI99" s="127"/>
      <c r="AJ99" s="127"/>
      <c r="AK99" s="127"/>
      <c r="AL99" s="127"/>
      <c r="AM99" s="127"/>
      <c r="AN99" s="144"/>
      <c r="AO99" s="125"/>
      <c r="AP99" s="125"/>
      <c r="AQ99" s="125"/>
      <c r="AR99" s="47" t="str">
        <f t="shared" si="10"/>
        <v/>
      </c>
      <c r="AS99" s="180" t="str">
        <f t="shared" si="7"/>
        <v/>
      </c>
      <c r="AT99" s="180" t="str">
        <f t="shared" si="11"/>
        <v/>
      </c>
    </row>
    <row r="100" spans="2:46" x14ac:dyDescent="0.35">
      <c r="B100" s="125"/>
      <c r="C100" s="142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44"/>
      <c r="R100" s="125"/>
      <c r="S100" s="125"/>
      <c r="T100" s="125"/>
      <c r="U100" s="47" t="str">
        <f t="shared" si="8"/>
        <v/>
      </c>
      <c r="V100" s="180" t="str">
        <f t="shared" si="6"/>
        <v/>
      </c>
      <c r="W100" s="180" t="str">
        <f t="shared" si="9"/>
        <v/>
      </c>
      <c r="Y100" s="125"/>
      <c r="Z100" s="142"/>
      <c r="AA100" s="127"/>
      <c r="AB100" s="127"/>
      <c r="AC100" s="127"/>
      <c r="AD100" s="127"/>
      <c r="AE100" s="127"/>
      <c r="AF100" s="127"/>
      <c r="AG100" s="127"/>
      <c r="AH100" s="127"/>
      <c r="AI100" s="127"/>
      <c r="AJ100" s="127"/>
      <c r="AK100" s="127"/>
      <c r="AL100" s="127"/>
      <c r="AM100" s="127"/>
      <c r="AN100" s="144"/>
      <c r="AO100" s="125"/>
      <c r="AP100" s="125"/>
      <c r="AQ100" s="125"/>
      <c r="AR100" s="47" t="str">
        <f t="shared" si="10"/>
        <v/>
      </c>
      <c r="AS100" s="180" t="str">
        <f t="shared" si="7"/>
        <v/>
      </c>
      <c r="AT100" s="180" t="str">
        <f t="shared" si="11"/>
        <v/>
      </c>
    </row>
    <row r="101" spans="2:46" x14ac:dyDescent="0.35">
      <c r="B101" s="125"/>
      <c r="C101" s="142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44"/>
      <c r="R101" s="125"/>
      <c r="S101" s="125"/>
      <c r="T101" s="125"/>
      <c r="U101" s="47" t="str">
        <f t="shared" si="8"/>
        <v/>
      </c>
      <c r="V101" s="180" t="str">
        <f t="shared" si="6"/>
        <v/>
      </c>
      <c r="W101" s="180" t="str">
        <f t="shared" si="9"/>
        <v/>
      </c>
      <c r="Y101" s="125"/>
      <c r="Z101" s="142"/>
      <c r="AA101" s="127"/>
      <c r="AB101" s="127"/>
      <c r="AC101" s="127"/>
      <c r="AD101" s="127"/>
      <c r="AE101" s="127"/>
      <c r="AF101" s="127"/>
      <c r="AG101" s="127"/>
      <c r="AH101" s="127"/>
      <c r="AI101" s="127"/>
      <c r="AJ101" s="127"/>
      <c r="AK101" s="127"/>
      <c r="AL101" s="127"/>
      <c r="AM101" s="127"/>
      <c r="AN101" s="144"/>
      <c r="AO101" s="125"/>
      <c r="AP101" s="125"/>
      <c r="AQ101" s="125"/>
      <c r="AR101" s="47" t="str">
        <f t="shared" si="10"/>
        <v/>
      </c>
      <c r="AS101" s="180" t="str">
        <f t="shared" si="7"/>
        <v/>
      </c>
      <c r="AT101" s="180" t="str">
        <f t="shared" si="11"/>
        <v/>
      </c>
    </row>
    <row r="102" spans="2:46" x14ac:dyDescent="0.35">
      <c r="B102" s="125"/>
      <c r="C102" s="142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44"/>
      <c r="R102" s="125"/>
      <c r="S102" s="125"/>
      <c r="T102" s="125"/>
      <c r="U102" s="47" t="str">
        <f t="shared" si="8"/>
        <v/>
      </c>
      <c r="V102" s="180" t="str">
        <f t="shared" si="6"/>
        <v/>
      </c>
      <c r="W102" s="180" t="str">
        <f t="shared" si="9"/>
        <v/>
      </c>
      <c r="Y102" s="125"/>
      <c r="Z102" s="142"/>
      <c r="AA102" s="127"/>
      <c r="AB102" s="127"/>
      <c r="AC102" s="127"/>
      <c r="AD102" s="127"/>
      <c r="AE102" s="127"/>
      <c r="AF102" s="127"/>
      <c r="AG102" s="127"/>
      <c r="AH102" s="127"/>
      <c r="AI102" s="127"/>
      <c r="AJ102" s="127"/>
      <c r="AK102" s="127"/>
      <c r="AL102" s="127"/>
      <c r="AM102" s="127"/>
      <c r="AN102" s="144"/>
      <c r="AO102" s="125"/>
      <c r="AP102" s="125"/>
      <c r="AQ102" s="125"/>
      <c r="AR102" s="47" t="str">
        <f t="shared" si="10"/>
        <v/>
      </c>
      <c r="AS102" s="180" t="str">
        <f t="shared" si="7"/>
        <v/>
      </c>
      <c r="AT102" s="180" t="str">
        <f t="shared" si="11"/>
        <v/>
      </c>
    </row>
    <row r="103" spans="2:46" x14ac:dyDescent="0.35">
      <c r="B103" s="125"/>
      <c r="C103" s="142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44"/>
      <c r="R103" s="125"/>
      <c r="S103" s="125"/>
      <c r="T103" s="125"/>
      <c r="U103" s="47" t="str">
        <f t="shared" si="8"/>
        <v/>
      </c>
      <c r="V103" s="180" t="str">
        <f t="shared" si="6"/>
        <v/>
      </c>
      <c r="W103" s="180" t="str">
        <f t="shared" si="9"/>
        <v/>
      </c>
      <c r="Y103" s="125"/>
      <c r="Z103" s="142"/>
      <c r="AA103" s="127"/>
      <c r="AB103" s="127"/>
      <c r="AC103" s="127"/>
      <c r="AD103" s="127"/>
      <c r="AE103" s="127"/>
      <c r="AF103" s="127"/>
      <c r="AG103" s="127"/>
      <c r="AH103" s="127"/>
      <c r="AI103" s="127"/>
      <c r="AJ103" s="127"/>
      <c r="AK103" s="127"/>
      <c r="AL103" s="127"/>
      <c r="AM103" s="127"/>
      <c r="AN103" s="144"/>
      <c r="AO103" s="125"/>
      <c r="AP103" s="125"/>
      <c r="AQ103" s="125"/>
      <c r="AR103" s="47" t="str">
        <f t="shared" si="10"/>
        <v/>
      </c>
      <c r="AS103" s="180" t="str">
        <f t="shared" si="7"/>
        <v/>
      </c>
      <c r="AT103" s="180" t="str">
        <f t="shared" si="11"/>
        <v/>
      </c>
    </row>
    <row r="104" spans="2:46" x14ac:dyDescent="0.35">
      <c r="B104" s="125"/>
      <c r="C104" s="142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44"/>
      <c r="R104" s="125"/>
      <c r="S104" s="125"/>
      <c r="T104" s="125"/>
      <c r="U104" s="47" t="str">
        <f t="shared" si="8"/>
        <v/>
      </c>
      <c r="V104" s="180" t="str">
        <f t="shared" si="6"/>
        <v/>
      </c>
      <c r="W104" s="180" t="str">
        <f t="shared" si="9"/>
        <v/>
      </c>
      <c r="Y104" s="125"/>
      <c r="Z104" s="142"/>
      <c r="AA104" s="127"/>
      <c r="AB104" s="127"/>
      <c r="AC104" s="127"/>
      <c r="AD104" s="127"/>
      <c r="AE104" s="127"/>
      <c r="AF104" s="127"/>
      <c r="AG104" s="127"/>
      <c r="AH104" s="127"/>
      <c r="AI104" s="127"/>
      <c r="AJ104" s="127"/>
      <c r="AK104" s="127"/>
      <c r="AL104" s="127"/>
      <c r="AM104" s="127"/>
      <c r="AN104" s="144"/>
      <c r="AO104" s="125"/>
      <c r="AP104" s="125"/>
      <c r="AQ104" s="125"/>
      <c r="AR104" s="47" t="str">
        <f t="shared" si="10"/>
        <v/>
      </c>
      <c r="AS104" s="180" t="str">
        <f t="shared" si="7"/>
        <v/>
      </c>
      <c r="AT104" s="180" t="str">
        <f t="shared" si="11"/>
        <v/>
      </c>
    </row>
    <row r="105" spans="2:46" x14ac:dyDescent="0.35">
      <c r="B105" s="125"/>
      <c r="C105" s="142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44"/>
      <c r="R105" s="125"/>
      <c r="S105" s="125"/>
      <c r="T105" s="125"/>
      <c r="U105" s="47" t="str">
        <f t="shared" si="8"/>
        <v/>
      </c>
      <c r="V105" s="180" t="str">
        <f t="shared" si="6"/>
        <v/>
      </c>
      <c r="W105" s="180" t="str">
        <f t="shared" si="9"/>
        <v/>
      </c>
      <c r="Y105" s="125"/>
      <c r="Z105" s="142"/>
      <c r="AA105" s="127"/>
      <c r="AB105" s="127"/>
      <c r="AC105" s="127"/>
      <c r="AD105" s="127"/>
      <c r="AE105" s="127"/>
      <c r="AF105" s="127"/>
      <c r="AG105" s="127"/>
      <c r="AH105" s="127"/>
      <c r="AI105" s="127"/>
      <c r="AJ105" s="127"/>
      <c r="AK105" s="127"/>
      <c r="AL105" s="127"/>
      <c r="AM105" s="127"/>
      <c r="AN105" s="144"/>
      <c r="AO105" s="125"/>
      <c r="AP105" s="125"/>
      <c r="AQ105" s="125"/>
      <c r="AR105" s="47" t="str">
        <f t="shared" si="10"/>
        <v/>
      </c>
      <c r="AS105" s="180" t="str">
        <f t="shared" si="7"/>
        <v/>
      </c>
      <c r="AT105" s="180" t="str">
        <f t="shared" si="11"/>
        <v/>
      </c>
    </row>
    <row r="106" spans="2:46" ht="15" thickBot="1" x14ac:dyDescent="0.4">
      <c r="B106" s="130"/>
      <c r="C106" s="145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47"/>
      <c r="R106" s="130"/>
      <c r="S106" s="130"/>
      <c r="T106" s="130"/>
      <c r="U106" s="48" t="str">
        <f t="shared" si="8"/>
        <v/>
      </c>
      <c r="V106" s="181" t="str">
        <f t="shared" si="6"/>
        <v/>
      </c>
      <c r="W106" s="181" t="str">
        <f t="shared" si="9"/>
        <v/>
      </c>
      <c r="Y106" s="130"/>
      <c r="Z106" s="145"/>
      <c r="AA106" s="128"/>
      <c r="AB106" s="128"/>
      <c r="AC106" s="128"/>
      <c r="AD106" s="128"/>
      <c r="AE106" s="128"/>
      <c r="AF106" s="128"/>
      <c r="AG106" s="128"/>
      <c r="AH106" s="128"/>
      <c r="AI106" s="128"/>
      <c r="AJ106" s="128"/>
      <c r="AK106" s="128"/>
      <c r="AL106" s="128"/>
      <c r="AM106" s="128"/>
      <c r="AN106" s="147"/>
      <c r="AO106" s="130"/>
      <c r="AP106" s="130"/>
      <c r="AQ106" s="130"/>
      <c r="AR106" s="48" t="str">
        <f t="shared" si="10"/>
        <v/>
      </c>
      <c r="AS106" s="181" t="str">
        <f t="shared" si="7"/>
        <v/>
      </c>
      <c r="AT106" s="18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hidden="1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hidden="1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hidden="1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1vl2E/MtR8uQNWnptUtt1hiJC4WzShuQcDVASozDFj1hZR8j1EdbWH3Z2expUlDP/NKt15emd8qFs4uY8YkO4g==" saltValue="O9k+MhCwyZGkn6GifMgQn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49" workbookViewId="0">
      <selection activeCell="B91" sqref="B91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0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28.26923076923077</v>
      </c>
      <c r="C79">
        <f>IFERROR(SUMIFS(INDEX($B$5:$CW$56,MATCH(C$75,$A$5:$A$56,0),1):INDEX($B$5:$CW$56,MATCH(C$75,$A$5:$A$56,0),100),$B62:$CW62,"="&amp;"x",$B$3:$CW$3,"="&amp;"N"),0)</f>
        <v>28.26923076923077</v>
      </c>
      <c r="D79">
        <f>IFERROR(SUMIFS(INDEX($B$5:$CW$56,MATCH(D$75,$A$5:$A$56,0),1):INDEX($B$5:$CW$56,MATCH(D$75,$A$5:$A$56,0),100),$B62:$CW62,"="&amp;"x",$B$3:$CW$3,"="&amp;"N"),0)</f>
        <v>28.26923076923077</v>
      </c>
      <c r="E79">
        <f>IFERROR(SUMIFS(INDEX($B$5:$CW$56,MATCH(E$75,$A$5:$A$56,0),1):INDEX($B$5:$CW$56,MATCH(E$75,$A$5:$A$56,0),100),$B62:$CW62,"="&amp;"x",$B$3:$CW$3,"="&amp;"N"),0)</f>
        <v>28.26923076923077</v>
      </c>
      <c r="F79">
        <f>IFERROR(SUMIFS(INDEX($B$5:$CW$56,MATCH(F$75,$A$5:$A$56,0),1):INDEX($B$5:$CW$56,MATCH(F$75,$A$5:$A$56,0),100),$B62:$CW62,"="&amp;"x",$B$3:$CW$3,"="&amp;"N"),0)</f>
        <v>28.26923076923077</v>
      </c>
      <c r="G79">
        <f>IFERROR(SUMIFS(INDEX($B$5:$CW$56,MATCH(G$75,$A$5:$A$56,0),1):INDEX($B$5:$CW$56,MATCH(G$75,$A$5:$A$56,0),100),$B62:$CW62,"="&amp;"x",$B$3:$CW$3,"="&amp;"N"),0)</f>
        <v>28.26923076923077</v>
      </c>
      <c r="H79">
        <f>IFERROR(SUMIFS(INDEX($B$5:$CW$56,MATCH(H$75,$A$5:$A$56,0),1):INDEX($B$5:$CW$56,MATCH(H$75,$A$5:$A$56,0),100),$B62:$CW62,"="&amp;"x",$B$3:$CW$3,"="&amp;"N"),0)</f>
        <v>28.26923076923077</v>
      </c>
      <c r="I79">
        <f>IFERROR(SUMIFS(INDEX($B$5:$CW$56,MATCH(I$75,$A$5:$A$56,0),1):INDEX($B$5:$CW$56,MATCH(I$75,$A$5:$A$56,0),100),$B62:$CW62,"="&amp;"x",$B$3:$CW$3,"="&amp;"N"),0)</f>
        <v>28.26923076923077</v>
      </c>
      <c r="J79">
        <f>IFERROR(SUMIFS(INDEX($B$5:$CW$56,MATCH(J$75,$A$5:$A$56,0),1):INDEX($B$5:$CW$56,MATCH(J$75,$A$5:$A$56,0),100),$B62:$CW62,"="&amp;"x",$B$3:$CW$3,"="&amp;"N"),0)</f>
        <v>28.26923076923077</v>
      </c>
      <c r="K79">
        <f>IFERROR(SUMIFS(INDEX($B$5:$CW$56,MATCH(K$75,$A$5:$A$56,0),1):INDEX($B$5:$CW$56,MATCH(K$75,$A$5:$A$56,0),100),$B62:$CW62,"="&amp;"x",$B$3:$CW$3,"="&amp;"N"),0)</f>
        <v>28.26923076923077</v>
      </c>
      <c r="L79">
        <f>IFERROR(SUMIFS(INDEX($B$5:$CW$56,MATCH(L$75,$A$5:$A$56,0),1):INDEX($B$5:$CW$56,MATCH(L$75,$A$5:$A$56,0),100),$B62:$CW62,"="&amp;"x",$B$3:$CW$3,"="&amp;"N"),0)</f>
        <v>28.26923076923077</v>
      </c>
      <c r="M79">
        <f>IFERROR(SUMIFS(INDEX($B$5:$CW$56,MATCH(M$75,$A$5:$A$56,0),1):INDEX($B$5:$CW$56,MATCH(M$75,$A$5:$A$56,0),100),$B62:$CW62,"="&amp;"x",$B$3:$CW$3,"="&amp;"N"),0)</f>
        <v>28.26923076923077</v>
      </c>
      <c r="N79">
        <f>IFERROR(SUMIFS(INDEX($B$5:$CW$56,MATCH(N$75,$A$5:$A$56,0),1):INDEX($B$5:$CW$56,MATCH(N$75,$A$5:$A$56,0),100),$B62:$CW62,"="&amp;"x",$B$3:$CW$3,"="&amp;"N"),0)</f>
        <v>28.26923076923077</v>
      </c>
      <c r="O79">
        <f>IFERROR(SUMIFS(INDEX($B$5:$CW$56,MATCH(O$75,$A$5:$A$56,0),1):INDEX($B$5:$CW$56,MATCH(O$75,$A$5:$A$56,0),100),$B62:$CW62,"="&amp;"x",$B$3:$CW$3,"="&amp;"N"),0)</f>
        <v>28.26923076923077</v>
      </c>
      <c r="P79">
        <f>IFERROR(SUMIFS(INDEX($B$5:$CW$56,MATCH(P$75,$A$5:$A$56,0),1):INDEX($B$5:$CW$56,MATCH(P$75,$A$5:$A$56,0),100),$B62:$CW62,"="&amp;"x",$B$3:$CW$3,"="&amp;"N"),0)</f>
        <v>28.26923076923077</v>
      </c>
      <c r="Q79">
        <f>IFERROR(SUMIFS(INDEX($B$5:$CW$56,MATCH(Q$75,$A$5:$A$56,0),1):INDEX($B$5:$CW$56,MATCH(Q$75,$A$5:$A$56,0),100),$B62:$CW62,"="&amp;"x",$B$3:$CW$3,"="&amp;"N"),0)</f>
        <v>28.26923076923077</v>
      </c>
      <c r="R79">
        <f>IFERROR(SUMIFS(INDEX($B$5:$CW$56,MATCH(R$75,$A$5:$A$56,0),1):INDEX($B$5:$CW$56,MATCH(R$75,$A$5:$A$56,0),100),$B62:$CW62,"="&amp;"x",$B$3:$CW$3,"="&amp;"N"),0)</f>
        <v>28.26923076923077</v>
      </c>
      <c r="S79">
        <f>IFERROR(SUMIFS(INDEX($B$5:$CW$56,MATCH(S$75,$A$5:$A$56,0),1):INDEX($B$5:$CW$56,MATCH(S$75,$A$5:$A$56,0),100),$B62:$CW62,"="&amp;"x",$B$3:$CW$3,"="&amp;"N"),0)</f>
        <v>28.26923076923077</v>
      </c>
      <c r="T79">
        <f>IFERROR(SUMIFS(INDEX($B$5:$CW$56,MATCH(T$75,$A$5:$A$56,0),1):INDEX($B$5:$CW$56,MATCH(T$75,$A$5:$A$56,0),100),$B62:$CW62,"="&amp;"x",$B$3:$CW$3,"="&amp;"N"),0)</f>
        <v>28.26923076923077</v>
      </c>
      <c r="U79">
        <f>IFERROR(SUMIFS(INDEX($B$5:$CW$56,MATCH(U$75,$A$5:$A$56,0),1):INDEX($B$5:$CW$56,MATCH(U$75,$A$5:$A$56,0),100),$B62:$CW62,"="&amp;"x",$B$3:$CW$3,"="&amp;"N"),0)</f>
        <v>28.26923076923077</v>
      </c>
      <c r="V79">
        <f>IFERROR(SUMIFS(INDEX($B$5:$CW$56,MATCH(V$75,$A$5:$A$56,0),1):INDEX($B$5:$CW$56,MATCH(V$75,$A$5:$A$56,0),100),$B62:$CW62,"="&amp;"x",$B$3:$CW$3,"="&amp;"N"),0)</f>
        <v>28.26923076923077</v>
      </c>
      <c r="W79">
        <f>IFERROR(SUMIFS(INDEX($B$5:$CW$56,MATCH(W$75,$A$5:$A$56,0),1):INDEX($B$5:$CW$56,MATCH(W$75,$A$5:$A$56,0),100),$B62:$CW62,"="&amp;"x",$B$3:$CW$3,"="&amp;"N"),0)</f>
        <v>28.26923076923077</v>
      </c>
      <c r="X79">
        <f>IFERROR(SUMIFS(INDEX($B$5:$CW$56,MATCH(X$75,$A$5:$A$56,0),1):INDEX($B$5:$CW$56,MATCH(X$75,$A$5:$A$56,0),100),$B62:$CW62,"="&amp;"x",$B$3:$CW$3,"="&amp;"N"),0)</f>
        <v>28.26923076923077</v>
      </c>
      <c r="Y79">
        <f>IFERROR(SUMIFS(INDEX($B$5:$CW$56,MATCH(Y$75,$A$5:$A$56,0),1):INDEX($B$5:$CW$56,MATCH(Y$75,$A$5:$A$56,0),100),$B62:$CW62,"="&amp;"x",$B$3:$CW$3,"="&amp;"N"),0)</f>
        <v>28.26923076923077</v>
      </c>
      <c r="Z79">
        <f>IFERROR(SUMIFS(INDEX($B$5:$CW$56,MATCH(Z$75,$A$5:$A$56,0),1):INDEX($B$5:$CW$56,MATCH(Z$75,$A$5:$A$56,0),100),$B62:$CW62,"="&amp;"x",$B$3:$CW$3,"="&amp;"N"),0)</f>
        <v>28.26923076923077</v>
      </c>
      <c r="AA79">
        <f>IFERROR(SUMIFS(INDEX($B$5:$CW$56,MATCH(AA$75,$A$5:$A$56,0),1):INDEX($B$5:$CW$56,MATCH(AA$75,$A$5:$A$56,0),100),$B62:$CW62,"="&amp;"x",$B$3:$CW$3,"="&amp;"N"),0)</f>
        <v>28.26923076923077</v>
      </c>
      <c r="AB79">
        <f>IFERROR(SUMIFS(INDEX($B$5:$CW$56,MATCH(AB$75,$A$5:$A$56,0),1):INDEX($B$5:$CW$56,MATCH(AB$75,$A$5:$A$56,0),100),$B62:$CW62,"="&amp;"x",$B$3:$CW$3,"="&amp;"N"),0)</f>
        <v>28.26923076923077</v>
      </c>
      <c r="AC79">
        <f>IFERROR(SUMIFS(INDEX($B$5:$CW$56,MATCH(AC$75,$A$5:$A$56,0),1):INDEX($B$5:$CW$56,MATCH(AC$75,$A$5:$A$56,0),100),$B62:$CW62,"="&amp;"x",$B$3:$CW$3,"="&amp;"N"),0)</f>
        <v>28.26923076923077</v>
      </c>
      <c r="AD79">
        <f>IFERROR(SUMIFS(INDEX($B$5:$CW$56,MATCH(AD$75,$A$5:$A$56,0),1):INDEX($B$5:$CW$56,MATCH(AD$75,$A$5:$A$56,0),100),$B62:$CW62,"="&amp;"x",$B$3:$CW$3,"="&amp;"N"),0)</f>
        <v>28.26923076923077</v>
      </c>
      <c r="AE79">
        <f>IFERROR(SUMIFS(INDEX($B$5:$CW$56,MATCH(AE$75,$A$5:$A$56,0),1):INDEX($B$5:$CW$56,MATCH(AE$75,$A$5:$A$56,0),100),$B62:$CW62,"="&amp;"x",$B$3:$CW$3,"="&amp;"N"),0)</f>
        <v>28.26923076923077</v>
      </c>
      <c r="AF79">
        <f>IFERROR(SUMIFS(INDEX($B$5:$CW$56,MATCH(AF$75,$A$5:$A$56,0),1):INDEX($B$5:$CW$56,MATCH(AF$75,$A$5:$A$56,0),100),$B62:$CW62,"="&amp;"x",$B$3:$CW$3,"="&amp;"N"),0)</f>
        <v>28.26923076923077</v>
      </c>
      <c r="AG79">
        <f>IFERROR(SUMIFS(INDEX($B$5:$CW$56,MATCH(AG$75,$A$5:$A$56,0),1):INDEX($B$5:$CW$56,MATCH(AG$75,$A$5:$A$56,0),100),$B62:$CW62,"="&amp;"x",$B$3:$CW$3,"="&amp;"N"),0)</f>
        <v>28.26923076923077</v>
      </c>
      <c r="AH79">
        <f>IFERROR(SUMIFS(INDEX($B$5:$CW$56,MATCH(AH$75,$A$5:$A$56,0),1):INDEX($B$5:$CW$56,MATCH(AH$75,$A$5:$A$56,0),100),$B62:$CW62,"="&amp;"x",$B$3:$CW$3,"="&amp;"N"),0)</f>
        <v>28.26923076923077</v>
      </c>
      <c r="AI79">
        <f>IFERROR(SUMIFS(INDEX($B$5:$CW$56,MATCH(AI$75,$A$5:$A$56,0),1):INDEX($B$5:$CW$56,MATCH(AI$75,$A$5:$A$56,0),100),$B62:$CW62,"="&amp;"x",$B$3:$CW$3,"="&amp;"N"),0)</f>
        <v>28.26923076923077</v>
      </c>
      <c r="AJ79">
        <f>IFERROR(SUMIFS(INDEX($B$5:$CW$56,MATCH(AJ$75,$A$5:$A$56,0),1):INDEX($B$5:$CW$56,MATCH(AJ$75,$A$5:$A$56,0),100),$B62:$CW62,"="&amp;"x",$B$3:$CW$3,"="&amp;"N"),0)</f>
        <v>28.26923076923077</v>
      </c>
      <c r="AK79">
        <f>IFERROR(SUMIFS(INDEX($B$5:$CW$56,MATCH(AK$75,$A$5:$A$56,0),1):INDEX($B$5:$CW$56,MATCH(AK$75,$A$5:$A$56,0),100),$B62:$CW62,"="&amp;"x",$B$3:$CW$3,"="&amp;"N"),0)</f>
        <v>28.26923076923077</v>
      </c>
      <c r="AL79">
        <f>IFERROR(SUMIFS(INDEX($B$5:$CW$56,MATCH(AL$75,$A$5:$A$56,0),1):INDEX($B$5:$CW$56,MATCH(AL$75,$A$5:$A$56,0),100),$B62:$CW62,"="&amp;"x",$B$3:$CW$3,"="&amp;"N"),0)</f>
        <v>28.26923076923077</v>
      </c>
      <c r="AM79">
        <f>IFERROR(SUMIFS(INDEX($B$5:$CW$56,MATCH(AM$75,$A$5:$A$56,0),1):INDEX($B$5:$CW$56,MATCH(AM$75,$A$5:$A$56,0),100),$B62:$CW62,"="&amp;"x",$B$3:$CW$3,"="&amp;"N"),0)</f>
        <v>28.26923076923077</v>
      </c>
      <c r="AN79">
        <f>IFERROR(SUMIFS(INDEX($B$5:$CW$56,MATCH(AN$75,$A$5:$A$56,0),1):INDEX($B$5:$CW$56,MATCH(AN$75,$A$5:$A$56,0),100),$B62:$CW62,"="&amp;"x",$B$3:$CW$3,"="&amp;"N"),0)</f>
        <v>28.26923076923077</v>
      </c>
      <c r="AO79">
        <f>IFERROR(SUMIFS(INDEX($B$5:$CW$56,MATCH(AO$75,$A$5:$A$56,0),1):INDEX($B$5:$CW$56,MATCH(AO$75,$A$5:$A$56,0),100),$B62:$CW62,"="&amp;"x",$B$3:$CW$3,"="&amp;"N"),0)</f>
        <v>28.26923076923077</v>
      </c>
      <c r="AP79">
        <f>IFERROR(SUMIFS(INDEX($B$5:$CW$56,MATCH(AP$75,$A$5:$A$56,0),1):INDEX($B$5:$CW$56,MATCH(AP$75,$A$5:$A$56,0),100),$B62:$CW62,"="&amp;"x",$B$3:$CW$3,"="&amp;"N"),0)</f>
        <v>28.26923076923077</v>
      </c>
      <c r="AQ79">
        <f>IFERROR(SUMIFS(INDEX($B$5:$CW$56,MATCH(AQ$75,$A$5:$A$56,0),1):INDEX($B$5:$CW$56,MATCH(AQ$75,$A$5:$A$56,0),100),$B62:$CW62,"="&amp;"x",$B$3:$CW$3,"="&amp;"N"),0)</f>
        <v>28.26923076923077</v>
      </c>
      <c r="AR79">
        <f>IFERROR(SUMIFS(INDEX($B$5:$CW$56,MATCH(AR$75,$A$5:$A$56,0),1):INDEX($B$5:$CW$56,MATCH(AR$75,$A$5:$A$56,0),100),$B62:$CW62,"="&amp;"x",$B$3:$CW$3,"="&amp;"N"),0)</f>
        <v>28.26923076923077</v>
      </c>
      <c r="AS79">
        <f>IFERROR(SUMIFS(INDEX($B$5:$CW$56,MATCH(AS$75,$A$5:$A$56,0),1):INDEX($B$5:$CW$56,MATCH(AS$75,$A$5:$A$56,0),100),$B62:$CW62,"="&amp;"x",$B$3:$CW$3,"="&amp;"N"),0)</f>
        <v>28.26923076923077</v>
      </c>
      <c r="AT79">
        <f>IFERROR(SUMIFS(INDEX($B$5:$CW$56,MATCH(AT$75,$A$5:$A$56,0),1):INDEX($B$5:$CW$56,MATCH(AT$75,$A$5:$A$56,0),100),$B62:$CW62,"="&amp;"x",$B$3:$CW$3,"="&amp;"N"),0)</f>
        <v>28.26923076923077</v>
      </c>
      <c r="AU79">
        <f>IFERROR(SUMIFS(INDEX($B$5:$CW$56,MATCH(AU$75,$A$5:$A$56,0),1):INDEX($B$5:$CW$56,MATCH(AU$75,$A$5:$A$56,0),100),$B62:$CW62,"="&amp;"x",$B$3:$CW$3,"="&amp;"N"),0)</f>
        <v>28.26923076923077</v>
      </c>
      <c r="AV79">
        <f>IFERROR(SUMIFS(INDEX($B$5:$CW$56,MATCH(AV$75,$A$5:$A$56,0),1):INDEX($B$5:$CW$56,MATCH(AV$75,$A$5:$A$56,0),100),$B62:$CW62,"="&amp;"x",$B$3:$CW$3,"="&amp;"N"),0)</f>
        <v>28.26923076923077</v>
      </c>
      <c r="AW79">
        <f>IFERROR(SUMIFS(INDEX($B$5:$CW$56,MATCH(AW$75,$A$5:$A$56,0),1):INDEX($B$5:$CW$56,MATCH(AW$75,$A$5:$A$56,0),100),$B62:$CW62,"="&amp;"x",$B$3:$CW$3,"="&amp;"N"),0)</f>
        <v>28.26923076923077</v>
      </c>
      <c r="AX79">
        <f>IFERROR(SUMIFS(INDEX($B$5:$CW$56,MATCH(AX$75,$A$5:$A$56,0),1):INDEX($B$5:$CW$56,MATCH(AX$75,$A$5:$A$56,0),100),$B62:$CW62,"="&amp;"x",$B$3:$CW$3,"="&amp;"N"),0)</f>
        <v>28.26923076923077</v>
      </c>
      <c r="AY79">
        <f>IFERROR(SUMIFS(INDEX($B$5:$CW$56,MATCH(AY$75,$A$5:$A$56,0),1):INDEX($B$5:$CW$56,MATCH(AY$75,$A$5:$A$56,0),100),$B62:$CW62,"="&amp;"x",$B$3:$CW$3,"="&amp;"N"),0)</f>
        <v>28.26923076923077</v>
      </c>
      <c r="AZ79">
        <f>IFERROR(SUMIFS(INDEX($B$5:$CW$56,MATCH(AZ$75,$A$5:$A$56,0),1):INDEX($B$5:$CW$56,MATCH(AZ$75,$A$5:$A$56,0),100),$B62:$CW62,"="&amp;"x",$B$3:$CW$3,"="&amp;"N"),0)</f>
        <v>28.26923076923077</v>
      </c>
      <c r="BA79">
        <f>IFERROR(SUMIFS(INDEX($B$5:$CW$56,MATCH(BA$75,$A$5:$A$56,0),1):INDEX($B$5:$CW$56,MATCH(BA$75,$A$5:$A$56,0),100),$B62:$CW62,"="&amp;"x",$B$3:$CW$3,"="&amp;"N"),0)</f>
        <v>28.26923076923077</v>
      </c>
      <c r="BC79">
        <f t="shared" si="0"/>
        <v>28.269230769230738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28.26923076923077</v>
      </c>
      <c r="C80">
        <f>IFERROR(SUMIFS(INDEX($B$5:$CW$56,MATCH(C$75,$A$5:$A$56,0),1):INDEX($B$5:$CW$56,MATCH(C$75,$A$5:$A$56,0),100),$B63:$CW63,"="&amp;"x",$B$3:$CW$3,"="&amp;"N"),0)</f>
        <v>28.26923076923077</v>
      </c>
      <c r="D80">
        <f>IFERROR(SUMIFS(INDEX($B$5:$CW$56,MATCH(D$75,$A$5:$A$56,0),1):INDEX($B$5:$CW$56,MATCH(D$75,$A$5:$A$56,0),100),$B63:$CW63,"="&amp;"x",$B$3:$CW$3,"="&amp;"N"),0)</f>
        <v>28.26923076923077</v>
      </c>
      <c r="E80">
        <f>IFERROR(SUMIFS(INDEX($B$5:$CW$56,MATCH(E$75,$A$5:$A$56,0),1):INDEX($B$5:$CW$56,MATCH(E$75,$A$5:$A$56,0),100),$B63:$CW63,"="&amp;"x",$B$3:$CW$3,"="&amp;"N"),0)</f>
        <v>28.26923076923077</v>
      </c>
      <c r="F80">
        <f>IFERROR(SUMIFS(INDEX($B$5:$CW$56,MATCH(F$75,$A$5:$A$56,0),1):INDEX($B$5:$CW$56,MATCH(F$75,$A$5:$A$56,0),100),$B63:$CW63,"="&amp;"x",$B$3:$CW$3,"="&amp;"N"),0)</f>
        <v>28.26923076923077</v>
      </c>
      <c r="G80">
        <f>IFERROR(SUMIFS(INDEX($B$5:$CW$56,MATCH(G$75,$A$5:$A$56,0),1):INDEX($B$5:$CW$56,MATCH(G$75,$A$5:$A$56,0),100),$B63:$CW63,"="&amp;"x",$B$3:$CW$3,"="&amp;"N"),0)</f>
        <v>28.26923076923077</v>
      </c>
      <c r="H80">
        <f>IFERROR(SUMIFS(INDEX($B$5:$CW$56,MATCH(H$75,$A$5:$A$56,0),1):INDEX($B$5:$CW$56,MATCH(H$75,$A$5:$A$56,0),100),$B63:$CW63,"="&amp;"x",$B$3:$CW$3,"="&amp;"N"),0)</f>
        <v>28.26923076923077</v>
      </c>
      <c r="I80">
        <f>IFERROR(SUMIFS(INDEX($B$5:$CW$56,MATCH(I$75,$A$5:$A$56,0),1):INDEX($B$5:$CW$56,MATCH(I$75,$A$5:$A$56,0),100),$B63:$CW63,"="&amp;"x",$B$3:$CW$3,"="&amp;"N"),0)</f>
        <v>28.26923076923077</v>
      </c>
      <c r="J80">
        <f>IFERROR(SUMIFS(INDEX($B$5:$CW$56,MATCH(J$75,$A$5:$A$56,0),1):INDEX($B$5:$CW$56,MATCH(J$75,$A$5:$A$56,0),100),$B63:$CW63,"="&amp;"x",$B$3:$CW$3,"="&amp;"N"),0)</f>
        <v>28.26923076923077</v>
      </c>
      <c r="K80">
        <f>IFERROR(SUMIFS(INDEX($B$5:$CW$56,MATCH(K$75,$A$5:$A$56,0),1):INDEX($B$5:$CW$56,MATCH(K$75,$A$5:$A$56,0),100),$B63:$CW63,"="&amp;"x",$B$3:$CW$3,"="&amp;"N"),0)</f>
        <v>28.26923076923077</v>
      </c>
      <c r="L80">
        <f>IFERROR(SUMIFS(INDEX($B$5:$CW$56,MATCH(L$75,$A$5:$A$56,0),1):INDEX($B$5:$CW$56,MATCH(L$75,$A$5:$A$56,0),100),$B63:$CW63,"="&amp;"x",$B$3:$CW$3,"="&amp;"N"),0)</f>
        <v>28.26923076923077</v>
      </c>
      <c r="M80">
        <f>IFERROR(SUMIFS(INDEX($B$5:$CW$56,MATCH(M$75,$A$5:$A$56,0),1):INDEX($B$5:$CW$56,MATCH(M$75,$A$5:$A$56,0),100),$B63:$CW63,"="&amp;"x",$B$3:$CW$3,"="&amp;"N"),0)</f>
        <v>28.26923076923077</v>
      </c>
      <c r="N80">
        <f>IFERROR(SUMIFS(INDEX($B$5:$CW$56,MATCH(N$75,$A$5:$A$56,0),1):INDEX($B$5:$CW$56,MATCH(N$75,$A$5:$A$56,0),100),$B63:$CW63,"="&amp;"x",$B$3:$CW$3,"="&amp;"N"),0)</f>
        <v>28.26923076923077</v>
      </c>
      <c r="O80">
        <f>IFERROR(SUMIFS(INDEX($B$5:$CW$56,MATCH(O$75,$A$5:$A$56,0),1):INDEX($B$5:$CW$56,MATCH(O$75,$A$5:$A$56,0),100),$B63:$CW63,"="&amp;"x",$B$3:$CW$3,"="&amp;"N"),0)</f>
        <v>28.26923076923077</v>
      </c>
      <c r="P80">
        <f>IFERROR(SUMIFS(INDEX($B$5:$CW$56,MATCH(P$75,$A$5:$A$56,0),1):INDEX($B$5:$CW$56,MATCH(P$75,$A$5:$A$56,0),100),$B63:$CW63,"="&amp;"x",$B$3:$CW$3,"="&amp;"N"),0)</f>
        <v>28.26923076923077</v>
      </c>
      <c r="Q80">
        <f>IFERROR(SUMIFS(INDEX($B$5:$CW$56,MATCH(Q$75,$A$5:$A$56,0),1):INDEX($B$5:$CW$56,MATCH(Q$75,$A$5:$A$56,0),100),$B63:$CW63,"="&amp;"x",$B$3:$CW$3,"="&amp;"N"),0)</f>
        <v>28.26923076923077</v>
      </c>
      <c r="R80">
        <f>IFERROR(SUMIFS(INDEX($B$5:$CW$56,MATCH(R$75,$A$5:$A$56,0),1):INDEX($B$5:$CW$56,MATCH(R$75,$A$5:$A$56,0),100),$B63:$CW63,"="&amp;"x",$B$3:$CW$3,"="&amp;"N"),0)</f>
        <v>28.26923076923077</v>
      </c>
      <c r="S80">
        <f>IFERROR(SUMIFS(INDEX($B$5:$CW$56,MATCH(S$75,$A$5:$A$56,0),1):INDEX($B$5:$CW$56,MATCH(S$75,$A$5:$A$56,0),100),$B63:$CW63,"="&amp;"x",$B$3:$CW$3,"="&amp;"N"),0)</f>
        <v>28.26923076923077</v>
      </c>
      <c r="T80">
        <f>IFERROR(SUMIFS(INDEX($B$5:$CW$56,MATCH(T$75,$A$5:$A$56,0),1):INDEX($B$5:$CW$56,MATCH(T$75,$A$5:$A$56,0),100),$B63:$CW63,"="&amp;"x",$B$3:$CW$3,"="&amp;"N"),0)</f>
        <v>28.26923076923077</v>
      </c>
      <c r="U80">
        <f>IFERROR(SUMIFS(INDEX($B$5:$CW$56,MATCH(U$75,$A$5:$A$56,0),1):INDEX($B$5:$CW$56,MATCH(U$75,$A$5:$A$56,0),100),$B63:$CW63,"="&amp;"x",$B$3:$CW$3,"="&amp;"N"),0)</f>
        <v>28.26923076923077</v>
      </c>
      <c r="V80">
        <f>IFERROR(SUMIFS(INDEX($B$5:$CW$56,MATCH(V$75,$A$5:$A$56,0),1):INDEX($B$5:$CW$56,MATCH(V$75,$A$5:$A$56,0),100),$B63:$CW63,"="&amp;"x",$B$3:$CW$3,"="&amp;"N"),0)</f>
        <v>28.26923076923077</v>
      </c>
      <c r="W80">
        <f>IFERROR(SUMIFS(INDEX($B$5:$CW$56,MATCH(W$75,$A$5:$A$56,0),1):INDEX($B$5:$CW$56,MATCH(W$75,$A$5:$A$56,0),100),$B63:$CW63,"="&amp;"x",$B$3:$CW$3,"="&amp;"N"),0)</f>
        <v>28.26923076923077</v>
      </c>
      <c r="X80">
        <f>IFERROR(SUMIFS(INDEX($B$5:$CW$56,MATCH(X$75,$A$5:$A$56,0),1):INDEX($B$5:$CW$56,MATCH(X$75,$A$5:$A$56,0),100),$B63:$CW63,"="&amp;"x",$B$3:$CW$3,"="&amp;"N"),0)</f>
        <v>28.26923076923077</v>
      </c>
      <c r="Y80">
        <f>IFERROR(SUMIFS(INDEX($B$5:$CW$56,MATCH(Y$75,$A$5:$A$56,0),1):INDEX($B$5:$CW$56,MATCH(Y$75,$A$5:$A$56,0),100),$B63:$CW63,"="&amp;"x",$B$3:$CW$3,"="&amp;"N"),0)</f>
        <v>28.26923076923077</v>
      </c>
      <c r="Z80">
        <f>IFERROR(SUMIFS(INDEX($B$5:$CW$56,MATCH(Z$75,$A$5:$A$56,0),1):INDEX($B$5:$CW$56,MATCH(Z$75,$A$5:$A$56,0),100),$B63:$CW63,"="&amp;"x",$B$3:$CW$3,"="&amp;"N"),0)</f>
        <v>28.26923076923077</v>
      </c>
      <c r="AA80">
        <f>IFERROR(SUMIFS(INDEX($B$5:$CW$56,MATCH(AA$75,$A$5:$A$56,0),1):INDEX($B$5:$CW$56,MATCH(AA$75,$A$5:$A$56,0),100),$B63:$CW63,"="&amp;"x",$B$3:$CW$3,"="&amp;"N"),0)</f>
        <v>28.26923076923077</v>
      </c>
      <c r="AB80">
        <f>IFERROR(SUMIFS(INDEX($B$5:$CW$56,MATCH(AB$75,$A$5:$A$56,0),1):INDEX($B$5:$CW$56,MATCH(AB$75,$A$5:$A$56,0),100),$B63:$CW63,"="&amp;"x",$B$3:$CW$3,"="&amp;"N"),0)</f>
        <v>28.26923076923077</v>
      </c>
      <c r="AC80">
        <f>IFERROR(SUMIFS(INDEX($B$5:$CW$56,MATCH(AC$75,$A$5:$A$56,0),1):INDEX($B$5:$CW$56,MATCH(AC$75,$A$5:$A$56,0),100),$B63:$CW63,"="&amp;"x",$B$3:$CW$3,"="&amp;"N"),0)</f>
        <v>28.26923076923077</v>
      </c>
      <c r="AD80">
        <f>IFERROR(SUMIFS(INDEX($B$5:$CW$56,MATCH(AD$75,$A$5:$A$56,0),1):INDEX($B$5:$CW$56,MATCH(AD$75,$A$5:$A$56,0),100),$B63:$CW63,"="&amp;"x",$B$3:$CW$3,"="&amp;"N"),0)</f>
        <v>28.26923076923077</v>
      </c>
      <c r="AE80">
        <f>IFERROR(SUMIFS(INDEX($B$5:$CW$56,MATCH(AE$75,$A$5:$A$56,0),1):INDEX($B$5:$CW$56,MATCH(AE$75,$A$5:$A$56,0),100),$B63:$CW63,"="&amp;"x",$B$3:$CW$3,"="&amp;"N"),0)</f>
        <v>28.26923076923077</v>
      </c>
      <c r="AF80">
        <f>IFERROR(SUMIFS(INDEX($B$5:$CW$56,MATCH(AF$75,$A$5:$A$56,0),1):INDEX($B$5:$CW$56,MATCH(AF$75,$A$5:$A$56,0),100),$B63:$CW63,"="&amp;"x",$B$3:$CW$3,"="&amp;"N"),0)</f>
        <v>28.26923076923077</v>
      </c>
      <c r="AG80">
        <f>IFERROR(SUMIFS(INDEX($B$5:$CW$56,MATCH(AG$75,$A$5:$A$56,0),1):INDEX($B$5:$CW$56,MATCH(AG$75,$A$5:$A$56,0),100),$B63:$CW63,"="&amp;"x",$B$3:$CW$3,"="&amp;"N"),0)</f>
        <v>28.26923076923077</v>
      </c>
      <c r="AH80">
        <f>IFERROR(SUMIFS(INDEX($B$5:$CW$56,MATCH(AH$75,$A$5:$A$56,0),1):INDEX($B$5:$CW$56,MATCH(AH$75,$A$5:$A$56,0),100),$B63:$CW63,"="&amp;"x",$B$3:$CW$3,"="&amp;"N"),0)</f>
        <v>28.26923076923077</v>
      </c>
      <c r="AI80">
        <f>IFERROR(SUMIFS(INDEX($B$5:$CW$56,MATCH(AI$75,$A$5:$A$56,0),1):INDEX($B$5:$CW$56,MATCH(AI$75,$A$5:$A$56,0),100),$B63:$CW63,"="&amp;"x",$B$3:$CW$3,"="&amp;"N"),0)</f>
        <v>28.26923076923077</v>
      </c>
      <c r="AJ80">
        <f>IFERROR(SUMIFS(INDEX($B$5:$CW$56,MATCH(AJ$75,$A$5:$A$56,0),1):INDEX($B$5:$CW$56,MATCH(AJ$75,$A$5:$A$56,0),100),$B63:$CW63,"="&amp;"x",$B$3:$CW$3,"="&amp;"N"),0)</f>
        <v>28.26923076923077</v>
      </c>
      <c r="AK80">
        <f>IFERROR(SUMIFS(INDEX($B$5:$CW$56,MATCH(AK$75,$A$5:$A$56,0),1):INDEX($B$5:$CW$56,MATCH(AK$75,$A$5:$A$56,0),100),$B63:$CW63,"="&amp;"x",$B$3:$CW$3,"="&amp;"N"),0)</f>
        <v>28.26923076923077</v>
      </c>
      <c r="AL80">
        <f>IFERROR(SUMIFS(INDEX($B$5:$CW$56,MATCH(AL$75,$A$5:$A$56,0),1):INDEX($B$5:$CW$56,MATCH(AL$75,$A$5:$A$56,0),100),$B63:$CW63,"="&amp;"x",$B$3:$CW$3,"="&amp;"N"),0)</f>
        <v>28.26923076923077</v>
      </c>
      <c r="AM80">
        <f>IFERROR(SUMIFS(INDEX($B$5:$CW$56,MATCH(AM$75,$A$5:$A$56,0),1):INDEX($B$5:$CW$56,MATCH(AM$75,$A$5:$A$56,0),100),$B63:$CW63,"="&amp;"x",$B$3:$CW$3,"="&amp;"N"),0)</f>
        <v>28.26923076923077</v>
      </c>
      <c r="AN80">
        <f>IFERROR(SUMIFS(INDEX($B$5:$CW$56,MATCH(AN$75,$A$5:$A$56,0),1):INDEX($B$5:$CW$56,MATCH(AN$75,$A$5:$A$56,0),100),$B63:$CW63,"="&amp;"x",$B$3:$CW$3,"="&amp;"N"),0)</f>
        <v>28.26923076923077</v>
      </c>
      <c r="AO80">
        <f>IFERROR(SUMIFS(INDEX($B$5:$CW$56,MATCH(AO$75,$A$5:$A$56,0),1):INDEX($B$5:$CW$56,MATCH(AO$75,$A$5:$A$56,0),100),$B63:$CW63,"="&amp;"x",$B$3:$CW$3,"="&amp;"N"),0)</f>
        <v>28.26923076923077</v>
      </c>
      <c r="AP80">
        <f>IFERROR(SUMIFS(INDEX($B$5:$CW$56,MATCH(AP$75,$A$5:$A$56,0),1):INDEX($B$5:$CW$56,MATCH(AP$75,$A$5:$A$56,0),100),$B63:$CW63,"="&amp;"x",$B$3:$CW$3,"="&amp;"N"),0)</f>
        <v>28.26923076923077</v>
      </c>
      <c r="AQ80">
        <f>IFERROR(SUMIFS(INDEX($B$5:$CW$56,MATCH(AQ$75,$A$5:$A$56,0),1):INDEX($B$5:$CW$56,MATCH(AQ$75,$A$5:$A$56,0),100),$B63:$CW63,"="&amp;"x",$B$3:$CW$3,"="&amp;"N"),0)</f>
        <v>28.26923076923077</v>
      </c>
      <c r="AR80">
        <f>IFERROR(SUMIFS(INDEX($B$5:$CW$56,MATCH(AR$75,$A$5:$A$56,0),1):INDEX($B$5:$CW$56,MATCH(AR$75,$A$5:$A$56,0),100),$B63:$CW63,"="&amp;"x",$B$3:$CW$3,"="&amp;"N"),0)</f>
        <v>28.26923076923077</v>
      </c>
      <c r="AS80">
        <f>IFERROR(SUMIFS(INDEX($B$5:$CW$56,MATCH(AS$75,$A$5:$A$56,0),1):INDEX($B$5:$CW$56,MATCH(AS$75,$A$5:$A$56,0),100),$B63:$CW63,"="&amp;"x",$B$3:$CW$3,"="&amp;"N"),0)</f>
        <v>28.26923076923077</v>
      </c>
      <c r="AT80">
        <f>IFERROR(SUMIFS(INDEX($B$5:$CW$56,MATCH(AT$75,$A$5:$A$56,0),1):INDEX($B$5:$CW$56,MATCH(AT$75,$A$5:$A$56,0),100),$B63:$CW63,"="&amp;"x",$B$3:$CW$3,"="&amp;"N"),0)</f>
        <v>28.26923076923077</v>
      </c>
      <c r="AU80">
        <f>IFERROR(SUMIFS(INDEX($B$5:$CW$56,MATCH(AU$75,$A$5:$A$56,0),1):INDEX($B$5:$CW$56,MATCH(AU$75,$A$5:$A$56,0),100),$B63:$CW63,"="&amp;"x",$B$3:$CW$3,"="&amp;"N"),0)</f>
        <v>28.26923076923077</v>
      </c>
      <c r="AV80">
        <f>IFERROR(SUMIFS(INDEX($B$5:$CW$56,MATCH(AV$75,$A$5:$A$56,0),1):INDEX($B$5:$CW$56,MATCH(AV$75,$A$5:$A$56,0),100),$B63:$CW63,"="&amp;"x",$B$3:$CW$3,"="&amp;"N"),0)</f>
        <v>28.26923076923077</v>
      </c>
      <c r="AW80">
        <f>IFERROR(SUMIFS(INDEX($B$5:$CW$56,MATCH(AW$75,$A$5:$A$56,0),1):INDEX($B$5:$CW$56,MATCH(AW$75,$A$5:$A$56,0),100),$B63:$CW63,"="&amp;"x",$B$3:$CW$3,"="&amp;"N"),0)</f>
        <v>28.26923076923077</v>
      </c>
      <c r="AX80">
        <f>IFERROR(SUMIFS(INDEX($B$5:$CW$56,MATCH(AX$75,$A$5:$A$56,0),1):INDEX($B$5:$CW$56,MATCH(AX$75,$A$5:$A$56,0),100),$B63:$CW63,"="&amp;"x",$B$3:$CW$3,"="&amp;"N"),0)</f>
        <v>28.26923076923077</v>
      </c>
      <c r="AY80">
        <f>IFERROR(SUMIFS(INDEX($B$5:$CW$56,MATCH(AY$75,$A$5:$A$56,0),1):INDEX($B$5:$CW$56,MATCH(AY$75,$A$5:$A$56,0),100),$B63:$CW63,"="&amp;"x",$B$3:$CW$3,"="&amp;"N"),0)</f>
        <v>28.26923076923077</v>
      </c>
      <c r="AZ80">
        <f>IFERROR(SUMIFS(INDEX($B$5:$CW$56,MATCH(AZ$75,$A$5:$A$56,0),1):INDEX($B$5:$CW$56,MATCH(AZ$75,$A$5:$A$56,0),100),$B63:$CW63,"="&amp;"x",$B$3:$CW$3,"="&amp;"N"),0)</f>
        <v>28.26923076923077</v>
      </c>
      <c r="BA80">
        <f>IFERROR(SUMIFS(INDEX($B$5:$CW$56,MATCH(BA$75,$A$5:$A$56,0),1):INDEX($B$5:$CW$56,MATCH(BA$75,$A$5:$A$56,0),100),$B63:$CW63,"="&amp;"x",$B$3:$CW$3,"="&amp;"N"),0)</f>
        <v>28.26923076923077</v>
      </c>
      <c r="BC80">
        <f t="shared" si="0"/>
        <v>28.269230769230738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Caseloads</v>
      </c>
      <c r="B91">
        <f>SUM(B76:B90)</f>
        <v>56.53846153846154</v>
      </c>
      <c r="C91">
        <f t="shared" ref="C91:BA91" si="1">SUM(C76:C90)</f>
        <v>56.53846153846154</v>
      </c>
      <c r="D91">
        <f t="shared" si="1"/>
        <v>56.53846153846154</v>
      </c>
      <c r="E91">
        <f t="shared" si="1"/>
        <v>56.53846153846154</v>
      </c>
      <c r="F91">
        <f t="shared" si="1"/>
        <v>56.53846153846154</v>
      </c>
      <c r="G91">
        <f t="shared" si="1"/>
        <v>56.53846153846154</v>
      </c>
      <c r="H91">
        <f t="shared" si="1"/>
        <v>56.53846153846154</v>
      </c>
      <c r="I91">
        <f t="shared" si="1"/>
        <v>56.53846153846154</v>
      </c>
      <c r="J91">
        <f t="shared" si="1"/>
        <v>56.53846153846154</v>
      </c>
      <c r="K91">
        <f t="shared" si="1"/>
        <v>56.53846153846154</v>
      </c>
      <c r="L91">
        <f t="shared" si="1"/>
        <v>56.53846153846154</v>
      </c>
      <c r="M91">
        <f t="shared" si="1"/>
        <v>56.53846153846154</v>
      </c>
      <c r="N91">
        <f t="shared" si="1"/>
        <v>56.53846153846154</v>
      </c>
      <c r="O91">
        <f t="shared" si="1"/>
        <v>56.53846153846154</v>
      </c>
      <c r="P91">
        <f t="shared" si="1"/>
        <v>56.53846153846154</v>
      </c>
      <c r="Q91">
        <f t="shared" si="1"/>
        <v>56.53846153846154</v>
      </c>
      <c r="R91">
        <f t="shared" si="1"/>
        <v>56.53846153846154</v>
      </c>
      <c r="S91">
        <f t="shared" si="1"/>
        <v>56.53846153846154</v>
      </c>
      <c r="T91">
        <f t="shared" si="1"/>
        <v>56.53846153846154</v>
      </c>
      <c r="U91">
        <f t="shared" si="1"/>
        <v>56.53846153846154</v>
      </c>
      <c r="V91">
        <f t="shared" si="1"/>
        <v>56.53846153846154</v>
      </c>
      <c r="W91">
        <f t="shared" si="1"/>
        <v>56.53846153846154</v>
      </c>
      <c r="X91">
        <f t="shared" si="1"/>
        <v>56.53846153846154</v>
      </c>
      <c r="Y91">
        <f t="shared" si="1"/>
        <v>56.53846153846154</v>
      </c>
      <c r="Z91">
        <f t="shared" si="1"/>
        <v>56.53846153846154</v>
      </c>
      <c r="AA91">
        <f t="shared" si="1"/>
        <v>56.53846153846154</v>
      </c>
      <c r="AB91">
        <f t="shared" si="1"/>
        <v>56.53846153846154</v>
      </c>
      <c r="AC91">
        <f t="shared" si="1"/>
        <v>56.53846153846154</v>
      </c>
      <c r="AD91">
        <f t="shared" si="1"/>
        <v>56.53846153846154</v>
      </c>
      <c r="AE91">
        <f t="shared" si="1"/>
        <v>56.53846153846154</v>
      </c>
      <c r="AF91">
        <f t="shared" si="1"/>
        <v>56.53846153846154</v>
      </c>
      <c r="AG91">
        <f t="shared" si="1"/>
        <v>56.53846153846154</v>
      </c>
      <c r="AH91">
        <f t="shared" si="1"/>
        <v>56.53846153846154</v>
      </c>
      <c r="AI91">
        <f t="shared" si="1"/>
        <v>56.53846153846154</v>
      </c>
      <c r="AJ91">
        <f t="shared" si="1"/>
        <v>56.53846153846154</v>
      </c>
      <c r="AK91">
        <f t="shared" si="1"/>
        <v>56.53846153846154</v>
      </c>
      <c r="AL91">
        <f t="shared" si="1"/>
        <v>56.53846153846154</v>
      </c>
      <c r="AM91">
        <f t="shared" si="1"/>
        <v>56.53846153846154</v>
      </c>
      <c r="AN91">
        <f t="shared" si="1"/>
        <v>56.53846153846154</v>
      </c>
      <c r="AO91">
        <f t="shared" si="1"/>
        <v>56.53846153846154</v>
      </c>
      <c r="AP91">
        <f t="shared" si="1"/>
        <v>56.53846153846154</v>
      </c>
      <c r="AQ91">
        <f t="shared" si="1"/>
        <v>56.53846153846154</v>
      </c>
      <c r="AR91">
        <f t="shared" si="1"/>
        <v>56.53846153846154</v>
      </c>
      <c r="AS91">
        <f t="shared" si="1"/>
        <v>56.53846153846154</v>
      </c>
      <c r="AT91">
        <f t="shared" si="1"/>
        <v>56.53846153846154</v>
      </c>
      <c r="AU91">
        <f t="shared" si="1"/>
        <v>56.53846153846154</v>
      </c>
      <c r="AV91">
        <f t="shared" si="1"/>
        <v>56.53846153846154</v>
      </c>
      <c r="AW91">
        <f t="shared" si="1"/>
        <v>56.53846153846154</v>
      </c>
      <c r="AX91">
        <f t="shared" si="1"/>
        <v>56.53846153846154</v>
      </c>
      <c r="AY91">
        <f t="shared" si="1"/>
        <v>56.53846153846154</v>
      </c>
      <c r="AZ91">
        <f t="shared" si="1"/>
        <v>56.53846153846154</v>
      </c>
      <c r="BA91">
        <f t="shared" si="1"/>
        <v>56.53846153846154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20</v>
      </c>
      <c r="C94">
        <f>IFERROR(SUMIFS(INDEX($B$5:$CW$56,MATCH(C$93,$A$5:$A$56,0),1):INDEX($B$5:$CW$56,MATCH(C$93,$A$5:$A$56,0),100),$B59:$CW59,"="&amp;"x",$B$3:$CW$3,"="&amp;"Y"),0)</f>
        <v>20</v>
      </c>
      <c r="D94">
        <f>IFERROR(SUMIFS(INDEX($B$5:$CW$56,MATCH(D$93,$A$5:$A$56,0),1):INDEX($B$5:$CW$56,MATCH(D$93,$A$5:$A$56,0),100),$B59:$CW59,"="&amp;"x",$B$3:$CW$3,"="&amp;"Y"),0)</f>
        <v>20</v>
      </c>
      <c r="E94">
        <f>IFERROR(SUMIFS(INDEX($B$5:$CW$56,MATCH(E$93,$A$5:$A$56,0),1):INDEX($B$5:$CW$56,MATCH(E$93,$A$5:$A$56,0),100),$B59:$CW59,"="&amp;"x",$B$3:$CW$3,"="&amp;"Y"),0)</f>
        <v>20</v>
      </c>
      <c r="F94">
        <f>IFERROR(SUMIFS(INDEX($B$5:$CW$56,MATCH(F$93,$A$5:$A$56,0),1):INDEX($B$5:$CW$56,MATCH(F$93,$A$5:$A$56,0),100),$B59:$CW59,"="&amp;"x",$B$3:$CW$3,"="&amp;"Y"),0)</f>
        <v>20</v>
      </c>
      <c r="G94">
        <f>IFERROR(SUMIFS(INDEX($B$5:$CW$56,MATCH(G$93,$A$5:$A$56,0),1):INDEX($B$5:$CW$56,MATCH(G$93,$A$5:$A$56,0),100),$B59:$CW59,"="&amp;"x",$B$3:$CW$3,"="&amp;"Y"),0)</f>
        <v>20</v>
      </c>
      <c r="H94">
        <f>IFERROR(SUMIFS(INDEX($B$5:$CW$56,MATCH(H$93,$A$5:$A$56,0),1):INDEX($B$5:$CW$56,MATCH(H$93,$A$5:$A$56,0),100),$B59:$CW59,"="&amp;"x",$B$3:$CW$3,"="&amp;"Y"),0)</f>
        <v>20</v>
      </c>
      <c r="I94">
        <f>IFERROR(SUMIFS(INDEX($B$5:$CW$56,MATCH(I$93,$A$5:$A$56,0),1):INDEX($B$5:$CW$56,MATCH(I$93,$A$5:$A$56,0),100),$B59:$CW59,"="&amp;"x",$B$3:$CW$3,"="&amp;"Y"),0)</f>
        <v>20</v>
      </c>
      <c r="J94">
        <f>IFERROR(SUMIFS(INDEX($B$5:$CW$56,MATCH(J$93,$A$5:$A$56,0),1):INDEX($B$5:$CW$56,MATCH(J$93,$A$5:$A$56,0),100),$B59:$CW59,"="&amp;"x",$B$3:$CW$3,"="&amp;"Y"),0)</f>
        <v>20</v>
      </c>
      <c r="K94">
        <f>IFERROR(SUMIFS(INDEX($B$5:$CW$56,MATCH(K$93,$A$5:$A$56,0),1):INDEX($B$5:$CW$56,MATCH(K$93,$A$5:$A$56,0),100),$B59:$CW59,"="&amp;"x",$B$3:$CW$3,"="&amp;"Y"),0)</f>
        <v>20</v>
      </c>
      <c r="L94">
        <f>IFERROR(SUMIFS(INDEX($B$5:$CW$56,MATCH(L$93,$A$5:$A$56,0),1):INDEX($B$5:$CW$56,MATCH(L$93,$A$5:$A$56,0),100),$B59:$CW59,"="&amp;"x",$B$3:$CW$3,"="&amp;"Y"),0)</f>
        <v>20</v>
      </c>
      <c r="M94">
        <f>IFERROR(SUMIFS(INDEX($B$5:$CW$56,MATCH(M$93,$A$5:$A$56,0),1):INDEX($B$5:$CW$56,MATCH(M$93,$A$5:$A$56,0),100),$B59:$CW59,"="&amp;"x",$B$3:$CW$3,"="&amp;"Y"),0)</f>
        <v>20</v>
      </c>
      <c r="N94">
        <f>IFERROR(SUMIFS(INDEX($B$5:$CW$56,MATCH(N$93,$A$5:$A$56,0),1):INDEX($B$5:$CW$56,MATCH(N$93,$A$5:$A$56,0),100),$B59:$CW59,"="&amp;"x",$B$3:$CW$3,"="&amp;"Y"),0)</f>
        <v>20</v>
      </c>
      <c r="O94">
        <f>IFERROR(SUMIFS(INDEX($B$5:$CW$56,MATCH(O$93,$A$5:$A$56,0),1):INDEX($B$5:$CW$56,MATCH(O$93,$A$5:$A$56,0),100),$B59:$CW59,"="&amp;"x",$B$3:$CW$3,"="&amp;"Y"),0)</f>
        <v>20</v>
      </c>
      <c r="P94">
        <f>IFERROR(SUMIFS(INDEX($B$5:$CW$56,MATCH(P$93,$A$5:$A$56,0),1):INDEX($B$5:$CW$56,MATCH(P$93,$A$5:$A$56,0),100),$B59:$CW59,"="&amp;"x",$B$3:$CW$3,"="&amp;"Y"),0)</f>
        <v>20</v>
      </c>
      <c r="Q94">
        <f>IFERROR(SUMIFS(INDEX($B$5:$CW$56,MATCH(Q$93,$A$5:$A$56,0),1):INDEX($B$5:$CW$56,MATCH(Q$93,$A$5:$A$56,0),100),$B59:$CW59,"="&amp;"x",$B$3:$CW$3,"="&amp;"Y"),0)</f>
        <v>20</v>
      </c>
      <c r="R94">
        <f>IFERROR(SUMIFS(INDEX($B$5:$CW$56,MATCH(R$93,$A$5:$A$56,0),1):INDEX($B$5:$CW$56,MATCH(R$93,$A$5:$A$56,0),100),$B59:$CW59,"="&amp;"x",$B$3:$CW$3,"="&amp;"Y"),0)</f>
        <v>20</v>
      </c>
      <c r="S94">
        <f>IFERROR(SUMIFS(INDEX($B$5:$CW$56,MATCH(S$93,$A$5:$A$56,0),1):INDEX($B$5:$CW$56,MATCH(S$93,$A$5:$A$56,0),100),$B59:$CW59,"="&amp;"x",$B$3:$CW$3,"="&amp;"Y"),0)</f>
        <v>20</v>
      </c>
      <c r="T94">
        <f>IFERROR(SUMIFS(INDEX($B$5:$CW$56,MATCH(T$93,$A$5:$A$56,0),1):INDEX($B$5:$CW$56,MATCH(T$93,$A$5:$A$56,0),100),$B59:$CW59,"="&amp;"x",$B$3:$CW$3,"="&amp;"Y"),0)</f>
        <v>20</v>
      </c>
      <c r="U94">
        <f>IFERROR(SUMIFS(INDEX($B$5:$CW$56,MATCH(U$93,$A$5:$A$56,0),1):INDEX($B$5:$CW$56,MATCH(U$93,$A$5:$A$56,0),100),$B59:$CW59,"="&amp;"x",$B$3:$CW$3,"="&amp;"Y"),0)</f>
        <v>20</v>
      </c>
      <c r="V94">
        <f>IFERROR(SUMIFS(INDEX($B$5:$CW$56,MATCH(V$93,$A$5:$A$56,0),1):INDEX($B$5:$CW$56,MATCH(V$93,$A$5:$A$56,0),100),$B59:$CW59,"="&amp;"x",$B$3:$CW$3,"="&amp;"Y"),0)</f>
        <v>20</v>
      </c>
      <c r="W94">
        <f>IFERROR(SUMIFS(INDEX($B$5:$CW$56,MATCH(W$93,$A$5:$A$56,0),1):INDEX($B$5:$CW$56,MATCH(W$93,$A$5:$A$56,0),100),$B59:$CW59,"="&amp;"x",$B$3:$CW$3,"="&amp;"Y"),0)</f>
        <v>20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8.4615384615384617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20</v>
      </c>
      <c r="C95">
        <f>IFERROR(SUMIFS(INDEX($B$5:$CW$56,MATCH(C$93,$A$5:$A$56,0),1):INDEX($B$5:$CW$56,MATCH(C$93,$A$5:$A$56,0),100),$B60:$CW60,"="&amp;"x",$B$3:$CW$3,"="&amp;"Y"),0)</f>
        <v>20</v>
      </c>
      <c r="D95">
        <f>IFERROR(SUMIFS(INDEX($B$5:$CW$56,MATCH(D$93,$A$5:$A$56,0),1):INDEX($B$5:$CW$56,MATCH(D$93,$A$5:$A$56,0),100),$B60:$CW60,"="&amp;"x",$B$3:$CW$3,"="&amp;"Y"),0)</f>
        <v>20</v>
      </c>
      <c r="E95">
        <f>IFERROR(SUMIFS(INDEX($B$5:$CW$56,MATCH(E$93,$A$5:$A$56,0),1):INDEX($B$5:$CW$56,MATCH(E$93,$A$5:$A$56,0),100),$B60:$CW60,"="&amp;"x",$B$3:$CW$3,"="&amp;"Y"),0)</f>
        <v>20</v>
      </c>
      <c r="F95">
        <f>IFERROR(SUMIFS(INDEX($B$5:$CW$56,MATCH(F$93,$A$5:$A$56,0),1):INDEX($B$5:$CW$56,MATCH(F$93,$A$5:$A$56,0),100),$B60:$CW60,"="&amp;"x",$B$3:$CW$3,"="&amp;"Y"),0)</f>
        <v>20</v>
      </c>
      <c r="G95">
        <f>IFERROR(SUMIFS(INDEX($B$5:$CW$56,MATCH(G$93,$A$5:$A$56,0),1):INDEX($B$5:$CW$56,MATCH(G$93,$A$5:$A$56,0),100),$B60:$CW60,"="&amp;"x",$B$3:$CW$3,"="&amp;"Y"),0)</f>
        <v>20</v>
      </c>
      <c r="H95">
        <f>IFERROR(SUMIFS(INDEX($B$5:$CW$56,MATCH(H$93,$A$5:$A$56,0),1):INDEX($B$5:$CW$56,MATCH(H$93,$A$5:$A$56,0),100),$B60:$CW60,"="&amp;"x",$B$3:$CW$3,"="&amp;"Y"),0)</f>
        <v>20</v>
      </c>
      <c r="I95">
        <f>IFERROR(SUMIFS(INDEX($B$5:$CW$56,MATCH(I$93,$A$5:$A$56,0),1):INDEX($B$5:$CW$56,MATCH(I$93,$A$5:$A$56,0),100),$B60:$CW60,"="&amp;"x",$B$3:$CW$3,"="&amp;"Y"),0)</f>
        <v>20</v>
      </c>
      <c r="J95">
        <f>IFERROR(SUMIFS(INDEX($B$5:$CW$56,MATCH(J$93,$A$5:$A$56,0),1):INDEX($B$5:$CW$56,MATCH(J$93,$A$5:$A$56,0),100),$B60:$CW60,"="&amp;"x",$B$3:$CW$3,"="&amp;"Y"),0)</f>
        <v>20</v>
      </c>
      <c r="K95">
        <f>IFERROR(SUMIFS(INDEX($B$5:$CW$56,MATCH(K$93,$A$5:$A$56,0),1):INDEX($B$5:$CW$56,MATCH(K$93,$A$5:$A$56,0),100),$B60:$CW60,"="&amp;"x",$B$3:$CW$3,"="&amp;"Y"),0)</f>
        <v>20</v>
      </c>
      <c r="L95">
        <f>IFERROR(SUMIFS(INDEX($B$5:$CW$56,MATCH(L$93,$A$5:$A$56,0),1):INDEX($B$5:$CW$56,MATCH(L$93,$A$5:$A$56,0),100),$B60:$CW60,"="&amp;"x",$B$3:$CW$3,"="&amp;"Y"),0)</f>
        <v>20</v>
      </c>
      <c r="M95">
        <f>IFERROR(SUMIFS(INDEX($B$5:$CW$56,MATCH(M$93,$A$5:$A$56,0),1):INDEX($B$5:$CW$56,MATCH(M$93,$A$5:$A$56,0),100),$B60:$CW60,"="&amp;"x",$B$3:$CW$3,"="&amp;"Y"),0)</f>
        <v>20</v>
      </c>
      <c r="N95">
        <f>IFERROR(SUMIFS(INDEX($B$5:$CW$56,MATCH(N$93,$A$5:$A$56,0),1):INDEX($B$5:$CW$56,MATCH(N$93,$A$5:$A$56,0),100),$B60:$CW60,"="&amp;"x",$B$3:$CW$3,"="&amp;"Y"),0)</f>
        <v>20</v>
      </c>
      <c r="O95">
        <f>IFERROR(SUMIFS(INDEX($B$5:$CW$56,MATCH(O$93,$A$5:$A$56,0),1):INDEX($B$5:$CW$56,MATCH(O$93,$A$5:$A$56,0),100),$B60:$CW60,"="&amp;"x",$B$3:$CW$3,"="&amp;"Y"),0)</f>
        <v>20</v>
      </c>
      <c r="P95">
        <f>IFERROR(SUMIFS(INDEX($B$5:$CW$56,MATCH(P$93,$A$5:$A$56,0),1):INDEX($B$5:$CW$56,MATCH(P$93,$A$5:$A$56,0),100),$B60:$CW60,"="&amp;"x",$B$3:$CW$3,"="&amp;"Y"),0)</f>
        <v>20</v>
      </c>
      <c r="Q95">
        <f>IFERROR(SUMIFS(INDEX($B$5:$CW$56,MATCH(Q$93,$A$5:$A$56,0),1):INDEX($B$5:$CW$56,MATCH(Q$93,$A$5:$A$56,0),100),$B60:$CW60,"="&amp;"x",$B$3:$CW$3,"="&amp;"Y"),0)</f>
        <v>20</v>
      </c>
      <c r="R95">
        <f>IFERROR(SUMIFS(INDEX($B$5:$CW$56,MATCH(R$93,$A$5:$A$56,0),1):INDEX($B$5:$CW$56,MATCH(R$93,$A$5:$A$56,0),100),$B60:$CW60,"="&amp;"x",$B$3:$CW$3,"="&amp;"Y"),0)</f>
        <v>20</v>
      </c>
      <c r="S95">
        <f>IFERROR(SUMIFS(INDEX($B$5:$CW$56,MATCH(S$93,$A$5:$A$56,0),1):INDEX($B$5:$CW$56,MATCH(S$93,$A$5:$A$56,0),100),$B60:$CW60,"="&amp;"x",$B$3:$CW$3,"="&amp;"Y"),0)</f>
        <v>20</v>
      </c>
      <c r="T95">
        <f>IFERROR(SUMIFS(INDEX($B$5:$CW$56,MATCH(T$93,$A$5:$A$56,0),1):INDEX($B$5:$CW$56,MATCH(T$93,$A$5:$A$56,0),100),$B60:$CW60,"="&amp;"x",$B$3:$CW$3,"="&amp;"Y"),0)</f>
        <v>20</v>
      </c>
      <c r="U95">
        <f>IFERROR(SUMIFS(INDEX($B$5:$CW$56,MATCH(U$93,$A$5:$A$56,0),1):INDEX($B$5:$CW$56,MATCH(U$93,$A$5:$A$56,0),100),$B60:$CW60,"="&amp;"x",$B$3:$CW$3,"="&amp;"Y"),0)</f>
        <v>20</v>
      </c>
      <c r="V95">
        <f>IFERROR(SUMIFS(INDEX($B$5:$CW$56,MATCH(V$93,$A$5:$A$56,0),1):INDEX($B$5:$CW$56,MATCH(V$93,$A$5:$A$56,0),100),$B60:$CW60,"="&amp;"x",$B$3:$CW$3,"="&amp;"Y"),0)</f>
        <v>20</v>
      </c>
      <c r="W95">
        <f>IFERROR(SUMIFS(INDEX($B$5:$CW$56,MATCH(W$93,$A$5:$A$56,0),1):INDEX($B$5:$CW$56,MATCH(W$93,$A$5:$A$56,0),100),$B60:$CW60,"="&amp;"x",$B$3:$CW$3,"="&amp;"Y"),0)</f>
        <v>20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8" si="2">AVERAGE(B95:BA95)</f>
        <v>8.4615384615384617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20</v>
      </c>
      <c r="C96">
        <f>IFERROR(SUMIFS(INDEX($B$5:$CW$56,MATCH(C$93,$A$5:$A$56,0),1):INDEX($B$5:$CW$56,MATCH(C$93,$A$5:$A$56,0),100),$B61:$CW61,"="&amp;"x",$B$3:$CW$3,"="&amp;"Y"),0)</f>
        <v>20</v>
      </c>
      <c r="D96">
        <f>IFERROR(SUMIFS(INDEX($B$5:$CW$56,MATCH(D$93,$A$5:$A$56,0),1):INDEX($B$5:$CW$56,MATCH(D$93,$A$5:$A$56,0),100),$B61:$CW61,"="&amp;"x",$B$3:$CW$3,"="&amp;"Y"),0)</f>
        <v>20</v>
      </c>
      <c r="E96">
        <f>IFERROR(SUMIFS(INDEX($B$5:$CW$56,MATCH(E$93,$A$5:$A$56,0),1):INDEX($B$5:$CW$56,MATCH(E$93,$A$5:$A$56,0),100),$B61:$CW61,"="&amp;"x",$B$3:$CW$3,"="&amp;"Y"),0)</f>
        <v>20</v>
      </c>
      <c r="F96">
        <f>IFERROR(SUMIFS(INDEX($B$5:$CW$56,MATCH(F$93,$A$5:$A$56,0),1):INDEX($B$5:$CW$56,MATCH(F$93,$A$5:$A$56,0),100),$B61:$CW61,"="&amp;"x",$B$3:$CW$3,"="&amp;"Y"),0)</f>
        <v>20</v>
      </c>
      <c r="G96">
        <f>IFERROR(SUMIFS(INDEX($B$5:$CW$56,MATCH(G$93,$A$5:$A$56,0),1):INDEX($B$5:$CW$56,MATCH(G$93,$A$5:$A$56,0),100),$B61:$CW61,"="&amp;"x",$B$3:$CW$3,"="&amp;"Y"),0)</f>
        <v>20</v>
      </c>
      <c r="H96">
        <f>IFERROR(SUMIFS(INDEX($B$5:$CW$56,MATCH(H$93,$A$5:$A$56,0),1):INDEX($B$5:$CW$56,MATCH(H$93,$A$5:$A$56,0),100),$B61:$CW61,"="&amp;"x",$B$3:$CW$3,"="&amp;"Y"),0)</f>
        <v>20</v>
      </c>
      <c r="I96">
        <f>IFERROR(SUMIFS(INDEX($B$5:$CW$56,MATCH(I$93,$A$5:$A$56,0),1):INDEX($B$5:$CW$56,MATCH(I$93,$A$5:$A$56,0),100),$B61:$CW61,"="&amp;"x",$B$3:$CW$3,"="&amp;"Y"),0)</f>
        <v>20</v>
      </c>
      <c r="J96">
        <f>IFERROR(SUMIFS(INDEX($B$5:$CW$56,MATCH(J$93,$A$5:$A$56,0),1):INDEX($B$5:$CW$56,MATCH(J$93,$A$5:$A$56,0),100),$B61:$CW61,"="&amp;"x",$B$3:$CW$3,"="&amp;"Y"),0)</f>
        <v>20</v>
      </c>
      <c r="K96">
        <f>IFERROR(SUMIFS(INDEX($B$5:$CW$56,MATCH(K$93,$A$5:$A$56,0),1):INDEX($B$5:$CW$56,MATCH(K$93,$A$5:$A$56,0),100),$B61:$CW61,"="&amp;"x",$B$3:$CW$3,"="&amp;"Y"),0)</f>
        <v>20</v>
      </c>
      <c r="L96">
        <f>IFERROR(SUMIFS(INDEX($B$5:$CW$56,MATCH(L$93,$A$5:$A$56,0),1):INDEX($B$5:$CW$56,MATCH(L$93,$A$5:$A$56,0),100),$B61:$CW61,"="&amp;"x",$B$3:$CW$3,"="&amp;"Y"),0)</f>
        <v>20</v>
      </c>
      <c r="M96">
        <f>IFERROR(SUMIFS(INDEX($B$5:$CW$56,MATCH(M$93,$A$5:$A$56,0),1):INDEX($B$5:$CW$56,MATCH(M$93,$A$5:$A$56,0),100),$B61:$CW61,"="&amp;"x",$B$3:$CW$3,"="&amp;"Y"),0)</f>
        <v>20</v>
      </c>
      <c r="N96">
        <f>IFERROR(SUMIFS(INDEX($B$5:$CW$56,MATCH(N$93,$A$5:$A$56,0),1):INDEX($B$5:$CW$56,MATCH(N$93,$A$5:$A$56,0),100),$B61:$CW61,"="&amp;"x",$B$3:$CW$3,"="&amp;"Y"),0)</f>
        <v>20</v>
      </c>
      <c r="O96">
        <f>IFERROR(SUMIFS(INDEX($B$5:$CW$56,MATCH(O$93,$A$5:$A$56,0),1):INDEX($B$5:$CW$56,MATCH(O$93,$A$5:$A$56,0),100),$B61:$CW61,"="&amp;"x",$B$3:$CW$3,"="&amp;"Y"),0)</f>
        <v>20</v>
      </c>
      <c r="P96">
        <f>IFERROR(SUMIFS(INDEX($B$5:$CW$56,MATCH(P$93,$A$5:$A$56,0),1):INDEX($B$5:$CW$56,MATCH(P$93,$A$5:$A$56,0),100),$B61:$CW61,"="&amp;"x",$B$3:$CW$3,"="&amp;"Y"),0)</f>
        <v>20</v>
      </c>
      <c r="Q96">
        <f>IFERROR(SUMIFS(INDEX($B$5:$CW$56,MATCH(Q$93,$A$5:$A$56,0),1):INDEX($B$5:$CW$56,MATCH(Q$93,$A$5:$A$56,0),100),$B61:$CW61,"="&amp;"x",$B$3:$CW$3,"="&amp;"Y"),0)</f>
        <v>20</v>
      </c>
      <c r="R96">
        <f>IFERROR(SUMIFS(INDEX($B$5:$CW$56,MATCH(R$93,$A$5:$A$56,0),1):INDEX($B$5:$CW$56,MATCH(R$93,$A$5:$A$56,0),100),$B61:$CW61,"="&amp;"x",$B$3:$CW$3,"="&amp;"Y"),0)</f>
        <v>20</v>
      </c>
      <c r="S96">
        <f>IFERROR(SUMIFS(INDEX($B$5:$CW$56,MATCH(S$93,$A$5:$A$56,0),1):INDEX($B$5:$CW$56,MATCH(S$93,$A$5:$A$56,0),100),$B61:$CW61,"="&amp;"x",$B$3:$CW$3,"="&amp;"Y"),0)</f>
        <v>20</v>
      </c>
      <c r="T96">
        <f>IFERROR(SUMIFS(INDEX($B$5:$CW$56,MATCH(T$93,$A$5:$A$56,0),1):INDEX($B$5:$CW$56,MATCH(T$93,$A$5:$A$56,0),100),$B61:$CW61,"="&amp;"x",$B$3:$CW$3,"="&amp;"Y"),0)</f>
        <v>20</v>
      </c>
      <c r="U96">
        <f>IFERROR(SUMIFS(INDEX($B$5:$CW$56,MATCH(U$93,$A$5:$A$56,0),1):INDEX($B$5:$CW$56,MATCH(U$93,$A$5:$A$56,0),100),$B61:$CW61,"="&amp;"x",$B$3:$CW$3,"="&amp;"Y"),0)</f>
        <v>20</v>
      </c>
      <c r="V96">
        <f>IFERROR(SUMIFS(INDEX($B$5:$CW$56,MATCH(V$93,$A$5:$A$56,0),1):INDEX($B$5:$CW$56,MATCH(V$93,$A$5:$A$56,0),100),$B61:$CW61,"="&amp;"x",$B$3:$CW$3,"="&amp;"Y"),0)</f>
        <v>20</v>
      </c>
      <c r="W96">
        <f>IFERROR(SUMIFS(INDEX($B$5:$CW$56,MATCH(W$93,$A$5:$A$56,0),1):INDEX($B$5:$CW$56,MATCH(W$93,$A$5:$A$56,0),100),$B61:$CW61,"="&amp;"x",$B$3:$CW$3,"="&amp;"Y"),0)</f>
        <v>20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8.4615384615384617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Caseloads</v>
      </c>
      <c r="B109">
        <f>SUM(B94:B108)</f>
        <v>60</v>
      </c>
      <c r="C109">
        <f t="shared" ref="C109:BA109" si="3">SUM(C94:C108)</f>
        <v>60</v>
      </c>
      <c r="D109">
        <f t="shared" si="3"/>
        <v>60</v>
      </c>
      <c r="E109">
        <f t="shared" si="3"/>
        <v>60</v>
      </c>
      <c r="F109">
        <f t="shared" si="3"/>
        <v>60</v>
      </c>
      <c r="G109">
        <f t="shared" si="3"/>
        <v>60</v>
      </c>
      <c r="H109">
        <f t="shared" si="3"/>
        <v>60</v>
      </c>
      <c r="I109">
        <f t="shared" si="3"/>
        <v>60</v>
      </c>
      <c r="J109">
        <f t="shared" si="3"/>
        <v>60</v>
      </c>
      <c r="K109">
        <f t="shared" si="3"/>
        <v>60</v>
      </c>
      <c r="L109">
        <f t="shared" si="3"/>
        <v>60</v>
      </c>
      <c r="M109">
        <f t="shared" si="3"/>
        <v>60</v>
      </c>
      <c r="N109">
        <f t="shared" si="3"/>
        <v>60</v>
      </c>
      <c r="O109">
        <f t="shared" si="3"/>
        <v>60</v>
      </c>
      <c r="P109">
        <f t="shared" si="3"/>
        <v>60</v>
      </c>
      <c r="Q109">
        <f t="shared" si="3"/>
        <v>60</v>
      </c>
      <c r="R109">
        <f t="shared" si="3"/>
        <v>60</v>
      </c>
      <c r="S109">
        <f t="shared" si="3"/>
        <v>60</v>
      </c>
      <c r="T109">
        <f t="shared" si="3"/>
        <v>60</v>
      </c>
      <c r="U109">
        <f t="shared" si="3"/>
        <v>60</v>
      </c>
      <c r="V109">
        <f t="shared" si="3"/>
        <v>60</v>
      </c>
      <c r="W109">
        <f t="shared" si="3"/>
        <v>60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20</v>
      </c>
      <c r="C112">
        <f t="shared" si="4"/>
        <v>20</v>
      </c>
      <c r="D112">
        <f t="shared" si="4"/>
        <v>20</v>
      </c>
      <c r="E112">
        <f t="shared" si="4"/>
        <v>20</v>
      </c>
      <c r="F112">
        <f t="shared" si="4"/>
        <v>20</v>
      </c>
      <c r="G112">
        <f t="shared" si="4"/>
        <v>20</v>
      </c>
      <c r="H112">
        <f t="shared" si="4"/>
        <v>20</v>
      </c>
      <c r="I112">
        <f t="shared" si="4"/>
        <v>20</v>
      </c>
      <c r="J112">
        <f t="shared" si="4"/>
        <v>20</v>
      </c>
      <c r="K112">
        <f t="shared" si="4"/>
        <v>20</v>
      </c>
      <c r="L112">
        <f t="shared" si="4"/>
        <v>20</v>
      </c>
      <c r="M112">
        <f t="shared" si="4"/>
        <v>20</v>
      </c>
      <c r="N112">
        <f t="shared" si="4"/>
        <v>20</v>
      </c>
      <c r="O112">
        <f t="shared" si="4"/>
        <v>20</v>
      </c>
      <c r="P112">
        <f t="shared" si="4"/>
        <v>20</v>
      </c>
      <c r="Q112">
        <f t="shared" si="4"/>
        <v>20</v>
      </c>
      <c r="R112">
        <f t="shared" si="4"/>
        <v>20</v>
      </c>
      <c r="S112">
        <f t="shared" si="4"/>
        <v>20</v>
      </c>
      <c r="T112">
        <f t="shared" si="4"/>
        <v>20</v>
      </c>
      <c r="U112">
        <f t="shared" si="4"/>
        <v>20</v>
      </c>
      <c r="V112">
        <f t="shared" si="4"/>
        <v>20</v>
      </c>
      <c r="W112">
        <f t="shared" si="4"/>
        <v>20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8.4615384615384617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20</v>
      </c>
      <c r="C113">
        <f t="shared" si="6"/>
        <v>20</v>
      </c>
      <c r="D113">
        <f t="shared" si="6"/>
        <v>20</v>
      </c>
      <c r="E113">
        <f t="shared" si="6"/>
        <v>20</v>
      </c>
      <c r="F113">
        <f t="shared" si="6"/>
        <v>20</v>
      </c>
      <c r="G113">
        <f t="shared" si="6"/>
        <v>20</v>
      </c>
      <c r="H113">
        <f t="shared" si="6"/>
        <v>20</v>
      </c>
      <c r="I113">
        <f t="shared" si="6"/>
        <v>20</v>
      </c>
      <c r="J113">
        <f t="shared" si="6"/>
        <v>20</v>
      </c>
      <c r="K113">
        <f t="shared" si="6"/>
        <v>20</v>
      </c>
      <c r="L113">
        <f t="shared" si="6"/>
        <v>20</v>
      </c>
      <c r="M113">
        <f t="shared" si="6"/>
        <v>20</v>
      </c>
      <c r="N113">
        <f t="shared" si="6"/>
        <v>20</v>
      </c>
      <c r="O113">
        <f t="shared" si="6"/>
        <v>20</v>
      </c>
      <c r="P113">
        <f t="shared" si="6"/>
        <v>20</v>
      </c>
      <c r="Q113">
        <f t="shared" si="6"/>
        <v>20</v>
      </c>
      <c r="R113">
        <f t="shared" si="6"/>
        <v>20</v>
      </c>
      <c r="S113">
        <f t="shared" si="6"/>
        <v>20</v>
      </c>
      <c r="T113">
        <f t="shared" si="6"/>
        <v>20</v>
      </c>
      <c r="U113">
        <f t="shared" si="6"/>
        <v>20</v>
      </c>
      <c r="V113">
        <f t="shared" si="6"/>
        <v>20</v>
      </c>
      <c r="W113">
        <f t="shared" si="6"/>
        <v>20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6" si="8">AVERAGE(B113:BA113)</f>
        <v>8.4615384615384617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20</v>
      </c>
      <c r="C114">
        <f t="shared" si="9"/>
        <v>20</v>
      </c>
      <c r="D114">
        <f t="shared" si="9"/>
        <v>20</v>
      </c>
      <c r="E114">
        <f t="shared" si="9"/>
        <v>20</v>
      </c>
      <c r="F114">
        <f t="shared" si="9"/>
        <v>20</v>
      </c>
      <c r="G114">
        <f t="shared" si="9"/>
        <v>20</v>
      </c>
      <c r="H114">
        <f t="shared" si="9"/>
        <v>20</v>
      </c>
      <c r="I114">
        <f t="shared" si="9"/>
        <v>20</v>
      </c>
      <c r="J114">
        <f t="shared" si="9"/>
        <v>20</v>
      </c>
      <c r="K114">
        <f t="shared" si="9"/>
        <v>20</v>
      </c>
      <c r="L114">
        <f t="shared" si="9"/>
        <v>20</v>
      </c>
      <c r="M114">
        <f t="shared" si="9"/>
        <v>20</v>
      </c>
      <c r="N114">
        <f t="shared" si="9"/>
        <v>20</v>
      </c>
      <c r="O114">
        <f t="shared" si="9"/>
        <v>20</v>
      </c>
      <c r="P114">
        <f t="shared" si="9"/>
        <v>20</v>
      </c>
      <c r="Q114">
        <f t="shared" si="9"/>
        <v>20</v>
      </c>
      <c r="R114">
        <f t="shared" si="9"/>
        <v>20</v>
      </c>
      <c r="S114">
        <f t="shared" si="9"/>
        <v>20</v>
      </c>
      <c r="T114">
        <f t="shared" si="9"/>
        <v>20</v>
      </c>
      <c r="U114">
        <f t="shared" si="9"/>
        <v>20</v>
      </c>
      <c r="V114">
        <f t="shared" si="9"/>
        <v>20</v>
      </c>
      <c r="W114">
        <f t="shared" si="9"/>
        <v>20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8.4615384615384617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28.26923076923077</v>
      </c>
      <c r="C115">
        <f t="shared" si="11"/>
        <v>28.26923076923077</v>
      </c>
      <c r="D115">
        <f t="shared" si="11"/>
        <v>28.26923076923077</v>
      </c>
      <c r="E115">
        <f t="shared" si="11"/>
        <v>28.26923076923077</v>
      </c>
      <c r="F115">
        <f t="shared" si="11"/>
        <v>28.26923076923077</v>
      </c>
      <c r="G115">
        <f t="shared" si="11"/>
        <v>28.26923076923077</v>
      </c>
      <c r="H115">
        <f t="shared" si="11"/>
        <v>28.26923076923077</v>
      </c>
      <c r="I115">
        <f t="shared" si="11"/>
        <v>28.26923076923077</v>
      </c>
      <c r="J115">
        <f t="shared" si="11"/>
        <v>28.26923076923077</v>
      </c>
      <c r="K115">
        <f t="shared" si="11"/>
        <v>28.26923076923077</v>
      </c>
      <c r="L115">
        <f t="shared" si="11"/>
        <v>28.26923076923077</v>
      </c>
      <c r="M115">
        <f t="shared" si="11"/>
        <v>28.26923076923077</v>
      </c>
      <c r="N115">
        <f t="shared" si="11"/>
        <v>28.26923076923077</v>
      </c>
      <c r="O115">
        <f t="shared" si="11"/>
        <v>28.26923076923077</v>
      </c>
      <c r="P115">
        <f t="shared" si="11"/>
        <v>28.26923076923077</v>
      </c>
      <c r="Q115">
        <f t="shared" si="11"/>
        <v>28.26923076923077</v>
      </c>
      <c r="R115">
        <f t="shared" si="11"/>
        <v>28.26923076923077</v>
      </c>
      <c r="S115">
        <f t="shared" si="11"/>
        <v>28.26923076923077</v>
      </c>
      <c r="T115">
        <f t="shared" si="11"/>
        <v>28.26923076923077</v>
      </c>
      <c r="U115">
        <f t="shared" si="11"/>
        <v>28.26923076923077</v>
      </c>
      <c r="V115">
        <f t="shared" si="11"/>
        <v>28.26923076923077</v>
      </c>
      <c r="W115">
        <f t="shared" si="11"/>
        <v>28.26923076923077</v>
      </c>
      <c r="X115">
        <f t="shared" si="11"/>
        <v>28.26923076923077</v>
      </c>
      <c r="Y115">
        <f t="shared" si="11"/>
        <v>28.26923076923077</v>
      </c>
      <c r="Z115">
        <f t="shared" si="11"/>
        <v>28.26923076923077</v>
      </c>
      <c r="AA115">
        <f t="shared" si="11"/>
        <v>28.26923076923077</v>
      </c>
      <c r="AB115">
        <f t="shared" si="11"/>
        <v>28.26923076923077</v>
      </c>
      <c r="AC115">
        <f t="shared" si="11"/>
        <v>28.26923076923077</v>
      </c>
      <c r="AD115">
        <f t="shared" si="11"/>
        <v>28.26923076923077</v>
      </c>
      <c r="AE115">
        <f t="shared" si="11"/>
        <v>28.26923076923077</v>
      </c>
      <c r="AF115">
        <f t="shared" si="11"/>
        <v>28.26923076923077</v>
      </c>
      <c r="AG115">
        <f t="shared" si="11"/>
        <v>28.26923076923077</v>
      </c>
      <c r="AH115">
        <f t="shared" ref="AH115:BA115" si="12">SUM(AH79,AH97)</f>
        <v>28.26923076923077</v>
      </c>
      <c r="AI115">
        <f t="shared" si="12"/>
        <v>28.26923076923077</v>
      </c>
      <c r="AJ115">
        <f t="shared" si="12"/>
        <v>28.26923076923077</v>
      </c>
      <c r="AK115">
        <f t="shared" si="12"/>
        <v>28.26923076923077</v>
      </c>
      <c r="AL115">
        <f t="shared" si="12"/>
        <v>28.26923076923077</v>
      </c>
      <c r="AM115">
        <f t="shared" si="12"/>
        <v>28.26923076923077</v>
      </c>
      <c r="AN115">
        <f t="shared" si="12"/>
        <v>28.26923076923077</v>
      </c>
      <c r="AO115">
        <f t="shared" si="12"/>
        <v>28.26923076923077</v>
      </c>
      <c r="AP115">
        <f t="shared" si="12"/>
        <v>28.26923076923077</v>
      </c>
      <c r="AQ115">
        <f t="shared" si="12"/>
        <v>28.26923076923077</v>
      </c>
      <c r="AR115">
        <f t="shared" si="12"/>
        <v>28.26923076923077</v>
      </c>
      <c r="AS115">
        <f t="shared" si="12"/>
        <v>28.26923076923077</v>
      </c>
      <c r="AT115">
        <f t="shared" si="12"/>
        <v>28.26923076923077</v>
      </c>
      <c r="AU115">
        <f t="shared" si="12"/>
        <v>28.26923076923077</v>
      </c>
      <c r="AV115">
        <f t="shared" si="12"/>
        <v>28.26923076923077</v>
      </c>
      <c r="AW115">
        <f t="shared" si="12"/>
        <v>28.26923076923077</v>
      </c>
      <c r="AX115">
        <f t="shared" si="12"/>
        <v>28.26923076923077</v>
      </c>
      <c r="AY115">
        <f t="shared" si="12"/>
        <v>28.26923076923077</v>
      </c>
      <c r="AZ115">
        <f t="shared" si="12"/>
        <v>28.26923076923077</v>
      </c>
      <c r="BA115">
        <f t="shared" si="12"/>
        <v>28.26923076923077</v>
      </c>
      <c r="BC115">
        <f t="shared" si="8"/>
        <v>28.269230769230738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28.26923076923077</v>
      </c>
      <c r="C116">
        <f t="shared" si="13"/>
        <v>28.26923076923077</v>
      </c>
      <c r="D116">
        <f t="shared" si="13"/>
        <v>28.26923076923077</v>
      </c>
      <c r="E116">
        <f t="shared" si="13"/>
        <v>28.26923076923077</v>
      </c>
      <c r="F116">
        <f t="shared" si="13"/>
        <v>28.26923076923077</v>
      </c>
      <c r="G116">
        <f t="shared" si="13"/>
        <v>28.26923076923077</v>
      </c>
      <c r="H116">
        <f t="shared" si="13"/>
        <v>28.26923076923077</v>
      </c>
      <c r="I116">
        <f t="shared" si="13"/>
        <v>28.26923076923077</v>
      </c>
      <c r="J116">
        <f t="shared" si="13"/>
        <v>28.26923076923077</v>
      </c>
      <c r="K116">
        <f t="shared" si="13"/>
        <v>28.26923076923077</v>
      </c>
      <c r="L116">
        <f t="shared" si="13"/>
        <v>28.26923076923077</v>
      </c>
      <c r="M116">
        <f t="shared" si="13"/>
        <v>28.26923076923077</v>
      </c>
      <c r="N116">
        <f t="shared" si="13"/>
        <v>28.26923076923077</v>
      </c>
      <c r="O116">
        <f t="shared" si="13"/>
        <v>28.26923076923077</v>
      </c>
      <c r="P116">
        <f t="shared" si="13"/>
        <v>28.26923076923077</v>
      </c>
      <c r="Q116">
        <f t="shared" si="13"/>
        <v>28.26923076923077</v>
      </c>
      <c r="R116">
        <f t="shared" si="13"/>
        <v>28.26923076923077</v>
      </c>
      <c r="S116">
        <f t="shared" si="13"/>
        <v>28.26923076923077</v>
      </c>
      <c r="T116">
        <f t="shared" si="13"/>
        <v>28.26923076923077</v>
      </c>
      <c r="U116">
        <f t="shared" si="13"/>
        <v>28.26923076923077</v>
      </c>
      <c r="V116">
        <f t="shared" si="13"/>
        <v>28.26923076923077</v>
      </c>
      <c r="W116">
        <f t="shared" si="13"/>
        <v>28.26923076923077</v>
      </c>
      <c r="X116">
        <f t="shared" si="13"/>
        <v>28.26923076923077</v>
      </c>
      <c r="Y116">
        <f t="shared" si="13"/>
        <v>28.26923076923077</v>
      </c>
      <c r="Z116">
        <f t="shared" si="13"/>
        <v>28.26923076923077</v>
      </c>
      <c r="AA116">
        <f t="shared" si="13"/>
        <v>28.26923076923077</v>
      </c>
      <c r="AB116">
        <f t="shared" si="13"/>
        <v>28.26923076923077</v>
      </c>
      <c r="AC116">
        <f t="shared" si="13"/>
        <v>28.26923076923077</v>
      </c>
      <c r="AD116">
        <f t="shared" si="13"/>
        <v>28.26923076923077</v>
      </c>
      <c r="AE116">
        <f t="shared" si="13"/>
        <v>28.26923076923077</v>
      </c>
      <c r="AF116">
        <f t="shared" si="13"/>
        <v>28.26923076923077</v>
      </c>
      <c r="AG116">
        <f t="shared" si="13"/>
        <v>28.26923076923077</v>
      </c>
      <c r="AH116">
        <f t="shared" ref="AH116:BA116" si="14">SUM(AH80,AH98)</f>
        <v>28.26923076923077</v>
      </c>
      <c r="AI116">
        <f t="shared" si="14"/>
        <v>28.26923076923077</v>
      </c>
      <c r="AJ116">
        <f t="shared" si="14"/>
        <v>28.26923076923077</v>
      </c>
      <c r="AK116">
        <f t="shared" si="14"/>
        <v>28.26923076923077</v>
      </c>
      <c r="AL116">
        <f t="shared" si="14"/>
        <v>28.26923076923077</v>
      </c>
      <c r="AM116">
        <f t="shared" si="14"/>
        <v>28.26923076923077</v>
      </c>
      <c r="AN116">
        <f t="shared" si="14"/>
        <v>28.26923076923077</v>
      </c>
      <c r="AO116">
        <f t="shared" si="14"/>
        <v>28.26923076923077</v>
      </c>
      <c r="AP116">
        <f t="shared" si="14"/>
        <v>28.26923076923077</v>
      </c>
      <c r="AQ116">
        <f t="shared" si="14"/>
        <v>28.26923076923077</v>
      </c>
      <c r="AR116">
        <f t="shared" si="14"/>
        <v>28.26923076923077</v>
      </c>
      <c r="AS116">
        <f t="shared" si="14"/>
        <v>28.26923076923077</v>
      </c>
      <c r="AT116">
        <f t="shared" si="14"/>
        <v>28.26923076923077</v>
      </c>
      <c r="AU116">
        <f t="shared" si="14"/>
        <v>28.26923076923077</v>
      </c>
      <c r="AV116">
        <f t="shared" si="14"/>
        <v>28.26923076923077</v>
      </c>
      <c r="AW116">
        <f t="shared" si="14"/>
        <v>28.26923076923077</v>
      </c>
      <c r="AX116">
        <f t="shared" si="14"/>
        <v>28.26923076923077</v>
      </c>
      <c r="AY116">
        <f t="shared" si="14"/>
        <v>28.26923076923077</v>
      </c>
      <c r="AZ116">
        <f t="shared" si="14"/>
        <v>28.26923076923077</v>
      </c>
      <c r="BA116">
        <f t="shared" si="14"/>
        <v>28.26923076923077</v>
      </c>
      <c r="BC116">
        <f t="shared" si="8"/>
        <v>28.269230769230738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Caseloads</v>
      </c>
      <c r="B127">
        <f>SUM(B112:B126)</f>
        <v>116.53846153846155</v>
      </c>
      <c r="C127">
        <f t="shared" ref="C127:BA127" si="35">SUM(C112:C126)</f>
        <v>116.53846153846155</v>
      </c>
      <c r="D127">
        <f t="shared" si="35"/>
        <v>116.53846153846155</v>
      </c>
      <c r="E127">
        <f t="shared" si="35"/>
        <v>116.53846153846155</v>
      </c>
      <c r="F127">
        <f t="shared" si="35"/>
        <v>116.53846153846155</v>
      </c>
      <c r="G127">
        <f t="shared" si="35"/>
        <v>116.53846153846155</v>
      </c>
      <c r="H127">
        <f t="shared" si="35"/>
        <v>116.53846153846155</v>
      </c>
      <c r="I127">
        <f t="shared" si="35"/>
        <v>116.53846153846155</v>
      </c>
      <c r="J127">
        <f t="shared" si="35"/>
        <v>116.53846153846155</v>
      </c>
      <c r="K127">
        <f t="shared" si="35"/>
        <v>116.53846153846155</v>
      </c>
      <c r="L127">
        <f t="shared" si="35"/>
        <v>116.53846153846155</v>
      </c>
      <c r="M127">
        <f t="shared" si="35"/>
        <v>116.53846153846155</v>
      </c>
      <c r="N127">
        <f t="shared" si="35"/>
        <v>116.53846153846155</v>
      </c>
      <c r="O127">
        <f t="shared" si="35"/>
        <v>116.53846153846155</v>
      </c>
      <c r="P127">
        <f t="shared" si="35"/>
        <v>116.53846153846155</v>
      </c>
      <c r="Q127">
        <f t="shared" si="35"/>
        <v>116.53846153846155</v>
      </c>
      <c r="R127">
        <f t="shared" si="35"/>
        <v>116.53846153846155</v>
      </c>
      <c r="S127">
        <f t="shared" si="35"/>
        <v>116.53846153846155</v>
      </c>
      <c r="T127">
        <f t="shared" si="35"/>
        <v>116.53846153846155</v>
      </c>
      <c r="U127">
        <f t="shared" si="35"/>
        <v>116.53846153846155</v>
      </c>
      <c r="V127">
        <f t="shared" si="35"/>
        <v>116.53846153846155</v>
      </c>
      <c r="W127">
        <f t="shared" si="35"/>
        <v>116.53846153846155</v>
      </c>
      <c r="X127">
        <f t="shared" si="35"/>
        <v>56.53846153846154</v>
      </c>
      <c r="Y127">
        <f t="shared" si="35"/>
        <v>56.53846153846154</v>
      </c>
      <c r="Z127">
        <f t="shared" si="35"/>
        <v>56.53846153846154</v>
      </c>
      <c r="AA127">
        <f t="shared" si="35"/>
        <v>56.53846153846154</v>
      </c>
      <c r="AB127">
        <f t="shared" si="35"/>
        <v>56.53846153846154</v>
      </c>
      <c r="AC127">
        <f t="shared" si="35"/>
        <v>56.53846153846154</v>
      </c>
      <c r="AD127">
        <f t="shared" si="35"/>
        <v>56.53846153846154</v>
      </c>
      <c r="AE127">
        <f t="shared" si="35"/>
        <v>56.53846153846154</v>
      </c>
      <c r="AF127">
        <f t="shared" si="35"/>
        <v>56.53846153846154</v>
      </c>
      <c r="AG127">
        <f t="shared" si="35"/>
        <v>56.53846153846154</v>
      </c>
      <c r="AH127">
        <f t="shared" si="35"/>
        <v>56.53846153846154</v>
      </c>
      <c r="AI127">
        <f t="shared" si="35"/>
        <v>56.53846153846154</v>
      </c>
      <c r="AJ127">
        <f t="shared" si="35"/>
        <v>56.53846153846154</v>
      </c>
      <c r="AK127">
        <f t="shared" si="35"/>
        <v>56.53846153846154</v>
      </c>
      <c r="AL127">
        <f t="shared" si="35"/>
        <v>56.53846153846154</v>
      </c>
      <c r="AM127">
        <f t="shared" si="35"/>
        <v>56.53846153846154</v>
      </c>
      <c r="AN127">
        <f t="shared" si="35"/>
        <v>56.53846153846154</v>
      </c>
      <c r="AO127">
        <f t="shared" si="35"/>
        <v>56.53846153846154</v>
      </c>
      <c r="AP127">
        <f t="shared" si="35"/>
        <v>56.53846153846154</v>
      </c>
      <c r="AQ127">
        <f t="shared" si="35"/>
        <v>56.53846153846154</v>
      </c>
      <c r="AR127">
        <f t="shared" si="35"/>
        <v>56.53846153846154</v>
      </c>
      <c r="AS127">
        <f t="shared" si="35"/>
        <v>56.53846153846154</v>
      </c>
      <c r="AT127">
        <f t="shared" si="35"/>
        <v>56.53846153846154</v>
      </c>
      <c r="AU127">
        <f t="shared" si="35"/>
        <v>56.53846153846154</v>
      </c>
      <c r="AV127">
        <f t="shared" si="35"/>
        <v>56.53846153846154</v>
      </c>
      <c r="AW127">
        <f t="shared" si="35"/>
        <v>56.53846153846154</v>
      </c>
      <c r="AX127">
        <f t="shared" si="35"/>
        <v>56.53846153846154</v>
      </c>
      <c r="AY127">
        <f t="shared" si="35"/>
        <v>56.53846153846154</v>
      </c>
      <c r="AZ127">
        <f t="shared" si="35"/>
        <v>56.53846153846154</v>
      </c>
      <c r="BA127">
        <f t="shared" si="35"/>
        <v>56.53846153846154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0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8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6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3" x14ac:dyDescent="0.35">
      <c r="A257" s="3" t="str">
        <f>"All "&amp;Setup!$B$15</f>
        <v>All Caseloads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</row>
    <row r="258" spans="1:53" ht="15" thickBot="1" x14ac:dyDescent="0.4"/>
    <row r="259" spans="1:53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8.4615384615384617</v>
      </c>
      <c r="D261">
        <f>BC112</f>
        <v>8.4615384615384617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8.4615384615384617</v>
      </c>
      <c r="J261">
        <f t="shared" si="57"/>
        <v>8.4615384615384617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8.4615384615384617</v>
      </c>
      <c r="D262">
        <f t="shared" ref="D262:D275" si="60">BC113</f>
        <v>8.4615384615384617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8.4615384615384617</v>
      </c>
      <c r="J262">
        <f t="shared" ref="J262:J275" si="66">D262+G262</f>
        <v>8.4615384615384617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8.4615384615384617</v>
      </c>
      <c r="D263">
        <f t="shared" si="60"/>
        <v>8.4615384615384617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8.4615384615384617</v>
      </c>
      <c r="J263">
        <f t="shared" si="66"/>
        <v>8.4615384615384617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58"/>
        <v>28.269230769230738</v>
      </c>
      <c r="C264">
        <f t="shared" si="59"/>
        <v>0</v>
      </c>
      <c r="D264">
        <f t="shared" si="60"/>
        <v>28.269230769230738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28.269230769230738</v>
      </c>
      <c r="I264">
        <f t="shared" si="65"/>
        <v>0</v>
      </c>
      <c r="J264">
        <f t="shared" si="66"/>
        <v>28.269230769230738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58"/>
        <v>28.269230769230738</v>
      </c>
      <c r="C265">
        <f t="shared" si="59"/>
        <v>0</v>
      </c>
      <c r="D265">
        <f t="shared" si="60"/>
        <v>28.269230769230738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28.269230769230738</v>
      </c>
      <c r="I265">
        <f t="shared" si="65"/>
        <v>0</v>
      </c>
      <c r="J265">
        <f t="shared" si="66"/>
        <v>28.269230769230738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Caseloads</v>
      </c>
      <c r="B276">
        <f t="shared" ref="B276:G276" si="67">SUM(B261:B275)</f>
        <v>56.538461538461476</v>
      </c>
      <c r="C276">
        <f t="shared" si="67"/>
        <v>25.384615384615387</v>
      </c>
      <c r="D276">
        <f>SUM(D261:D275)</f>
        <v>81.923076923076863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56.538461538461476</v>
      </c>
      <c r="I276">
        <f t="shared" ref="I276:J276" si="68">SUM(I261:I275)</f>
        <v>25.384615384615387</v>
      </c>
      <c r="J276">
        <f t="shared" si="68"/>
        <v>81.923076923076863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8.4615384615384617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8.4615384615384617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8.4615384615384617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28.269230769230738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28.269230769230738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T239"/>
  <sheetViews>
    <sheetView showGridLines="0" showRowColHeaders="0" zoomScale="90" zoomScaleNormal="90" workbookViewId="0">
      <selection activeCell="C17" sqref="C17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7" width="3.1796875" customWidth="1"/>
    <col min="68" max="68" width="3.1796875" hidden="1"/>
    <col min="69" max="69" width="2.90625" hidden="1"/>
    <col min="70" max="70" width="2.54296875" hidden="1"/>
    <col min="71" max="71" width="12.08984375" hidden="1"/>
    <col min="72" max="72" width="2.90625" hidden="1"/>
    <col min="73" max="16384" width="8.7265625" hidden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9" t="s">
        <v>139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(hours) for All Caseloads, all types of session</v>
      </c>
    </row>
    <row r="4" spans="1:8" ht="15" thickBot="1" x14ac:dyDescent="0.4">
      <c r="A4" s="57" t="s">
        <v>61</v>
      </c>
      <c r="B4" s="129" t="s">
        <v>62</v>
      </c>
      <c r="C4" s="5"/>
      <c r="D4" s="5"/>
      <c r="E4" s="5"/>
      <c r="F4" s="5"/>
      <c r="G4" s="5"/>
      <c r="H4" t="str">
        <f>Summary!$B$7&amp;" per week"</f>
        <v>Hours per week</v>
      </c>
    </row>
    <row r="5" spans="1:8" x14ac:dyDescent="0.35"/>
    <row r="6" spans="1:8" x14ac:dyDescent="0.35"/>
    <row r="7" spans="1:8" x14ac:dyDescent="0.35"/>
    <row r="8" spans="1:8" x14ac:dyDescent="0.35"/>
    <row r="9" spans="1:8" x14ac:dyDescent="0.35"/>
    <row r="10" spans="1:8" x14ac:dyDescent="0.35"/>
    <row r="11" spans="1:8" x14ac:dyDescent="0.35"/>
    <row r="12" spans="1:8" x14ac:dyDescent="0.35"/>
    <row r="13" spans="1:8" x14ac:dyDescent="0.35"/>
    <row r="14" spans="1:8" x14ac:dyDescent="0.35"/>
    <row r="15" spans="1:8" x14ac:dyDescent="0.35"/>
    <row r="16" spans="1:8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1" t="s">
        <v>121</v>
      </c>
      <c r="B32" s="149" t="s">
        <v>209</v>
      </c>
    </row>
    <row r="33" spans="1:70" ht="15" thickBot="1" x14ac:dyDescent="0.4"/>
    <row r="34" spans="1:70" ht="15" thickBot="1" x14ac:dyDescent="0.4">
      <c r="C34" s="177" t="s">
        <v>202</v>
      </c>
      <c r="D34" s="178"/>
      <c r="E34" s="177" t="s">
        <v>203</v>
      </c>
      <c r="F34" s="178"/>
    </row>
    <row r="35" spans="1:70" ht="57" customHeight="1" thickBot="1" x14ac:dyDescent="0.4">
      <c r="A35" s="121" t="s">
        <v>209</v>
      </c>
      <c r="B35" s="89" t="s">
        <v>200</v>
      </c>
      <c r="C35" s="90" t="s">
        <v>201</v>
      </c>
      <c r="D35" s="90" t="s">
        <v>204</v>
      </c>
      <c r="E35" s="90" t="s">
        <v>201</v>
      </c>
      <c r="F35" s="90" t="s">
        <v>204</v>
      </c>
      <c r="H35" s="112" cm="1">
        <f t="array" ref="H35">IFERROR(INDEX('Capacity Backing (Hide)'!$A$5:$A$56,COLUMN(A1),1),"")</f>
        <v>43922</v>
      </c>
      <c r="I35" s="113" cm="1">
        <f t="array" ref="I35">IFERROR(INDEX('Capacity Backing (Hide)'!$A$5:$A$56,COLUMN(B1),1),"")</f>
        <v>43929</v>
      </c>
      <c r="J35" s="113" cm="1">
        <f t="array" ref="J35">IFERROR(INDEX('Capacity Backing (Hide)'!$A$5:$A$56,COLUMN(C1),1),"")</f>
        <v>43936</v>
      </c>
      <c r="K35" s="113" cm="1">
        <f t="array" ref="K35">IFERROR(INDEX('Capacity Backing (Hide)'!$A$5:$A$56,COLUMN(D1),1),"")</f>
        <v>43943</v>
      </c>
      <c r="L35" s="113" cm="1">
        <f t="array" ref="L35">IFERROR(INDEX('Capacity Backing (Hide)'!$A$5:$A$56,COLUMN(E1),1),"")</f>
        <v>43950</v>
      </c>
      <c r="M35" s="113" cm="1">
        <f t="array" ref="M35">IFERROR(INDEX('Capacity Backing (Hide)'!$A$5:$A$56,COLUMN(F1),1),"")</f>
        <v>43957</v>
      </c>
      <c r="N35" s="113" cm="1">
        <f t="array" ref="N35">IFERROR(INDEX('Capacity Backing (Hide)'!$A$5:$A$56,COLUMN(G1),1),"")</f>
        <v>43964</v>
      </c>
      <c r="O35" s="113" cm="1">
        <f t="array" ref="O35">IFERROR(INDEX('Capacity Backing (Hide)'!$A$5:$A$56,COLUMN(H1),1),"")</f>
        <v>43971</v>
      </c>
      <c r="P35" s="113" cm="1">
        <f t="array" ref="P35">IFERROR(INDEX('Capacity Backing (Hide)'!$A$5:$A$56,COLUMN(I1),1),"")</f>
        <v>43978</v>
      </c>
      <c r="Q35" s="113" cm="1">
        <f t="array" ref="Q35">IFERROR(INDEX('Capacity Backing (Hide)'!$A$5:$A$56,COLUMN(J1),1),"")</f>
        <v>43985</v>
      </c>
      <c r="R35" s="113" cm="1">
        <f t="array" ref="R35">IFERROR(INDEX('Capacity Backing (Hide)'!$A$5:$A$56,COLUMN(K1),1),"")</f>
        <v>43992</v>
      </c>
      <c r="S35" s="113" cm="1">
        <f t="array" ref="S35">IFERROR(INDEX('Capacity Backing (Hide)'!$A$5:$A$56,COLUMN(L1),1),"")</f>
        <v>43999</v>
      </c>
      <c r="T35" s="113" cm="1">
        <f t="array" ref="T35">IFERROR(INDEX('Capacity Backing (Hide)'!$A$5:$A$56,COLUMN(M1),1),"")</f>
        <v>44006</v>
      </c>
      <c r="U35" s="113" cm="1">
        <f t="array" ref="U35">IFERROR(INDEX('Capacity Backing (Hide)'!$A$5:$A$56,COLUMN(N1),1),"")</f>
        <v>44013</v>
      </c>
      <c r="V35" s="113" cm="1">
        <f t="array" ref="V35">IFERROR(INDEX('Capacity Backing (Hide)'!$A$5:$A$56,COLUMN(O1),1),"")</f>
        <v>44020</v>
      </c>
      <c r="W35" s="113" cm="1">
        <f t="array" ref="W35">IFERROR(INDEX('Capacity Backing (Hide)'!$A$5:$A$56,COLUMN(P1),1),"")</f>
        <v>44027</v>
      </c>
      <c r="X35" s="113" cm="1">
        <f t="array" ref="X35">IFERROR(INDEX('Capacity Backing (Hide)'!$A$5:$A$56,COLUMN(Q1),1),"")</f>
        <v>44034</v>
      </c>
      <c r="Y35" s="113" cm="1">
        <f t="array" ref="Y35">IFERROR(INDEX('Capacity Backing (Hide)'!$A$5:$A$56,COLUMN(R1),1),"")</f>
        <v>44041</v>
      </c>
      <c r="Z35" s="113" cm="1">
        <f t="array" ref="Z35">IFERROR(INDEX('Capacity Backing (Hide)'!$A$5:$A$56,COLUMN(S1),1),"")</f>
        <v>44048</v>
      </c>
      <c r="AA35" s="113" cm="1">
        <f t="array" ref="AA35">IFERROR(INDEX('Capacity Backing (Hide)'!$A$5:$A$56,COLUMN(T1),1),"")</f>
        <v>44055</v>
      </c>
      <c r="AB35" s="113" cm="1">
        <f t="array" ref="AB35">IFERROR(INDEX('Capacity Backing (Hide)'!$A$5:$A$56,COLUMN(U1),1),"")</f>
        <v>44062</v>
      </c>
      <c r="AC35" s="113" cm="1">
        <f t="array" ref="AC35">IFERROR(INDEX('Capacity Backing (Hide)'!$A$5:$A$56,COLUMN(V1),1),"")</f>
        <v>44069</v>
      </c>
      <c r="AD35" s="113" cm="1">
        <f t="array" ref="AD35">IFERROR(INDEX('Capacity Backing (Hide)'!$A$5:$A$56,COLUMN(W1),1),"")</f>
        <v>44076</v>
      </c>
      <c r="AE35" s="113" cm="1">
        <f t="array" ref="AE35">IFERROR(INDEX('Capacity Backing (Hide)'!$A$5:$A$56,COLUMN(X1),1),"")</f>
        <v>44083</v>
      </c>
      <c r="AF35" s="113" cm="1">
        <f t="array" ref="AF35">IFERROR(INDEX('Capacity Backing (Hide)'!$A$5:$A$56,COLUMN(Y1),1),"")</f>
        <v>44090</v>
      </c>
      <c r="AG35" s="113" cm="1">
        <f t="array" ref="AG35">IFERROR(INDEX('Capacity Backing (Hide)'!$A$5:$A$56,COLUMN(Z1),1),"")</f>
        <v>44097</v>
      </c>
      <c r="AH35" s="113" cm="1">
        <f t="array" ref="AH35">IFERROR(INDEX('Capacity Backing (Hide)'!$A$5:$A$56,COLUMN(AA1),1),"")</f>
        <v>44104</v>
      </c>
      <c r="AI35" s="113" cm="1">
        <f t="array" ref="AI35">IFERROR(INDEX('Capacity Backing (Hide)'!$A$5:$A$56,COLUMN(AB1),1),"")</f>
        <v>44111</v>
      </c>
      <c r="AJ35" s="113" cm="1">
        <f t="array" ref="AJ35">IFERROR(INDEX('Capacity Backing (Hide)'!$A$5:$A$56,COLUMN(AC1),1),"")</f>
        <v>44118</v>
      </c>
      <c r="AK35" s="113" cm="1">
        <f t="array" ref="AK35">IFERROR(INDEX('Capacity Backing (Hide)'!$A$5:$A$56,COLUMN(AD1),1),"")</f>
        <v>44125</v>
      </c>
      <c r="AL35" s="113" cm="1">
        <f t="array" ref="AL35">IFERROR(INDEX('Capacity Backing (Hide)'!$A$5:$A$56,COLUMN(AE1),1),"")</f>
        <v>44132</v>
      </c>
      <c r="AM35" s="113" cm="1">
        <f t="array" ref="AM35">IFERROR(INDEX('Capacity Backing (Hide)'!$A$5:$A$56,COLUMN(AF1),1),"")</f>
        <v>44139</v>
      </c>
      <c r="AN35" s="113" cm="1">
        <f t="array" ref="AN35">IFERROR(INDEX('Capacity Backing (Hide)'!$A$5:$A$56,COLUMN(AG1),1),"")</f>
        <v>44146</v>
      </c>
      <c r="AO35" s="113" cm="1">
        <f t="array" ref="AO35">IFERROR(INDEX('Capacity Backing (Hide)'!$A$5:$A$56,COLUMN(AH1),1),"")</f>
        <v>44153</v>
      </c>
      <c r="AP35" s="113" cm="1">
        <f t="array" ref="AP35">IFERROR(INDEX('Capacity Backing (Hide)'!$A$5:$A$56,COLUMN(AI1),1),"")</f>
        <v>44160</v>
      </c>
      <c r="AQ35" s="113" cm="1">
        <f t="array" ref="AQ35">IFERROR(INDEX('Capacity Backing (Hide)'!$A$5:$A$56,COLUMN(AJ1),1),"")</f>
        <v>44167</v>
      </c>
      <c r="AR35" s="113" cm="1">
        <f t="array" ref="AR35">IFERROR(INDEX('Capacity Backing (Hide)'!$A$5:$A$56,COLUMN(AK1),1),"")</f>
        <v>44174</v>
      </c>
      <c r="AS35" s="113" cm="1">
        <f t="array" ref="AS35">IFERROR(INDEX('Capacity Backing (Hide)'!$A$5:$A$56,COLUMN(AL1),1),"")</f>
        <v>44181</v>
      </c>
      <c r="AT35" s="113" cm="1">
        <f t="array" ref="AT35">IFERROR(INDEX('Capacity Backing (Hide)'!$A$5:$A$56,COLUMN(AM1),1),"")</f>
        <v>44188</v>
      </c>
      <c r="AU35" s="113" cm="1">
        <f t="array" ref="AU35">IFERROR(INDEX('Capacity Backing (Hide)'!$A$5:$A$56,COLUMN(AN1),1),"")</f>
        <v>44195</v>
      </c>
      <c r="AV35" s="113" cm="1">
        <f t="array" ref="AV35">IFERROR(INDEX('Capacity Backing (Hide)'!$A$5:$A$56,COLUMN(AO1),1),"")</f>
        <v>44202</v>
      </c>
      <c r="AW35" s="113" cm="1">
        <f t="array" ref="AW35">IFERROR(INDEX('Capacity Backing (Hide)'!$A$5:$A$56,COLUMN(AP1),1),"")</f>
        <v>44209</v>
      </c>
      <c r="AX35" s="113" cm="1">
        <f t="array" ref="AX35">IFERROR(INDEX('Capacity Backing (Hide)'!$A$5:$A$56,COLUMN(AQ1),1),"")</f>
        <v>44216</v>
      </c>
      <c r="AY35" s="113" cm="1">
        <f t="array" ref="AY35">IFERROR(INDEX('Capacity Backing (Hide)'!$A$5:$A$56,COLUMN(AR1),1),"")</f>
        <v>44223</v>
      </c>
      <c r="AZ35" s="113" cm="1">
        <f t="array" ref="AZ35">IFERROR(INDEX('Capacity Backing (Hide)'!$A$5:$A$56,COLUMN(AS1),1),"")</f>
        <v>44230</v>
      </c>
      <c r="BA35" s="113" cm="1">
        <f t="array" ref="BA35">IFERROR(INDEX('Capacity Backing (Hide)'!$A$5:$A$56,COLUMN(AT1),1),"")</f>
        <v>44237</v>
      </c>
      <c r="BB35" s="113" cm="1">
        <f t="array" ref="BB35">IFERROR(INDEX('Capacity Backing (Hide)'!$A$5:$A$56,COLUMN(AU1),1),"")</f>
        <v>44244</v>
      </c>
      <c r="BC35" s="113" cm="1">
        <f t="array" ref="BC35">IFERROR(INDEX('Capacity Backing (Hide)'!$A$5:$A$56,COLUMN(AV1),1),"")</f>
        <v>44251</v>
      </c>
      <c r="BD35" s="113" cm="1">
        <f t="array" ref="BD35">IFERROR(INDEX('Capacity Backing (Hide)'!$A$5:$A$56,COLUMN(AW1),1),"")</f>
        <v>44258</v>
      </c>
      <c r="BE35" s="113" cm="1">
        <f t="array" ref="BE35">IFERROR(INDEX('Capacity Backing (Hide)'!$A$5:$A$56,COLUMN(AX1),1),"")</f>
        <v>44265</v>
      </c>
      <c r="BF35" s="113" cm="1">
        <f t="array" ref="BF35">IFERROR(INDEX('Capacity Backing (Hide)'!$A$5:$A$56,COLUMN(AY1),1),"")</f>
        <v>44272</v>
      </c>
      <c r="BG35" s="114" cm="1">
        <f t="array" ref="BG35">IFERROR(INDEX('Capacity Backing (Hide)'!$A$5:$A$56,COLUMN(AZ1),1),"")</f>
        <v>44279</v>
      </c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29">
        <f>IF(C36="","",IF($B$3="All "&amp;Setup!$B$15,Capacity!V7,Capacity!W7))</f>
        <v>2907.6923076923076</v>
      </c>
      <c r="E36" s="29">
        <f>IF(B36="","",IF(COUNTBLANK($H36:$BG36)=52,52,COUNTA($H$36:$BG$36)))</f>
        <v>22</v>
      </c>
      <c r="F36" s="115">
        <f>IF(E36&gt;C36,Capacity!U7/'Capacity Summary'!E36,IF(Capacity!T7=0,"",Capacity!T7))</f>
        <v>3600</v>
      </c>
      <c r="H36" s="150" t="s">
        <v>225</v>
      </c>
      <c r="I36" s="150" t="s">
        <v>225</v>
      </c>
      <c r="J36" s="150" t="s">
        <v>225</v>
      </c>
      <c r="K36" s="150" t="s">
        <v>225</v>
      </c>
      <c r="L36" s="150" t="s">
        <v>225</v>
      </c>
      <c r="M36" s="150" t="s">
        <v>225</v>
      </c>
      <c r="N36" s="150" t="s">
        <v>225</v>
      </c>
      <c r="O36" s="150" t="s">
        <v>225</v>
      </c>
      <c r="P36" s="150" t="s">
        <v>225</v>
      </c>
      <c r="Q36" s="150" t="s">
        <v>225</v>
      </c>
      <c r="R36" s="150" t="s">
        <v>225</v>
      </c>
      <c r="S36" s="150" t="s">
        <v>225</v>
      </c>
      <c r="T36" s="150" t="s">
        <v>225</v>
      </c>
      <c r="U36" s="150" t="s">
        <v>225</v>
      </c>
      <c r="V36" s="150" t="s">
        <v>225</v>
      </c>
      <c r="W36" s="150" t="s">
        <v>225</v>
      </c>
      <c r="X36" s="150" t="s">
        <v>225</v>
      </c>
      <c r="Y36" s="150" t="s">
        <v>225</v>
      </c>
      <c r="Z36" s="150" t="s">
        <v>225</v>
      </c>
      <c r="AA36" s="150" t="s">
        <v>225</v>
      </c>
      <c r="AB36" s="150" t="s">
        <v>225</v>
      </c>
      <c r="AC36" s="150" t="s">
        <v>225</v>
      </c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29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5">
        <f>IF(E37&gt;C37,Capacity!U8/'Capacity Summary'!E37,IF(Capacity!T8=0,"",Capacity!T8))</f>
        <v>3392.3076923076924</v>
      </c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29" t="str">
        <f>IF(C38="","",IF($B$3="All "&amp;Setup!$B$15,Capacity!V9,Capacity!W9))</f>
        <v/>
      </c>
      <c r="E38" s="29" t="str">
        <f t="shared" si="0"/>
        <v/>
      </c>
      <c r="F38" s="115" t="str">
        <f>IF(E38&gt;C38,Capacity!U9/'Capacity Summary'!E38,IF(Capacity!T9=0,"",Capacity!T9))</f>
        <v/>
      </c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0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29" t="str">
        <f>IF(C39="","",IF($B$3="All "&amp;Setup!$B$15,Capacity!V10,Capacity!W10))</f>
        <v/>
      </c>
      <c r="E39" s="29" t="str">
        <f t="shared" si="0"/>
        <v/>
      </c>
      <c r="F39" s="115" t="str">
        <f>IF(E39&gt;C39,Capacity!U10/'Capacity Summary'!E39,IF(Capacity!T10=0,"",Capacity!T10))</f>
        <v/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29" t="str">
        <f>IF(C40="","",IF($B$3="All "&amp;Setup!$B$15,Capacity!V11,Capacity!W11))</f>
        <v/>
      </c>
      <c r="E40" s="29" t="str">
        <f t="shared" si="0"/>
        <v/>
      </c>
      <c r="F40" s="115" t="str">
        <f>IF(E40&gt;C40,Capacity!U11/'Capacity Summary'!E40,IF(Capacity!T11=0,"",Capacity!T11))</f>
        <v/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29" t="str">
        <f>IF(C41="","",IF($B$3="All "&amp;Setup!$B$15,Capacity!V12,Capacity!W12))</f>
        <v/>
      </c>
      <c r="E41" s="29" t="str">
        <f t="shared" si="0"/>
        <v/>
      </c>
      <c r="F41" s="115" t="str">
        <f>IF(E41&gt;C41,Capacity!U12/'Capacity Summary'!E41,IF(Capacity!T12=0,"",Capacity!T12))</f>
        <v/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29" t="str">
        <f>IF(C42="","",IF($B$3="All "&amp;Setup!$B$15,Capacity!V13,Capacity!W13))</f>
        <v/>
      </c>
      <c r="E42" s="29" t="str">
        <f t="shared" si="0"/>
        <v/>
      </c>
      <c r="F42" s="115" t="str">
        <f>IF(E42&gt;C42,Capacity!U13/'Capacity Summary'!E42,IF(Capacity!T13=0,"",Capacity!T13))</f>
        <v/>
      </c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  <c r="AS42" s="150"/>
      <c r="AT42" s="150"/>
      <c r="AU42" s="150"/>
      <c r="AV42" s="150"/>
      <c r="AW42" s="150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29" t="str">
        <f>IF(C43="","",IF($B$3="All "&amp;Setup!$B$15,Capacity!V14,Capacity!W14))</f>
        <v/>
      </c>
      <c r="E43" s="29" t="str">
        <f t="shared" si="0"/>
        <v/>
      </c>
      <c r="F43" s="115" t="str">
        <f>IF(E43&gt;C43,Capacity!U14/'Capacity Summary'!E43,IF(Capacity!T14=0,"",Capacity!T14))</f>
        <v/>
      </c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150"/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29" t="str">
        <f>IF(C44="","",IF($B$3="All "&amp;Setup!$B$15,Capacity!V15,Capacity!W15))</f>
        <v/>
      </c>
      <c r="E44" s="29" t="str">
        <f t="shared" si="0"/>
        <v/>
      </c>
      <c r="F44" s="115" t="str">
        <f>IF(E44&gt;C44,Capacity!U15/'Capacity Summary'!E44,IF(Capacity!T15=0,"",Capacity!T15))</f>
        <v/>
      </c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50"/>
      <c r="AM44" s="150"/>
      <c r="AN44" s="150"/>
      <c r="AO44" s="150"/>
      <c r="AP44" s="150"/>
      <c r="AQ44" s="150"/>
      <c r="AR44" s="150"/>
      <c r="AS44" s="150"/>
      <c r="AT44" s="150"/>
      <c r="AU44" s="150"/>
      <c r="AV44" s="150"/>
      <c r="AW44" s="150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29" t="str">
        <f>IF(C45="","",IF($B$3="All "&amp;Setup!$B$15,Capacity!V16,Capacity!W16))</f>
        <v/>
      </c>
      <c r="E45" s="29" t="str">
        <f t="shared" si="0"/>
        <v/>
      </c>
      <c r="F45" s="115" t="str">
        <f>IF(E45&gt;C45,Capacity!U16/'Capacity Summary'!E45,IF(Capacity!T16=0,"",Capacity!T16))</f>
        <v/>
      </c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  <c r="AI45" s="150"/>
      <c r="AJ45" s="150"/>
      <c r="AK45" s="150"/>
      <c r="AL45" s="150"/>
      <c r="AM45" s="150"/>
      <c r="AN45" s="150"/>
      <c r="AO45" s="150"/>
      <c r="AP45" s="150"/>
      <c r="AQ45" s="150"/>
      <c r="AR45" s="150"/>
      <c r="AS45" s="150"/>
      <c r="AT45" s="150"/>
      <c r="AU45" s="150"/>
      <c r="AV45" s="150"/>
      <c r="AW45" s="150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29" t="str">
        <f>IF(C46="","",IF($B$3="All "&amp;Setup!$B$15,Capacity!V17,Capacity!W17))</f>
        <v/>
      </c>
      <c r="E46" s="29" t="str">
        <f t="shared" si="0"/>
        <v/>
      </c>
      <c r="F46" s="115" t="str">
        <f>IF(E46&gt;C46,Capacity!U17/'Capacity Summary'!E46,IF(Capacity!T17=0,"",Capacity!T17))</f>
        <v/>
      </c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29" t="str">
        <f>IF(C47="","",IF($B$3="All "&amp;Setup!$B$15,Capacity!V18,Capacity!W18))</f>
        <v/>
      </c>
      <c r="E47" s="29" t="str">
        <f t="shared" si="0"/>
        <v/>
      </c>
      <c r="F47" s="115" t="str">
        <f>IF(E47&gt;C47,Capacity!U18/'Capacity Summary'!E47,IF(Capacity!T18=0,"",Capacity!T18))</f>
        <v/>
      </c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29" t="str">
        <f>IF(C48="","",IF($B$3="All "&amp;Setup!$B$15,Capacity!V19,Capacity!W19))</f>
        <v/>
      </c>
      <c r="E48" s="29" t="str">
        <f t="shared" si="0"/>
        <v/>
      </c>
      <c r="F48" s="115" t="str">
        <f>IF(E48&gt;C48,Capacity!U19/'Capacity Summary'!E48,IF(Capacity!T19=0,"",Capacity!T19))</f>
        <v/>
      </c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29" t="str">
        <f>IF(C49="","",IF($B$3="All "&amp;Setup!$B$15,Capacity!V20,Capacity!W20))</f>
        <v/>
      </c>
      <c r="E49" s="29" t="str">
        <f t="shared" si="0"/>
        <v/>
      </c>
      <c r="F49" s="115" t="str">
        <f>IF(E49&gt;C49,Capacity!U20/'Capacity Summary'!E49,IF(Capacity!T20=0,"",Capacity!T20))</f>
        <v/>
      </c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29" t="str">
        <f>IF(C50="","",IF($B$3="All "&amp;Setup!$B$15,Capacity!V21,Capacity!W21))</f>
        <v/>
      </c>
      <c r="E50" s="29" t="str">
        <f t="shared" si="0"/>
        <v/>
      </c>
      <c r="F50" s="115" t="str">
        <f>IF(E50&gt;C50,Capacity!U21/'Capacity Summary'!E50,IF(Capacity!T21=0,"",Capacity!T21))</f>
        <v/>
      </c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29" t="str">
        <f>IF(C51="","",IF($B$3="All "&amp;Setup!$B$15,Capacity!V22,Capacity!W22))</f>
        <v/>
      </c>
      <c r="E51" s="29" t="str">
        <f t="shared" si="0"/>
        <v/>
      </c>
      <c r="F51" s="115" t="str">
        <f>IF(E51&gt;C51,Capacity!U22/'Capacity Summary'!E51,IF(Capacity!T22=0,"",Capacity!T22))</f>
        <v/>
      </c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0"/>
      <c r="AP51" s="150"/>
      <c r="AQ51" s="150"/>
      <c r="AR51" s="150"/>
      <c r="AS51" s="150"/>
      <c r="AT51" s="150"/>
      <c r="AU51" s="150"/>
      <c r="AV51" s="150"/>
      <c r="AW51" s="150"/>
      <c r="AX51" s="150"/>
      <c r="AY51" s="150"/>
      <c r="AZ51" s="150"/>
      <c r="BA51" s="150"/>
      <c r="BB51" s="150"/>
      <c r="BC51" s="150"/>
      <c r="BD51" s="150"/>
      <c r="BE51" s="150"/>
      <c r="BF51" s="150"/>
      <c r="BG51" s="150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29" t="str">
        <f>IF(C52="","",IF($B$3="All "&amp;Setup!$B$15,Capacity!V23,Capacity!W23))</f>
        <v/>
      </c>
      <c r="E52" s="29" t="str">
        <f t="shared" si="0"/>
        <v/>
      </c>
      <c r="F52" s="115" t="str">
        <f>IF(E52&gt;C52,Capacity!U23/'Capacity Summary'!E52,IF(Capacity!T23=0,"",Capacity!T23))</f>
        <v/>
      </c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29" t="str">
        <f>IF(C53="","",IF($B$3="All "&amp;Setup!$B$15,Capacity!V24,Capacity!W24))</f>
        <v/>
      </c>
      <c r="E53" s="29" t="str">
        <f t="shared" si="0"/>
        <v/>
      </c>
      <c r="F53" s="115" t="str">
        <f>IF(E53&gt;C53,Capacity!U24/'Capacity Summary'!E53,IF(Capacity!T24=0,"",Capacity!T24))</f>
        <v/>
      </c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0"/>
      <c r="AV53" s="150"/>
      <c r="AW53" s="150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29" t="str">
        <f>IF(C54="","",IF($B$3="All "&amp;Setup!$B$15,Capacity!V25,Capacity!W25))</f>
        <v/>
      </c>
      <c r="E54" s="29" t="str">
        <f t="shared" si="0"/>
        <v/>
      </c>
      <c r="F54" s="115" t="str">
        <f>IF(E54&gt;C54,Capacity!U25/'Capacity Summary'!E54,IF(Capacity!T25=0,"",Capacity!T25))</f>
        <v/>
      </c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29" t="str">
        <f>IF(C55="","",IF($B$3="All "&amp;Setup!$B$15,Capacity!V26,Capacity!W26))</f>
        <v/>
      </c>
      <c r="E55" s="29" t="str">
        <f t="shared" si="0"/>
        <v/>
      </c>
      <c r="F55" s="115" t="str">
        <f>IF(E55&gt;C55,Capacity!U26/'Capacity Summary'!E55,IF(Capacity!T26=0,"",Capacity!T26))</f>
        <v/>
      </c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29" t="str">
        <f>IF(C56="","",IF($B$3="All "&amp;Setup!$B$15,Capacity!V27,Capacity!W27))</f>
        <v/>
      </c>
      <c r="E56" s="29" t="str">
        <f t="shared" si="0"/>
        <v/>
      </c>
      <c r="F56" s="115" t="str">
        <f>IF(E56&gt;C56,Capacity!U27/'Capacity Summary'!E56,IF(Capacity!T27=0,"",Capacity!T27))</f>
        <v/>
      </c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29" t="str">
        <f>IF(C57="","",IF($B$3="All "&amp;Setup!$B$15,Capacity!V28,Capacity!W28))</f>
        <v/>
      </c>
      <c r="E57" s="29" t="str">
        <f t="shared" si="0"/>
        <v/>
      </c>
      <c r="F57" s="115" t="str">
        <f>IF(E57&gt;C57,Capacity!U28/'Capacity Summary'!E57,IF(Capacity!T28=0,"",Capacity!T28))</f>
        <v/>
      </c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29" t="str">
        <f>IF(C58="","",IF($B$3="All "&amp;Setup!$B$15,Capacity!V29,Capacity!W29))</f>
        <v/>
      </c>
      <c r="E58" s="29" t="str">
        <f t="shared" si="0"/>
        <v/>
      </c>
      <c r="F58" s="115" t="str">
        <f>IF(E58&gt;C58,Capacity!U29/'Capacity Summary'!E58,IF(Capacity!T29=0,"",Capacity!T29))</f>
        <v/>
      </c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0"/>
      <c r="AP58" s="150"/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29" t="str">
        <f>IF(C59="","",IF($B$3="All "&amp;Setup!$B$15,Capacity!V30,Capacity!W30))</f>
        <v/>
      </c>
      <c r="E59" s="29" t="str">
        <f t="shared" si="0"/>
        <v/>
      </c>
      <c r="F59" s="115" t="str">
        <f>IF(E59&gt;C59,Capacity!U30/'Capacity Summary'!E59,IF(Capacity!T30=0,"",Capacity!T30))</f>
        <v/>
      </c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29" t="str">
        <f>IF(C60="","",IF($B$3="All "&amp;Setup!$B$15,Capacity!V31,Capacity!W31))</f>
        <v/>
      </c>
      <c r="E60" s="29" t="str">
        <f t="shared" si="0"/>
        <v/>
      </c>
      <c r="F60" s="115" t="str">
        <f>IF(E60&gt;C60,Capacity!U31/'Capacity Summary'!E60,IF(Capacity!T31=0,"",Capacity!T31))</f>
        <v/>
      </c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29" t="str">
        <f>IF(C61="","",IF($B$3="All "&amp;Setup!$B$15,Capacity!V32,Capacity!W32))</f>
        <v/>
      </c>
      <c r="E61" s="29" t="str">
        <f t="shared" si="0"/>
        <v/>
      </c>
      <c r="F61" s="115" t="str">
        <f>IF(E61&gt;C61,Capacity!U32/'Capacity Summary'!E61,IF(Capacity!T32=0,"",Capacity!T32))</f>
        <v/>
      </c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E61" s="150"/>
      <c r="BF61" s="150"/>
      <c r="BG61" s="150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29" t="str">
        <f>IF(C62="","",IF($B$3="All "&amp;Setup!$B$15,Capacity!V33,Capacity!W33))</f>
        <v/>
      </c>
      <c r="E62" s="29" t="str">
        <f t="shared" si="0"/>
        <v/>
      </c>
      <c r="F62" s="115" t="str">
        <f>IF(E62&gt;C62,Capacity!U33/'Capacity Summary'!E62,IF(Capacity!T33=0,"",Capacity!T33))</f>
        <v/>
      </c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29" t="str">
        <f>IF(C63="","",IF($B$3="All "&amp;Setup!$B$15,Capacity!V34,Capacity!W34))</f>
        <v/>
      </c>
      <c r="E63" s="29" t="str">
        <f t="shared" si="0"/>
        <v/>
      </c>
      <c r="F63" s="115" t="str">
        <f>IF(E63&gt;C63,Capacity!U34/'Capacity Summary'!E63,IF(Capacity!T34=0,"",Capacity!T34))</f>
        <v/>
      </c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29" t="str">
        <f>IF(C64="","",IF($B$3="All "&amp;Setup!$B$15,Capacity!V35,Capacity!W35))</f>
        <v/>
      </c>
      <c r="E64" s="29" t="str">
        <f t="shared" si="0"/>
        <v/>
      </c>
      <c r="F64" s="115" t="str">
        <f>IF(E64&gt;C64,Capacity!U35/'Capacity Summary'!E64,IF(Capacity!T35=0,"",Capacity!T35))</f>
        <v/>
      </c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150"/>
      <c r="AO64" s="150"/>
      <c r="AP64" s="150"/>
      <c r="AQ64" s="150"/>
      <c r="AR64" s="150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50"/>
      <c r="BF64" s="150"/>
      <c r="BG64" s="150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29" t="str">
        <f>IF(C65="","",IF($B$3="All "&amp;Setup!$B$15,Capacity!V36,Capacity!W36))</f>
        <v/>
      </c>
      <c r="E65" s="29" t="str">
        <f t="shared" si="0"/>
        <v/>
      </c>
      <c r="F65" s="115" t="str">
        <f>IF(E65&gt;C65,Capacity!U36/'Capacity Summary'!E65,IF(Capacity!T36=0,"",Capacity!T36))</f>
        <v/>
      </c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29" t="str">
        <f>IF(C66="","",IF($B$3="All "&amp;Setup!$B$15,Capacity!V37,Capacity!W37))</f>
        <v/>
      </c>
      <c r="E66" s="29" t="str">
        <f t="shared" si="0"/>
        <v/>
      </c>
      <c r="F66" s="115" t="str">
        <f>IF(E66&gt;C66,Capacity!U37/'Capacity Summary'!E66,IF(Capacity!T37=0,"",Capacity!T37))</f>
        <v/>
      </c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  <c r="AH66" s="150"/>
      <c r="AI66" s="150"/>
      <c r="AJ66" s="150"/>
      <c r="AK66" s="150"/>
      <c r="AL66" s="150"/>
      <c r="AM66" s="150"/>
      <c r="AN66" s="150"/>
      <c r="AO66" s="150"/>
      <c r="AP66" s="150"/>
      <c r="AQ66" s="150"/>
      <c r="AR66" s="150"/>
      <c r="AS66" s="150"/>
      <c r="AT66" s="150"/>
      <c r="AU66" s="150"/>
      <c r="AV66" s="150"/>
      <c r="AW66" s="150"/>
      <c r="AX66" s="150"/>
      <c r="AY66" s="150"/>
      <c r="AZ66" s="150"/>
      <c r="BA66" s="150"/>
      <c r="BB66" s="150"/>
      <c r="BC66" s="150"/>
      <c r="BD66" s="150"/>
      <c r="BE66" s="150"/>
      <c r="BF66" s="150"/>
      <c r="BG66" s="150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29" t="str">
        <f>IF(C67="","",IF($B$3="All "&amp;Setup!$B$15,Capacity!V38,Capacity!W38))</f>
        <v/>
      </c>
      <c r="E67" s="29" t="str">
        <f t="shared" si="0"/>
        <v/>
      </c>
      <c r="F67" s="115" t="str">
        <f>IF(E67&gt;C67,Capacity!U38/'Capacity Summary'!E67,IF(Capacity!T38=0,"",Capacity!T38))</f>
        <v/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29" t="str">
        <f>IF(C68="","",IF($B$3="All "&amp;Setup!$B$15,Capacity!V39,Capacity!W39))</f>
        <v/>
      </c>
      <c r="E68" s="29" t="str">
        <f t="shared" si="0"/>
        <v/>
      </c>
      <c r="F68" s="115" t="str">
        <f>IF(E68&gt;C68,Capacity!U39/'Capacity Summary'!E68,IF(Capacity!T39=0,"",Capacity!T39))</f>
        <v/>
      </c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29" t="str">
        <f>IF(C69="","",IF($B$3="All "&amp;Setup!$B$15,Capacity!V40,Capacity!W40))</f>
        <v/>
      </c>
      <c r="E69" s="29" t="str">
        <f t="shared" si="0"/>
        <v/>
      </c>
      <c r="F69" s="115" t="str">
        <f>IF(E69&gt;C69,Capacity!U40/'Capacity Summary'!E69,IF(Capacity!T40=0,"",Capacity!T40))</f>
        <v/>
      </c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29" t="str">
        <f>IF(C70="","",IF($B$3="All "&amp;Setup!$B$15,Capacity!V41,Capacity!W41))</f>
        <v/>
      </c>
      <c r="E70" s="29" t="str">
        <f t="shared" si="0"/>
        <v/>
      </c>
      <c r="F70" s="115" t="str">
        <f>IF(E70&gt;C70,Capacity!U41/'Capacity Summary'!E70,IF(Capacity!T41=0,"",Capacity!T41))</f>
        <v/>
      </c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29" t="str">
        <f>IF(C71="","",IF($B$3="All "&amp;Setup!$B$15,Capacity!V42,Capacity!W42))</f>
        <v/>
      </c>
      <c r="E71" s="29" t="str">
        <f t="shared" si="0"/>
        <v/>
      </c>
      <c r="F71" s="115" t="str">
        <f>IF(E71&gt;C71,Capacity!U42/'Capacity Summary'!E71,IF(Capacity!T42=0,"",Capacity!T42))</f>
        <v/>
      </c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29" t="str">
        <f>IF(C72="","",IF($B$3="All "&amp;Setup!$B$15,Capacity!V43,Capacity!W43))</f>
        <v/>
      </c>
      <c r="E72" s="29" t="str">
        <f t="shared" si="0"/>
        <v/>
      </c>
      <c r="F72" s="115" t="str">
        <f>IF(E72&gt;C72,Capacity!U43/'Capacity Summary'!E72,IF(Capacity!T43=0,"",Capacity!T43))</f>
        <v/>
      </c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29" t="str">
        <f>IF(C73="","",IF($B$3="All "&amp;Setup!$B$15,Capacity!V44,Capacity!W44))</f>
        <v/>
      </c>
      <c r="E73" s="29" t="str">
        <f t="shared" si="0"/>
        <v/>
      </c>
      <c r="F73" s="115" t="str">
        <f>IF(E73&gt;C73,Capacity!U44/'Capacity Summary'!E73,IF(Capacity!T44=0,"",Capacity!T44))</f>
        <v/>
      </c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29" t="str">
        <f>IF(C74="","",IF($B$3="All "&amp;Setup!$B$15,Capacity!V45,Capacity!W45))</f>
        <v/>
      </c>
      <c r="E74" s="29" t="str">
        <f t="shared" si="0"/>
        <v/>
      </c>
      <c r="F74" s="115" t="str">
        <f>IF(E74&gt;C74,Capacity!U45/'Capacity Summary'!E74,IF(Capacity!T45=0,"",Capacity!T45))</f>
        <v/>
      </c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29" t="str">
        <f>IF(C75="","",IF($B$3="All "&amp;Setup!$B$15,Capacity!V46,Capacity!W46))</f>
        <v/>
      </c>
      <c r="E75" s="29" t="str">
        <f t="shared" si="0"/>
        <v/>
      </c>
      <c r="F75" s="115" t="str">
        <f>IF(E75&gt;C75,Capacity!U46/'Capacity Summary'!E75,IF(Capacity!T46=0,"",Capacity!T46))</f>
        <v/>
      </c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29" t="str">
        <f>IF(C76="","",IF($B$3="All "&amp;Setup!$B$15,Capacity!V47,Capacity!W47))</f>
        <v/>
      </c>
      <c r="E76" s="29" t="str">
        <f t="shared" si="0"/>
        <v/>
      </c>
      <c r="F76" s="115" t="str">
        <f>IF(E76&gt;C76,Capacity!U47/'Capacity Summary'!E76,IF(Capacity!T47=0,"",Capacity!T47))</f>
        <v/>
      </c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50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29" t="str">
        <f>IF(C77="","",IF($B$3="All "&amp;Setup!$B$15,Capacity!V48,Capacity!W48))</f>
        <v/>
      </c>
      <c r="E77" s="29" t="str">
        <f t="shared" si="0"/>
        <v/>
      </c>
      <c r="F77" s="115" t="str">
        <f>IF(E77&gt;C77,Capacity!U48/'Capacity Summary'!E77,IF(Capacity!T48=0,"",Capacity!T48))</f>
        <v/>
      </c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29" t="str">
        <f>IF(C78="","",IF($B$3="All "&amp;Setup!$B$15,Capacity!V49,Capacity!W49))</f>
        <v/>
      </c>
      <c r="E78" s="29" t="str">
        <f t="shared" si="0"/>
        <v/>
      </c>
      <c r="F78" s="115" t="str">
        <f>IF(E78&gt;C78,Capacity!U49/'Capacity Summary'!E78,IF(Capacity!T49=0,"",Capacity!T49))</f>
        <v/>
      </c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150"/>
      <c r="AO78" s="150"/>
      <c r="AP78" s="150"/>
      <c r="AQ78" s="150"/>
      <c r="AR78" s="150"/>
      <c r="AS78" s="150"/>
      <c r="AT78" s="150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29" t="str">
        <f>IF(C79="","",IF($B$3="All "&amp;Setup!$B$15,Capacity!V50,Capacity!W50))</f>
        <v/>
      </c>
      <c r="E79" s="29" t="str">
        <f t="shared" si="0"/>
        <v/>
      </c>
      <c r="F79" s="115" t="str">
        <f>IF(E79&gt;C79,Capacity!U50/'Capacity Summary'!E79,IF(Capacity!T50=0,"",Capacity!T50))</f>
        <v/>
      </c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29" t="str">
        <f>IF(C80="","",IF($B$3="All "&amp;Setup!$B$15,Capacity!V51,Capacity!W51))</f>
        <v/>
      </c>
      <c r="E80" s="29" t="str">
        <f t="shared" si="0"/>
        <v/>
      </c>
      <c r="F80" s="115" t="str">
        <f>IF(E80&gt;C80,Capacity!U51/'Capacity Summary'!E80,IF(Capacity!T51=0,"",Capacity!T51))</f>
        <v/>
      </c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  <c r="AH80" s="150"/>
      <c r="AI80" s="150"/>
      <c r="AJ80" s="150"/>
      <c r="AK80" s="150"/>
      <c r="AL80" s="150"/>
      <c r="AM80" s="150"/>
      <c r="AN80" s="150"/>
      <c r="AO80" s="150"/>
      <c r="AP80" s="150"/>
      <c r="AQ80" s="150"/>
      <c r="AR80" s="150"/>
      <c r="AS80" s="150"/>
      <c r="AT80" s="150"/>
      <c r="AU80" s="150"/>
      <c r="AV80" s="150"/>
      <c r="AW80" s="150"/>
      <c r="AX80" s="150"/>
      <c r="AY80" s="150"/>
      <c r="AZ80" s="150"/>
      <c r="BA80" s="150"/>
      <c r="BB80" s="150"/>
      <c r="BC80" s="150"/>
      <c r="BD80" s="150"/>
      <c r="BE80" s="150"/>
      <c r="BF80" s="150"/>
      <c r="BG80" s="150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29" t="str">
        <f>IF(C81="","",IF($B$3="All "&amp;Setup!$B$15,Capacity!V52,Capacity!W52))</f>
        <v/>
      </c>
      <c r="E81" s="29" t="str">
        <f t="shared" si="0"/>
        <v/>
      </c>
      <c r="F81" s="115" t="str">
        <f>IF(E81&gt;C81,Capacity!U52/'Capacity Summary'!E81,IF(Capacity!T52=0,"",Capacity!T52))</f>
        <v/>
      </c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150"/>
      <c r="AQ81" s="150"/>
      <c r="AR81" s="150"/>
      <c r="AS81" s="150"/>
      <c r="AT81" s="150"/>
      <c r="AU81" s="150"/>
      <c r="AV81" s="150"/>
      <c r="AW81" s="150"/>
      <c r="AX81" s="150"/>
      <c r="AY81" s="150"/>
      <c r="AZ81" s="150"/>
      <c r="BA81" s="150"/>
      <c r="BB81" s="150"/>
      <c r="BC81" s="150"/>
      <c r="BD81" s="150"/>
      <c r="BE81" s="150"/>
      <c r="BF81" s="150"/>
      <c r="BG81" s="150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29" t="str">
        <f>IF(C82="","",IF($B$3="All "&amp;Setup!$B$15,Capacity!V53,Capacity!W53))</f>
        <v/>
      </c>
      <c r="E82" s="29" t="str">
        <f t="shared" si="0"/>
        <v/>
      </c>
      <c r="F82" s="115" t="str">
        <f>IF(E82&gt;C82,Capacity!U53/'Capacity Summary'!E82,IF(Capacity!T53=0,"",Capacity!T53))</f>
        <v/>
      </c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0"/>
      <c r="BC82" s="150"/>
      <c r="BD82" s="150"/>
      <c r="BE82" s="150"/>
      <c r="BF82" s="150"/>
      <c r="BG82" s="150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29" t="str">
        <f>IF(C83="","",IF($B$3="All "&amp;Setup!$B$15,Capacity!V54,Capacity!W54))</f>
        <v/>
      </c>
      <c r="E83" s="29" t="str">
        <f t="shared" si="0"/>
        <v/>
      </c>
      <c r="F83" s="115" t="str">
        <f>IF(E83&gt;C83,Capacity!U54/'Capacity Summary'!E83,IF(Capacity!T54=0,"",Capacity!T54))</f>
        <v/>
      </c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29" t="str">
        <f>IF(C84="","",IF($B$3="All "&amp;Setup!$B$15,Capacity!V55,Capacity!W55))</f>
        <v/>
      </c>
      <c r="E84" s="29" t="str">
        <f t="shared" si="0"/>
        <v/>
      </c>
      <c r="F84" s="115" t="str">
        <f>IF(E84&gt;C84,Capacity!U55/'Capacity Summary'!E84,IF(Capacity!T55=0,"",Capacity!T55))</f>
        <v/>
      </c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0"/>
      <c r="BC84" s="150"/>
      <c r="BD84" s="150"/>
      <c r="BE84" s="150"/>
      <c r="BF84" s="150"/>
      <c r="BG84" s="150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29" t="str">
        <f>IF(C85="","",IF($B$3="All "&amp;Setup!$B$15,Capacity!V56,Capacity!W56))</f>
        <v/>
      </c>
      <c r="E85" s="29" t="str">
        <f t="shared" si="0"/>
        <v/>
      </c>
      <c r="F85" s="115" t="str">
        <f>IF(E85&gt;C85,Capacity!U56/'Capacity Summary'!E85,IF(Capacity!T56=0,"",Capacity!T56))</f>
        <v/>
      </c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0"/>
      <c r="BC85" s="150"/>
      <c r="BD85" s="150"/>
      <c r="BE85" s="150"/>
      <c r="BF85" s="150"/>
      <c r="BG85" s="150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29" t="str">
        <f>IF(C86="","",IF($B$3="All "&amp;Setup!$B$15,Capacity!V57,Capacity!W57))</f>
        <v/>
      </c>
      <c r="E86" s="29" t="str">
        <f t="shared" si="0"/>
        <v/>
      </c>
      <c r="F86" s="115" t="str">
        <f>IF(E86&gt;C86,Capacity!U57/'Capacity Summary'!E86,IF(Capacity!T57=0,"",Capacity!T57))</f>
        <v/>
      </c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29" t="str">
        <f>IF(C87="","",IF($B$3="All "&amp;Setup!$B$15,Capacity!V58,Capacity!W58))</f>
        <v/>
      </c>
      <c r="E87" s="29" t="str">
        <f t="shared" si="0"/>
        <v/>
      </c>
      <c r="F87" s="115" t="str">
        <f>IF(E87&gt;C87,Capacity!U58/'Capacity Summary'!E87,IF(Capacity!T58=0,"",Capacity!T58))</f>
        <v/>
      </c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50"/>
      <c r="AT87" s="150"/>
      <c r="AU87" s="150"/>
      <c r="AV87" s="150"/>
      <c r="AW87" s="150"/>
      <c r="AX87" s="150"/>
      <c r="AY87" s="150"/>
      <c r="AZ87" s="150"/>
      <c r="BA87" s="150"/>
      <c r="BB87" s="150"/>
      <c r="BC87" s="150"/>
      <c r="BD87" s="150"/>
      <c r="BE87" s="150"/>
      <c r="BF87" s="150"/>
      <c r="BG87" s="150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29" t="str">
        <f>IF(C88="","",IF($B$3="All "&amp;Setup!$B$15,Capacity!V59,Capacity!W59))</f>
        <v/>
      </c>
      <c r="E88" s="29" t="str">
        <f t="shared" si="0"/>
        <v/>
      </c>
      <c r="F88" s="115" t="str">
        <f>IF(E88&gt;C88,Capacity!U59/'Capacity Summary'!E88,IF(Capacity!T59=0,"",Capacity!T59))</f>
        <v/>
      </c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29" t="str">
        <f>IF(C89="","",IF($B$3="All "&amp;Setup!$B$15,Capacity!V60,Capacity!W60))</f>
        <v/>
      </c>
      <c r="E89" s="29" t="str">
        <f t="shared" si="0"/>
        <v/>
      </c>
      <c r="F89" s="115" t="str">
        <f>IF(E89&gt;C89,Capacity!U60/'Capacity Summary'!E89,IF(Capacity!T60=0,"",Capacity!T60))</f>
        <v/>
      </c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29" t="str">
        <f>IF(C90="","",IF($B$3="All "&amp;Setup!$B$15,Capacity!V61,Capacity!W61))</f>
        <v/>
      </c>
      <c r="E90" s="29" t="str">
        <f t="shared" si="0"/>
        <v/>
      </c>
      <c r="F90" s="115" t="str">
        <f>IF(E90&gt;C90,Capacity!U61/'Capacity Summary'!E90,IF(Capacity!T61=0,"",Capacity!T61))</f>
        <v/>
      </c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29" t="str">
        <f>IF(C91="","",IF($B$3="All "&amp;Setup!$B$15,Capacity!V62,Capacity!W62))</f>
        <v/>
      </c>
      <c r="E91" s="29" t="str">
        <f t="shared" si="0"/>
        <v/>
      </c>
      <c r="F91" s="115" t="str">
        <f>IF(E91&gt;C91,Capacity!U62/'Capacity Summary'!E91,IF(Capacity!T62=0,"",Capacity!T62))</f>
        <v/>
      </c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29" t="str">
        <f>IF(C92="","",IF($B$3="All "&amp;Setup!$B$15,Capacity!V63,Capacity!W63))</f>
        <v/>
      </c>
      <c r="E92" s="29" t="str">
        <f t="shared" si="0"/>
        <v/>
      </c>
      <c r="F92" s="115" t="str">
        <f>IF(E92&gt;C92,Capacity!U63/'Capacity Summary'!E92,IF(Capacity!T63=0,"",Capacity!T63))</f>
        <v/>
      </c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29" t="str">
        <f>IF(C93="","",IF($B$3="All "&amp;Setup!$B$15,Capacity!V64,Capacity!W64))</f>
        <v/>
      </c>
      <c r="E93" s="29" t="str">
        <f t="shared" si="0"/>
        <v/>
      </c>
      <c r="F93" s="115" t="str">
        <f>IF(E93&gt;C93,Capacity!U64/'Capacity Summary'!E93,IF(Capacity!T64=0,"",Capacity!T64))</f>
        <v/>
      </c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29" t="str">
        <f>IF(C94="","",IF($B$3="All "&amp;Setup!$B$15,Capacity!V65,Capacity!W65))</f>
        <v/>
      </c>
      <c r="E94" s="29" t="str">
        <f t="shared" si="0"/>
        <v/>
      </c>
      <c r="F94" s="115" t="str">
        <f>IF(E94&gt;C94,Capacity!U65/'Capacity Summary'!E94,IF(Capacity!T65=0,"",Capacity!T65))</f>
        <v/>
      </c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29" t="str">
        <f>IF(C95="","",IF($B$3="All "&amp;Setup!$B$15,Capacity!V66,Capacity!W66))</f>
        <v/>
      </c>
      <c r="E95" s="29" t="str">
        <f t="shared" si="0"/>
        <v/>
      </c>
      <c r="F95" s="115" t="str">
        <f>IF(E95&gt;C95,Capacity!U66/'Capacity Summary'!E95,IF(Capacity!T66=0,"",Capacity!T66))</f>
        <v/>
      </c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29" t="str">
        <f>IF(C96="","",IF($B$3="All "&amp;Setup!$B$15,Capacity!V67,Capacity!W67))</f>
        <v/>
      </c>
      <c r="E96" s="29" t="str">
        <f t="shared" si="0"/>
        <v/>
      </c>
      <c r="F96" s="115" t="str">
        <f>IF(E96&gt;C96,Capacity!U67/'Capacity Summary'!E96,IF(Capacity!T67=0,"",Capacity!T67))</f>
        <v/>
      </c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50"/>
      <c r="AT96" s="150"/>
      <c r="AU96" s="150"/>
      <c r="AV96" s="150"/>
      <c r="AW96" s="150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29" t="str">
        <f>IF(C97="","",IF($B$3="All "&amp;Setup!$B$15,Capacity!V68,Capacity!W68))</f>
        <v/>
      </c>
      <c r="E97" s="29" t="str">
        <f t="shared" si="0"/>
        <v/>
      </c>
      <c r="F97" s="115" t="str">
        <f>IF(E97&gt;C97,Capacity!U68/'Capacity Summary'!E97,IF(Capacity!T68=0,"",Capacity!T68))</f>
        <v/>
      </c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50"/>
      <c r="AT97" s="150"/>
      <c r="AU97" s="150"/>
      <c r="AV97" s="150"/>
      <c r="AW97" s="150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29" t="str">
        <f>IF(C98="","",IF($B$3="All "&amp;Setup!$B$15,Capacity!V69,Capacity!W69))</f>
        <v/>
      </c>
      <c r="E98" s="29" t="str">
        <f t="shared" si="0"/>
        <v/>
      </c>
      <c r="F98" s="115" t="str">
        <f>IF(E98&gt;C98,Capacity!U69/'Capacity Summary'!E98,IF(Capacity!T69=0,"",Capacity!T69))</f>
        <v/>
      </c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50"/>
      <c r="AT98" s="150"/>
      <c r="AU98" s="150"/>
      <c r="AV98" s="150"/>
      <c r="AW98" s="150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29" t="str">
        <f>IF(C99="","",IF($B$3="All "&amp;Setup!$B$15,Capacity!V70,Capacity!W70))</f>
        <v/>
      </c>
      <c r="E99" s="29" t="str">
        <f t="shared" si="0"/>
        <v/>
      </c>
      <c r="F99" s="115" t="str">
        <f>IF(E99&gt;C99,Capacity!U70/'Capacity Summary'!E99,IF(Capacity!T70=0,"",Capacity!T70))</f>
        <v/>
      </c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50"/>
      <c r="AT99" s="150"/>
      <c r="AU99" s="150"/>
      <c r="AV99" s="150"/>
      <c r="AW99" s="150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29" t="str">
        <f>IF(C100="","",IF($B$3="All "&amp;Setup!$B$15,Capacity!V71,Capacity!W71))</f>
        <v/>
      </c>
      <c r="E100" s="29" t="str">
        <f t="shared" si="0"/>
        <v/>
      </c>
      <c r="F100" s="115" t="str">
        <f>IF(E100&gt;C100,Capacity!U71/'Capacity Summary'!E100,IF(Capacity!T71=0,"",Capacity!T71))</f>
        <v/>
      </c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50"/>
      <c r="AT100" s="150"/>
      <c r="AU100" s="150"/>
      <c r="AV100" s="150"/>
      <c r="AW100" s="150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29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5" t="str">
        <f>IF(E101&gt;C101,Capacity!U72/'Capacity Summary'!E101,IF(Capacity!T72=0,"",Capacity!T72))</f>
        <v/>
      </c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29" t="str">
        <f>IF(C102="","",IF($B$3="All "&amp;Setup!$B$15,Capacity!V73,Capacity!W73))</f>
        <v/>
      </c>
      <c r="E102" s="29" t="str">
        <f t="shared" si="1"/>
        <v/>
      </c>
      <c r="F102" s="115" t="str">
        <f>IF(E102&gt;C102,Capacity!U73/'Capacity Summary'!E102,IF(Capacity!T73=0,"",Capacity!T73))</f>
        <v/>
      </c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29" t="str">
        <f>IF(C103="","",IF($B$3="All "&amp;Setup!$B$15,Capacity!V74,Capacity!W74))</f>
        <v/>
      </c>
      <c r="E103" s="29" t="str">
        <f t="shared" si="1"/>
        <v/>
      </c>
      <c r="F103" s="115" t="str">
        <f>IF(E103&gt;C103,Capacity!U74/'Capacity Summary'!E103,IF(Capacity!T74=0,"",Capacity!T74))</f>
        <v/>
      </c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  <c r="AI103" s="150"/>
      <c r="AJ103" s="150"/>
      <c r="AK103" s="150"/>
      <c r="AL103" s="150"/>
      <c r="AM103" s="150"/>
      <c r="AN103" s="150"/>
      <c r="AO103" s="150"/>
      <c r="AP103" s="150"/>
      <c r="AQ103" s="150"/>
      <c r="AR103" s="150"/>
      <c r="AS103" s="150"/>
      <c r="AT103" s="150"/>
      <c r="AU103" s="150"/>
      <c r="AV103" s="150"/>
      <c r="AW103" s="150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29" t="str">
        <f>IF(C104="","",IF($B$3="All "&amp;Setup!$B$15,Capacity!V75,Capacity!W75))</f>
        <v/>
      </c>
      <c r="E104" s="29" t="str">
        <f t="shared" si="1"/>
        <v/>
      </c>
      <c r="F104" s="115" t="str">
        <f>IF(E104&gt;C104,Capacity!U75/'Capacity Summary'!E104,IF(Capacity!T75=0,"",Capacity!T75))</f>
        <v/>
      </c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150"/>
      <c r="AO104" s="150"/>
      <c r="AP104" s="150"/>
      <c r="AQ104" s="150"/>
      <c r="AR104" s="150"/>
      <c r="AS104" s="150"/>
      <c r="AT104" s="150"/>
      <c r="AU104" s="150"/>
      <c r="AV104" s="150"/>
      <c r="AW104" s="150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29" t="str">
        <f>IF(C105="","",IF($B$3="All "&amp;Setup!$B$15,Capacity!V76,Capacity!W76))</f>
        <v/>
      </c>
      <c r="E105" s="29" t="str">
        <f t="shared" si="1"/>
        <v/>
      </c>
      <c r="F105" s="115" t="str">
        <f>IF(E105&gt;C105,Capacity!U76/'Capacity Summary'!E105,IF(Capacity!T76=0,"",Capacity!T76))</f>
        <v/>
      </c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29" t="str">
        <f>IF(C106="","",IF($B$3="All "&amp;Setup!$B$15,Capacity!V77,Capacity!W77))</f>
        <v/>
      </c>
      <c r="E106" s="29" t="str">
        <f t="shared" si="1"/>
        <v/>
      </c>
      <c r="F106" s="115" t="str">
        <f>IF(E106&gt;C106,Capacity!U77/'Capacity Summary'!E106,IF(Capacity!T77=0,"",Capacity!T77))</f>
        <v/>
      </c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  <c r="AI106" s="150"/>
      <c r="AJ106" s="150"/>
      <c r="AK106" s="150"/>
      <c r="AL106" s="150"/>
      <c r="AM106" s="150"/>
      <c r="AN106" s="150"/>
      <c r="AO106" s="150"/>
      <c r="AP106" s="150"/>
      <c r="AQ106" s="150"/>
      <c r="AR106" s="150"/>
      <c r="AS106" s="150"/>
      <c r="AT106" s="150"/>
      <c r="AU106" s="150"/>
      <c r="AV106" s="150"/>
      <c r="AW106" s="150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29" t="str">
        <f>IF(C107="","",IF($B$3="All "&amp;Setup!$B$15,Capacity!V78,Capacity!W78))</f>
        <v/>
      </c>
      <c r="E107" s="29" t="str">
        <f t="shared" si="1"/>
        <v/>
      </c>
      <c r="F107" s="115" t="str">
        <f>IF(E107&gt;C107,Capacity!U78/'Capacity Summary'!E107,IF(Capacity!T78=0,"",Capacity!T78))</f>
        <v/>
      </c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  <c r="AS107" s="150"/>
      <c r="AT107" s="150"/>
      <c r="AU107" s="150"/>
      <c r="AV107" s="150"/>
      <c r="AW107" s="150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29" t="str">
        <f>IF(C108="","",IF($B$3="All "&amp;Setup!$B$15,Capacity!V79,Capacity!W79))</f>
        <v/>
      </c>
      <c r="E108" s="29" t="str">
        <f t="shared" si="1"/>
        <v/>
      </c>
      <c r="F108" s="115" t="str">
        <f>IF(E108&gt;C108,Capacity!U79/'Capacity Summary'!E108,IF(Capacity!T79=0,"",Capacity!T79))</f>
        <v/>
      </c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  <c r="AI108" s="150"/>
      <c r="AJ108" s="150"/>
      <c r="AK108" s="150"/>
      <c r="AL108" s="150"/>
      <c r="AM108" s="150"/>
      <c r="AN108" s="150"/>
      <c r="AO108" s="150"/>
      <c r="AP108" s="150"/>
      <c r="AQ108" s="150"/>
      <c r="AR108" s="150"/>
      <c r="AS108" s="150"/>
      <c r="AT108" s="150"/>
      <c r="AU108" s="150"/>
      <c r="AV108" s="150"/>
      <c r="AW108" s="150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29" t="str">
        <f>IF(C109="","",IF($B$3="All "&amp;Setup!$B$15,Capacity!V80,Capacity!W80))</f>
        <v/>
      </c>
      <c r="E109" s="29" t="str">
        <f t="shared" si="1"/>
        <v/>
      </c>
      <c r="F109" s="115" t="str">
        <f>IF(E109&gt;C109,Capacity!U80/'Capacity Summary'!E109,IF(Capacity!T80=0,"",Capacity!T80))</f>
        <v/>
      </c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29" t="str">
        <f>IF(C110="","",IF($B$3="All "&amp;Setup!$B$15,Capacity!V81,Capacity!W81))</f>
        <v/>
      </c>
      <c r="E110" s="29" t="str">
        <f t="shared" si="1"/>
        <v/>
      </c>
      <c r="F110" s="115" t="str">
        <f>IF(E110&gt;C110,Capacity!U81/'Capacity Summary'!E110,IF(Capacity!T81=0,"",Capacity!T81))</f>
        <v/>
      </c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29" t="str">
        <f>IF(C111="","",IF($B$3="All "&amp;Setup!$B$15,Capacity!V82,Capacity!W82))</f>
        <v/>
      </c>
      <c r="E111" s="29" t="str">
        <f t="shared" si="1"/>
        <v/>
      </c>
      <c r="F111" s="115" t="str">
        <f>IF(E111&gt;C111,Capacity!U82/'Capacity Summary'!E111,IF(Capacity!T82=0,"",Capacity!T82))</f>
        <v/>
      </c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  <c r="AH111" s="150"/>
      <c r="AI111" s="150"/>
      <c r="AJ111" s="150"/>
      <c r="AK111" s="150"/>
      <c r="AL111" s="150"/>
      <c r="AM111" s="150"/>
      <c r="AN111" s="150"/>
      <c r="AO111" s="150"/>
      <c r="AP111" s="150"/>
      <c r="AQ111" s="150"/>
      <c r="AR111" s="150"/>
      <c r="AS111" s="150"/>
      <c r="AT111" s="150"/>
      <c r="AU111" s="150"/>
      <c r="AV111" s="150"/>
      <c r="AW111" s="150"/>
      <c r="AX111" s="150"/>
      <c r="AY111" s="150"/>
      <c r="AZ111" s="150"/>
      <c r="BA111" s="150"/>
      <c r="BB111" s="150"/>
      <c r="BC111" s="150"/>
      <c r="BD111" s="150"/>
      <c r="BE111" s="150"/>
      <c r="BF111" s="150"/>
      <c r="BG111" s="150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29" t="str">
        <f>IF(C112="","",IF($B$3="All "&amp;Setup!$B$15,Capacity!V83,Capacity!W83))</f>
        <v/>
      </c>
      <c r="E112" s="29" t="str">
        <f t="shared" si="1"/>
        <v/>
      </c>
      <c r="F112" s="115" t="str">
        <f>IF(E112&gt;C112,Capacity!U83/'Capacity Summary'!E112,IF(Capacity!T83=0,"",Capacity!T83))</f>
        <v/>
      </c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29" t="str">
        <f>IF(C113="","",IF($B$3="All "&amp;Setup!$B$15,Capacity!V84,Capacity!W84))</f>
        <v/>
      </c>
      <c r="E113" s="29" t="str">
        <f t="shared" si="1"/>
        <v/>
      </c>
      <c r="F113" s="115" t="str">
        <f>IF(E113&gt;C113,Capacity!U84/'Capacity Summary'!E113,IF(Capacity!T84=0,"",Capacity!T84))</f>
        <v/>
      </c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  <c r="AS113" s="150"/>
      <c r="AT113" s="150"/>
      <c r="AU113" s="150"/>
      <c r="AV113" s="150"/>
      <c r="AW113" s="150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29" t="str">
        <f>IF(C114="","",IF($B$3="All "&amp;Setup!$B$15,Capacity!V85,Capacity!W85))</f>
        <v/>
      </c>
      <c r="E114" s="29" t="str">
        <f t="shared" si="1"/>
        <v/>
      </c>
      <c r="F114" s="115" t="str">
        <f>IF(E114&gt;C114,Capacity!U85/'Capacity Summary'!E114,IF(Capacity!T85=0,"",Capacity!T85))</f>
        <v/>
      </c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  <c r="AS114" s="150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29" t="str">
        <f>IF(C115="","",IF($B$3="All "&amp;Setup!$B$15,Capacity!V86,Capacity!W86))</f>
        <v/>
      </c>
      <c r="E115" s="29" t="str">
        <f t="shared" si="1"/>
        <v/>
      </c>
      <c r="F115" s="115" t="str">
        <f>IF(E115&gt;C115,Capacity!U86/'Capacity Summary'!E115,IF(Capacity!T86=0,"",Capacity!T86))</f>
        <v/>
      </c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  <c r="AI115" s="150"/>
      <c r="AJ115" s="150"/>
      <c r="AK115" s="150"/>
      <c r="AL115" s="150"/>
      <c r="AM115" s="150"/>
      <c r="AN115" s="150"/>
      <c r="AO115" s="150"/>
      <c r="AP115" s="150"/>
      <c r="AQ115" s="150"/>
      <c r="AR115" s="150"/>
      <c r="AS115" s="150"/>
      <c r="AT115" s="150"/>
      <c r="AU115" s="150"/>
      <c r="AV115" s="150"/>
      <c r="AW115" s="150"/>
      <c r="AX115" s="150"/>
      <c r="AY115" s="150"/>
      <c r="AZ115" s="150"/>
      <c r="BA115" s="150"/>
      <c r="BB115" s="150"/>
      <c r="BC115" s="150"/>
      <c r="BD115" s="150"/>
      <c r="BE115" s="150"/>
      <c r="BF115" s="150"/>
      <c r="BG115" s="150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29" t="str">
        <f>IF(C116="","",IF($B$3="All "&amp;Setup!$B$15,Capacity!V87,Capacity!W87))</f>
        <v/>
      </c>
      <c r="E116" s="29" t="str">
        <f t="shared" si="1"/>
        <v/>
      </c>
      <c r="F116" s="115" t="str">
        <f>IF(E116&gt;C116,Capacity!U87/'Capacity Summary'!E116,IF(Capacity!T87=0,"",Capacity!T87))</f>
        <v/>
      </c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  <c r="AI116" s="150"/>
      <c r="AJ116" s="150"/>
      <c r="AK116" s="150"/>
      <c r="AL116" s="150"/>
      <c r="AM116" s="150"/>
      <c r="AN116" s="150"/>
      <c r="AO116" s="150"/>
      <c r="AP116" s="150"/>
      <c r="AQ116" s="150"/>
      <c r="AR116" s="150"/>
      <c r="AS116" s="150"/>
      <c r="AT116" s="150"/>
      <c r="AU116" s="150"/>
      <c r="AV116" s="150"/>
      <c r="AW116" s="150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29" t="str">
        <f>IF(C117="","",IF($B$3="All "&amp;Setup!$B$15,Capacity!V88,Capacity!W88))</f>
        <v/>
      </c>
      <c r="E117" s="29" t="str">
        <f t="shared" si="1"/>
        <v/>
      </c>
      <c r="F117" s="115" t="str">
        <f>IF(E117&gt;C117,Capacity!U88/'Capacity Summary'!E117,IF(Capacity!T88=0,"",Capacity!T88))</f>
        <v/>
      </c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  <c r="AT117" s="150"/>
      <c r="AU117" s="150"/>
      <c r="AV117" s="150"/>
      <c r="AW117" s="150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29" t="str">
        <f>IF(C118="","",IF($B$3="All "&amp;Setup!$B$15,Capacity!V89,Capacity!W89))</f>
        <v/>
      </c>
      <c r="E118" s="29" t="str">
        <f t="shared" si="1"/>
        <v/>
      </c>
      <c r="F118" s="115" t="str">
        <f>IF(E118&gt;C118,Capacity!U89/'Capacity Summary'!E118,IF(Capacity!T89=0,"",Capacity!T89))</f>
        <v/>
      </c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  <c r="AS118" s="150"/>
      <c r="AT118" s="150"/>
      <c r="AU118" s="150"/>
      <c r="AV118" s="150"/>
      <c r="AW118" s="150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29" t="str">
        <f>IF(C119="","",IF($B$3="All "&amp;Setup!$B$15,Capacity!V90,Capacity!W90))</f>
        <v/>
      </c>
      <c r="E119" s="29" t="str">
        <f t="shared" si="1"/>
        <v/>
      </c>
      <c r="F119" s="115" t="str">
        <f>IF(E119&gt;C119,Capacity!U90/'Capacity Summary'!E119,IF(Capacity!T90=0,"",Capacity!T90))</f>
        <v/>
      </c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  <c r="AS119" s="150"/>
      <c r="AT119" s="150"/>
      <c r="AU119" s="150"/>
      <c r="AV119" s="150"/>
      <c r="AW119" s="150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29" t="str">
        <f>IF(C120="","",IF($B$3="All "&amp;Setup!$B$15,Capacity!V91,Capacity!W91))</f>
        <v/>
      </c>
      <c r="E120" s="29" t="str">
        <f t="shared" si="1"/>
        <v/>
      </c>
      <c r="F120" s="115" t="str">
        <f>IF(E120&gt;C120,Capacity!U91/'Capacity Summary'!E120,IF(Capacity!T91=0,"",Capacity!T91))</f>
        <v/>
      </c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  <c r="AS120" s="150"/>
      <c r="AT120" s="150"/>
      <c r="AU120" s="150"/>
      <c r="AV120" s="150"/>
      <c r="AW120" s="150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29" t="str">
        <f>IF(C121="","",IF($B$3="All "&amp;Setup!$B$15,Capacity!V92,Capacity!W92))</f>
        <v/>
      </c>
      <c r="E121" s="29" t="str">
        <f t="shared" si="1"/>
        <v/>
      </c>
      <c r="F121" s="115" t="str">
        <f>IF(E121&gt;C121,Capacity!U92/'Capacity Summary'!E121,IF(Capacity!T92=0,"",Capacity!T92))</f>
        <v/>
      </c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  <c r="AH121" s="150"/>
      <c r="AI121" s="150"/>
      <c r="AJ121" s="150"/>
      <c r="AK121" s="150"/>
      <c r="AL121" s="150"/>
      <c r="AM121" s="150"/>
      <c r="AN121" s="150"/>
      <c r="AO121" s="150"/>
      <c r="AP121" s="150"/>
      <c r="AQ121" s="150"/>
      <c r="AR121" s="150"/>
      <c r="AS121" s="150"/>
      <c r="AT121" s="150"/>
      <c r="AU121" s="150"/>
      <c r="AV121" s="150"/>
      <c r="AW121" s="150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29" t="str">
        <f>IF(C122="","",IF($B$3="All "&amp;Setup!$B$15,Capacity!V93,Capacity!W93))</f>
        <v/>
      </c>
      <c r="E122" s="29" t="str">
        <f t="shared" si="1"/>
        <v/>
      </c>
      <c r="F122" s="115" t="str">
        <f>IF(E122&gt;C122,Capacity!U93/'Capacity Summary'!E122,IF(Capacity!T93=0,"",Capacity!T93))</f>
        <v/>
      </c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29" t="str">
        <f>IF(C123="","",IF($B$3="All "&amp;Setup!$B$15,Capacity!V94,Capacity!W94))</f>
        <v/>
      </c>
      <c r="E123" s="29" t="str">
        <f t="shared" si="1"/>
        <v/>
      </c>
      <c r="F123" s="115" t="str">
        <f>IF(E123&gt;C123,Capacity!U94/'Capacity Summary'!E123,IF(Capacity!T94=0,"",Capacity!T94))</f>
        <v/>
      </c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0"/>
      <c r="AL123" s="150"/>
      <c r="AM123" s="150"/>
      <c r="AN123" s="150"/>
      <c r="AO123" s="150"/>
      <c r="AP123" s="150"/>
      <c r="AQ123" s="150"/>
      <c r="AR123" s="150"/>
      <c r="AS123" s="150"/>
      <c r="AT123" s="150"/>
      <c r="AU123" s="150"/>
      <c r="AV123" s="150"/>
      <c r="AW123" s="150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29" t="str">
        <f>IF(C124="","",IF($B$3="All "&amp;Setup!$B$15,Capacity!V95,Capacity!W95))</f>
        <v/>
      </c>
      <c r="E124" s="29" t="str">
        <f t="shared" si="1"/>
        <v/>
      </c>
      <c r="F124" s="115" t="str">
        <f>IF(E124&gt;C124,Capacity!U95/'Capacity Summary'!E124,IF(Capacity!T95=0,"",Capacity!T95))</f>
        <v/>
      </c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150"/>
      <c r="AQ124" s="150"/>
      <c r="AR124" s="150"/>
      <c r="AS124" s="150"/>
      <c r="AT124" s="150"/>
      <c r="AU124" s="150"/>
      <c r="AV124" s="150"/>
      <c r="AW124" s="150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29" t="str">
        <f>IF(C125="","",IF($B$3="All "&amp;Setup!$B$15,Capacity!V96,Capacity!W96))</f>
        <v/>
      </c>
      <c r="E125" s="29" t="str">
        <f t="shared" si="1"/>
        <v/>
      </c>
      <c r="F125" s="115" t="str">
        <f>IF(E125&gt;C125,Capacity!U96/'Capacity Summary'!E125,IF(Capacity!T96=0,"",Capacity!T96))</f>
        <v/>
      </c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  <c r="AH125" s="150"/>
      <c r="AI125" s="150"/>
      <c r="AJ125" s="150"/>
      <c r="AK125" s="150"/>
      <c r="AL125" s="150"/>
      <c r="AM125" s="150"/>
      <c r="AN125" s="150"/>
      <c r="AO125" s="150"/>
      <c r="AP125" s="150"/>
      <c r="AQ125" s="150"/>
      <c r="AR125" s="150"/>
      <c r="AS125" s="150"/>
      <c r="AT125" s="150"/>
      <c r="AU125" s="150"/>
      <c r="AV125" s="150"/>
      <c r="AW125" s="150"/>
      <c r="AX125" s="150"/>
      <c r="AY125" s="150"/>
      <c r="AZ125" s="150"/>
      <c r="BA125" s="150"/>
      <c r="BB125" s="150"/>
      <c r="BC125" s="150"/>
      <c r="BD125" s="150"/>
      <c r="BE125" s="150"/>
      <c r="BF125" s="150"/>
      <c r="BG125" s="150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29" t="str">
        <f>IF(C126="","",IF($B$3="All "&amp;Setup!$B$15,Capacity!V97,Capacity!W97))</f>
        <v/>
      </c>
      <c r="E126" s="29" t="str">
        <f t="shared" si="1"/>
        <v/>
      </c>
      <c r="F126" s="115" t="str">
        <f>IF(E126&gt;C126,Capacity!U97/'Capacity Summary'!E126,IF(Capacity!T97=0,"",Capacity!T97))</f>
        <v/>
      </c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0"/>
      <c r="AL126" s="150"/>
      <c r="AM126" s="150"/>
      <c r="AN126" s="150"/>
      <c r="AO126" s="150"/>
      <c r="AP126" s="150"/>
      <c r="AQ126" s="150"/>
      <c r="AR126" s="150"/>
      <c r="AS126" s="150"/>
      <c r="AT126" s="150"/>
      <c r="AU126" s="150"/>
      <c r="AV126" s="150"/>
      <c r="AW126" s="150"/>
      <c r="AX126" s="150"/>
      <c r="AY126" s="150"/>
      <c r="AZ126" s="150"/>
      <c r="BA126" s="150"/>
      <c r="BB126" s="150"/>
      <c r="BC126" s="150"/>
      <c r="BD126" s="150"/>
      <c r="BE126" s="150"/>
      <c r="BF126" s="150"/>
      <c r="BG126" s="150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29" t="str">
        <f>IF(C127="","",IF($B$3="All "&amp;Setup!$B$15,Capacity!V98,Capacity!W98))</f>
        <v/>
      </c>
      <c r="E127" s="29" t="str">
        <f t="shared" si="1"/>
        <v/>
      </c>
      <c r="F127" s="115" t="str">
        <f>IF(E127&gt;C127,Capacity!U98/'Capacity Summary'!E127,IF(Capacity!T98=0,"",Capacity!T98))</f>
        <v/>
      </c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50"/>
      <c r="AN127" s="150"/>
      <c r="AO127" s="150"/>
      <c r="AP127" s="150"/>
      <c r="AQ127" s="150"/>
      <c r="AR127" s="150"/>
      <c r="AS127" s="150"/>
      <c r="AT127" s="150"/>
      <c r="AU127" s="150"/>
      <c r="AV127" s="150"/>
      <c r="AW127" s="150"/>
      <c r="AX127" s="150"/>
      <c r="AY127" s="150"/>
      <c r="AZ127" s="150"/>
      <c r="BA127" s="150"/>
      <c r="BB127" s="150"/>
      <c r="BC127" s="150"/>
      <c r="BD127" s="150"/>
      <c r="BE127" s="150"/>
      <c r="BF127" s="150"/>
      <c r="BG127" s="150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29" t="str">
        <f>IF(C128="","",IF($B$3="All "&amp;Setup!$B$15,Capacity!V99,Capacity!W99))</f>
        <v/>
      </c>
      <c r="E128" s="29" t="str">
        <f t="shared" si="1"/>
        <v/>
      </c>
      <c r="F128" s="115" t="str">
        <f>IF(E128&gt;C128,Capacity!U99/'Capacity Summary'!E128,IF(Capacity!T99=0,"",Capacity!T99))</f>
        <v/>
      </c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  <c r="AH128" s="150"/>
      <c r="AI128" s="150"/>
      <c r="AJ128" s="150"/>
      <c r="AK128" s="150"/>
      <c r="AL128" s="150"/>
      <c r="AM128" s="150"/>
      <c r="AN128" s="150"/>
      <c r="AO128" s="150"/>
      <c r="AP128" s="150"/>
      <c r="AQ128" s="150"/>
      <c r="AR128" s="150"/>
      <c r="AS128" s="150"/>
      <c r="AT128" s="150"/>
      <c r="AU128" s="150"/>
      <c r="AV128" s="150"/>
      <c r="AW128" s="150"/>
      <c r="AX128" s="150"/>
      <c r="AY128" s="150"/>
      <c r="AZ128" s="150"/>
      <c r="BA128" s="150"/>
      <c r="BB128" s="150"/>
      <c r="BC128" s="150"/>
      <c r="BD128" s="150"/>
      <c r="BE128" s="150"/>
      <c r="BF128" s="150"/>
      <c r="BG128" s="150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29" t="str">
        <f>IF(C129="","",IF($B$3="All "&amp;Setup!$B$15,Capacity!V100,Capacity!W100))</f>
        <v/>
      </c>
      <c r="E129" s="29" t="str">
        <f t="shared" si="1"/>
        <v/>
      </c>
      <c r="F129" s="115" t="str">
        <f>IF(E129&gt;C129,Capacity!U100/'Capacity Summary'!E129,IF(Capacity!T100=0,"",Capacity!T100))</f>
        <v/>
      </c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  <c r="AH129" s="150"/>
      <c r="AI129" s="150"/>
      <c r="AJ129" s="150"/>
      <c r="AK129" s="150"/>
      <c r="AL129" s="150"/>
      <c r="AM129" s="150"/>
      <c r="AN129" s="150"/>
      <c r="AO129" s="150"/>
      <c r="AP129" s="150"/>
      <c r="AQ129" s="150"/>
      <c r="AR129" s="150"/>
      <c r="AS129" s="150"/>
      <c r="AT129" s="150"/>
      <c r="AU129" s="150"/>
      <c r="AV129" s="150"/>
      <c r="AW129" s="150"/>
      <c r="AX129" s="150"/>
      <c r="AY129" s="150"/>
      <c r="AZ129" s="150"/>
      <c r="BA129" s="150"/>
      <c r="BB129" s="150"/>
      <c r="BC129" s="150"/>
      <c r="BD129" s="150"/>
      <c r="BE129" s="150"/>
      <c r="BF129" s="150"/>
      <c r="BG129" s="150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29" t="str">
        <f>IF(C130="","",IF($B$3="All "&amp;Setup!$B$15,Capacity!V101,Capacity!W101))</f>
        <v/>
      </c>
      <c r="E130" s="29" t="str">
        <f t="shared" si="1"/>
        <v/>
      </c>
      <c r="F130" s="115" t="str">
        <f>IF(E130&gt;C130,Capacity!U101/'Capacity Summary'!E130,IF(Capacity!T101=0,"",Capacity!T101))</f>
        <v/>
      </c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  <c r="AS130" s="150"/>
      <c r="AT130" s="150"/>
      <c r="AU130" s="150"/>
      <c r="AV130" s="150"/>
      <c r="AW130" s="150"/>
      <c r="AX130" s="150"/>
      <c r="AY130" s="150"/>
      <c r="AZ130" s="150"/>
      <c r="BA130" s="150"/>
      <c r="BB130" s="150"/>
      <c r="BC130" s="150"/>
      <c r="BD130" s="150"/>
      <c r="BE130" s="150"/>
      <c r="BF130" s="150"/>
      <c r="BG130" s="150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29" t="str">
        <f>IF(C131="","",IF($B$3="All "&amp;Setup!$B$15,Capacity!V102,Capacity!W102))</f>
        <v/>
      </c>
      <c r="E131" s="29" t="str">
        <f t="shared" si="1"/>
        <v/>
      </c>
      <c r="F131" s="115" t="str">
        <f>IF(E131&gt;C131,Capacity!U102/'Capacity Summary'!E131,IF(Capacity!T102=0,"",Capacity!T102))</f>
        <v/>
      </c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  <c r="AS131" s="150"/>
      <c r="AT131" s="150"/>
      <c r="AU131" s="150"/>
      <c r="AV131" s="150"/>
      <c r="AW131" s="150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29" t="str">
        <f>IF(C132="","",IF($B$3="All "&amp;Setup!$B$15,Capacity!V103,Capacity!W103))</f>
        <v/>
      </c>
      <c r="E132" s="29" t="str">
        <f t="shared" si="1"/>
        <v/>
      </c>
      <c r="F132" s="115" t="str">
        <f>IF(E132&gt;C132,Capacity!U103/'Capacity Summary'!E132,IF(Capacity!T103=0,"",Capacity!T103))</f>
        <v/>
      </c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  <c r="AI132" s="150"/>
      <c r="AJ132" s="150"/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  <c r="AU132" s="150"/>
      <c r="AV132" s="150"/>
      <c r="AW132" s="150"/>
      <c r="AX132" s="150"/>
      <c r="AY132" s="150"/>
      <c r="AZ132" s="150"/>
      <c r="BA132" s="150"/>
      <c r="BB132" s="150"/>
      <c r="BC132" s="150"/>
      <c r="BD132" s="150"/>
      <c r="BE132" s="150"/>
      <c r="BF132" s="150"/>
      <c r="BG132" s="150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29" t="str">
        <f>IF(C133="","",IF($B$3="All "&amp;Setup!$B$15,Capacity!V104,Capacity!W104))</f>
        <v/>
      </c>
      <c r="E133" s="29" t="str">
        <f t="shared" si="1"/>
        <v/>
      </c>
      <c r="F133" s="115" t="str">
        <f>IF(E133&gt;C133,Capacity!U104/'Capacity Summary'!E133,IF(Capacity!T104=0,"",Capacity!T104))</f>
        <v/>
      </c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  <c r="AI133" s="150"/>
      <c r="AJ133" s="150"/>
      <c r="AK133" s="150"/>
      <c r="AL133" s="150"/>
      <c r="AM133" s="150"/>
      <c r="AN133" s="150"/>
      <c r="AO133" s="150"/>
      <c r="AP133" s="150"/>
      <c r="AQ133" s="150"/>
      <c r="AR133" s="150"/>
      <c r="AS133" s="150"/>
      <c r="AT133" s="150"/>
      <c r="AU133" s="150"/>
      <c r="AV133" s="150"/>
      <c r="AW133" s="150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29" t="str">
        <f>IF(C134="","",IF($B$3="All "&amp;Setup!$B$15,Capacity!V105,Capacity!W105))</f>
        <v/>
      </c>
      <c r="E134" s="29" t="str">
        <f t="shared" si="1"/>
        <v/>
      </c>
      <c r="F134" s="115" t="str">
        <f>IF(E134&gt;C134,Capacity!U105/'Capacity Summary'!E134,IF(Capacity!T105=0,"",Capacity!T105))</f>
        <v/>
      </c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0"/>
      <c r="AL134" s="150"/>
      <c r="AM134" s="150"/>
      <c r="AN134" s="150"/>
      <c r="AO134" s="150"/>
      <c r="AP134" s="150"/>
      <c r="AQ134" s="150"/>
      <c r="AR134" s="150"/>
      <c r="AS134" s="150"/>
      <c r="AT134" s="150"/>
      <c r="AU134" s="150"/>
      <c r="AV134" s="150"/>
      <c r="AW134" s="150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29" t="str">
        <f>IF(C135="","",IF($B$3="All "&amp;Setup!$B$15,Capacity!V106,Capacity!W106))</f>
        <v/>
      </c>
      <c r="E135" s="29" t="str">
        <f t="shared" si="1"/>
        <v/>
      </c>
      <c r="F135" s="115" t="str">
        <f>IF(E135&gt;C135,Capacity!U106/'Capacity Summary'!E135,IF(Capacity!T106=0,"",Capacity!T106))</f>
        <v/>
      </c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  <c r="AI135" s="150"/>
      <c r="AJ135" s="150"/>
      <c r="AK135" s="150"/>
      <c r="AL135" s="150"/>
      <c r="AM135" s="150"/>
      <c r="AN135" s="150"/>
      <c r="AO135" s="150"/>
      <c r="AP135" s="150"/>
      <c r="AQ135" s="150"/>
      <c r="AR135" s="150"/>
      <c r="AS135" s="150"/>
      <c r="AT135" s="150"/>
      <c r="AU135" s="150"/>
      <c r="AV135" s="150"/>
      <c r="AW135" s="150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</row>
    <row r="136" spans="1:59" x14ac:dyDescent="0.35"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  <c r="AH136" s="152"/>
      <c r="AI136" s="152"/>
      <c r="AJ136" s="152"/>
      <c r="AK136" s="152"/>
      <c r="AL136" s="152"/>
      <c r="AM136" s="152"/>
      <c r="AN136" s="152"/>
      <c r="AO136" s="152"/>
      <c r="AP136" s="152"/>
      <c r="AQ136" s="152"/>
      <c r="AR136" s="152"/>
      <c r="AS136" s="152"/>
      <c r="AT136" s="152"/>
      <c r="AU136" s="152"/>
      <c r="AV136" s="152"/>
      <c r="AW136" s="152"/>
      <c r="AX136" s="152"/>
      <c r="AY136" s="152"/>
      <c r="AZ136" s="152"/>
      <c r="BA136" s="152"/>
      <c r="BB136" s="152"/>
      <c r="BC136" s="152"/>
      <c r="BD136" s="152"/>
      <c r="BE136" s="152"/>
      <c r="BF136" s="152"/>
      <c r="BG136" s="152"/>
    </row>
    <row r="137" spans="1:59" ht="15" hidden="1" thickBot="1" x14ac:dyDescent="0.4">
      <c r="C137" s="177" t="s">
        <v>202</v>
      </c>
      <c r="D137" s="178"/>
      <c r="E137" s="177" t="s">
        <v>203</v>
      </c>
      <c r="F137" s="178"/>
    </row>
    <row r="138" spans="1:59" ht="58" hidden="1" thickBot="1" x14ac:dyDescent="0.4">
      <c r="A138" s="122" t="s">
        <v>210</v>
      </c>
      <c r="B138" s="57" t="s">
        <v>200</v>
      </c>
      <c r="C138" s="78" t="s">
        <v>201</v>
      </c>
      <c r="D138" s="78" t="s">
        <v>204</v>
      </c>
      <c r="E138" s="78" t="s">
        <v>201</v>
      </c>
      <c r="F138" s="78" t="s">
        <v>204</v>
      </c>
      <c r="H138" s="112" cm="1">
        <f t="array" ref="H138">IFERROR(INDEX('Capacity Backing (Hide)'!$A$5:$A$56,COLUMN(A104),1),"")</f>
        <v>43922</v>
      </c>
      <c r="I138" s="113" cm="1">
        <f t="array" ref="I138">IFERROR(INDEX('Capacity Backing (Hide)'!$A$5:$A$56,COLUMN(B104),1),"")</f>
        <v>43929</v>
      </c>
      <c r="J138" s="113" cm="1">
        <f t="array" ref="J138">IFERROR(INDEX('Capacity Backing (Hide)'!$A$5:$A$56,COLUMN(C104),1),"")</f>
        <v>43936</v>
      </c>
      <c r="K138" s="113" cm="1">
        <f t="array" ref="K138">IFERROR(INDEX('Capacity Backing (Hide)'!$A$5:$A$56,COLUMN(D104),1),"")</f>
        <v>43943</v>
      </c>
      <c r="L138" s="113" cm="1">
        <f t="array" ref="L138">IFERROR(INDEX('Capacity Backing (Hide)'!$A$5:$A$56,COLUMN(E104),1),"")</f>
        <v>43950</v>
      </c>
      <c r="M138" s="113" cm="1">
        <f t="array" ref="M138">IFERROR(INDEX('Capacity Backing (Hide)'!$A$5:$A$56,COLUMN(F104),1),"")</f>
        <v>43957</v>
      </c>
      <c r="N138" s="113" cm="1">
        <f t="array" ref="N138">IFERROR(INDEX('Capacity Backing (Hide)'!$A$5:$A$56,COLUMN(G104),1),"")</f>
        <v>43964</v>
      </c>
      <c r="O138" s="113" cm="1">
        <f t="array" ref="O138">IFERROR(INDEX('Capacity Backing (Hide)'!$A$5:$A$56,COLUMN(H104),1),"")</f>
        <v>43971</v>
      </c>
      <c r="P138" s="113" cm="1">
        <f t="array" ref="P138">IFERROR(INDEX('Capacity Backing (Hide)'!$A$5:$A$56,COLUMN(I104),1),"")</f>
        <v>43978</v>
      </c>
      <c r="Q138" s="113" cm="1">
        <f t="array" ref="Q138">IFERROR(INDEX('Capacity Backing (Hide)'!$A$5:$A$56,COLUMN(J104),1),"")</f>
        <v>43985</v>
      </c>
      <c r="R138" s="113" cm="1">
        <f t="array" ref="R138">IFERROR(INDEX('Capacity Backing (Hide)'!$A$5:$A$56,COLUMN(K104),1),"")</f>
        <v>43992</v>
      </c>
      <c r="S138" s="113" cm="1">
        <f t="array" ref="S138">IFERROR(INDEX('Capacity Backing (Hide)'!$A$5:$A$56,COLUMN(L104),1),"")</f>
        <v>43999</v>
      </c>
      <c r="T138" s="113" cm="1">
        <f t="array" ref="T138">IFERROR(INDEX('Capacity Backing (Hide)'!$A$5:$A$56,COLUMN(M104),1),"")</f>
        <v>44006</v>
      </c>
      <c r="U138" s="113" cm="1">
        <f t="array" ref="U138">IFERROR(INDEX('Capacity Backing (Hide)'!$A$5:$A$56,COLUMN(N104),1),"")</f>
        <v>44013</v>
      </c>
      <c r="V138" s="113" cm="1">
        <f t="array" ref="V138">IFERROR(INDEX('Capacity Backing (Hide)'!$A$5:$A$56,COLUMN(O104),1),"")</f>
        <v>44020</v>
      </c>
      <c r="W138" s="113" cm="1">
        <f t="array" ref="W138">IFERROR(INDEX('Capacity Backing (Hide)'!$A$5:$A$56,COLUMN(P104),1),"")</f>
        <v>44027</v>
      </c>
      <c r="X138" s="113" cm="1">
        <f t="array" ref="X138">IFERROR(INDEX('Capacity Backing (Hide)'!$A$5:$A$56,COLUMN(Q104),1),"")</f>
        <v>44034</v>
      </c>
      <c r="Y138" s="113" cm="1">
        <f t="array" ref="Y138">IFERROR(INDEX('Capacity Backing (Hide)'!$A$5:$A$56,COLUMN(R104),1),"")</f>
        <v>44041</v>
      </c>
      <c r="Z138" s="113" cm="1">
        <f t="array" ref="Z138">IFERROR(INDEX('Capacity Backing (Hide)'!$A$5:$A$56,COLUMN(S104),1),"")</f>
        <v>44048</v>
      </c>
      <c r="AA138" s="113" cm="1">
        <f t="array" ref="AA138">IFERROR(INDEX('Capacity Backing (Hide)'!$A$5:$A$56,COLUMN(T104),1),"")</f>
        <v>44055</v>
      </c>
      <c r="AB138" s="113" cm="1">
        <f t="array" ref="AB138">IFERROR(INDEX('Capacity Backing (Hide)'!$A$5:$A$56,COLUMN(U104),1),"")</f>
        <v>44062</v>
      </c>
      <c r="AC138" s="113" cm="1">
        <f t="array" ref="AC138">IFERROR(INDEX('Capacity Backing (Hide)'!$A$5:$A$56,COLUMN(V104),1),"")</f>
        <v>44069</v>
      </c>
      <c r="AD138" s="113" cm="1">
        <f t="array" ref="AD138">IFERROR(INDEX('Capacity Backing (Hide)'!$A$5:$A$56,COLUMN(W104),1),"")</f>
        <v>44076</v>
      </c>
      <c r="AE138" s="113" cm="1">
        <f t="array" ref="AE138">IFERROR(INDEX('Capacity Backing (Hide)'!$A$5:$A$56,COLUMN(X104),1),"")</f>
        <v>44083</v>
      </c>
      <c r="AF138" s="113" cm="1">
        <f t="array" ref="AF138">IFERROR(INDEX('Capacity Backing (Hide)'!$A$5:$A$56,COLUMN(Y104),1),"")</f>
        <v>44090</v>
      </c>
      <c r="AG138" s="113" cm="1">
        <f t="array" ref="AG138">IFERROR(INDEX('Capacity Backing (Hide)'!$A$5:$A$56,COLUMN(Z104),1),"")</f>
        <v>44097</v>
      </c>
      <c r="AH138" s="113" cm="1">
        <f t="array" ref="AH138">IFERROR(INDEX('Capacity Backing (Hide)'!$A$5:$A$56,COLUMN(AA104),1),"")</f>
        <v>44104</v>
      </c>
      <c r="AI138" s="113" cm="1">
        <f t="array" ref="AI138">IFERROR(INDEX('Capacity Backing (Hide)'!$A$5:$A$56,COLUMN(AB104),1),"")</f>
        <v>44111</v>
      </c>
      <c r="AJ138" s="113" cm="1">
        <f t="array" ref="AJ138">IFERROR(INDEX('Capacity Backing (Hide)'!$A$5:$A$56,COLUMN(AC104),1),"")</f>
        <v>44118</v>
      </c>
      <c r="AK138" s="113" cm="1">
        <f t="array" ref="AK138">IFERROR(INDEX('Capacity Backing (Hide)'!$A$5:$A$56,COLUMN(AD104),1),"")</f>
        <v>44125</v>
      </c>
      <c r="AL138" s="113" cm="1">
        <f t="array" ref="AL138">IFERROR(INDEX('Capacity Backing (Hide)'!$A$5:$A$56,COLUMN(AE104),1),"")</f>
        <v>44132</v>
      </c>
      <c r="AM138" s="113" cm="1">
        <f t="array" ref="AM138">IFERROR(INDEX('Capacity Backing (Hide)'!$A$5:$A$56,COLUMN(AF104),1),"")</f>
        <v>44139</v>
      </c>
      <c r="AN138" s="113" cm="1">
        <f t="array" ref="AN138">IFERROR(INDEX('Capacity Backing (Hide)'!$A$5:$A$56,COLUMN(AG104),1),"")</f>
        <v>44146</v>
      </c>
      <c r="AO138" s="113" cm="1">
        <f t="array" ref="AO138">IFERROR(INDEX('Capacity Backing (Hide)'!$A$5:$A$56,COLUMN(AH104),1),"")</f>
        <v>44153</v>
      </c>
      <c r="AP138" s="113" cm="1">
        <f t="array" ref="AP138">IFERROR(INDEX('Capacity Backing (Hide)'!$A$5:$A$56,COLUMN(AI104),1),"")</f>
        <v>44160</v>
      </c>
      <c r="AQ138" s="113" cm="1">
        <f t="array" ref="AQ138">IFERROR(INDEX('Capacity Backing (Hide)'!$A$5:$A$56,COLUMN(AJ104),1),"")</f>
        <v>44167</v>
      </c>
      <c r="AR138" s="113" cm="1">
        <f t="array" ref="AR138">IFERROR(INDEX('Capacity Backing (Hide)'!$A$5:$A$56,COLUMN(AK104),1),"")</f>
        <v>44174</v>
      </c>
      <c r="AS138" s="113" cm="1">
        <f t="array" ref="AS138">IFERROR(INDEX('Capacity Backing (Hide)'!$A$5:$A$56,COLUMN(AL104),1),"")</f>
        <v>44181</v>
      </c>
      <c r="AT138" s="113" cm="1">
        <f t="array" ref="AT138">IFERROR(INDEX('Capacity Backing (Hide)'!$A$5:$A$56,COLUMN(AM104),1),"")</f>
        <v>44188</v>
      </c>
      <c r="AU138" s="113" cm="1">
        <f t="array" ref="AU138">IFERROR(INDEX('Capacity Backing (Hide)'!$A$5:$A$56,COLUMN(AN104),1),"")</f>
        <v>44195</v>
      </c>
      <c r="AV138" s="113" cm="1">
        <f t="array" ref="AV138">IFERROR(INDEX('Capacity Backing (Hide)'!$A$5:$A$56,COLUMN(AO104),1),"")</f>
        <v>44202</v>
      </c>
      <c r="AW138" s="113" cm="1">
        <f t="array" ref="AW138">IFERROR(INDEX('Capacity Backing (Hide)'!$A$5:$A$56,COLUMN(AP104),1),"")</f>
        <v>44209</v>
      </c>
      <c r="AX138" s="113" cm="1">
        <f t="array" ref="AX138">IFERROR(INDEX('Capacity Backing (Hide)'!$A$5:$A$56,COLUMN(AQ104),1),"")</f>
        <v>44216</v>
      </c>
      <c r="AY138" s="113" cm="1">
        <f t="array" ref="AY138">IFERROR(INDEX('Capacity Backing (Hide)'!$A$5:$A$56,COLUMN(AR104),1),"")</f>
        <v>44223</v>
      </c>
      <c r="AZ138" s="113" cm="1">
        <f t="array" ref="AZ138">IFERROR(INDEX('Capacity Backing (Hide)'!$A$5:$A$56,COLUMN(AS104),1),"")</f>
        <v>44230</v>
      </c>
      <c r="BA138" s="113" cm="1">
        <f t="array" ref="BA138">IFERROR(INDEX('Capacity Backing (Hide)'!$A$5:$A$56,COLUMN(AT104),1),"")</f>
        <v>44237</v>
      </c>
      <c r="BB138" s="113" cm="1">
        <f t="array" ref="BB138">IFERROR(INDEX('Capacity Backing (Hide)'!$A$5:$A$56,COLUMN(AU104),1),"")</f>
        <v>44244</v>
      </c>
      <c r="BC138" s="113" cm="1">
        <f t="array" ref="BC138">IFERROR(INDEX('Capacity Backing (Hide)'!$A$5:$A$56,COLUMN(AV104),1),"")</f>
        <v>44251</v>
      </c>
      <c r="BD138" s="113" cm="1">
        <f t="array" ref="BD138">IFERROR(INDEX('Capacity Backing (Hide)'!$A$5:$A$56,COLUMN(AW104),1),"")</f>
        <v>44258</v>
      </c>
      <c r="BE138" s="113" cm="1">
        <f t="array" ref="BE138">IFERROR(INDEX('Capacity Backing (Hide)'!$A$5:$A$56,COLUMN(AX104),1),"")</f>
        <v>44265</v>
      </c>
      <c r="BF138" s="113" cm="1">
        <f t="array" ref="BF138">IFERROR(INDEX('Capacity Backing (Hide)'!$A$5:$A$56,COLUMN(AY104),1),"")</f>
        <v>44272</v>
      </c>
      <c r="BG138" s="114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5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5" t="str">
        <f>IF(E139&gt;C139,Capacity!AR7/'Capacity Summary'!E139,IF(Capacity!AQ7=0,"",Capacity!AQ7))</f>
        <v/>
      </c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5" t="str">
        <f>IF(E140&gt;C140,Capacity!AR8/'Capacity Summary'!E140,IF(Capacity!AQ8=0,"",Capacity!AQ8))</f>
        <v/>
      </c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5" t="str">
        <f>IF(E141&gt;C141,Capacity!AR9/'Capacity Summary'!E141,IF(Capacity!AQ9=0,"",Capacity!AQ9))</f>
        <v/>
      </c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5" t="str">
        <f>IF(E142&gt;C142,Capacity!AR10/'Capacity Summary'!E142,IF(Capacity!AQ10=0,"",Capacity!AQ10))</f>
        <v/>
      </c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5" t="str">
        <f>IF(E143&gt;C143,Capacity!AR11/'Capacity Summary'!E143,IF(Capacity!AQ11=0,"",Capacity!AQ11))</f>
        <v/>
      </c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5" t="str">
        <f>IF(E144&gt;C144,Capacity!AR12/'Capacity Summary'!E144,IF(Capacity!AQ12=0,"",Capacity!AQ12))</f>
        <v/>
      </c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5" t="str">
        <f>IF(E145&gt;C145,Capacity!AR13/'Capacity Summary'!E145,IF(Capacity!AQ13=0,"",Capacity!AQ13))</f>
        <v/>
      </c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5" t="str">
        <f>IF(E146&gt;C146,Capacity!AR14/'Capacity Summary'!E146,IF(Capacity!AQ14=0,"",Capacity!AQ14))</f>
        <v/>
      </c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5" t="str">
        <f>IF(E147&gt;C147,Capacity!AR15/'Capacity Summary'!E147,IF(Capacity!AQ15=0,"",Capacity!AQ15))</f>
        <v/>
      </c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5" t="str">
        <f>IF(E148&gt;C148,Capacity!AR16/'Capacity Summary'!E148,IF(Capacity!AQ16=0,"",Capacity!AQ16))</f>
        <v/>
      </c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5" t="str">
        <f>IF(E149&gt;C149,Capacity!AR17/'Capacity Summary'!E149,IF(Capacity!AQ17=0,"",Capacity!AQ17))</f>
        <v/>
      </c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5" t="str">
        <f>IF(E150&gt;C150,Capacity!AR18/'Capacity Summary'!E150,IF(Capacity!AQ18=0,"",Capacity!AQ18))</f>
        <v/>
      </c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5" t="str">
        <f>IF(E151&gt;C151,Capacity!AR19/'Capacity Summary'!E151,IF(Capacity!AQ19=0,"",Capacity!AQ19))</f>
        <v/>
      </c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5" t="str">
        <f>IF(E152&gt;C152,Capacity!AR20/'Capacity Summary'!E152,IF(Capacity!AQ20=0,"",Capacity!AQ20))</f>
        <v/>
      </c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5" t="str">
        <f>IF(E153&gt;C153,Capacity!AR21/'Capacity Summary'!E153,IF(Capacity!AQ21=0,"",Capacity!AQ21))</f>
        <v/>
      </c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5" t="str">
        <f>IF(E154&gt;C154,Capacity!AR22/'Capacity Summary'!E154,IF(Capacity!AQ22=0,"",Capacity!AQ22))</f>
        <v/>
      </c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5" t="str">
        <f>IF(E155&gt;C155,Capacity!AR23/'Capacity Summary'!E155,IF(Capacity!AQ23=0,"",Capacity!AQ23))</f>
        <v/>
      </c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5" t="str">
        <f>IF(E156&gt;C156,Capacity!AR24/'Capacity Summary'!E156,IF(Capacity!AQ24=0,"",Capacity!AQ24))</f>
        <v/>
      </c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5" t="str">
        <f>IF(E157&gt;C157,Capacity!AR25/'Capacity Summary'!E157,IF(Capacity!AQ25=0,"",Capacity!AQ25))</f>
        <v/>
      </c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5" t="str">
        <f>IF(E158&gt;C158,Capacity!AR26/'Capacity Summary'!E158,IF(Capacity!AQ26=0,"",Capacity!AQ26))</f>
        <v/>
      </c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5" t="str">
        <f>IF(E159&gt;C159,Capacity!AR27/'Capacity Summary'!E159,IF(Capacity!AQ27=0,"",Capacity!AQ27))</f>
        <v/>
      </c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5" t="str">
        <f>IF(E160&gt;C160,Capacity!AR28/'Capacity Summary'!E160,IF(Capacity!AQ28=0,"",Capacity!AQ28))</f>
        <v/>
      </c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5" t="str">
        <f>IF(E161&gt;C161,Capacity!AR29/'Capacity Summary'!E161,IF(Capacity!AQ29=0,"",Capacity!AQ29))</f>
        <v/>
      </c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5" t="str">
        <f>IF(E162&gt;C162,Capacity!AR30/'Capacity Summary'!E162,IF(Capacity!AQ30=0,"",Capacity!AQ30))</f>
        <v/>
      </c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5" t="str">
        <f>IF(E163&gt;C163,Capacity!AR31/'Capacity Summary'!E163,IF(Capacity!AQ31=0,"",Capacity!AQ31))</f>
        <v/>
      </c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5" t="str">
        <f>IF(E164&gt;C164,Capacity!AR32/'Capacity Summary'!E164,IF(Capacity!AQ32=0,"",Capacity!AQ32))</f>
        <v/>
      </c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5" t="str">
        <f>IF(E165&gt;C165,Capacity!AR33/'Capacity Summary'!E165,IF(Capacity!AQ33=0,"",Capacity!AQ33))</f>
        <v/>
      </c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5" t="str">
        <f>IF(E166&gt;C166,Capacity!AR34/'Capacity Summary'!E166,IF(Capacity!AQ34=0,"",Capacity!AQ34))</f>
        <v/>
      </c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5" t="str">
        <f>IF(E167&gt;C167,Capacity!AR35/'Capacity Summary'!E167,IF(Capacity!AQ35=0,"",Capacity!AQ35))</f>
        <v/>
      </c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5" t="str">
        <f>IF(E168&gt;C168,Capacity!AR36/'Capacity Summary'!E168,IF(Capacity!AQ36=0,"",Capacity!AQ36))</f>
        <v/>
      </c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5" t="str">
        <f>IF(E169&gt;C169,Capacity!AR37/'Capacity Summary'!E169,IF(Capacity!AQ37=0,"",Capacity!AQ37))</f>
        <v/>
      </c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5" t="str">
        <f>IF(E170&gt;C170,Capacity!AR38/'Capacity Summary'!E170,IF(Capacity!AQ38=0,"",Capacity!AQ38))</f>
        <v/>
      </c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5" t="str">
        <f>IF(E171&gt;C171,Capacity!AR39/'Capacity Summary'!E171,IF(Capacity!AQ39=0,"",Capacity!AQ39))</f>
        <v/>
      </c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5" t="str">
        <f>IF(E172&gt;C172,Capacity!AR40/'Capacity Summary'!E172,IF(Capacity!AQ40=0,"",Capacity!AQ40))</f>
        <v/>
      </c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5" t="str">
        <f>IF(E173&gt;C173,Capacity!AR41/'Capacity Summary'!E173,IF(Capacity!AQ41=0,"",Capacity!AQ41))</f>
        <v/>
      </c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5" t="str">
        <f>IF(E174&gt;C174,Capacity!AR42/'Capacity Summary'!E174,IF(Capacity!AQ42=0,"",Capacity!AQ42))</f>
        <v/>
      </c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5" t="str">
        <f>IF(E175&gt;C175,Capacity!AR43/'Capacity Summary'!E175,IF(Capacity!AQ43=0,"",Capacity!AQ43))</f>
        <v/>
      </c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5" t="str">
        <f>IF(E176&gt;C176,Capacity!AR44/'Capacity Summary'!E176,IF(Capacity!AQ44=0,"",Capacity!AQ44))</f>
        <v/>
      </c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5" t="str">
        <f>IF(E177&gt;C177,Capacity!AR45/'Capacity Summary'!E177,IF(Capacity!AQ45=0,"",Capacity!AQ45))</f>
        <v/>
      </c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5" t="str">
        <f>IF(E178&gt;C178,Capacity!AR46/'Capacity Summary'!E178,IF(Capacity!AQ46=0,"",Capacity!AQ46))</f>
        <v/>
      </c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5" t="str">
        <f>IF(E179&gt;C179,Capacity!AR47/'Capacity Summary'!E179,IF(Capacity!AQ47=0,"",Capacity!AQ47))</f>
        <v/>
      </c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5" t="str">
        <f>IF(E180&gt;C180,Capacity!AR48/'Capacity Summary'!E180,IF(Capacity!AQ48=0,"",Capacity!AQ48))</f>
        <v/>
      </c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5" t="str">
        <f>IF(E181&gt;C181,Capacity!AR49/'Capacity Summary'!E181,IF(Capacity!AQ49=0,"",Capacity!AQ49))</f>
        <v/>
      </c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5" t="str">
        <f>IF(E182&gt;C182,Capacity!AR50/'Capacity Summary'!E182,IF(Capacity!AQ50=0,"",Capacity!AQ50))</f>
        <v/>
      </c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5" t="str">
        <f>IF(E183&gt;C183,Capacity!AR51/'Capacity Summary'!E183,IF(Capacity!AQ51=0,"",Capacity!AQ51))</f>
        <v/>
      </c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5" t="str">
        <f>IF(E184&gt;C184,Capacity!AR52/'Capacity Summary'!E184,IF(Capacity!AQ52=0,"",Capacity!AQ52))</f>
        <v/>
      </c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5" t="str">
        <f>IF(E185&gt;C185,Capacity!AR53/'Capacity Summary'!E185,IF(Capacity!AQ53=0,"",Capacity!AQ53))</f>
        <v/>
      </c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5" t="str">
        <f>IF(E186&gt;C186,Capacity!AR54/'Capacity Summary'!E186,IF(Capacity!AQ54=0,"",Capacity!AQ54))</f>
        <v/>
      </c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5" t="str">
        <f>IF(E187&gt;C187,Capacity!AR55/'Capacity Summary'!E187,IF(Capacity!AQ55=0,"",Capacity!AQ55))</f>
        <v/>
      </c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5" t="str">
        <f>IF(E188&gt;C188,Capacity!AR56/'Capacity Summary'!E188,IF(Capacity!AQ56=0,"",Capacity!AQ56))</f>
        <v/>
      </c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5" t="str">
        <f>IF(E189&gt;C189,Capacity!AR57/'Capacity Summary'!E189,IF(Capacity!AQ57=0,"",Capacity!AQ57))</f>
        <v/>
      </c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5" t="str">
        <f>IF(E190&gt;C190,Capacity!AR58/'Capacity Summary'!E190,IF(Capacity!AQ58=0,"",Capacity!AQ58))</f>
        <v/>
      </c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5" t="str">
        <f>IF(E191&gt;C191,Capacity!AR59/'Capacity Summary'!E191,IF(Capacity!AQ59=0,"",Capacity!AQ59))</f>
        <v/>
      </c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5" t="str">
        <f>IF(E192&gt;C192,Capacity!AR60/'Capacity Summary'!E192,IF(Capacity!AQ60=0,"",Capacity!AQ60))</f>
        <v/>
      </c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5" t="str">
        <f>IF(E193&gt;C193,Capacity!AR61/'Capacity Summary'!E193,IF(Capacity!AQ61=0,"",Capacity!AQ61))</f>
        <v/>
      </c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5" t="str">
        <f>IF(E194&gt;C194,Capacity!AR62/'Capacity Summary'!E194,IF(Capacity!AQ62=0,"",Capacity!AQ62))</f>
        <v/>
      </c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5" t="str">
        <f>IF(E195&gt;C195,Capacity!AR63/'Capacity Summary'!E195,IF(Capacity!AQ63=0,"",Capacity!AQ63))</f>
        <v/>
      </c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5" t="str">
        <f>IF(E196&gt;C196,Capacity!AR64/'Capacity Summary'!E196,IF(Capacity!AQ64=0,"",Capacity!AQ64))</f>
        <v/>
      </c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5" t="str">
        <f>IF(E197&gt;C197,Capacity!AR65/'Capacity Summary'!E197,IF(Capacity!AQ65=0,"",Capacity!AQ65))</f>
        <v/>
      </c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5" t="str">
        <f>IF(E198&gt;C198,Capacity!AR66/'Capacity Summary'!E198,IF(Capacity!AQ66=0,"",Capacity!AQ66))</f>
        <v/>
      </c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5" t="str">
        <f>IF(E199&gt;C199,Capacity!AR67/'Capacity Summary'!E199,IF(Capacity!AQ67=0,"",Capacity!AQ67))</f>
        <v/>
      </c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5" t="str">
        <f>IF(E200&gt;C200,Capacity!AR68/'Capacity Summary'!E200,IF(Capacity!AQ68=0,"",Capacity!AQ68))</f>
        <v/>
      </c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5" t="str">
        <f>IF(E201&gt;C201,Capacity!AR69/'Capacity Summary'!E201,IF(Capacity!AQ69=0,"",Capacity!AQ69))</f>
        <v/>
      </c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5" t="str">
        <f>IF(E202&gt;C202,Capacity!AR70/'Capacity Summary'!E202,IF(Capacity!AQ70=0,"",Capacity!AQ70))</f>
        <v/>
      </c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5" t="str">
        <f>IF(E203&gt;C203,Capacity!AR71/'Capacity Summary'!E203,IF(Capacity!AQ71=0,"",Capacity!AQ71))</f>
        <v/>
      </c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5" t="str">
        <f>IF(E204&gt;C204,Capacity!AR72/'Capacity Summary'!E204,IF(Capacity!AQ72=0,"",Capacity!AQ72))</f>
        <v/>
      </c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5" t="str">
        <f>IF(E205&gt;C205,Capacity!AR73/'Capacity Summary'!E205,IF(Capacity!AQ73=0,"",Capacity!AQ73))</f>
        <v/>
      </c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5" t="str">
        <f>IF(E206&gt;C206,Capacity!AR74/'Capacity Summary'!E206,IF(Capacity!AQ74=0,"",Capacity!AQ74))</f>
        <v/>
      </c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5" t="str">
        <f>IF(E207&gt;C207,Capacity!AR75/'Capacity Summary'!E207,IF(Capacity!AQ75=0,"",Capacity!AQ75))</f>
        <v/>
      </c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5" t="str">
        <f>IF(E208&gt;C208,Capacity!AR76/'Capacity Summary'!E208,IF(Capacity!AQ76=0,"",Capacity!AQ76))</f>
        <v/>
      </c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5" t="str">
        <f>IF(E209&gt;C209,Capacity!AR77/'Capacity Summary'!E209,IF(Capacity!AQ77=0,"",Capacity!AQ77))</f>
        <v/>
      </c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5" t="str">
        <f>IF(E210&gt;C210,Capacity!AR78/'Capacity Summary'!E210,IF(Capacity!AQ78=0,"",Capacity!AQ78))</f>
        <v/>
      </c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5" t="str">
        <f>IF(E211&gt;C211,Capacity!AR79/'Capacity Summary'!E211,IF(Capacity!AQ79=0,"",Capacity!AQ79))</f>
        <v/>
      </c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5" t="str">
        <f>IF(E212&gt;C212,Capacity!AR80/'Capacity Summary'!E212,IF(Capacity!AQ80=0,"",Capacity!AQ80))</f>
        <v/>
      </c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5" t="str">
        <f>IF(E213&gt;C213,Capacity!AR81/'Capacity Summary'!E213,IF(Capacity!AQ81=0,"",Capacity!AQ81))</f>
        <v/>
      </c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5" t="str">
        <f>IF(E214&gt;C214,Capacity!AR82/'Capacity Summary'!E214,IF(Capacity!AQ82=0,"",Capacity!AQ82))</f>
        <v/>
      </c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5" t="str">
        <f>IF(E215&gt;C215,Capacity!AR83/'Capacity Summary'!E215,IF(Capacity!AQ83=0,"",Capacity!AQ83))</f>
        <v/>
      </c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5" t="str">
        <f>IF(E216&gt;C216,Capacity!AR84/'Capacity Summary'!E216,IF(Capacity!AQ84=0,"",Capacity!AQ84))</f>
        <v/>
      </c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5" t="str">
        <f>IF(E217&gt;C217,Capacity!AR85/'Capacity Summary'!E217,IF(Capacity!AQ85=0,"",Capacity!AQ85))</f>
        <v/>
      </c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5" t="str">
        <f>IF(E218&gt;C218,Capacity!AR86/'Capacity Summary'!E218,IF(Capacity!AQ86=0,"",Capacity!AQ86))</f>
        <v/>
      </c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5" t="str">
        <f>IF(E219&gt;C219,Capacity!AR87/'Capacity Summary'!E219,IF(Capacity!AQ87=0,"",Capacity!AQ87))</f>
        <v/>
      </c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5" t="str">
        <f>IF(E220&gt;C220,Capacity!AR88/'Capacity Summary'!E220,IF(Capacity!AQ88=0,"",Capacity!AQ88))</f>
        <v/>
      </c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5" t="str">
        <f>IF(E221&gt;C221,Capacity!AR89/'Capacity Summary'!E221,IF(Capacity!AQ89=0,"",Capacity!AQ89))</f>
        <v/>
      </c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5" t="str">
        <f>IF(E222&gt;C222,Capacity!AR90/'Capacity Summary'!E222,IF(Capacity!AQ90=0,"",Capacity!AQ90))</f>
        <v/>
      </c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5" t="str">
        <f>IF(E223&gt;C223,Capacity!AR91/'Capacity Summary'!E223,IF(Capacity!AQ91=0,"",Capacity!AQ91))</f>
        <v/>
      </c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5" t="str">
        <f>IF(E224&gt;C224,Capacity!AR92/'Capacity Summary'!E224,IF(Capacity!AQ92=0,"",Capacity!AQ92))</f>
        <v/>
      </c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</row>
    <row r="225" spans="1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5" t="str">
        <f>IF(E225&gt;C225,Capacity!AR93/'Capacity Summary'!E225,IF(Capacity!AQ93=0,"",Capacity!AQ93))</f>
        <v/>
      </c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</row>
    <row r="226" spans="1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5" t="str">
        <f>IF(E226&gt;C226,Capacity!AR94/'Capacity Summary'!E226,IF(Capacity!AQ94=0,"",Capacity!AQ94))</f>
        <v/>
      </c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</row>
    <row r="227" spans="1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5" t="str">
        <f>IF(E227&gt;C227,Capacity!AR95/'Capacity Summary'!E227,IF(Capacity!AQ95=0,"",Capacity!AQ95))</f>
        <v/>
      </c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</row>
    <row r="228" spans="1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5" t="str">
        <f>IF(E228&gt;C228,Capacity!AR96/'Capacity Summary'!E228,IF(Capacity!AQ96=0,"",Capacity!AQ96))</f>
        <v/>
      </c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</row>
    <row r="229" spans="1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5" t="str">
        <f>IF(E229&gt;C229,Capacity!AR97/'Capacity Summary'!E229,IF(Capacity!AQ97=0,"",Capacity!AQ97))</f>
        <v/>
      </c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</row>
    <row r="230" spans="1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5" t="str">
        <f>IF(E230&gt;C230,Capacity!AR98/'Capacity Summary'!E230,IF(Capacity!AQ98=0,"",Capacity!AQ98))</f>
        <v/>
      </c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</row>
    <row r="231" spans="1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5" t="str">
        <f>IF(E231&gt;C231,Capacity!AR99/'Capacity Summary'!E231,IF(Capacity!AQ99=0,"",Capacity!AQ99))</f>
        <v/>
      </c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</row>
    <row r="232" spans="1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5" t="str">
        <f>IF(E232&gt;C232,Capacity!AR100/'Capacity Summary'!E232,IF(Capacity!AQ100=0,"",Capacity!AQ100))</f>
        <v/>
      </c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</row>
    <row r="233" spans="1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5" t="str">
        <f>IF(E233&gt;C233,Capacity!AR101/'Capacity Summary'!E233,IF(Capacity!AQ101=0,"",Capacity!AQ101))</f>
        <v/>
      </c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</row>
    <row r="234" spans="1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5" t="str">
        <f>IF(E234&gt;C234,Capacity!AR102/'Capacity Summary'!E234,IF(Capacity!AQ102=0,"",Capacity!AQ102))</f>
        <v/>
      </c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</row>
    <row r="235" spans="1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5" t="str">
        <f>IF(E235&gt;C235,Capacity!AR103/'Capacity Summary'!E235,IF(Capacity!AQ103=0,"",Capacity!AQ103))</f>
        <v/>
      </c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</row>
    <row r="236" spans="1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5" t="str">
        <f>IF(E236&gt;C236,Capacity!AR104/'Capacity Summary'!E236,IF(Capacity!AQ104=0,"",Capacity!AQ104))</f>
        <v/>
      </c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</row>
    <row r="237" spans="1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5" t="str">
        <f>IF(E237&gt;C237,Capacity!AR105/'Capacity Summary'!E237,IF(Capacity!AQ105=0,"",Capacity!AQ105))</f>
        <v/>
      </c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</row>
    <row r="238" spans="1:59" hidden="1" x14ac:dyDescent="0.35">
      <c r="A238" t="s">
        <v>207</v>
      </c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5" t="str">
        <f>IF(E238&gt;C238,Capacity!AR106/'Capacity Summary'!E238,IF(Capacity!AQ106=0,"",Capacity!AQ106))</f>
        <v/>
      </c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</row>
    <row r="239" spans="1:59" x14ac:dyDescent="0.35"/>
  </sheetData>
  <sheetProtection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5"/>
  <sheetViews>
    <sheetView showGridLines="0" showRowColHeaders="0" zoomScaleNormal="100" workbookViewId="0">
      <selection activeCell="W74" sqref="W74"/>
    </sheetView>
  </sheetViews>
  <sheetFormatPr defaultColWidth="0" defaultRowHeight="14.5" zeroHeight="1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  <col min="18" max="32" width="8.7265625" customWidth="1"/>
    <col min="33" max="16384" width="8.7265625" hidden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9" t="s">
        <v>175</v>
      </c>
    </row>
    <row r="4" spans="1:4" ht="15" thickBot="1" x14ac:dyDescent="0.4">
      <c r="A4" s="57" t="s">
        <v>60</v>
      </c>
      <c r="B4" s="129" t="s">
        <v>139</v>
      </c>
    </row>
    <row r="5" spans="1:4" ht="15" thickBot="1" x14ac:dyDescent="0.4">
      <c r="A5" s="57" t="s">
        <v>61</v>
      </c>
      <c r="B5" s="129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57" t="s">
        <v>88</v>
      </c>
      <c r="B7" s="129" t="s">
        <v>91</v>
      </c>
      <c r="D7" t="str">
        <f>B7&amp;" per week"</f>
        <v>Hours per week</v>
      </c>
    </row>
    <row r="8" spans="1:4" x14ac:dyDescent="0.35"/>
    <row r="9" spans="1:4" x14ac:dyDescent="0.35"/>
    <row r="10" spans="1:4" x14ac:dyDescent="0.35"/>
    <row r="11" spans="1:4" x14ac:dyDescent="0.35"/>
    <row r="12" spans="1:4" x14ac:dyDescent="0.35"/>
    <row r="13" spans="1:4" x14ac:dyDescent="0.35"/>
    <row r="14" spans="1:4" x14ac:dyDescent="0.35"/>
    <row r="15" spans="1:4" x14ac:dyDescent="0.35"/>
    <row r="16" spans="1:4" x14ac:dyDescent="0.35"/>
    <row r="17" spans="1:17" x14ac:dyDescent="0.35"/>
    <row r="18" spans="1:17" x14ac:dyDescent="0.35"/>
    <row r="19" spans="1:17" x14ac:dyDescent="0.35"/>
    <row r="20" spans="1:17" x14ac:dyDescent="0.35"/>
    <row r="21" spans="1:17" x14ac:dyDescent="0.35"/>
    <row r="22" spans="1:17" x14ac:dyDescent="0.35"/>
    <row r="23" spans="1:17" x14ac:dyDescent="0.35"/>
    <row r="24" spans="1:17" x14ac:dyDescent="0.35"/>
    <row r="25" spans="1:17" x14ac:dyDescent="0.35"/>
    <row r="26" spans="1:17" x14ac:dyDescent="0.35"/>
    <row r="27" spans="1:17" x14ac:dyDescent="0.35"/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IF(B3="By Week",B4,IF(B4="All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69.9 Hours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58.0 Hours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12.0 Hours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53.3 Hours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31.8 Hours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Hours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Hours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Hours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Hours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Hours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Hours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Hours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Hours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Hours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>63.8 Hours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44.0 Hours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12.0 Hours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52.5 Hours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30.0 Hours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Hours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Hours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Hours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Hours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Hours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Hours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Hours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Hours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Hours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4" spans="1:31" x14ac:dyDescent="0.35"/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IF(B3="By Week",B4,IF(B4="All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176</v>
      </c>
      <c r="B37" s="17" t="str" cm="1">
        <f t="array" ref="B37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8.5 Hours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8.5 Hours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8.5 Hours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28.3 Hours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28.3 Hours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Hours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Hours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Hours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Hours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Hours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Hours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Hours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Hours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Hours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177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39" spans="1:31" x14ac:dyDescent="0.35"/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5"/>
    <row r="42" spans="1:31" ht="23.5" x14ac:dyDescent="0.55000000000000004">
      <c r="A42" s="25" t="s">
        <v>179</v>
      </c>
    </row>
    <row r="43" spans="1:31" ht="15" thickBot="1" x14ac:dyDescent="0.4"/>
    <row r="44" spans="1:31" ht="15" thickBot="1" x14ac:dyDescent="0.4">
      <c r="A44" s="57" t="s">
        <v>60</v>
      </c>
      <c r="B44" s="129" t="s">
        <v>193</v>
      </c>
    </row>
    <row r="45" spans="1:31" ht="15" hidden="1" thickBot="1" x14ac:dyDescent="0.4">
      <c r="A45" s="57" t="s">
        <v>61</v>
      </c>
      <c r="B45" s="17" t="s">
        <v>62</v>
      </c>
    </row>
    <row r="46" spans="1:31" x14ac:dyDescent="0.35"/>
    <row r="47" spans="1:31" x14ac:dyDescent="0.35"/>
    <row r="48" spans="1:3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spans="1:17" x14ac:dyDescent="0.35"/>
    <row r="66" spans="1:17" x14ac:dyDescent="0.35"/>
    <row r="67" spans="1:17" x14ac:dyDescent="0.35"/>
    <row r="68" spans="1:17" ht="15" thickBot="1" x14ac:dyDescent="0.4">
      <c r="A68" s="55" t="s">
        <v>102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8" t="s">
        <v>181</v>
      </c>
    </row>
    <row r="70" spans="1:17" ht="15" thickBot="1" x14ac:dyDescent="0.4">
      <c r="A70" s="90" t="s">
        <v>190</v>
      </c>
      <c r="B70" s="106">
        <f>INDEX('Waiting List Config'!$C$5:$O$20,MATCH(Summary!B$69,'Waiting List Config'!$B$5:$B$20,0),2)</f>
        <v>110</v>
      </c>
      <c r="C70" s="106">
        <f>INDEX('Waiting List Config'!$C$5:$O$20,MATCH(Summary!C$69,'Waiting List Config'!$B$5:$B$20,0),2)</f>
        <v>210</v>
      </c>
      <c r="D70" s="106">
        <f>INDEX('Waiting List Config'!$C$5:$O$20,MATCH(Summary!D$69,'Waiting List Config'!$B$5:$B$20,0),2)</f>
        <v>10</v>
      </c>
      <c r="E70" s="106">
        <f>INDEX('Waiting List Config'!$C$5:$O$20,MATCH(Summary!E$69,'Waiting List Config'!$B$5:$B$20,0),2)</f>
        <v>256</v>
      </c>
      <c r="F70" s="106">
        <f>INDEX('Waiting List Config'!$C$5:$O$20,MATCH(Summary!F$69,'Waiting List Config'!$B$5:$B$20,0),2)</f>
        <v>55</v>
      </c>
      <c r="G70" s="106">
        <f>INDEX('Waiting List Config'!$C$5:$O$20,MATCH(Summary!G$69,'Waiting List Config'!$B$5:$B$20,0),2)</f>
        <v>0</v>
      </c>
      <c r="H70" s="106">
        <f>INDEX('Waiting List Config'!$C$5:$O$20,MATCH(Summary!H$69,'Waiting List Config'!$B$5:$B$20,0),2)</f>
        <v>0</v>
      </c>
      <c r="I70" s="106">
        <f>INDEX('Waiting List Config'!$C$5:$O$20,MATCH(Summary!I$69,'Waiting List Config'!$B$5:$B$20,0),2)</f>
        <v>0</v>
      </c>
      <c r="J70" s="106">
        <f>INDEX('Waiting List Config'!$C$5:$O$20,MATCH(Summary!J$69,'Waiting List Config'!$B$5:$B$20,0),2)</f>
        <v>0</v>
      </c>
      <c r="K70" s="106">
        <f>INDEX('Waiting List Config'!$C$5:$O$20,MATCH(Summary!K$69,'Waiting List Config'!$B$5:$B$20,0),2)</f>
        <v>0</v>
      </c>
      <c r="L70" s="106">
        <f>INDEX('Waiting List Config'!$C$5:$O$20,MATCH(Summary!L$69,'Waiting List Config'!$B$5:$B$20,0),2)</f>
        <v>0</v>
      </c>
      <c r="M70" s="106">
        <f>INDEX('Waiting List Config'!$C$5:$O$20,MATCH(Summary!M$69,'Waiting List Config'!$B$5:$B$20,0),2)</f>
        <v>0</v>
      </c>
      <c r="N70" s="106">
        <f>INDEX('Waiting List Config'!$C$5:$O$20,MATCH(Summary!N$69,'Waiting List Config'!$B$5:$B$20,0),2)</f>
        <v>0</v>
      </c>
      <c r="O70" s="106">
        <f>INDEX('Waiting List Config'!$C$5:$O$20,MATCH(Summary!O$69,'Waiting List Config'!$B$5:$B$20,0),2)</f>
        <v>0</v>
      </c>
      <c r="P70" s="106">
        <f>INDEX('Waiting List Config'!$C$5:$O$20,MATCH(Summary!P$69,'Waiting List Config'!$B$5:$B$20,0),2)</f>
        <v>0</v>
      </c>
      <c r="Q70" s="106">
        <f>INDEX('Waiting List Config'!$C$5:$O$20,MATCH(Summary!Q$69,'Waiting List Config'!$B$5:$B$20,0),2)</f>
        <v>195</v>
      </c>
    </row>
    <row r="71" spans="1:17" ht="15" thickBot="1" x14ac:dyDescent="0.4">
      <c r="A71" s="90" t="s">
        <v>189</v>
      </c>
      <c r="B71" s="106" t="str">
        <f>INDEX('Waiting List Config'!$C$5:$O$20,MATCH(Summary!B$69,'Waiting List Config'!$B$5:$B$20,0),7)</f>
        <v>100 - 110</v>
      </c>
      <c r="C71" s="106" t="str">
        <f>INDEX('Waiting List Config'!$C$5:$O$20,MATCH(Summary!C$69,'Waiting List Config'!$B$5:$B$20,0),7)</f>
        <v>299 - 331</v>
      </c>
      <c r="D71" s="106" t="str">
        <f>INDEX('Waiting List Config'!$C$5:$O$20,MATCH(Summary!D$69,'Waiting List Config'!$B$5:$B$20,0),7)</f>
        <v>67 - 74</v>
      </c>
      <c r="E71" s="106" t="str">
        <f>INDEX('Waiting List Config'!$C$5:$O$20,MATCH(Summary!E$69,'Waiting List Config'!$B$5:$B$20,0),7)</f>
        <v>70 - 77</v>
      </c>
      <c r="F71" s="106" t="str">
        <f>INDEX('Waiting List Config'!$C$5:$O$20,MATCH(Summary!F$69,'Waiting List Config'!$B$5:$B$20,0),7)</f>
        <v>50 - 55</v>
      </c>
      <c r="G71" s="106" t="str">
        <f>INDEX('Waiting List Config'!$C$5:$O$20,MATCH(Summary!G$69,'Waiting List Config'!$B$5:$B$20,0),7)</f>
        <v/>
      </c>
      <c r="H71" s="106" t="str">
        <f>INDEX('Waiting List Config'!$C$5:$O$20,MATCH(Summary!H$69,'Waiting List Config'!$B$5:$B$20,0),7)</f>
        <v/>
      </c>
      <c r="I71" s="106" t="str">
        <f>INDEX('Waiting List Config'!$C$5:$O$20,MATCH(Summary!I$69,'Waiting List Config'!$B$5:$B$20,0),7)</f>
        <v/>
      </c>
      <c r="J71" s="106" t="str">
        <f>INDEX('Waiting List Config'!$C$5:$O$20,MATCH(Summary!J$69,'Waiting List Config'!$B$5:$B$20,0),7)</f>
        <v/>
      </c>
      <c r="K71" s="106" t="str">
        <f>INDEX('Waiting List Config'!$C$5:$O$20,MATCH(Summary!K$69,'Waiting List Config'!$B$5:$B$20,0),7)</f>
        <v/>
      </c>
      <c r="L71" s="106" t="str">
        <f>INDEX('Waiting List Config'!$C$5:$O$20,MATCH(Summary!L$69,'Waiting List Config'!$B$5:$B$20,0),7)</f>
        <v/>
      </c>
      <c r="M71" s="106" t="str">
        <f>INDEX('Waiting List Config'!$C$5:$O$20,MATCH(Summary!M$69,'Waiting List Config'!$B$5:$B$20,0),7)</f>
        <v/>
      </c>
      <c r="N71" s="106" t="str">
        <f>INDEX('Waiting List Config'!$C$5:$O$20,MATCH(Summary!N$69,'Waiting List Config'!$B$5:$B$20,0),7)</f>
        <v/>
      </c>
      <c r="O71" s="106" t="str">
        <f>INDEX('Waiting List Config'!$C$5:$O$20,MATCH(Summary!O$69,'Waiting List Config'!$B$5:$B$20,0),7)</f>
        <v/>
      </c>
      <c r="P71" s="106" t="str">
        <f>INDEX('Waiting List Config'!$C$5:$O$20,MATCH(Summary!P$69,'Waiting List Config'!$B$5:$B$20,0),7)</f>
        <v/>
      </c>
      <c r="Q71" s="106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191</v>
      </c>
      <c r="B72" s="106" t="str">
        <f>INDEX('Waiting List Config'!$C$5:$O$20,MATCH(Summary!B$69,'Waiting List Config'!$B$5:$B$20,0),13)</f>
        <v>0 - 10</v>
      </c>
      <c r="C72" s="106" t="str">
        <f>INDEX('Waiting List Config'!$C$5:$O$20,MATCH(Summary!C$69,'Waiting List Config'!$B$5:$B$20,0),13)</f>
        <v>0 - 0</v>
      </c>
      <c r="D72" s="106" t="str">
        <f>INDEX('Waiting List Config'!$C$5:$O$20,MATCH(Summary!D$69,'Waiting List Config'!$B$5:$B$20,0),13)</f>
        <v>0 - 0</v>
      </c>
      <c r="E72" s="106" t="str">
        <f>INDEX('Waiting List Config'!$C$5:$O$20,MATCH(Summary!E$69,'Waiting List Config'!$B$5:$B$20,0),13)</f>
        <v>179 - 186</v>
      </c>
      <c r="F72" s="106" t="str">
        <f>INDEX('Waiting List Config'!$C$5:$O$20,MATCH(Summary!F$69,'Waiting List Config'!$B$5:$B$20,0),13)</f>
        <v>0 - 5</v>
      </c>
      <c r="G72" s="106" t="str">
        <f>INDEX('Waiting List Config'!$C$5:$O$20,MATCH(Summary!G$69,'Waiting List Config'!$B$5:$B$20,0),13)</f>
        <v>0 - 0</v>
      </c>
      <c r="H72" s="106" t="str">
        <f>INDEX('Waiting List Config'!$C$5:$O$20,MATCH(Summary!H$69,'Waiting List Config'!$B$5:$B$20,0),13)</f>
        <v>0 - 0</v>
      </c>
      <c r="I72" s="106" t="str">
        <f>INDEX('Waiting List Config'!$C$5:$O$20,MATCH(Summary!I$69,'Waiting List Config'!$B$5:$B$20,0),13)</f>
        <v>0 - 0</v>
      </c>
      <c r="J72" s="106" t="str">
        <f>INDEX('Waiting List Config'!$C$5:$O$20,MATCH(Summary!J$69,'Waiting List Config'!$B$5:$B$20,0),13)</f>
        <v>0 - 0</v>
      </c>
      <c r="K72" s="106" t="str">
        <f>INDEX('Waiting List Config'!$C$5:$O$20,MATCH(Summary!K$69,'Waiting List Config'!$B$5:$B$20,0),13)</f>
        <v>0 - 0</v>
      </c>
      <c r="L72" s="106" t="str">
        <f>INDEX('Waiting List Config'!$C$5:$O$20,MATCH(Summary!L$69,'Waiting List Config'!$B$5:$B$20,0),13)</f>
        <v>0 - 0</v>
      </c>
      <c r="M72" s="106" t="str">
        <f>INDEX('Waiting List Config'!$C$5:$O$20,MATCH(Summary!M$69,'Waiting List Config'!$B$5:$B$20,0),13)</f>
        <v>0 - 0</v>
      </c>
      <c r="N72" s="106" t="str">
        <f>INDEX('Waiting List Config'!$C$5:$O$20,MATCH(Summary!N$69,'Waiting List Config'!$B$5:$B$20,0),13)</f>
        <v>0 - 0</v>
      </c>
      <c r="O72" s="106" t="str">
        <f>INDEX('Waiting List Config'!$C$5:$O$20,MATCH(Summary!O$69,'Waiting List Config'!$B$5:$B$20,0),13)</f>
        <v>0 - 0</v>
      </c>
      <c r="P72" s="106" t="str">
        <f>INDEX('Waiting List Config'!$C$5:$O$20,MATCH(Summary!P$69,'Waiting List Config'!$B$5:$B$20,0),13)</f>
        <v>0 - 0</v>
      </c>
      <c r="Q72" s="107" t="str">
        <f>INDEX('Waiting List Config'!$C$5:$O$20,MATCH(Summary!Q$69,'Waiting List Config'!$B$5:$B$20,0),13)</f>
        <v>0 - 0</v>
      </c>
    </row>
    <row r="73" spans="1:17" ht="44" thickBot="1" x14ac:dyDescent="0.4">
      <c r="A73" s="105" t="str">
        <f>"Estimated capacity to clear backlog - non-group sessions ("&amp;LOWER(B7)&amp;"):"</f>
        <v>Estimated capacity to clear backlog - non-group sessions (hours):</v>
      </c>
      <c r="B73" s="107" t="str">
        <f>INDEX('Waiting List Config'!$B$5:$U$20,MATCH(Summary!B$69,'Waiting List Config'!$B$5:$B$20,0),19)</f>
        <v>0 - 13</v>
      </c>
      <c r="C73" s="107" t="str">
        <f>INDEX('Waiting List Config'!$B$5:$U$20,MATCH(Summary!C$69,'Waiting List Config'!$B$5:$B$20,0),19)</f>
        <v>0 - 0</v>
      </c>
      <c r="D73" s="107" t="str">
        <f>INDEX('Waiting List Config'!$B$5:$U$20,MATCH(Summary!D$69,'Waiting List Config'!$B$5:$B$20,0),19)</f>
        <v>0 - 0</v>
      </c>
      <c r="E73" s="107" t="str">
        <f>INDEX('Waiting List Config'!$B$5:$U$20,MATCH(Summary!E$69,'Waiting List Config'!$B$5:$B$20,0),19)</f>
        <v>134 - 140</v>
      </c>
      <c r="F73" s="107" t="str">
        <f>INDEX('Waiting List Config'!$B$5:$U$20,MATCH(Summary!F$69,'Waiting List Config'!$B$5:$B$20,0),19)</f>
        <v>0 - 5</v>
      </c>
      <c r="G73" s="107" t="str">
        <f>INDEX('Waiting List Config'!$B$5:$U$20,MATCH(Summary!G$69,'Waiting List Config'!$B$5:$B$20,0),19)</f>
        <v>0 - 0</v>
      </c>
      <c r="H73" s="107" t="str">
        <f>INDEX('Waiting List Config'!$B$5:$U$20,MATCH(Summary!H$69,'Waiting List Config'!$B$5:$B$20,0),19)</f>
        <v>0 - 0</v>
      </c>
      <c r="I73" s="107" t="str">
        <f>INDEX('Waiting List Config'!$B$5:$U$20,MATCH(Summary!I$69,'Waiting List Config'!$B$5:$B$20,0),19)</f>
        <v>0 - 0</v>
      </c>
      <c r="J73" s="107" t="str">
        <f>INDEX('Waiting List Config'!$B$5:$U$20,MATCH(Summary!J$69,'Waiting List Config'!$B$5:$B$20,0),19)</f>
        <v>0 - 0</v>
      </c>
      <c r="K73" s="107" t="str">
        <f>INDEX('Waiting List Config'!$B$5:$U$20,MATCH(Summary!K$69,'Waiting List Config'!$B$5:$B$20,0),19)</f>
        <v>0 - 0</v>
      </c>
      <c r="L73" s="107" t="str">
        <f>INDEX('Waiting List Config'!$B$5:$U$20,MATCH(Summary!L$69,'Waiting List Config'!$B$5:$B$20,0),19)</f>
        <v>0 - 0</v>
      </c>
      <c r="M73" s="107" t="str">
        <f>INDEX('Waiting List Config'!$B$5:$U$20,MATCH(Summary!M$69,'Waiting List Config'!$B$5:$B$20,0),19)</f>
        <v>0 - 0</v>
      </c>
      <c r="N73" s="107" t="str">
        <f>INDEX('Waiting List Config'!$B$5:$U$20,MATCH(Summary!N$69,'Waiting List Config'!$B$5:$B$20,0),19)</f>
        <v>0 - 0</v>
      </c>
      <c r="O73" s="107" t="str">
        <f>INDEX('Waiting List Config'!$B$5:$U$20,MATCH(Summary!O$69,'Waiting List Config'!$B$5:$B$20,0),19)</f>
        <v>0 - 0</v>
      </c>
      <c r="P73" s="107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0" t="str">
        <f>"Estimated capacity to clear backlog - group sessions ("&amp;LOWER(B7)&amp;"):"</f>
        <v>Estimated capacity to clear backlog - group sessions (hours):</v>
      </c>
      <c r="B74" s="107" t="str">
        <f>INDEX('Waiting List Config'!$B$5:$U$20,MATCH(Summary!B$69,'Waiting List Config'!$B$5:$B$20,0),20)</f>
        <v>0 - 6</v>
      </c>
      <c r="C74" s="107" t="str">
        <f>INDEX('Waiting List Config'!$B$5:$U$20,MATCH(Summary!C$69,'Waiting List Config'!$B$5:$B$20,0),20)</f>
        <v>0 - 0</v>
      </c>
      <c r="D74" s="107" t="str">
        <f>INDEX('Waiting List Config'!$B$5:$U$20,MATCH(Summary!D$69,'Waiting List Config'!$B$5:$B$20,0),20)</f>
        <v>0 - 0</v>
      </c>
      <c r="E74" s="107" t="str">
        <f>INDEX('Waiting List Config'!$B$5:$U$20,MATCH(Summary!E$69,'Waiting List Config'!$B$5:$B$20,0),20)</f>
        <v>0 - 0</v>
      </c>
      <c r="F74" s="107" t="str">
        <f>INDEX('Waiting List Config'!$B$5:$U$20,MATCH(Summary!F$69,'Waiting List Config'!$B$5:$B$20,0),20)</f>
        <v>0 - 0</v>
      </c>
      <c r="G74" s="107" t="str">
        <f>INDEX('Waiting List Config'!$B$5:$U$20,MATCH(Summary!G$69,'Waiting List Config'!$B$5:$B$20,0),20)</f>
        <v>0 - 0</v>
      </c>
      <c r="H74" s="107" t="str">
        <f>INDEX('Waiting List Config'!$B$5:$U$20,MATCH(Summary!H$69,'Waiting List Config'!$B$5:$B$20,0),20)</f>
        <v>0 - 0</v>
      </c>
      <c r="I74" s="107" t="str">
        <f>INDEX('Waiting List Config'!$B$5:$U$20,MATCH(Summary!I$69,'Waiting List Config'!$B$5:$B$20,0),20)</f>
        <v>0 - 0</v>
      </c>
      <c r="J74" s="107" t="str">
        <f>INDEX('Waiting List Config'!$B$5:$U$20,MATCH(Summary!J$69,'Waiting List Config'!$B$5:$B$20,0),20)</f>
        <v>0 - 0</v>
      </c>
      <c r="K74" s="107" t="str">
        <f>INDEX('Waiting List Config'!$B$5:$U$20,MATCH(Summary!K$69,'Waiting List Config'!$B$5:$B$20,0),20)</f>
        <v>0 - 0</v>
      </c>
      <c r="L74" s="107" t="str">
        <f>INDEX('Waiting List Config'!$B$5:$U$20,MATCH(Summary!L$69,'Waiting List Config'!$B$5:$B$20,0),20)</f>
        <v>0 - 0</v>
      </c>
      <c r="M74" s="107" t="str">
        <f>INDEX('Waiting List Config'!$B$5:$U$20,MATCH(Summary!M$69,'Waiting List Config'!$B$5:$B$20,0),20)</f>
        <v>0 - 0</v>
      </c>
      <c r="N74" s="107" t="str">
        <f>INDEX('Waiting List Config'!$B$5:$U$20,MATCH(Summary!N$69,'Waiting List Config'!$B$5:$B$20,0),20)</f>
        <v>0 - 0</v>
      </c>
      <c r="O74" s="107" t="str">
        <f>INDEX('Waiting List Config'!$B$5:$U$20,MATCH(Summary!O$69,'Waiting List Config'!$B$5:$B$20,0),20)</f>
        <v>0 - 0</v>
      </c>
      <c r="P74" s="107" t="str">
        <f>INDEX('Waiting List Config'!$B$5:$U$20,MATCH(Summary!P$69,'Waiting List Config'!$B$5:$B$20,0),20)</f>
        <v>0 - 0</v>
      </c>
      <c r="Q74" s="77"/>
    </row>
    <row r="75" spans="1:17" x14ac:dyDescent="0.35"/>
  </sheetData>
  <sheetProtection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A79" sqref="A79:XFD1048576"/>
    </sheetView>
  </sheetViews>
  <sheetFormatPr defaultColWidth="0" defaultRowHeight="14.5" zeroHeight="1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  <col min="20" max="16384" width="8.7265625" hidden="1"/>
  </cols>
  <sheetData>
    <row r="1" spans="1:16" ht="24" thickBot="1" x14ac:dyDescent="0.6">
      <c r="A1" s="25" t="s">
        <v>141</v>
      </c>
      <c r="I1" s="55" t="s">
        <v>158</v>
      </c>
    </row>
    <row r="2" spans="1:16" ht="15" thickBot="1" x14ac:dyDescent="0.4">
      <c r="I2" s="98" t="s">
        <v>60</v>
      </c>
      <c r="J2" s="163" t="s">
        <v>205</v>
      </c>
      <c r="K2" s="5"/>
      <c r="L2" s="89" t="s">
        <v>61</v>
      </c>
      <c r="M2" s="164" t="s">
        <v>62</v>
      </c>
      <c r="N2" s="5"/>
      <c r="O2" s="89" t="s">
        <v>88</v>
      </c>
      <c r="P2" s="164" t="s">
        <v>91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7" t="str">
        <f>Setup!B15</f>
        <v>Caseloads</v>
      </c>
      <c r="B5" s="78" t="s">
        <v>142</v>
      </c>
      <c r="C5" s="78" t="s">
        <v>143</v>
      </c>
      <c r="D5" s="78" t="s">
        <v>144</v>
      </c>
      <c r="E5" s="78" t="s">
        <v>145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74">
        <f>IFERROR(INDEX('Required Capacity (Hide)'!$B$5:$C$19,MATCH(Planning!$A6,'Required Capacity (Hide)'!$A$5:$A$19,0),1),0)</f>
        <v>35</v>
      </c>
      <c r="C6" s="116">
        <f>IFERROR(INDEX('Required Capacity (Hide)'!$B$5:$C$19,MATCH(Planning!$A6,'Required Capacity (Hide)'!$A$5:$A$19,0),2),0)</f>
        <v>36.75</v>
      </c>
      <c r="D6" s="153"/>
      <c r="E6" s="154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75">
        <f>IFERROR(INDEX('Required Capacity (Hide)'!$B$5:$C$19,MATCH(Planning!$A7,'Required Capacity (Hide)'!$A$5:$A$19,0),1),0)</f>
        <v>19</v>
      </c>
      <c r="C7" s="117">
        <f>IFERROR(INDEX('Required Capacity (Hide)'!$B$5:$C$19,MATCH(Planning!$A7,'Required Capacity (Hide)'!$A$5:$A$19,0),2),0)</f>
        <v>25</v>
      </c>
      <c r="D7" s="155"/>
      <c r="E7" s="156"/>
      <c r="F7" s="69"/>
      <c r="G7" s="70"/>
    </row>
    <row r="8" spans="1:16" x14ac:dyDescent="0.35">
      <c r="A8" s="47" t="str">
        <f>Setup!A22</f>
        <v>8 Group Session</v>
      </c>
      <c r="B8" s="75">
        <f>IFERROR(INDEX('Required Capacity (Hide)'!$B$5:$C$19,MATCH(Planning!$A8,'Required Capacity (Hide)'!$A$5:$A$19,0),1),0)</f>
        <v>14.25</v>
      </c>
      <c r="C8" s="117">
        <f>IFERROR(INDEX('Required Capacity (Hide)'!$B$5:$C$19,MATCH(Planning!$A8,'Required Capacity (Hide)'!$A$5:$A$19,0),2),0)</f>
        <v>18</v>
      </c>
      <c r="D8" s="155"/>
      <c r="E8" s="156"/>
      <c r="F8" s="69"/>
      <c r="G8" s="70"/>
    </row>
    <row r="9" spans="1:16" x14ac:dyDescent="0.35">
      <c r="A9" s="47" t="str">
        <f>Setup!A23</f>
        <v>20 Individual</v>
      </c>
      <c r="B9" s="75">
        <f>IFERROR(INDEX('Required Capacity (Hide)'!$B$5:$C$19,MATCH(Planning!$A9,'Required Capacity (Hide)'!$A$5:$A$19,0),1),0)</f>
        <v>70</v>
      </c>
      <c r="C9" s="117">
        <f>IFERROR(INDEX('Required Capacity (Hide)'!$B$5:$C$19,MATCH(Planning!$A9,'Required Capacity (Hide)'!$A$5:$A$19,0),2),0)</f>
        <v>71</v>
      </c>
      <c r="D9" s="155"/>
      <c r="E9" s="156"/>
      <c r="F9" s="69"/>
      <c r="G9" s="70"/>
    </row>
    <row r="10" spans="1:16" ht="15" thickBot="1" x14ac:dyDescent="0.4">
      <c r="A10" s="47" t="str">
        <f>Setup!A24</f>
        <v>40 Individual</v>
      </c>
      <c r="B10" s="75">
        <f>IFERROR(INDEX('Required Capacity (Hide)'!$B$5:$C$19,MATCH(Planning!$A10,'Required Capacity (Hide)'!$A$5:$A$19,0),1),0)</f>
        <v>30</v>
      </c>
      <c r="C10" s="117">
        <f>IFERROR(INDEX('Required Capacity (Hide)'!$B$5:$C$19,MATCH(Planning!$A10,'Required Capacity (Hide)'!$A$5:$A$19,0),2),0)</f>
        <v>31.75</v>
      </c>
      <c r="D10" s="155"/>
      <c r="E10" s="156"/>
      <c r="F10" s="69"/>
      <c r="G10" s="70"/>
    </row>
    <row r="11" spans="1:16" hidden="1" x14ac:dyDescent="0.35">
      <c r="A11" s="47" t="str">
        <f>Setup!A25</f>
        <v>Caseload 6</v>
      </c>
      <c r="B11" s="75">
        <f>IFERROR(INDEX('Required Capacity (Hide)'!$B$5:$C$19,MATCH(Planning!$A11,'Required Capacity (Hide)'!$A$5:$A$19,0),1),0)</f>
        <v>0</v>
      </c>
      <c r="C11" s="117">
        <f>IFERROR(INDEX('Required Capacity (Hide)'!$B$5:$C$19,MATCH(Planning!$A11,'Required Capacity (Hide)'!$A$5:$A$19,0),2),0)</f>
        <v>1</v>
      </c>
      <c r="D11" s="155"/>
      <c r="E11" s="156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75">
        <f>IFERROR(INDEX('Required Capacity (Hide)'!$B$5:$C$19,MATCH(Planning!$A12,'Required Capacity (Hide)'!$A$5:$A$19,0),1),0)</f>
        <v>0</v>
      </c>
      <c r="C12" s="117">
        <f>IFERROR(INDEX('Required Capacity (Hide)'!$B$5:$C$19,MATCH(Planning!$A12,'Required Capacity (Hide)'!$A$5:$A$19,0),2),0)</f>
        <v>1</v>
      </c>
      <c r="D12" s="155"/>
      <c r="E12" s="156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75">
        <f>IFERROR(INDEX('Required Capacity (Hide)'!$B$5:$C$19,MATCH(Planning!$A13,'Required Capacity (Hide)'!$A$5:$A$19,0),1),0)</f>
        <v>0</v>
      </c>
      <c r="C13" s="117">
        <f>IFERROR(INDEX('Required Capacity (Hide)'!$B$5:$C$19,MATCH(Planning!$A13,'Required Capacity (Hide)'!$A$5:$A$19,0),2),0)</f>
        <v>1</v>
      </c>
      <c r="D13" s="155"/>
      <c r="E13" s="156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75">
        <f>IFERROR(INDEX('Required Capacity (Hide)'!$B$5:$C$19,MATCH(Planning!$A14,'Required Capacity (Hide)'!$A$5:$A$19,0),1),0)</f>
        <v>0</v>
      </c>
      <c r="C14" s="117">
        <f>IFERROR(INDEX('Required Capacity (Hide)'!$B$5:$C$19,MATCH(Planning!$A14,'Required Capacity (Hide)'!$A$5:$A$19,0),2),0)</f>
        <v>1</v>
      </c>
      <c r="D14" s="155"/>
      <c r="E14" s="156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75">
        <f>IFERROR(INDEX('Required Capacity (Hide)'!$B$5:$C$19,MATCH(Planning!$A15,'Required Capacity (Hide)'!$A$5:$A$19,0),1),0)</f>
        <v>0</v>
      </c>
      <c r="C15" s="117">
        <f>IFERROR(INDEX('Required Capacity (Hide)'!$B$5:$C$19,MATCH(Planning!$A15,'Required Capacity (Hide)'!$A$5:$A$19,0),2),0)</f>
        <v>1</v>
      </c>
      <c r="D15" s="155"/>
      <c r="E15" s="156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75">
        <f>IFERROR(INDEX('Required Capacity (Hide)'!$B$5:$C$19,MATCH(Planning!$A16,'Required Capacity (Hide)'!$A$5:$A$19,0),1),0)</f>
        <v>0</v>
      </c>
      <c r="C16" s="117">
        <f>IFERROR(INDEX('Required Capacity (Hide)'!$B$5:$C$19,MATCH(Planning!$A16,'Required Capacity (Hide)'!$A$5:$A$19,0),2),0)</f>
        <v>1</v>
      </c>
      <c r="D16" s="155"/>
      <c r="E16" s="156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75">
        <f>IFERROR(INDEX('Required Capacity (Hide)'!$B$5:$C$19,MATCH(Planning!$A17,'Required Capacity (Hide)'!$A$5:$A$19,0),1),0)</f>
        <v>0</v>
      </c>
      <c r="C17" s="117">
        <f>IFERROR(INDEX('Required Capacity (Hide)'!$B$5:$C$19,MATCH(Planning!$A17,'Required Capacity (Hide)'!$A$5:$A$19,0),2),0)</f>
        <v>1</v>
      </c>
      <c r="D17" s="155"/>
      <c r="E17" s="156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75">
        <f>IFERROR(INDEX('Required Capacity (Hide)'!$B$5:$C$19,MATCH(Planning!$A18,'Required Capacity (Hide)'!$A$5:$A$19,0),1),0)</f>
        <v>0</v>
      </c>
      <c r="C18" s="117">
        <f>IFERROR(INDEX('Required Capacity (Hide)'!$B$5:$C$19,MATCH(Planning!$A18,'Required Capacity (Hide)'!$A$5:$A$19,0),2),0)</f>
        <v>1</v>
      </c>
      <c r="D18" s="155"/>
      <c r="E18" s="156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75">
        <f>IFERROR(INDEX('Required Capacity (Hide)'!$B$5:$C$19,MATCH(Planning!$A19,'Required Capacity (Hide)'!$A$5:$A$19,0),1),0)</f>
        <v>0</v>
      </c>
      <c r="C19" s="117">
        <f>IFERROR(INDEX('Required Capacity (Hide)'!$B$5:$C$19,MATCH(Planning!$A19,'Required Capacity (Hide)'!$A$5:$A$19,0),2),0)</f>
        <v>1</v>
      </c>
      <c r="D19" s="155"/>
      <c r="E19" s="156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76">
        <f>IFERROR(INDEX('Required Capacity (Hide)'!$B$5:$C$19,MATCH(Planning!$A20,'Required Capacity (Hide)'!$A$5:$A$19,0),1),0)</f>
        <v>0</v>
      </c>
      <c r="C20" s="118">
        <f>IFERROR(INDEX('Required Capacity (Hide)'!$B$5:$C$19,MATCH(Planning!$A20,'Required Capacity (Hide)'!$A$5:$A$19,0),2),0)</f>
        <v>1</v>
      </c>
      <c r="D20" s="157"/>
      <c r="E20" s="158"/>
      <c r="F20" s="36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55" t="s">
        <v>148</v>
      </c>
    </row>
    <row r="23" spans="1:7" ht="15" thickBot="1" x14ac:dyDescent="0.4"/>
    <row r="24" spans="1:7" ht="58.5" thickBot="1" x14ac:dyDescent="0.4">
      <c r="A24" s="57" t="str">
        <f>Setup!B15</f>
        <v>Caseloads</v>
      </c>
      <c r="B24" s="78" t="s">
        <v>152</v>
      </c>
      <c r="C24" s="78" t="s">
        <v>188</v>
      </c>
      <c r="D24" s="78" t="s">
        <v>154</v>
      </c>
      <c r="E24" s="78" t="s">
        <v>155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9">
        <f>INDEX('Planning Backing (Hide)'!$B$21:$C$35,MATCH(A25,'Planning Backing (Hide)'!$A$21:$A$35,0),2)</f>
        <v>34.285714285714285</v>
      </c>
      <c r="D25" s="159"/>
      <c r="E25" s="160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20">
        <f>INDEX('Planning Backing (Hide)'!$B$21:$C$35,MATCH(A26,'Planning Backing (Hide)'!$A$21:$A$35,0),2)</f>
        <v>17.142857142857142</v>
      </c>
      <c r="D26" s="161"/>
      <c r="E26" s="162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20">
        <f>INDEX('Planning Backing (Hide)'!$B$21:$C$35,MATCH(A27,'Planning Backing (Hide)'!$A$21:$A$35,0),2)</f>
        <v>34.285714285714285</v>
      </c>
      <c r="D27" s="161"/>
      <c r="E27" s="162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20">
        <f>INDEX('Planning Backing (Hide)'!$B$21:$C$35,MATCH(A28,'Planning Backing (Hide)'!$A$21:$A$35,0),2)</f>
        <v>0</v>
      </c>
      <c r="D28" s="161"/>
      <c r="E28" s="162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20">
        <f>INDEX('Planning Backing (Hide)'!$B$21:$C$35,MATCH(A29,'Planning Backing (Hide)'!$A$21:$A$35,0),2)</f>
        <v>0</v>
      </c>
      <c r="D29" s="161"/>
      <c r="E29" s="162"/>
      <c r="F29" s="69"/>
      <c r="G29" s="70"/>
    </row>
    <row r="30" spans="1:7" hidden="1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7">
        <f>INDEX('Planning Backing (Hide)'!$B$21:$C$35,MATCH(A30,'Planning Backing (Hide)'!$A$21:$A$35,0),2)</f>
        <v>0</v>
      </c>
      <c r="D30" s="155"/>
      <c r="E30" s="156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7">
        <f>INDEX('Planning Backing (Hide)'!$B$21:$C$35,MATCH(A31,'Planning Backing (Hide)'!$A$21:$A$35,0),2)</f>
        <v>0</v>
      </c>
      <c r="D31" s="155"/>
      <c r="E31" s="156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7">
        <f>INDEX('Planning Backing (Hide)'!$B$21:$C$35,MATCH(A32,'Planning Backing (Hide)'!$A$21:$A$35,0),2)</f>
        <v>0</v>
      </c>
      <c r="D32" s="155"/>
      <c r="E32" s="156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7">
        <f>INDEX('Planning Backing (Hide)'!$B$21:$C$35,MATCH(A33,'Planning Backing (Hide)'!$A$21:$A$35,0),2)</f>
        <v>0</v>
      </c>
      <c r="D33" s="155"/>
      <c r="E33" s="156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7">
        <f>INDEX('Planning Backing (Hide)'!$B$21:$C$35,MATCH(A34,'Planning Backing (Hide)'!$A$21:$A$35,0),2)</f>
        <v>0</v>
      </c>
      <c r="D34" s="155"/>
      <c r="E34" s="156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7">
        <f>INDEX('Planning Backing (Hide)'!$B$21:$C$35,MATCH(A35,'Planning Backing (Hide)'!$A$21:$A$35,0),2)</f>
        <v>0</v>
      </c>
      <c r="D35" s="155"/>
      <c r="E35" s="156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7">
        <f>INDEX('Planning Backing (Hide)'!$B$21:$C$35,MATCH(A36,'Planning Backing (Hide)'!$A$21:$A$35,0),2)</f>
        <v>0</v>
      </c>
      <c r="D36" s="155"/>
      <c r="E36" s="156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7">
        <f>INDEX('Planning Backing (Hide)'!$B$21:$C$35,MATCH(A37,'Planning Backing (Hide)'!$A$21:$A$35,0),2)</f>
        <v>0</v>
      </c>
      <c r="D37" s="155"/>
      <c r="E37" s="156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7">
        <f>INDEX('Planning Backing (Hide)'!$B$21:$C$35,MATCH(A38,'Planning Backing (Hide)'!$A$21:$A$35,0),2)</f>
        <v>0</v>
      </c>
      <c r="D38" s="155"/>
      <c r="E38" s="156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8">
        <f>INDEX('Planning Backing (Hide)'!$B$21:$C$35,MATCH(A39,'Planning Backing (Hide)'!$A$21:$A$35,0),2)</f>
        <v>0</v>
      </c>
      <c r="D39" s="157"/>
      <c r="E39" s="158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184</v>
      </c>
      <c r="B41" s="5"/>
      <c r="C41" s="5"/>
      <c r="D41" s="5"/>
      <c r="E41" s="5"/>
    </row>
    <row r="42" spans="1:7" ht="15" thickBot="1" x14ac:dyDescent="0.4">
      <c r="A42" s="99" t="s">
        <v>185</v>
      </c>
      <c r="B42" s="5"/>
      <c r="C42" s="5"/>
      <c r="D42" s="5"/>
      <c r="E42" s="5"/>
    </row>
    <row r="43" spans="1:7" ht="29.5" thickBot="1" x14ac:dyDescent="0.4">
      <c r="A43" s="57" t="str">
        <f>Setup!B15</f>
        <v>Caseloads</v>
      </c>
      <c r="B43" s="78" t="s">
        <v>45</v>
      </c>
      <c r="C43" s="78" t="s">
        <v>182</v>
      </c>
      <c r="D43" s="78" t="s">
        <v>183</v>
      </c>
      <c r="E43" s="5"/>
    </row>
    <row r="44" spans="1:7" x14ac:dyDescent="0.35">
      <c r="A44" s="124"/>
      <c r="B44" s="124"/>
      <c r="C44" s="74" t="str" cm="1">
        <f t="array" ref="C44">IFERROR(INDEX(Service!$E$6:$E$30,MATCH(1,(Service!$B$6:$B$30=Planning!A44)*(Service!$C$6:$C$30=Planning!B44),0),1),"")</f>
        <v/>
      </c>
      <c r="D44" s="141"/>
      <c r="E44" s="5"/>
    </row>
    <row r="45" spans="1:7" x14ac:dyDescent="0.35">
      <c r="A45" s="125"/>
      <c r="B45" s="125"/>
      <c r="C45" s="75" t="str" cm="1">
        <f t="array" ref="C45">IFERROR(INDEX(Service!$E$6:$E$30,MATCH(1,(Service!$B$6:$B$30=Planning!A45)*(Service!$C$6:$C$30=Planning!B45),0),1),"")</f>
        <v/>
      </c>
      <c r="D45" s="144"/>
      <c r="E45" s="5"/>
    </row>
    <row r="46" spans="1:7" x14ac:dyDescent="0.35">
      <c r="A46" s="125"/>
      <c r="B46" s="125"/>
      <c r="C46" s="75" t="str" cm="1">
        <f t="array" ref="C46">IFERROR(INDEX(Service!$E$6:$E$30,MATCH(1,(Service!$B$6:$B$30=Planning!A46)*(Service!$C$6:$C$30=Planning!B46),0),1),"")</f>
        <v/>
      </c>
      <c r="D46" s="144"/>
      <c r="E46" s="5"/>
    </row>
    <row r="47" spans="1:7" x14ac:dyDescent="0.35">
      <c r="A47" s="125"/>
      <c r="B47" s="125"/>
      <c r="C47" s="75" t="str" cm="1">
        <f t="array" ref="C47">IFERROR(INDEX(Service!$E$6:$E$30,MATCH(1,(Service!$B$6:$B$30=Planning!A47)*(Service!$C$6:$C$30=Planning!B47),0),1),"")</f>
        <v/>
      </c>
      <c r="D47" s="144"/>
      <c r="E47" s="5"/>
    </row>
    <row r="48" spans="1:7" x14ac:dyDescent="0.35">
      <c r="A48" s="125"/>
      <c r="B48" s="125"/>
      <c r="C48" s="75" t="str" cm="1">
        <f t="array" ref="C48">IFERROR(INDEX(Service!$E$6:$E$30,MATCH(1,(Service!$B$6:$B$30=Planning!A48)*(Service!$C$6:$C$30=Planning!B48),0),1),"")</f>
        <v/>
      </c>
      <c r="D48" s="144"/>
      <c r="E48" s="5"/>
    </row>
    <row r="49" spans="1:7" x14ac:dyDescent="0.35">
      <c r="A49" s="125"/>
      <c r="B49" s="125"/>
      <c r="C49" s="75" t="str" cm="1">
        <f t="array" ref="C49">IFERROR(INDEX(Service!$E$6:$E$30,MATCH(1,(Service!$B$6:$B$30=Planning!A49)*(Service!$C$6:$C$30=Planning!B49),0),1),"")</f>
        <v/>
      </c>
      <c r="D49" s="144"/>
      <c r="E49" s="5"/>
    </row>
    <row r="50" spans="1:7" x14ac:dyDescent="0.35">
      <c r="A50" s="125"/>
      <c r="B50" s="125"/>
      <c r="C50" s="75" t="str" cm="1">
        <f t="array" ref="C50">IFERROR(INDEX(Service!$E$6:$E$30,MATCH(1,(Service!$B$6:$B$30=Planning!A50)*(Service!$C$6:$C$30=Planning!B50),0),1),"")</f>
        <v/>
      </c>
      <c r="D50" s="144"/>
      <c r="E50" s="5"/>
    </row>
    <row r="51" spans="1:7" x14ac:dyDescent="0.35">
      <c r="A51" s="125"/>
      <c r="B51" s="125"/>
      <c r="C51" s="75" t="str" cm="1">
        <f t="array" ref="C51">IFERROR(INDEX(Service!$E$6:$E$30,MATCH(1,(Service!$B$6:$B$30=Planning!A51)*(Service!$C$6:$C$30=Planning!B51),0),1),"")</f>
        <v/>
      </c>
      <c r="D51" s="144"/>
      <c r="E51" s="5"/>
    </row>
    <row r="52" spans="1:7" x14ac:dyDescent="0.35">
      <c r="A52" s="125"/>
      <c r="B52" s="125"/>
      <c r="C52" s="75" t="str" cm="1">
        <f t="array" ref="C52">IFERROR(INDEX(Service!$E$6:$E$30,MATCH(1,(Service!$B$6:$B$30=Planning!A52)*(Service!$C$6:$C$30=Planning!B52),0),1),"")</f>
        <v/>
      </c>
      <c r="D52" s="144"/>
      <c r="E52" s="5"/>
    </row>
    <row r="53" spans="1:7" x14ac:dyDescent="0.35">
      <c r="A53" s="125"/>
      <c r="B53" s="125"/>
      <c r="C53" s="75" t="str" cm="1">
        <f t="array" ref="C53">IFERROR(INDEX(Service!$E$6:$E$30,MATCH(1,(Service!$B$6:$B$30=Planning!A53)*(Service!$C$6:$C$30=Planning!B53),0),1),"")</f>
        <v/>
      </c>
      <c r="D53" s="144"/>
      <c r="E53" s="5"/>
    </row>
    <row r="54" spans="1:7" x14ac:dyDescent="0.35">
      <c r="A54" s="125"/>
      <c r="B54" s="125"/>
      <c r="C54" s="75" t="str" cm="1">
        <f t="array" ref="C54">IFERROR(INDEX(Service!$E$6:$E$30,MATCH(1,(Service!$B$6:$B$30=Planning!A54)*(Service!$C$6:$C$30=Planning!B54),0),1),"")</f>
        <v/>
      </c>
      <c r="D54" s="144"/>
      <c r="E54" s="5"/>
    </row>
    <row r="55" spans="1:7" x14ac:dyDescent="0.35">
      <c r="A55" s="125"/>
      <c r="B55" s="125"/>
      <c r="C55" s="75" t="str" cm="1">
        <f t="array" ref="C55">IFERROR(INDEX(Service!$E$6:$E$30,MATCH(1,(Service!$B$6:$B$30=Planning!A55)*(Service!$C$6:$C$30=Planning!B55),0),1),"")</f>
        <v/>
      </c>
      <c r="D55" s="144"/>
      <c r="E55" s="5"/>
    </row>
    <row r="56" spans="1:7" x14ac:dyDescent="0.35">
      <c r="A56" s="125"/>
      <c r="B56" s="125"/>
      <c r="C56" s="75" t="str" cm="1">
        <f t="array" ref="C56">IFERROR(INDEX(Service!$E$6:$E$30,MATCH(1,(Service!$B$6:$B$30=Planning!A56)*(Service!$C$6:$C$30=Planning!B56),0),1),"")</f>
        <v/>
      </c>
      <c r="D56" s="144"/>
      <c r="E56" s="5"/>
    </row>
    <row r="57" spans="1:7" x14ac:dyDescent="0.35">
      <c r="A57" s="125"/>
      <c r="B57" s="125"/>
      <c r="C57" s="75" t="str" cm="1">
        <f t="array" ref="C57">IFERROR(INDEX(Service!$E$6:$E$30,MATCH(1,(Service!$B$6:$B$30=Planning!A57)*(Service!$C$6:$C$30=Planning!B57),0),1),"")</f>
        <v/>
      </c>
      <c r="D57" s="144"/>
      <c r="E57" s="5"/>
    </row>
    <row r="58" spans="1:7" ht="15" thickBot="1" x14ac:dyDescent="0.4">
      <c r="A58" s="130"/>
      <c r="B58" s="130"/>
      <c r="C58" s="76" t="str" cm="1">
        <f t="array" ref="C58">IFERROR(INDEX(Service!$E$6:$E$30,MATCH(1,(Service!$B$6:$B$30=Planning!A58)*(Service!$C$6:$C$30=Planning!B58),0),1),"")</f>
        <v/>
      </c>
      <c r="D58" s="147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159</v>
      </c>
      <c r="F60" s="65"/>
      <c r="G60" s="65"/>
    </row>
    <row r="61" spans="1:7" ht="15" thickBot="1" x14ac:dyDescent="0.4"/>
    <row r="62" spans="1:7" ht="29.5" thickBot="1" x14ac:dyDescent="0.4">
      <c r="A62" s="57" t="str">
        <f>Setup!B15</f>
        <v>Caseloads</v>
      </c>
      <c r="B62" s="78" t="s">
        <v>149</v>
      </c>
      <c r="C62" s="78" t="s">
        <v>150</v>
      </c>
      <c r="D62" s="78" t="str">
        <f>"Edit Non-Group Capacity ("&amp;LOWER(Summary!B7)&amp;")"</f>
        <v>Edit Non-Group Capacity (hours)</v>
      </c>
      <c r="E62" s="78" t="str">
        <f>"Edit Group Capacity ("&amp;LOWER(Summary!B7)&amp;")"</f>
        <v>Edit Group Capacity (hours)</v>
      </c>
    </row>
    <row r="63" spans="1:7" x14ac:dyDescent="0.35">
      <c r="A63" s="47" t="str">
        <f>Setup!A20</f>
        <v>20 Group Sessions</v>
      </c>
      <c r="B63" s="100">
        <f>IFERROR(INDEX('Capacity Backing (Hide)'!$H$261:$J$275,MATCH(Planning!$A63,'Capacity Backing (Hide)'!$A$261:$A$275,0),1),0)</f>
        <v>0</v>
      </c>
      <c r="C63" s="100">
        <f>IFERROR(INDEX('Capacity Backing (Hide)'!$H$261:$J$275,MATCH(Planning!$A63,'Capacity Backing (Hide)'!$A$261:$A$275,0),2),0)</f>
        <v>8.4615384615384617</v>
      </c>
      <c r="D63" s="124"/>
      <c r="E63" s="124"/>
    </row>
    <row r="64" spans="1:7" x14ac:dyDescent="0.35">
      <c r="A64" s="47" t="str">
        <f>Setup!A21</f>
        <v>40 Group Session</v>
      </c>
      <c r="B64" s="101">
        <f>IFERROR(INDEX('Capacity Backing (Hide)'!$H$261:$J$275,MATCH(Planning!$A64,'Capacity Backing (Hide)'!$A$261:$A$275,0),1),0)</f>
        <v>0</v>
      </c>
      <c r="C64" s="101">
        <f>IFERROR(INDEX('Capacity Backing (Hide)'!$H$261:$J$275,MATCH(Planning!$A64,'Capacity Backing (Hide)'!$A$261:$A$275,0),2),0)</f>
        <v>8.4615384615384617</v>
      </c>
      <c r="D64" s="125"/>
      <c r="E64" s="125"/>
    </row>
    <row r="65" spans="1:5" x14ac:dyDescent="0.35">
      <c r="A65" s="47" t="str">
        <f>Setup!A22</f>
        <v>8 Group Session</v>
      </c>
      <c r="B65" s="101">
        <f>IFERROR(INDEX('Capacity Backing (Hide)'!$H$261:$J$275,MATCH(Planning!$A65,'Capacity Backing (Hide)'!$A$261:$A$275,0),1),0)</f>
        <v>0</v>
      </c>
      <c r="C65" s="101">
        <f>IFERROR(INDEX('Capacity Backing (Hide)'!$H$261:$J$275,MATCH(Planning!$A65,'Capacity Backing (Hide)'!$A$261:$A$275,0),2),0)</f>
        <v>8.4615384615384617</v>
      </c>
      <c r="D65" s="125"/>
      <c r="E65" s="125"/>
    </row>
    <row r="66" spans="1:5" x14ac:dyDescent="0.35">
      <c r="A66" s="47" t="str">
        <f>Setup!A23</f>
        <v>20 Individual</v>
      </c>
      <c r="B66" s="101">
        <f>IFERROR(INDEX('Capacity Backing (Hide)'!$H$261:$J$275,MATCH(Planning!$A66,'Capacity Backing (Hide)'!$A$261:$A$275,0),1),0)</f>
        <v>28.269230769230738</v>
      </c>
      <c r="C66" s="101">
        <f>IFERROR(INDEX('Capacity Backing (Hide)'!$H$261:$J$275,MATCH(Planning!$A66,'Capacity Backing (Hide)'!$A$261:$A$275,0),2),0)</f>
        <v>0</v>
      </c>
      <c r="D66" s="125"/>
      <c r="E66" s="125"/>
    </row>
    <row r="67" spans="1:5" ht="15" thickBot="1" x14ac:dyDescent="0.4">
      <c r="A67" s="47" t="str">
        <f>Setup!A24</f>
        <v>40 Individual</v>
      </c>
      <c r="B67" s="101">
        <f>IFERROR(INDEX('Capacity Backing (Hide)'!$H$261:$J$275,MATCH(Planning!$A67,'Capacity Backing (Hide)'!$A$261:$A$275,0),1),0)</f>
        <v>28.269230769230738</v>
      </c>
      <c r="C67" s="101">
        <f>IFERROR(INDEX('Capacity Backing (Hide)'!$H$261:$J$275,MATCH(Planning!$A67,'Capacity Backing (Hide)'!$A$261:$A$275,0),2),0)</f>
        <v>0</v>
      </c>
      <c r="D67" s="125"/>
      <c r="E67" s="125"/>
    </row>
    <row r="68" spans="1:5" hidden="1" x14ac:dyDescent="0.35">
      <c r="A68" s="47" t="str">
        <f>Setup!A25</f>
        <v>Caseload 6</v>
      </c>
      <c r="B68" s="75">
        <f>IFERROR(INDEX('Capacity Backing (Hide)'!$H$261:$J$275,MATCH(Planning!$A68,'Capacity Backing (Hide)'!$A$261:$A$275,0),1),0)</f>
        <v>0</v>
      </c>
      <c r="C68" s="75">
        <f>IFERROR(INDEX('Capacity Backing (Hide)'!$H$261:$J$275,MATCH(Planning!$A68,'Capacity Backing (Hide)'!$A$261:$A$275,0),2),0)</f>
        <v>0</v>
      </c>
      <c r="D68" s="125"/>
      <c r="E68" s="125"/>
    </row>
    <row r="69" spans="1:5" hidden="1" x14ac:dyDescent="0.35">
      <c r="A69" s="47" t="str">
        <f>Setup!A26</f>
        <v>Caseload 7</v>
      </c>
      <c r="B69" s="75">
        <f>IFERROR(INDEX('Capacity Backing (Hide)'!$H$261:$J$275,MATCH(Planning!$A69,'Capacity Backing (Hide)'!$A$261:$A$275,0),1),0)</f>
        <v>0</v>
      </c>
      <c r="C69" s="75">
        <f>IFERROR(INDEX('Capacity Backing (Hide)'!$H$261:$J$275,MATCH(Planning!$A69,'Capacity Backing (Hide)'!$A$261:$A$275,0),2),0)</f>
        <v>0</v>
      </c>
      <c r="D69" s="125"/>
      <c r="E69" s="125"/>
    </row>
    <row r="70" spans="1:5" hidden="1" x14ac:dyDescent="0.35">
      <c r="A70" s="47" t="str">
        <f>Setup!A27</f>
        <v>Caseload 8</v>
      </c>
      <c r="B70" s="75">
        <f>IFERROR(INDEX('Capacity Backing (Hide)'!$H$261:$J$275,MATCH(Planning!$A70,'Capacity Backing (Hide)'!$A$261:$A$275,0),1),0)</f>
        <v>0</v>
      </c>
      <c r="C70" s="75">
        <f>IFERROR(INDEX('Capacity Backing (Hide)'!$H$261:$J$275,MATCH(Planning!$A70,'Capacity Backing (Hide)'!$A$261:$A$275,0),2),0)</f>
        <v>0</v>
      </c>
      <c r="D70" s="125"/>
      <c r="E70" s="125"/>
    </row>
    <row r="71" spans="1:5" hidden="1" x14ac:dyDescent="0.35">
      <c r="A71" s="47" t="str">
        <f>Setup!A28</f>
        <v>Caseload 9</v>
      </c>
      <c r="B71" s="75">
        <f>IFERROR(INDEX('Capacity Backing (Hide)'!$H$261:$J$275,MATCH(Planning!$A71,'Capacity Backing (Hide)'!$A$261:$A$275,0),1),0)</f>
        <v>0</v>
      </c>
      <c r="C71" s="75">
        <f>IFERROR(INDEX('Capacity Backing (Hide)'!$H$261:$J$275,MATCH(Planning!$A71,'Capacity Backing (Hide)'!$A$261:$A$275,0),2),0)</f>
        <v>0</v>
      </c>
      <c r="D71" s="125"/>
      <c r="E71" s="125"/>
    </row>
    <row r="72" spans="1:5" hidden="1" x14ac:dyDescent="0.35">
      <c r="A72" s="47" t="str">
        <f>Setup!A29</f>
        <v>Caseload 10</v>
      </c>
      <c r="B72" s="75">
        <f>IFERROR(INDEX('Capacity Backing (Hide)'!$H$261:$J$275,MATCH(Planning!$A72,'Capacity Backing (Hide)'!$A$261:$A$275,0),1),0)</f>
        <v>0</v>
      </c>
      <c r="C72" s="75">
        <f>IFERROR(INDEX('Capacity Backing (Hide)'!$H$261:$J$275,MATCH(Planning!$A72,'Capacity Backing (Hide)'!$A$261:$A$275,0),2),0)</f>
        <v>0</v>
      </c>
      <c r="D72" s="125"/>
      <c r="E72" s="125"/>
    </row>
    <row r="73" spans="1:5" hidden="1" x14ac:dyDescent="0.35">
      <c r="A73" s="47" t="str">
        <f>Setup!A30</f>
        <v>Caseload 11</v>
      </c>
      <c r="B73" s="75">
        <f>IFERROR(INDEX('Capacity Backing (Hide)'!$H$261:$J$275,MATCH(Planning!$A73,'Capacity Backing (Hide)'!$A$261:$A$275,0),1),0)</f>
        <v>0</v>
      </c>
      <c r="C73" s="75">
        <f>IFERROR(INDEX('Capacity Backing (Hide)'!$H$261:$J$275,MATCH(Planning!$A73,'Capacity Backing (Hide)'!$A$261:$A$275,0),2),0)</f>
        <v>0</v>
      </c>
      <c r="D73" s="125"/>
      <c r="E73" s="125"/>
    </row>
    <row r="74" spans="1:5" hidden="1" x14ac:dyDescent="0.35">
      <c r="A74" s="47" t="str">
        <f>Setup!A31</f>
        <v>Caseload 12</v>
      </c>
      <c r="B74" s="75">
        <f>IFERROR(INDEX('Capacity Backing (Hide)'!$H$261:$J$275,MATCH(Planning!$A74,'Capacity Backing (Hide)'!$A$261:$A$275,0),1),0)</f>
        <v>0</v>
      </c>
      <c r="C74" s="75">
        <f>IFERROR(INDEX('Capacity Backing (Hide)'!$H$261:$J$275,MATCH(Planning!$A74,'Capacity Backing (Hide)'!$A$261:$A$275,0),2),0)</f>
        <v>0</v>
      </c>
      <c r="D74" s="125"/>
      <c r="E74" s="125"/>
    </row>
    <row r="75" spans="1:5" hidden="1" x14ac:dyDescent="0.35">
      <c r="A75" s="47" t="str">
        <f>Setup!A32</f>
        <v>Caseload 13</v>
      </c>
      <c r="B75" s="75">
        <f>IFERROR(INDEX('Capacity Backing (Hide)'!$H$261:$J$275,MATCH(Planning!$A75,'Capacity Backing (Hide)'!$A$261:$A$275,0),1),0)</f>
        <v>0</v>
      </c>
      <c r="C75" s="75">
        <f>IFERROR(INDEX('Capacity Backing (Hide)'!$H$261:$J$275,MATCH(Planning!$A75,'Capacity Backing (Hide)'!$A$261:$A$275,0),2),0)</f>
        <v>0</v>
      </c>
      <c r="D75" s="125"/>
      <c r="E75" s="125"/>
    </row>
    <row r="76" spans="1:5" hidden="1" x14ac:dyDescent="0.35">
      <c r="A76" s="47" t="str">
        <f>Setup!A33</f>
        <v>Caseload 14</v>
      </c>
      <c r="B76" s="75">
        <f>IFERROR(INDEX('Capacity Backing (Hide)'!$H$261:$J$275,MATCH(Planning!$A76,'Capacity Backing (Hide)'!$A$261:$A$275,0),1),0)</f>
        <v>0</v>
      </c>
      <c r="C76" s="75">
        <f>IFERROR(INDEX('Capacity Backing (Hide)'!$H$261:$J$275,MATCH(Planning!$A76,'Capacity Backing (Hide)'!$A$261:$A$275,0),2),0)</f>
        <v>0</v>
      </c>
      <c r="D76" s="125"/>
      <c r="E76" s="125"/>
    </row>
    <row r="77" spans="1:5" ht="15" hidden="1" thickBot="1" x14ac:dyDescent="0.4">
      <c r="A77" s="48" t="str">
        <f>Setup!A34</f>
        <v>Caseload 15</v>
      </c>
      <c r="B77" s="76">
        <f>IFERROR(INDEX('Capacity Backing (Hide)'!$H$261:$J$275,MATCH(Planning!$A77,'Capacity Backing (Hide)'!$A$261:$A$275,0),1),0)</f>
        <v>0</v>
      </c>
      <c r="C77" s="76">
        <f>IFERROR(INDEX('Capacity Backing (Hide)'!$H$261:$J$275,MATCH(Planning!$A77,'Capacity Backing (Hide)'!$A$261:$A$275,0),2),0)</f>
        <v>0</v>
      </c>
      <c r="D77" s="130"/>
      <c r="E77" s="13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151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142</v>
      </c>
      <c r="C3" s="65" t="s">
        <v>143</v>
      </c>
      <c r="D3" s="65" t="s">
        <v>144</v>
      </c>
      <c r="E3" s="65" t="s">
        <v>145</v>
      </c>
      <c r="F3" s="65" t="s">
        <v>146</v>
      </c>
      <c r="G3" s="65" t="s">
        <v>147</v>
      </c>
      <c r="I3" s="7"/>
      <c r="J3" s="26">
        <f>INDEX($D$21:$E$35,MATCH(J$1,$A$21:$A$35,0),1)/IF(Summary!$B$7="Minutes",1,60)</f>
        <v>1.25</v>
      </c>
      <c r="K3" s="28"/>
      <c r="L3" s="26">
        <f>INDEX($D$21:$E$35,MATCH(J$1,$A$21:$A$35,0),2)/IF(Summary!$B$7="Minutes",1,60)</f>
        <v>0.5714285714285714</v>
      </c>
      <c r="M3" s="28"/>
      <c r="N3" s="27"/>
      <c r="O3" s="28"/>
      <c r="P3" s="26">
        <f>INDEX($D$21:$E$35,MATCH(P$1,$A$21:$A$35,0),1)/IF(Summary!$B$7="Minutes",1,60)</f>
        <v>2</v>
      </c>
      <c r="Q3" s="28"/>
      <c r="R3" s="26">
        <f>INDEX($D$21:$E$35,MATCH(P$1,$A$21:$A$35,0),2)/IF(Summary!$B$7="Minutes",1,60)</f>
        <v>0.2857142857142857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0.5714285714285714</v>
      </c>
      <c r="Y3" s="28"/>
      <c r="Z3" s="27"/>
      <c r="AA3" s="28"/>
      <c r="AB3" s="26">
        <f>INDEX($D$21:$E$35,MATCH(AB$1,$A$21:$A$35,0),1)/IF(Summary!$B$7="Minutes",1,60)</f>
        <v>0.75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1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5.4285714285714279</v>
      </c>
      <c r="S5">
        <f>INDEX($D$4:$E$18,MATCH(R$1,$A$4:$A$18,0),2)*R$3</f>
        <v>7.1428571428571423</v>
      </c>
      <c r="T5">
        <f>SUMIF(P$4:S$4,T$4,P5:S5)</f>
        <v>43.428571428571431</v>
      </c>
      <c r="U5">
        <f>SUMIF(P$4:S$4,U$4,P5:S5)</f>
        <v>57.142857142857139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33.571428571428569</v>
      </c>
      <c r="CY5">
        <f t="shared" si="0"/>
        <v>38.428571428571431</v>
      </c>
      <c r="CZ5">
        <f>SUMIFS($J5:$CU5,$J$2:$CU$2,CZ$2,$J$4:$CU$4,CZ$4)</f>
        <v>197.82142857142856</v>
      </c>
      <c r="DA5">
        <f>SUMIFS($J5:$CU5,$J$2:$CU$2,DA$2,$J$4:$CU$4,DA$4)</f>
        <v>219.36607142857142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5.4285714285714279</v>
      </c>
      <c r="S6">
        <f t="shared" ref="S6:S56" si="10">INDEX($D$4:$E$18,MATCH(R$1,$A$4:$A$18,0),2)*R$3</f>
        <v>7.1428571428571423</v>
      </c>
      <c r="T6">
        <f t="shared" ref="T6:T56" si="11">SUMIF(P$4:S$4,T$4,P6:S6)</f>
        <v>43.428571428571431</v>
      </c>
      <c r="U6">
        <f t="shared" ref="U6:U56" si="12">SUMIF(P$4:S$4,U$4,P6:S6)</f>
        <v>57.142857142857139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33.571428571428569</v>
      </c>
      <c r="CY6">
        <f t="shared" si="92"/>
        <v>38.428571428571431</v>
      </c>
      <c r="CZ6">
        <f t="shared" ref="CZ6:DA56" si="93">SUMIFS($J6:$CU6,$J$2:$CU$2,CZ$2,$J$4:$CU$4,CZ$4)</f>
        <v>197.82142857142856</v>
      </c>
      <c r="DA6">
        <f t="shared" si="93"/>
        <v>219.36607142857142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5.4285714285714279</v>
      </c>
      <c r="S7">
        <f t="shared" si="10"/>
        <v>7.1428571428571423</v>
      </c>
      <c r="T7">
        <f t="shared" si="11"/>
        <v>43.428571428571431</v>
      </c>
      <c r="U7">
        <f t="shared" si="12"/>
        <v>57.142857142857139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33.571428571428569</v>
      </c>
      <c r="CY7">
        <f t="shared" si="92"/>
        <v>38.428571428571431</v>
      </c>
      <c r="CZ7">
        <f t="shared" si="93"/>
        <v>197.82142857142856</v>
      </c>
      <c r="DA7">
        <f t="shared" si="93"/>
        <v>219.36607142857142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5.4285714285714279</v>
      </c>
      <c r="S8">
        <f t="shared" si="10"/>
        <v>7.1428571428571423</v>
      </c>
      <c r="T8">
        <f t="shared" si="11"/>
        <v>43.428571428571431</v>
      </c>
      <c r="U8">
        <f t="shared" si="12"/>
        <v>57.142857142857139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33.571428571428569</v>
      </c>
      <c r="CY8">
        <f t="shared" si="92"/>
        <v>38.428571428571431</v>
      </c>
      <c r="CZ8">
        <f t="shared" si="93"/>
        <v>197.82142857142856</v>
      </c>
      <c r="DA8">
        <f t="shared" si="93"/>
        <v>219.36607142857142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5.4285714285714279</v>
      </c>
      <c r="S9">
        <f t="shared" si="10"/>
        <v>7.1428571428571423</v>
      </c>
      <c r="T9">
        <f t="shared" si="11"/>
        <v>43.428571428571431</v>
      </c>
      <c r="U9">
        <f t="shared" si="12"/>
        <v>57.142857142857139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33.571428571428569</v>
      </c>
      <c r="CY9">
        <f t="shared" si="92"/>
        <v>38.428571428571431</v>
      </c>
      <c r="CZ9">
        <f t="shared" si="93"/>
        <v>197.82142857142856</v>
      </c>
      <c r="DA9">
        <f t="shared" si="93"/>
        <v>219.36607142857142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5.4285714285714279</v>
      </c>
      <c r="S10">
        <f t="shared" si="10"/>
        <v>7.1428571428571423</v>
      </c>
      <c r="T10">
        <f t="shared" si="11"/>
        <v>43.428571428571431</v>
      </c>
      <c r="U10">
        <f t="shared" si="12"/>
        <v>57.142857142857139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33.571428571428569</v>
      </c>
      <c r="CY10">
        <f t="shared" si="92"/>
        <v>38.428571428571431</v>
      </c>
      <c r="CZ10">
        <f t="shared" si="93"/>
        <v>197.82142857142856</v>
      </c>
      <c r="DA10">
        <f t="shared" si="93"/>
        <v>219.36607142857142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5.4285714285714279</v>
      </c>
      <c r="S11">
        <f t="shared" si="10"/>
        <v>7.1428571428571423</v>
      </c>
      <c r="T11">
        <f t="shared" si="11"/>
        <v>43.428571428571431</v>
      </c>
      <c r="U11">
        <f t="shared" si="12"/>
        <v>57.142857142857139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33.571428571428569</v>
      </c>
      <c r="CY11">
        <f t="shared" si="92"/>
        <v>38.428571428571431</v>
      </c>
      <c r="CZ11">
        <f t="shared" si="93"/>
        <v>197.82142857142856</v>
      </c>
      <c r="DA11">
        <f t="shared" si="93"/>
        <v>219.36607142857142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5.4285714285714279</v>
      </c>
      <c r="S12">
        <f t="shared" si="10"/>
        <v>7.1428571428571423</v>
      </c>
      <c r="T12">
        <f t="shared" si="11"/>
        <v>43.428571428571431</v>
      </c>
      <c r="U12">
        <f t="shared" si="12"/>
        <v>57.142857142857139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33.571428571428569</v>
      </c>
      <c r="CY12">
        <f t="shared" si="92"/>
        <v>38.428571428571431</v>
      </c>
      <c r="CZ12">
        <f t="shared" si="93"/>
        <v>197.82142857142856</v>
      </c>
      <c r="DA12">
        <f t="shared" si="93"/>
        <v>219.36607142857142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5.4285714285714279</v>
      </c>
      <c r="S13">
        <f t="shared" si="10"/>
        <v>7.1428571428571423</v>
      </c>
      <c r="T13">
        <f t="shared" si="11"/>
        <v>43.428571428571431</v>
      </c>
      <c r="U13">
        <f t="shared" si="12"/>
        <v>57.142857142857139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33.571428571428569</v>
      </c>
      <c r="CY13">
        <f t="shared" si="92"/>
        <v>38.428571428571431</v>
      </c>
      <c r="CZ13">
        <f t="shared" si="93"/>
        <v>197.82142857142856</v>
      </c>
      <c r="DA13">
        <f t="shared" si="93"/>
        <v>219.36607142857142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5.4285714285714279</v>
      </c>
      <c r="S14">
        <f t="shared" si="10"/>
        <v>7.1428571428571423</v>
      </c>
      <c r="T14">
        <f t="shared" si="11"/>
        <v>43.428571428571431</v>
      </c>
      <c r="U14">
        <f t="shared" si="12"/>
        <v>57.142857142857139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33.571428571428569</v>
      </c>
      <c r="CY14">
        <f t="shared" si="92"/>
        <v>38.428571428571431</v>
      </c>
      <c r="CZ14">
        <f t="shared" si="93"/>
        <v>197.82142857142856</v>
      </c>
      <c r="DA14">
        <f t="shared" si="93"/>
        <v>219.36607142857142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5.4285714285714279</v>
      </c>
      <c r="S15">
        <f t="shared" si="10"/>
        <v>7.1428571428571423</v>
      </c>
      <c r="T15">
        <f t="shared" si="11"/>
        <v>43.428571428571431</v>
      </c>
      <c r="U15">
        <f t="shared" si="12"/>
        <v>57.142857142857139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33.571428571428569</v>
      </c>
      <c r="CY15">
        <f t="shared" si="92"/>
        <v>38.428571428571431</v>
      </c>
      <c r="CZ15">
        <f t="shared" si="93"/>
        <v>197.82142857142856</v>
      </c>
      <c r="DA15">
        <f t="shared" si="93"/>
        <v>219.36607142857142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5.4285714285714279</v>
      </c>
      <c r="S16">
        <f t="shared" si="10"/>
        <v>7.1428571428571423</v>
      </c>
      <c r="T16">
        <f t="shared" si="11"/>
        <v>43.428571428571431</v>
      </c>
      <c r="U16">
        <f t="shared" si="12"/>
        <v>57.142857142857139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33.571428571428569</v>
      </c>
      <c r="CY16">
        <f t="shared" si="92"/>
        <v>38.428571428571431</v>
      </c>
      <c r="CZ16">
        <f t="shared" si="93"/>
        <v>197.82142857142856</v>
      </c>
      <c r="DA16">
        <f t="shared" si="93"/>
        <v>219.36607142857142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5.4285714285714279</v>
      </c>
      <c r="S17">
        <f t="shared" si="10"/>
        <v>7.1428571428571423</v>
      </c>
      <c r="T17">
        <f t="shared" si="11"/>
        <v>43.428571428571431</v>
      </c>
      <c r="U17">
        <f t="shared" si="12"/>
        <v>57.142857142857139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33.571428571428569</v>
      </c>
      <c r="CY17">
        <f t="shared" si="92"/>
        <v>38.428571428571431</v>
      </c>
      <c r="CZ17">
        <f t="shared" si="93"/>
        <v>197.82142857142856</v>
      </c>
      <c r="DA17">
        <f t="shared" si="93"/>
        <v>219.36607142857142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5.4285714285714279</v>
      </c>
      <c r="S18">
        <f t="shared" si="10"/>
        <v>7.1428571428571423</v>
      </c>
      <c r="T18">
        <f t="shared" si="11"/>
        <v>43.428571428571431</v>
      </c>
      <c r="U18">
        <f t="shared" si="12"/>
        <v>57.142857142857139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33.571428571428569</v>
      </c>
      <c r="CY18">
        <f t="shared" si="92"/>
        <v>38.428571428571431</v>
      </c>
      <c r="CZ18">
        <f t="shared" si="93"/>
        <v>197.82142857142856</v>
      </c>
      <c r="DA18">
        <f t="shared" si="93"/>
        <v>219.36607142857142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5.4285714285714279</v>
      </c>
      <c r="S19">
        <f t="shared" si="10"/>
        <v>7.1428571428571423</v>
      </c>
      <c r="T19">
        <f t="shared" si="11"/>
        <v>43.428571428571431</v>
      </c>
      <c r="U19">
        <f t="shared" si="12"/>
        <v>57.142857142857139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33.571428571428569</v>
      </c>
      <c r="CY19">
        <f t="shared" si="92"/>
        <v>38.428571428571431</v>
      </c>
      <c r="CZ19">
        <f t="shared" si="93"/>
        <v>197.82142857142856</v>
      </c>
      <c r="DA19">
        <f t="shared" si="93"/>
        <v>219.36607142857142</v>
      </c>
    </row>
    <row r="20" spans="1:105" ht="87" x14ac:dyDescent="0.35">
      <c r="A20" t="s">
        <v>44</v>
      </c>
      <c r="B20" s="65" t="s">
        <v>152</v>
      </c>
      <c r="C20" s="65" t="s">
        <v>153</v>
      </c>
      <c r="D20" s="65" t="s">
        <v>154</v>
      </c>
      <c r="E20" s="65" t="s">
        <v>155</v>
      </c>
      <c r="F20" s="65" t="s">
        <v>156</v>
      </c>
      <c r="G20" s="65" t="s">
        <v>157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5.4285714285714279</v>
      </c>
      <c r="S20">
        <f t="shared" si="10"/>
        <v>7.1428571428571423</v>
      </c>
      <c r="T20">
        <f t="shared" si="11"/>
        <v>43.428571428571431</v>
      </c>
      <c r="U20">
        <f t="shared" si="12"/>
        <v>57.142857142857139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33.571428571428569</v>
      </c>
      <c r="CY20">
        <f t="shared" si="92"/>
        <v>38.428571428571431</v>
      </c>
      <c r="CZ20">
        <f t="shared" si="93"/>
        <v>197.82142857142856</v>
      </c>
      <c r="DA20">
        <f t="shared" si="93"/>
        <v>219.36607142857142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5.4285714285714279</v>
      </c>
      <c r="S21">
        <f t="shared" si="10"/>
        <v>7.1428571428571423</v>
      </c>
      <c r="T21">
        <f t="shared" si="11"/>
        <v>43.428571428571431</v>
      </c>
      <c r="U21">
        <f t="shared" si="12"/>
        <v>57.142857142857139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33.571428571428569</v>
      </c>
      <c r="CY21">
        <f t="shared" si="91"/>
        <v>38.428571428571431</v>
      </c>
      <c r="CZ21">
        <f t="shared" si="93"/>
        <v>197.82142857142856</v>
      </c>
      <c r="DA21">
        <f t="shared" si="93"/>
        <v>219.36607142857142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5.4285714285714279</v>
      </c>
      <c r="S22">
        <f t="shared" si="10"/>
        <v>7.1428571428571423</v>
      </c>
      <c r="T22">
        <f t="shared" si="11"/>
        <v>43.428571428571431</v>
      </c>
      <c r="U22">
        <f t="shared" si="12"/>
        <v>57.142857142857139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33.571428571428569</v>
      </c>
      <c r="CY22">
        <f t="shared" si="91"/>
        <v>38.428571428571431</v>
      </c>
      <c r="CZ22">
        <f t="shared" si="93"/>
        <v>197.82142857142856</v>
      </c>
      <c r="DA22">
        <f t="shared" si="93"/>
        <v>219.36607142857142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5.4285714285714279</v>
      </c>
      <c r="S23">
        <f t="shared" si="10"/>
        <v>7.1428571428571423</v>
      </c>
      <c r="T23">
        <f t="shared" si="11"/>
        <v>43.428571428571431</v>
      </c>
      <c r="U23">
        <f t="shared" si="12"/>
        <v>57.142857142857139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33.571428571428569</v>
      </c>
      <c r="CY23">
        <f t="shared" si="91"/>
        <v>38.428571428571431</v>
      </c>
      <c r="CZ23">
        <f t="shared" si="93"/>
        <v>197.82142857142856</v>
      </c>
      <c r="DA23">
        <f t="shared" si="93"/>
        <v>219.36607142857142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5.4285714285714279</v>
      </c>
      <c r="S24">
        <f t="shared" si="10"/>
        <v>7.1428571428571423</v>
      </c>
      <c r="T24">
        <f t="shared" si="11"/>
        <v>43.428571428571431</v>
      </c>
      <c r="U24">
        <f t="shared" si="12"/>
        <v>57.142857142857139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33.571428571428569</v>
      </c>
      <c r="CY24">
        <f t="shared" si="91"/>
        <v>38.428571428571431</v>
      </c>
      <c r="CZ24">
        <f t="shared" si="93"/>
        <v>197.82142857142856</v>
      </c>
      <c r="DA24">
        <f t="shared" si="93"/>
        <v>219.36607142857142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5.4285714285714279</v>
      </c>
      <c r="S25">
        <f t="shared" si="10"/>
        <v>7.1428571428571423</v>
      </c>
      <c r="T25">
        <f t="shared" si="11"/>
        <v>43.428571428571431</v>
      </c>
      <c r="U25">
        <f t="shared" si="12"/>
        <v>57.142857142857139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33.571428571428569</v>
      </c>
      <c r="CY25">
        <f t="shared" si="91"/>
        <v>38.428571428571431</v>
      </c>
      <c r="CZ25">
        <f t="shared" si="93"/>
        <v>197.82142857142856</v>
      </c>
      <c r="DA25">
        <f t="shared" si="93"/>
        <v>219.36607142857142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5.4285714285714279</v>
      </c>
      <c r="S26">
        <f t="shared" si="10"/>
        <v>7.1428571428571423</v>
      </c>
      <c r="T26">
        <f t="shared" si="11"/>
        <v>43.428571428571431</v>
      </c>
      <c r="U26">
        <f t="shared" si="12"/>
        <v>57.142857142857139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33.571428571428569</v>
      </c>
      <c r="CY26">
        <f t="shared" si="91"/>
        <v>38.428571428571431</v>
      </c>
      <c r="CZ26">
        <f t="shared" si="93"/>
        <v>197.82142857142856</v>
      </c>
      <c r="DA26">
        <f t="shared" si="93"/>
        <v>219.36607142857142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5.4285714285714279</v>
      </c>
      <c r="S27">
        <f t="shared" si="10"/>
        <v>7.1428571428571423</v>
      </c>
      <c r="T27">
        <f t="shared" si="11"/>
        <v>43.428571428571431</v>
      </c>
      <c r="U27">
        <f t="shared" si="12"/>
        <v>57.142857142857139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33.571428571428569</v>
      </c>
      <c r="CY27">
        <f t="shared" si="91"/>
        <v>38.428571428571431</v>
      </c>
      <c r="CZ27">
        <f t="shared" si="93"/>
        <v>197.82142857142856</v>
      </c>
      <c r="DA27">
        <f t="shared" si="93"/>
        <v>219.36607142857142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5.4285714285714279</v>
      </c>
      <c r="S28">
        <f t="shared" si="10"/>
        <v>7.1428571428571423</v>
      </c>
      <c r="T28">
        <f t="shared" si="11"/>
        <v>43.428571428571431</v>
      </c>
      <c r="U28">
        <f t="shared" si="12"/>
        <v>57.142857142857139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33.571428571428569</v>
      </c>
      <c r="CY28">
        <f t="shared" si="91"/>
        <v>38.428571428571431</v>
      </c>
      <c r="CZ28">
        <f t="shared" si="93"/>
        <v>197.82142857142856</v>
      </c>
      <c r="DA28">
        <f t="shared" si="93"/>
        <v>219.36607142857142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5.4285714285714279</v>
      </c>
      <c r="S29">
        <f t="shared" si="10"/>
        <v>7.1428571428571423</v>
      </c>
      <c r="T29">
        <f t="shared" si="11"/>
        <v>43.428571428571431</v>
      </c>
      <c r="U29">
        <f t="shared" si="12"/>
        <v>57.142857142857139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33.571428571428569</v>
      </c>
      <c r="CY29">
        <f t="shared" si="91"/>
        <v>38.428571428571431</v>
      </c>
      <c r="CZ29">
        <f t="shared" si="93"/>
        <v>197.82142857142856</v>
      </c>
      <c r="DA29">
        <f t="shared" si="93"/>
        <v>219.36607142857142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5.4285714285714279</v>
      </c>
      <c r="S30">
        <f t="shared" si="10"/>
        <v>7.1428571428571423</v>
      </c>
      <c r="T30">
        <f t="shared" si="11"/>
        <v>43.428571428571431</v>
      </c>
      <c r="U30">
        <f t="shared" si="12"/>
        <v>57.142857142857139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33.571428571428569</v>
      </c>
      <c r="CY30">
        <f t="shared" si="91"/>
        <v>38.428571428571431</v>
      </c>
      <c r="CZ30">
        <f t="shared" si="93"/>
        <v>197.82142857142856</v>
      </c>
      <c r="DA30">
        <f t="shared" si="93"/>
        <v>219.36607142857142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5.4285714285714279</v>
      </c>
      <c r="S31">
        <f t="shared" si="10"/>
        <v>7.1428571428571423</v>
      </c>
      <c r="T31">
        <f t="shared" si="11"/>
        <v>43.428571428571431</v>
      </c>
      <c r="U31">
        <f t="shared" si="12"/>
        <v>57.142857142857139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33.571428571428569</v>
      </c>
      <c r="CY31">
        <f t="shared" si="91"/>
        <v>38.428571428571431</v>
      </c>
      <c r="CZ31">
        <f t="shared" si="93"/>
        <v>197.82142857142856</v>
      </c>
      <c r="DA31">
        <f t="shared" si="93"/>
        <v>219.36607142857142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5.4285714285714279</v>
      </c>
      <c r="S32">
        <f t="shared" si="10"/>
        <v>7.1428571428571423</v>
      </c>
      <c r="T32">
        <f t="shared" si="11"/>
        <v>43.428571428571431</v>
      </c>
      <c r="U32">
        <f t="shared" si="12"/>
        <v>57.142857142857139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33.571428571428569</v>
      </c>
      <c r="CY32">
        <f t="shared" si="91"/>
        <v>38.428571428571431</v>
      </c>
      <c r="CZ32">
        <f t="shared" si="93"/>
        <v>197.82142857142856</v>
      </c>
      <c r="DA32">
        <f t="shared" si="93"/>
        <v>219.36607142857142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5.4285714285714279</v>
      </c>
      <c r="S33">
        <f t="shared" si="10"/>
        <v>7.1428571428571423</v>
      </c>
      <c r="T33">
        <f t="shared" si="11"/>
        <v>43.428571428571431</v>
      </c>
      <c r="U33">
        <f t="shared" si="12"/>
        <v>57.142857142857139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33.571428571428569</v>
      </c>
      <c r="CY33">
        <f t="shared" si="91"/>
        <v>38.428571428571431</v>
      </c>
      <c r="CZ33">
        <f t="shared" si="93"/>
        <v>197.82142857142856</v>
      </c>
      <c r="DA33">
        <f t="shared" si="93"/>
        <v>219.36607142857142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5.4285714285714279</v>
      </c>
      <c r="S34">
        <f t="shared" si="10"/>
        <v>7.1428571428571423</v>
      </c>
      <c r="T34">
        <f t="shared" si="11"/>
        <v>43.428571428571431</v>
      </c>
      <c r="U34">
        <f t="shared" si="12"/>
        <v>57.142857142857139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33.571428571428569</v>
      </c>
      <c r="CY34">
        <f t="shared" si="91"/>
        <v>38.428571428571431</v>
      </c>
      <c r="CZ34">
        <f t="shared" si="93"/>
        <v>197.82142857142856</v>
      </c>
      <c r="DA34">
        <f t="shared" si="93"/>
        <v>219.36607142857142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5.4285714285714279</v>
      </c>
      <c r="S35">
        <f t="shared" si="10"/>
        <v>7.1428571428571423</v>
      </c>
      <c r="T35">
        <f t="shared" si="11"/>
        <v>43.428571428571431</v>
      </c>
      <c r="U35">
        <f t="shared" si="12"/>
        <v>57.142857142857139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33.571428571428569</v>
      </c>
      <c r="CY35">
        <f t="shared" si="91"/>
        <v>38.428571428571431</v>
      </c>
      <c r="CZ35">
        <f t="shared" si="93"/>
        <v>197.82142857142856</v>
      </c>
      <c r="DA35">
        <f t="shared" si="93"/>
        <v>219.36607142857142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5.4285714285714279</v>
      </c>
      <c r="S36">
        <f t="shared" si="10"/>
        <v>7.1428571428571423</v>
      </c>
      <c r="T36">
        <f t="shared" si="11"/>
        <v>43.428571428571431</v>
      </c>
      <c r="U36">
        <f t="shared" si="12"/>
        <v>57.142857142857139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33.571428571428569</v>
      </c>
      <c r="CY36">
        <f t="shared" si="91"/>
        <v>38.428571428571431</v>
      </c>
      <c r="CZ36">
        <f t="shared" si="93"/>
        <v>197.82142857142856</v>
      </c>
      <c r="DA36">
        <f t="shared" si="93"/>
        <v>219.36607142857142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5.4285714285714279</v>
      </c>
      <c r="S37">
        <f t="shared" si="10"/>
        <v>7.1428571428571423</v>
      </c>
      <c r="T37">
        <f t="shared" si="11"/>
        <v>43.428571428571431</v>
      </c>
      <c r="U37">
        <f t="shared" si="12"/>
        <v>57.142857142857139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33.571428571428569</v>
      </c>
      <c r="CY37">
        <f t="shared" si="91"/>
        <v>38.428571428571431</v>
      </c>
      <c r="CZ37">
        <f t="shared" si="93"/>
        <v>197.82142857142856</v>
      </c>
      <c r="DA37">
        <f t="shared" si="93"/>
        <v>219.36607142857142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5.4285714285714279</v>
      </c>
      <c r="S38">
        <f t="shared" si="10"/>
        <v>7.1428571428571423</v>
      </c>
      <c r="T38">
        <f t="shared" si="11"/>
        <v>43.428571428571431</v>
      </c>
      <c r="U38">
        <f t="shared" si="12"/>
        <v>57.142857142857139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33.571428571428569</v>
      </c>
      <c r="CY38">
        <f t="shared" si="91"/>
        <v>38.428571428571431</v>
      </c>
      <c r="CZ38">
        <f t="shared" si="93"/>
        <v>197.82142857142856</v>
      </c>
      <c r="DA38">
        <f t="shared" si="93"/>
        <v>219.36607142857142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5.4285714285714279</v>
      </c>
      <c r="S39">
        <f t="shared" si="10"/>
        <v>7.1428571428571423</v>
      </c>
      <c r="T39">
        <f t="shared" si="11"/>
        <v>43.428571428571431</v>
      </c>
      <c r="U39">
        <f t="shared" si="12"/>
        <v>57.142857142857139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33.571428571428569</v>
      </c>
      <c r="CY39">
        <f t="shared" si="91"/>
        <v>38.428571428571431</v>
      </c>
      <c r="CZ39">
        <f t="shared" si="93"/>
        <v>197.82142857142856</v>
      </c>
      <c r="DA39">
        <f t="shared" si="93"/>
        <v>219.36607142857142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5.4285714285714279</v>
      </c>
      <c r="S40">
        <f t="shared" si="10"/>
        <v>7.1428571428571423</v>
      </c>
      <c r="T40">
        <f t="shared" si="11"/>
        <v>43.428571428571431</v>
      </c>
      <c r="U40">
        <f t="shared" si="12"/>
        <v>57.142857142857139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33.571428571428569</v>
      </c>
      <c r="CY40">
        <f t="shared" si="91"/>
        <v>38.428571428571431</v>
      </c>
      <c r="CZ40">
        <f t="shared" si="93"/>
        <v>197.82142857142856</v>
      </c>
      <c r="DA40">
        <f t="shared" si="93"/>
        <v>219.36607142857142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5.4285714285714279</v>
      </c>
      <c r="S41">
        <f t="shared" si="10"/>
        <v>7.1428571428571423</v>
      </c>
      <c r="T41">
        <f t="shared" si="11"/>
        <v>43.428571428571431</v>
      </c>
      <c r="U41">
        <f t="shared" si="12"/>
        <v>57.142857142857139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33.571428571428569</v>
      </c>
      <c r="CY41">
        <f t="shared" si="91"/>
        <v>38.428571428571431</v>
      </c>
      <c r="CZ41">
        <f t="shared" si="93"/>
        <v>197.82142857142856</v>
      </c>
      <c r="DA41">
        <f t="shared" si="93"/>
        <v>219.36607142857142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5.4285714285714279</v>
      </c>
      <c r="S42">
        <f t="shared" si="10"/>
        <v>7.1428571428571423</v>
      </c>
      <c r="T42">
        <f t="shared" si="11"/>
        <v>43.428571428571431</v>
      </c>
      <c r="U42">
        <f t="shared" si="12"/>
        <v>57.142857142857139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33.571428571428569</v>
      </c>
      <c r="CY42">
        <f t="shared" si="91"/>
        <v>38.428571428571431</v>
      </c>
      <c r="CZ42">
        <f t="shared" si="93"/>
        <v>197.82142857142856</v>
      </c>
      <c r="DA42">
        <f t="shared" si="93"/>
        <v>219.36607142857142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5.4285714285714279</v>
      </c>
      <c r="S43">
        <f t="shared" si="10"/>
        <v>7.1428571428571423</v>
      </c>
      <c r="T43">
        <f t="shared" si="11"/>
        <v>43.428571428571431</v>
      </c>
      <c r="U43">
        <f t="shared" si="12"/>
        <v>57.142857142857139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33.571428571428569</v>
      </c>
      <c r="CY43">
        <f t="shared" si="91"/>
        <v>38.428571428571431</v>
      </c>
      <c r="CZ43">
        <f t="shared" si="93"/>
        <v>197.82142857142856</v>
      </c>
      <c r="DA43">
        <f t="shared" si="93"/>
        <v>219.36607142857142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5.4285714285714279</v>
      </c>
      <c r="S44">
        <f t="shared" si="10"/>
        <v>7.1428571428571423</v>
      </c>
      <c r="T44">
        <f t="shared" si="11"/>
        <v>43.428571428571431</v>
      </c>
      <c r="U44">
        <f t="shared" si="12"/>
        <v>57.142857142857139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33.571428571428569</v>
      </c>
      <c r="CY44">
        <f t="shared" si="91"/>
        <v>38.428571428571431</v>
      </c>
      <c r="CZ44">
        <f t="shared" si="93"/>
        <v>197.82142857142856</v>
      </c>
      <c r="DA44">
        <f t="shared" si="93"/>
        <v>219.36607142857142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5.4285714285714279</v>
      </c>
      <c r="S45">
        <f t="shared" si="10"/>
        <v>7.1428571428571423</v>
      </c>
      <c r="T45">
        <f t="shared" si="11"/>
        <v>43.428571428571431</v>
      </c>
      <c r="U45">
        <f t="shared" si="12"/>
        <v>57.142857142857139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33.571428571428569</v>
      </c>
      <c r="CY45">
        <f t="shared" si="91"/>
        <v>38.428571428571431</v>
      </c>
      <c r="CZ45">
        <f t="shared" si="93"/>
        <v>197.82142857142856</v>
      </c>
      <c r="DA45">
        <f t="shared" si="93"/>
        <v>219.36607142857142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5.4285714285714279</v>
      </c>
      <c r="S46">
        <f t="shared" si="10"/>
        <v>7.1428571428571423</v>
      </c>
      <c r="T46">
        <f t="shared" si="11"/>
        <v>43.428571428571431</v>
      </c>
      <c r="U46">
        <f t="shared" si="12"/>
        <v>57.142857142857139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33.571428571428569</v>
      </c>
      <c r="CY46">
        <f t="shared" si="91"/>
        <v>38.428571428571431</v>
      </c>
      <c r="CZ46">
        <f t="shared" si="93"/>
        <v>197.82142857142856</v>
      </c>
      <c r="DA46">
        <f t="shared" si="93"/>
        <v>219.36607142857142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5.4285714285714279</v>
      </c>
      <c r="S47">
        <f t="shared" si="10"/>
        <v>7.1428571428571423</v>
      </c>
      <c r="T47">
        <f t="shared" si="11"/>
        <v>43.428571428571431</v>
      </c>
      <c r="U47">
        <f t="shared" si="12"/>
        <v>57.142857142857139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33.571428571428569</v>
      </c>
      <c r="CY47">
        <f t="shared" si="91"/>
        <v>38.428571428571431</v>
      </c>
      <c r="CZ47">
        <f t="shared" si="93"/>
        <v>197.82142857142856</v>
      </c>
      <c r="DA47">
        <f t="shared" si="93"/>
        <v>219.36607142857142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5.4285714285714279</v>
      </c>
      <c r="S48">
        <f t="shared" si="10"/>
        <v>7.1428571428571423</v>
      </c>
      <c r="T48">
        <f t="shared" si="11"/>
        <v>43.428571428571431</v>
      </c>
      <c r="U48">
        <f t="shared" si="12"/>
        <v>57.142857142857139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33.571428571428569</v>
      </c>
      <c r="CY48">
        <f t="shared" si="91"/>
        <v>38.428571428571431</v>
      </c>
      <c r="CZ48">
        <f t="shared" si="93"/>
        <v>197.82142857142856</v>
      </c>
      <c r="DA48">
        <f t="shared" si="93"/>
        <v>219.36607142857142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5.4285714285714279</v>
      </c>
      <c r="S49">
        <f t="shared" si="10"/>
        <v>7.1428571428571423</v>
      </c>
      <c r="T49">
        <f t="shared" si="11"/>
        <v>43.428571428571431</v>
      </c>
      <c r="U49">
        <f t="shared" si="12"/>
        <v>57.142857142857139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33.571428571428569</v>
      </c>
      <c r="CY49">
        <f t="shared" si="91"/>
        <v>38.428571428571431</v>
      </c>
      <c r="CZ49">
        <f t="shared" si="93"/>
        <v>197.82142857142856</v>
      </c>
      <c r="DA49">
        <f t="shared" si="93"/>
        <v>219.36607142857142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5.4285714285714279</v>
      </c>
      <c r="S50">
        <f t="shared" si="10"/>
        <v>7.1428571428571423</v>
      </c>
      <c r="T50">
        <f t="shared" si="11"/>
        <v>43.428571428571431</v>
      </c>
      <c r="U50">
        <f t="shared" si="12"/>
        <v>57.142857142857139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33.571428571428569</v>
      </c>
      <c r="CY50">
        <f t="shared" si="91"/>
        <v>38.428571428571431</v>
      </c>
      <c r="CZ50">
        <f t="shared" si="93"/>
        <v>197.82142857142856</v>
      </c>
      <c r="DA50">
        <f t="shared" si="93"/>
        <v>219.36607142857142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5.4285714285714279</v>
      </c>
      <c r="S51">
        <f t="shared" si="10"/>
        <v>7.1428571428571423</v>
      </c>
      <c r="T51">
        <f t="shared" si="11"/>
        <v>43.428571428571431</v>
      </c>
      <c r="U51">
        <f t="shared" si="12"/>
        <v>57.142857142857139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33.571428571428569</v>
      </c>
      <c r="CY51">
        <f t="shared" si="91"/>
        <v>38.428571428571431</v>
      </c>
      <c r="CZ51">
        <f t="shared" si="93"/>
        <v>197.82142857142856</v>
      </c>
      <c r="DA51">
        <f t="shared" si="93"/>
        <v>219.36607142857142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5.4285714285714279</v>
      </c>
      <c r="S52">
        <f t="shared" si="10"/>
        <v>7.1428571428571423</v>
      </c>
      <c r="T52">
        <f t="shared" si="11"/>
        <v>43.428571428571431</v>
      </c>
      <c r="U52">
        <f t="shared" si="12"/>
        <v>57.142857142857139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33.571428571428569</v>
      </c>
      <c r="CY52">
        <f t="shared" si="91"/>
        <v>38.428571428571431</v>
      </c>
      <c r="CZ52">
        <f t="shared" si="93"/>
        <v>197.82142857142856</v>
      </c>
      <c r="DA52">
        <f t="shared" si="93"/>
        <v>219.36607142857142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5.4285714285714279</v>
      </c>
      <c r="S53">
        <f t="shared" si="10"/>
        <v>7.1428571428571423</v>
      </c>
      <c r="T53">
        <f t="shared" si="11"/>
        <v>43.428571428571431</v>
      </c>
      <c r="U53">
        <f t="shared" si="12"/>
        <v>57.142857142857139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33.571428571428569</v>
      </c>
      <c r="CY53">
        <f t="shared" si="91"/>
        <v>38.428571428571431</v>
      </c>
      <c r="CZ53">
        <f t="shared" si="93"/>
        <v>197.82142857142856</v>
      </c>
      <c r="DA53">
        <f t="shared" si="93"/>
        <v>219.36607142857142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5.4285714285714279</v>
      </c>
      <c r="S54">
        <f t="shared" si="10"/>
        <v>7.1428571428571423</v>
      </c>
      <c r="T54">
        <f t="shared" si="11"/>
        <v>43.428571428571431</v>
      </c>
      <c r="U54">
        <f t="shared" si="12"/>
        <v>57.142857142857139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33.571428571428569</v>
      </c>
      <c r="CY54">
        <f t="shared" si="91"/>
        <v>38.428571428571431</v>
      </c>
      <c r="CZ54">
        <f t="shared" si="93"/>
        <v>197.82142857142856</v>
      </c>
      <c r="DA54">
        <f t="shared" si="93"/>
        <v>219.36607142857142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5.4285714285714279</v>
      </c>
      <c r="S55">
        <f t="shared" si="10"/>
        <v>7.1428571428571423</v>
      </c>
      <c r="T55">
        <f t="shared" si="11"/>
        <v>43.428571428571431</v>
      </c>
      <c r="U55">
        <f t="shared" si="12"/>
        <v>57.142857142857139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33.571428571428569</v>
      </c>
      <c r="CY55">
        <f t="shared" si="91"/>
        <v>38.428571428571431</v>
      </c>
      <c r="CZ55">
        <f t="shared" si="93"/>
        <v>197.82142857142856</v>
      </c>
      <c r="DA55">
        <f t="shared" si="93"/>
        <v>219.36607142857142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5.4285714285714279</v>
      </c>
      <c r="S56">
        <f t="shared" si="10"/>
        <v>7.1428571428571423</v>
      </c>
      <c r="T56">
        <f t="shared" si="11"/>
        <v>43.428571428571431</v>
      </c>
      <c r="U56">
        <f t="shared" si="12"/>
        <v>57.142857142857139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33.571428571428569</v>
      </c>
      <c r="CY56">
        <f t="shared" si="91"/>
        <v>38.428571428571431</v>
      </c>
      <c r="CZ56">
        <f t="shared" si="93"/>
        <v>197.82142857142856</v>
      </c>
      <c r="DA56">
        <f t="shared" si="93"/>
        <v>219.36607142857142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5.4285714285714253</v>
      </c>
      <c r="S59" s="5">
        <f t="shared" ref="S59" si="103">AVERAGE(S5:S56)-R59</f>
        <v>1.7142857142857233</v>
      </c>
      <c r="T59" s="5">
        <f t="shared" ref="T59" si="104">AVERAGE(T5:T56)</f>
        <v>43.428571428571402</v>
      </c>
      <c r="U59" s="5">
        <f t="shared" ref="U59" si="105">AVERAGE(U5:U56)-T59</f>
        <v>13.714285714285786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43.428571428571402</v>
      </c>
      <c r="K64" s="5" cm="1">
        <f t="array" ref="K64">INDEX($J$59:$DA$60,1,MATCH(1,($I64=$J$1:$CU$1)*($K$62=$J$58:$CU$58)*(Planning!$M$2=$J$2:$CU$2),0))</f>
        <v>13.714285714285786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149</v>
      </c>
      <c r="C81" t="s">
        <v>150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8.4615384615384617</v>
      </c>
      <c r="D82">
        <f>IF(Planning!D63="",'Planning Backing (Hide)'!B82,Planning!D63)</f>
        <v>0</v>
      </c>
      <c r="E82">
        <f>IF(Planning!E63="",'Planning Backing (Hide)'!C82,Planning!E63)</f>
        <v>8.4615384615384617</v>
      </c>
      <c r="F82">
        <f>SUM(D82:E82)</f>
        <v>8.4615384615384617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8.4615384615384617</v>
      </c>
      <c r="D83">
        <f>IF(Planning!D64="",'Planning Backing (Hide)'!B83,Planning!D64)</f>
        <v>0</v>
      </c>
      <c r="E83">
        <f>IF(Planning!E64="",'Planning Backing (Hide)'!C83,Planning!E64)</f>
        <v>8.4615384615384617</v>
      </c>
      <c r="F83">
        <f t="shared" ref="F83:F96" si="184">SUM(D83:E83)</f>
        <v>8.4615384615384617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8.4615384615384617</v>
      </c>
      <c r="D84">
        <f>IF(Planning!D65="",'Planning Backing (Hide)'!B84,Planning!D65)</f>
        <v>0</v>
      </c>
      <c r="E84">
        <f>IF(Planning!E65="",'Planning Backing (Hide)'!C84,Planning!E65)</f>
        <v>8.4615384615384617</v>
      </c>
      <c r="F84">
        <f t="shared" si="184"/>
        <v>8.4615384615384617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28.269230769230738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28.269230769230738</v>
      </c>
      <c r="E85">
        <f>IF(Planning!E66="",'Planning Backing (Hide)'!C85,Planning!E66)</f>
        <v>0</v>
      </c>
      <c r="F85">
        <f t="shared" si="184"/>
        <v>28.269230769230738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28.269230769230738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28.269230769230738</v>
      </c>
      <c r="E86">
        <f>IF(Planning!E67="",'Planning Backing (Hide)'!C86,Planning!E67)</f>
        <v>0</v>
      </c>
      <c r="F86">
        <f t="shared" si="184"/>
        <v>28.269230769230738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2020-12-30T15:11:53Z</dcterms:modified>
</cp:coreProperties>
</file>