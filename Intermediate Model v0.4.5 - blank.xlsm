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61980334-3C9F-4E2D-BE89-1B81727CF84C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state="hidden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B36" i="8" a="1"/>
  <c r="B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B31" i="8" a="1"/>
  <c r="B31" i="8" s="1"/>
  <c r="A62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L20" i="14" l="1"/>
  <c r="I6" i="12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F101" i="13" s="1"/>
  <c r="G6" i="6"/>
  <c r="F102" i="13" s="1"/>
  <c r="G7" i="6"/>
  <c r="F103" i="13" s="1"/>
  <c r="G8" i="6"/>
  <c r="F104" i="13" s="1"/>
  <c r="G9" i="6"/>
  <c r="F105" i="13" s="1"/>
  <c r="G10" i="6"/>
  <c r="F106" i="13" s="1"/>
  <c r="G11" i="6"/>
  <c r="F107" i="13" s="1"/>
  <c r="G12" i="6"/>
  <c r="F108" i="13" s="1"/>
  <c r="G13" i="6"/>
  <c r="F109" i="13" s="1"/>
  <c r="G14" i="6"/>
  <c r="F110" i="13" s="1"/>
  <c r="G15" i="6"/>
  <c r="F111" i="13" s="1"/>
  <c r="G16" i="6"/>
  <c r="F112" i="13" s="1"/>
  <c r="G17" i="6"/>
  <c r="F113" i="13" s="1"/>
  <c r="G18" i="6"/>
  <c r="F114" i="13" s="1"/>
  <c r="G19" i="6"/>
  <c r="F115" i="13" s="1"/>
  <c r="G20" i="6"/>
  <c r="F116" i="13" s="1"/>
  <c r="G21" i="6"/>
  <c r="F117" i="13" s="1"/>
  <c r="G22" i="6"/>
  <c r="F118" i="13" s="1"/>
  <c r="G23" i="6"/>
  <c r="F119" i="13" s="1"/>
  <c r="G24" i="6"/>
  <c r="F120" i="13" s="1"/>
  <c r="G25" i="6"/>
  <c r="F121" i="13" s="1"/>
  <c r="G26" i="6"/>
  <c r="F122" i="13" s="1"/>
  <c r="G27" i="6"/>
  <c r="F123" i="13" s="1"/>
  <c r="G28" i="6"/>
  <c r="F124" i="13" s="1"/>
  <c r="G29" i="6"/>
  <c r="F125" i="13" s="1"/>
  <c r="G30" i="6"/>
  <c r="F126" i="13" s="1"/>
  <c r="G31" i="6"/>
  <c r="F127" i="13" s="1"/>
  <c r="G32" i="6"/>
  <c r="F128" i="13" s="1"/>
  <c r="G33" i="6"/>
  <c r="F129" i="13" s="1"/>
  <c r="G34" i="6"/>
  <c r="F130" i="13" s="1"/>
  <c r="G35" i="6"/>
  <c r="F131" i="13" s="1"/>
  <c r="G36" i="6"/>
  <c r="F132" i="13" s="1"/>
  <c r="G37" i="6"/>
  <c r="F133" i="13" s="1"/>
  <c r="G38" i="6"/>
  <c r="F134" i="13" s="1"/>
  <c r="G39" i="6"/>
  <c r="F135" i="13" s="1"/>
  <c r="G40" i="6"/>
  <c r="F136" i="13" s="1"/>
  <c r="G41" i="6"/>
  <c r="F137" i="13" s="1"/>
  <c r="G42" i="6"/>
  <c r="F138" i="13" s="1"/>
  <c r="G43" i="6"/>
  <c r="F139" i="13" s="1"/>
  <c r="G44" i="6"/>
  <c r="F140" i="13" s="1"/>
  <c r="G45" i="6"/>
  <c r="F141" i="13" s="1"/>
  <c r="G46" i="6"/>
  <c r="F142" i="13" s="1"/>
  <c r="G47" i="6"/>
  <c r="F143" i="13" s="1"/>
  <c r="G48" i="6"/>
  <c r="F144" i="13" s="1"/>
  <c r="G49" i="6"/>
  <c r="F145" i="13" s="1"/>
  <c r="G50" i="6"/>
  <c r="F146" i="13" s="1"/>
  <c r="G51" i="6"/>
  <c r="F147" i="13" s="1"/>
  <c r="G52" i="6"/>
  <c r="F148" i="13" s="1"/>
  <c r="G53" i="6"/>
  <c r="F149" i="13" s="1"/>
  <c r="G54" i="6"/>
  <c r="F150" i="13" s="1"/>
  <c r="G55" i="6"/>
  <c r="F151" i="13" s="1"/>
  <c r="G56" i="6"/>
  <c r="F152" i="13" s="1"/>
  <c r="G57" i="6"/>
  <c r="F153" i="13" s="1"/>
  <c r="G58" i="6"/>
  <c r="F154" i="13" s="1"/>
  <c r="G59" i="6"/>
  <c r="F155" i="13" s="1"/>
  <c r="G60" i="6"/>
  <c r="F156" i="13" s="1"/>
  <c r="G61" i="6"/>
  <c r="F157" i="13" s="1"/>
  <c r="G62" i="6"/>
  <c r="F158" i="13" s="1"/>
  <c r="G63" i="6"/>
  <c r="F159" i="13" s="1"/>
  <c r="G64" i="6"/>
  <c r="F160" i="13" s="1"/>
  <c r="G65" i="6"/>
  <c r="F161" i="13" s="1"/>
  <c r="G66" i="6"/>
  <c r="F162" i="13" s="1"/>
  <c r="G67" i="6"/>
  <c r="F163" i="13" s="1"/>
  <c r="G68" i="6"/>
  <c r="F164" i="13" s="1"/>
  <c r="G69" i="6"/>
  <c r="F165" i="13" s="1"/>
  <c r="G70" i="6"/>
  <c r="F166" i="13" s="1"/>
  <c r="G71" i="6"/>
  <c r="F167" i="13" s="1"/>
  <c r="G72" i="6"/>
  <c r="F168" i="13" s="1"/>
  <c r="G73" i="6"/>
  <c r="F169" i="13" s="1"/>
  <c r="G74" i="6"/>
  <c r="F170" i="13" s="1"/>
  <c r="G75" i="6"/>
  <c r="F171" i="13" s="1"/>
  <c r="G76" i="6"/>
  <c r="F172" i="13" s="1"/>
  <c r="G77" i="6"/>
  <c r="F173" i="13" s="1"/>
  <c r="G78" i="6"/>
  <c r="F174" i="13" s="1"/>
  <c r="G4" i="6"/>
  <c r="H4" i="6" l="1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4" i="6" l="1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I69" i="13" l="1"/>
  <c r="B36" i="6" a="1"/>
  <c r="B36" i="6" s="1"/>
  <c r="A132" i="13" s="1"/>
  <c r="D132" i="13" s="1" a="1"/>
  <c r="D132" i="13" s="1"/>
  <c r="B34" i="6" a="1"/>
  <c r="B34" i="6" s="1"/>
  <c r="A130" i="13" s="1"/>
  <c r="D130" i="13" s="1" a="1"/>
  <c r="D130" i="13" s="1"/>
  <c r="B37" i="6" a="1"/>
  <c r="B37" i="6" s="1"/>
  <c r="A133" i="13" s="1"/>
  <c r="D133" i="13" s="1" a="1"/>
  <c r="D133" i="13" s="1"/>
  <c r="B35" i="6" a="1"/>
  <c r="B35" i="6" s="1"/>
  <c r="A131" i="13" s="1"/>
  <c r="D131" i="13" s="1" a="1"/>
  <c r="D131" i="13" s="1"/>
  <c r="B38" i="6" a="1"/>
  <c r="B38" i="6" s="1"/>
  <c r="A134" i="13" s="1"/>
  <c r="D134" i="13" s="1" a="1"/>
  <c r="D134" i="13" s="1"/>
  <c r="I64" i="13"/>
  <c r="B10" i="6" a="1"/>
  <c r="B10" i="6" s="1"/>
  <c r="A106" i="13" s="1"/>
  <c r="D106" i="13" s="1" a="1"/>
  <c r="D106" i="13" s="1"/>
  <c r="B13" i="6" a="1"/>
  <c r="B13" i="6" s="1"/>
  <c r="A109" i="13" s="1"/>
  <c r="D109" i="13" s="1" a="1"/>
  <c r="D109" i="13" s="1"/>
  <c r="B11" i="6" a="1"/>
  <c r="B11" i="6" s="1"/>
  <c r="A107" i="13" s="1"/>
  <c r="D107" i="13" s="1" a="1"/>
  <c r="D107" i="13" s="1"/>
  <c r="B12" i="6" a="1"/>
  <c r="B12" i="6" s="1"/>
  <c r="A108" i="13" s="1"/>
  <c r="D108" i="13" s="1" a="1"/>
  <c r="D108" i="13" s="1"/>
  <c r="B9" i="6" a="1"/>
  <c r="B9" i="6" s="1"/>
  <c r="A105" i="13" s="1"/>
  <c r="D105" i="13" s="1" a="1"/>
  <c r="D105" i="13" s="1"/>
  <c r="I75" i="13"/>
  <c r="B68" i="6" a="1"/>
  <c r="B68" i="6" s="1"/>
  <c r="A164" i="13" s="1"/>
  <c r="D164" i="13" s="1" a="1"/>
  <c r="D164" i="13" s="1"/>
  <c r="B65" i="6" a="1"/>
  <c r="B65" i="6" s="1"/>
  <c r="A161" i="13" s="1"/>
  <c r="D161" i="13" s="1" a="1"/>
  <c r="D161" i="13" s="1"/>
  <c r="B66" i="6" a="1"/>
  <c r="B66" i="6" s="1"/>
  <c r="A162" i="13" s="1"/>
  <c r="D162" i="13" s="1" a="1"/>
  <c r="D162" i="13" s="1"/>
  <c r="B64" i="6" a="1"/>
  <c r="B64" i="6" s="1"/>
  <c r="A160" i="13" s="1"/>
  <c r="D160" i="13" s="1" a="1"/>
  <c r="D160" i="13" s="1"/>
  <c r="B67" i="6" a="1"/>
  <c r="B67" i="6" s="1"/>
  <c r="A163" i="13" s="1"/>
  <c r="D163" i="13" s="1" a="1"/>
  <c r="D163" i="13" s="1"/>
  <c r="I71" i="13"/>
  <c r="B45" i="6" a="1"/>
  <c r="B45" i="6" s="1"/>
  <c r="A141" i="13" s="1"/>
  <c r="D141" i="13" s="1" a="1"/>
  <c r="D141" i="13" s="1"/>
  <c r="B46" i="6" a="1"/>
  <c r="B46" i="6" s="1"/>
  <c r="A142" i="13" s="1"/>
  <c r="D142" i="13" s="1" a="1"/>
  <c r="D142" i="13" s="1"/>
  <c r="B44" i="6" a="1"/>
  <c r="B44" i="6" s="1"/>
  <c r="A140" i="13" s="1"/>
  <c r="D140" i="13" s="1" a="1"/>
  <c r="D140" i="13" s="1"/>
  <c r="B47" i="6" a="1"/>
  <c r="B47" i="6" s="1"/>
  <c r="A143" i="13" s="1"/>
  <c r="D143" i="13" s="1" a="1"/>
  <c r="D143" i="13" s="1"/>
  <c r="B48" i="6" a="1"/>
  <c r="B48" i="6" s="1"/>
  <c r="A144" i="13" s="1"/>
  <c r="D144" i="13" s="1" a="1"/>
  <c r="D144" i="13" s="1"/>
  <c r="I67" i="13"/>
  <c r="B26" i="6" a="1"/>
  <c r="B26" i="6" s="1"/>
  <c r="A122" i="13" s="1"/>
  <c r="D122" i="13" s="1" a="1"/>
  <c r="D122" i="13" s="1"/>
  <c r="B24" i="6" a="1"/>
  <c r="B24" i="6" s="1"/>
  <c r="A120" i="13" s="1"/>
  <c r="D120" i="13" s="1" a="1"/>
  <c r="D120" i="13" s="1"/>
  <c r="B27" i="6" a="1"/>
  <c r="B27" i="6" s="1"/>
  <c r="A123" i="13" s="1"/>
  <c r="D123" i="13" s="1" a="1"/>
  <c r="D123" i="13" s="1"/>
  <c r="B28" i="6" a="1"/>
  <c r="B28" i="6" s="1"/>
  <c r="A124" i="13" s="1"/>
  <c r="D124" i="13" s="1" a="1"/>
  <c r="D124" i="13" s="1"/>
  <c r="B25" i="6" a="1"/>
  <c r="B25" i="6" s="1"/>
  <c r="A121" i="13" s="1"/>
  <c r="D121" i="13" s="1" a="1"/>
  <c r="D121" i="13" s="1"/>
  <c r="I77" i="13"/>
  <c r="B74" i="6" a="1"/>
  <c r="B74" i="6" s="1"/>
  <c r="A170" i="13" s="1"/>
  <c r="D170" i="13" s="1" a="1"/>
  <c r="D170" i="13" s="1"/>
  <c r="B77" i="6" a="1"/>
  <c r="B77" i="6" s="1"/>
  <c r="A173" i="13" s="1"/>
  <c r="D173" i="13" s="1" a="1"/>
  <c r="D173" i="13" s="1"/>
  <c r="B76" i="6" a="1"/>
  <c r="B76" i="6" s="1"/>
  <c r="A172" i="13" s="1"/>
  <c r="D172" i="13" s="1" a="1"/>
  <c r="D172" i="13" s="1"/>
  <c r="B78" i="6" a="1"/>
  <c r="B78" i="6" s="1"/>
  <c r="A174" i="13" s="1"/>
  <c r="D174" i="13" s="1" a="1"/>
  <c r="D174" i="13" s="1"/>
  <c r="B75" i="6" a="1"/>
  <c r="B75" i="6" s="1"/>
  <c r="A171" i="13" s="1"/>
  <c r="D171" i="13" s="1" a="1"/>
  <c r="D171" i="13" s="1"/>
  <c r="I73" i="13"/>
  <c r="B55" i="6" a="1"/>
  <c r="B55" i="6" s="1"/>
  <c r="A151" i="13" s="1"/>
  <c r="D151" i="13" s="1" a="1"/>
  <c r="D151" i="13" s="1"/>
  <c r="B58" i="6" a="1"/>
  <c r="B58" i="6" s="1"/>
  <c r="A154" i="13" s="1"/>
  <c r="D154" i="13" s="1" a="1"/>
  <c r="D154" i="13" s="1"/>
  <c r="B54" i="6" a="1"/>
  <c r="B54" i="6" s="1"/>
  <c r="A150" i="13" s="1"/>
  <c r="D150" i="13" s="1" a="1"/>
  <c r="D150" i="13" s="1"/>
  <c r="B57" i="6" a="1"/>
  <c r="B57" i="6" s="1"/>
  <c r="A153" i="13" s="1"/>
  <c r="D153" i="13" s="1" a="1"/>
  <c r="D153" i="13" s="1"/>
  <c r="B56" i="6" a="1"/>
  <c r="B56" i="6" s="1"/>
  <c r="A152" i="13" s="1"/>
  <c r="D152" i="13" s="1" a="1"/>
  <c r="D152" i="13" s="1"/>
  <c r="I76" i="13"/>
  <c r="B71" i="6" a="1"/>
  <c r="B71" i="6" s="1"/>
  <c r="A167" i="13" s="1"/>
  <c r="D167" i="13" s="1" a="1"/>
  <c r="D167" i="13" s="1"/>
  <c r="B72" i="6" a="1"/>
  <c r="B72" i="6" s="1"/>
  <c r="A168" i="13" s="1"/>
  <c r="D168" i="13" s="1" a="1"/>
  <c r="D168" i="13" s="1"/>
  <c r="B69" i="6" a="1"/>
  <c r="B69" i="6" s="1"/>
  <c r="A165" i="13" s="1"/>
  <c r="D165" i="13" s="1" a="1"/>
  <c r="D165" i="13" s="1"/>
  <c r="B70" i="6" a="1"/>
  <c r="B70" i="6" s="1"/>
  <c r="A166" i="13" s="1"/>
  <c r="D166" i="13" s="1" a="1"/>
  <c r="D166" i="13" s="1"/>
  <c r="B73" i="6" a="1"/>
  <c r="B73" i="6" s="1"/>
  <c r="A169" i="13" s="1"/>
  <c r="D169" i="13" s="1" a="1"/>
  <c r="D169" i="13" s="1"/>
  <c r="I72" i="13"/>
  <c r="B52" i="6" a="1"/>
  <c r="B52" i="6" s="1"/>
  <c r="A148" i="13" s="1"/>
  <c r="D148" i="13" s="1" a="1"/>
  <c r="D148" i="13" s="1"/>
  <c r="B50" i="6" a="1"/>
  <c r="B50" i="6" s="1"/>
  <c r="A146" i="13" s="1"/>
  <c r="D146" i="13" s="1" a="1"/>
  <c r="D146" i="13" s="1"/>
  <c r="B53" i="6" a="1"/>
  <c r="B53" i="6" s="1"/>
  <c r="A149" i="13" s="1"/>
  <c r="D149" i="13" s="1" a="1"/>
  <c r="D149" i="13" s="1"/>
  <c r="B51" i="6" a="1"/>
  <c r="B51" i="6" s="1"/>
  <c r="A147" i="13" s="1"/>
  <c r="D147" i="13" s="1" a="1"/>
  <c r="D147" i="13" s="1"/>
  <c r="B49" i="6" a="1"/>
  <c r="B49" i="6" s="1"/>
  <c r="A145" i="13" s="1"/>
  <c r="D145" i="13" s="1" a="1"/>
  <c r="D145" i="13" s="1"/>
  <c r="I68" i="13"/>
  <c r="B29" i="6" a="1"/>
  <c r="B29" i="6" s="1"/>
  <c r="A125" i="13" s="1"/>
  <c r="D125" i="13" s="1" a="1"/>
  <c r="D125" i="13" s="1"/>
  <c r="B30" i="6" a="1"/>
  <c r="B30" i="6" s="1"/>
  <c r="A126" i="13" s="1"/>
  <c r="D126" i="13" s="1" a="1"/>
  <c r="D126" i="13" s="1"/>
  <c r="B31" i="6" a="1"/>
  <c r="B31" i="6" s="1"/>
  <c r="A127" i="13" s="1"/>
  <c r="D127" i="13" s="1" a="1"/>
  <c r="D127" i="13" s="1"/>
  <c r="B32" i="6" a="1"/>
  <c r="B32" i="6" s="1"/>
  <c r="A128" i="13" s="1"/>
  <c r="D128" i="13" s="1" a="1"/>
  <c r="D128" i="13" s="1"/>
  <c r="B33" i="6" a="1"/>
  <c r="B33" i="6" s="1"/>
  <c r="A129" i="13" s="1"/>
  <c r="D129" i="13" s="1" a="1"/>
  <c r="D129" i="13" s="1"/>
  <c r="I74" i="13"/>
  <c r="B61" i="6" a="1"/>
  <c r="B61" i="6" s="1"/>
  <c r="A157" i="13" s="1"/>
  <c r="D157" i="13" s="1" a="1"/>
  <c r="D157" i="13" s="1"/>
  <c r="B59" i="6" a="1"/>
  <c r="B59" i="6" s="1"/>
  <c r="A155" i="13" s="1"/>
  <c r="D155" i="13" s="1" a="1"/>
  <c r="D155" i="13" s="1"/>
  <c r="B60" i="6" a="1"/>
  <c r="B60" i="6" s="1"/>
  <c r="A156" i="13" s="1"/>
  <c r="D156" i="13" s="1" a="1"/>
  <c r="D156" i="13" s="1"/>
  <c r="B63" i="6" a="1"/>
  <c r="B63" i="6" s="1"/>
  <c r="A159" i="13" s="1"/>
  <c r="D159" i="13" s="1" a="1"/>
  <c r="D159" i="13" s="1"/>
  <c r="B62" i="6" a="1"/>
  <c r="B62" i="6" s="1"/>
  <c r="A158" i="13" s="1"/>
  <c r="D158" i="13" s="1" a="1"/>
  <c r="D158" i="13" s="1"/>
  <c r="I70" i="13"/>
  <c r="B39" i="6" a="1"/>
  <c r="B39" i="6" s="1"/>
  <c r="A135" i="13" s="1"/>
  <c r="D135" i="13" s="1" a="1"/>
  <c r="D135" i="13" s="1"/>
  <c r="B42" i="6" a="1"/>
  <c r="B42" i="6" s="1"/>
  <c r="A138" i="13" s="1"/>
  <c r="D138" i="13" s="1" a="1"/>
  <c r="D138" i="13" s="1"/>
  <c r="B43" i="6" a="1"/>
  <c r="B43" i="6" s="1"/>
  <c r="A139" i="13" s="1"/>
  <c r="D139" i="13" s="1" a="1"/>
  <c r="D139" i="13" s="1"/>
  <c r="B41" i="6" a="1"/>
  <c r="B41" i="6" s="1"/>
  <c r="A137" i="13" s="1"/>
  <c r="D137" i="13" s="1" a="1"/>
  <c r="D137" i="13" s="1"/>
  <c r="B40" i="6" a="1"/>
  <c r="B40" i="6" s="1"/>
  <c r="A136" i="13" s="1"/>
  <c r="D136" i="13" s="1" a="1"/>
  <c r="D136" i="13" s="1"/>
  <c r="I66" i="13"/>
  <c r="B20" i="6" a="1"/>
  <c r="B20" i="6" s="1"/>
  <c r="A116" i="13" s="1"/>
  <c r="D116" i="13" s="1" a="1"/>
  <c r="D116" i="13" s="1"/>
  <c r="B23" i="6" a="1"/>
  <c r="B23" i="6" s="1"/>
  <c r="A119" i="13" s="1"/>
  <c r="D119" i="13" s="1" a="1"/>
  <c r="D119" i="13" s="1"/>
  <c r="B21" i="6" a="1"/>
  <c r="B21" i="6" s="1"/>
  <c r="A117" i="13" s="1"/>
  <c r="D117" i="13" s="1" a="1"/>
  <c r="D117" i="13" s="1"/>
  <c r="B19" i="6" a="1"/>
  <c r="B19" i="6" s="1"/>
  <c r="A115" i="13" s="1"/>
  <c r="D115" i="13" s="1" a="1"/>
  <c r="D115" i="13" s="1"/>
  <c r="B22" i="6" a="1"/>
  <c r="B22" i="6" s="1"/>
  <c r="A118" i="13" s="1"/>
  <c r="D118" i="13" s="1" a="1"/>
  <c r="D118" i="13" s="1"/>
  <c r="I65" i="13"/>
  <c r="B14" i="6" a="1"/>
  <c r="B14" i="6" s="1"/>
  <c r="A110" i="13" s="1"/>
  <c r="D110" i="13" s="1" a="1"/>
  <c r="D110" i="13" s="1"/>
  <c r="B17" i="6" a="1"/>
  <c r="B17" i="6" s="1"/>
  <c r="A113" i="13" s="1"/>
  <c r="D113" i="13" s="1" a="1"/>
  <c r="D113" i="13" s="1"/>
  <c r="B15" i="6" a="1"/>
  <c r="B15" i="6" s="1"/>
  <c r="A111" i="13" s="1"/>
  <c r="D111" i="13" s="1" a="1"/>
  <c r="D111" i="13" s="1"/>
  <c r="B18" i="6" a="1"/>
  <c r="B18" i="6" s="1"/>
  <c r="A114" i="13" s="1"/>
  <c r="D114" i="13" s="1" a="1"/>
  <c r="D114" i="13" s="1"/>
  <c r="B16" i="6" a="1"/>
  <c r="B16" i="6" s="1"/>
  <c r="A112" i="13" s="1"/>
  <c r="D112" i="13" s="1" a="1"/>
  <c r="D112" i="13" s="1"/>
  <c r="B5" i="6" a="1"/>
  <c r="B5" i="6" s="1"/>
  <c r="A101" i="13" s="1"/>
  <c r="D101" i="13" s="1" a="1"/>
  <c r="D101" i="13" s="1"/>
  <c r="B8" i="6" a="1"/>
  <c r="B8" i="6" s="1"/>
  <c r="A104" i="13" s="1"/>
  <c r="D104" i="13" s="1" a="1"/>
  <c r="D104" i="13" s="1"/>
  <c r="B7" i="6" a="1"/>
  <c r="B7" i="6" s="1"/>
  <c r="A103" i="13" s="1"/>
  <c r="D103" i="13" s="1" a="1"/>
  <c r="D103" i="13" s="1"/>
  <c r="B4" i="6" a="1"/>
  <c r="B4" i="6" s="1"/>
  <c r="B6" i="6" a="1"/>
  <c r="B6" i="6" s="1"/>
  <c r="A102" i="13" s="1"/>
  <c r="D102" i="13" s="1" a="1"/>
  <c r="D102" i="13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G136" i="13" l="1"/>
  <c r="H136" i="13"/>
  <c r="I136" i="13"/>
  <c r="G156" i="13"/>
  <c r="H156" i="13"/>
  <c r="I156" i="13"/>
  <c r="G125" i="13"/>
  <c r="H125" i="13"/>
  <c r="I125" i="13"/>
  <c r="I169" i="13"/>
  <c r="G169" i="13"/>
  <c r="H169" i="13"/>
  <c r="G167" i="13"/>
  <c r="I167" i="13"/>
  <c r="H167" i="13"/>
  <c r="G171" i="13"/>
  <c r="I171" i="13"/>
  <c r="H171" i="13"/>
  <c r="G123" i="13"/>
  <c r="I123" i="13"/>
  <c r="H123" i="13"/>
  <c r="I144" i="13"/>
  <c r="G144" i="13"/>
  <c r="H144" i="13"/>
  <c r="G141" i="13"/>
  <c r="I141" i="13"/>
  <c r="H141" i="13"/>
  <c r="I162" i="13"/>
  <c r="H162" i="13"/>
  <c r="G162" i="13"/>
  <c r="G105" i="13"/>
  <c r="I105" i="13" s="1"/>
  <c r="I106" i="13"/>
  <c r="G106" i="13"/>
  <c r="H106" i="13" s="1"/>
  <c r="G133" i="13"/>
  <c r="H133" i="13"/>
  <c r="I133" i="13"/>
  <c r="G112" i="13"/>
  <c r="I112" i="13"/>
  <c r="H112" i="13"/>
  <c r="G135" i="13"/>
  <c r="H135" i="13"/>
  <c r="I135" i="13"/>
  <c r="I129" i="13"/>
  <c r="H129" i="13"/>
  <c r="G129" i="13"/>
  <c r="I149" i="13"/>
  <c r="H149" i="13"/>
  <c r="G149" i="13"/>
  <c r="G150" i="13"/>
  <c r="I150" i="13"/>
  <c r="H150" i="13"/>
  <c r="G170" i="13"/>
  <c r="H170" i="13"/>
  <c r="I170" i="13"/>
  <c r="H114" i="13"/>
  <c r="G114" i="13"/>
  <c r="I114" i="13"/>
  <c r="H119" i="13"/>
  <c r="I119" i="13"/>
  <c r="G119" i="13"/>
  <c r="G137" i="13"/>
  <c r="H137" i="13"/>
  <c r="I137" i="13"/>
  <c r="G155" i="13"/>
  <c r="H155" i="13"/>
  <c r="I155" i="13"/>
  <c r="G128" i="13"/>
  <c r="I128" i="13"/>
  <c r="H128" i="13"/>
  <c r="G146" i="13"/>
  <c r="H146" i="13"/>
  <c r="I146" i="13"/>
  <c r="H166" i="13"/>
  <c r="G166" i="13"/>
  <c r="I166" i="13"/>
  <c r="H154" i="13"/>
  <c r="I154" i="13"/>
  <c r="G154" i="13"/>
  <c r="G174" i="13"/>
  <c r="I174" i="13"/>
  <c r="H174" i="13"/>
  <c r="G120" i="13"/>
  <c r="H120" i="13"/>
  <c r="I120" i="13"/>
  <c r="G143" i="13"/>
  <c r="H143" i="13"/>
  <c r="I143" i="13"/>
  <c r="G161" i="13"/>
  <c r="H161" i="13"/>
  <c r="I161" i="13"/>
  <c r="G108" i="13"/>
  <c r="H108" i="13"/>
  <c r="I108" i="13"/>
  <c r="G130" i="13"/>
  <c r="I130" i="13"/>
  <c r="H130" i="13"/>
  <c r="G117" i="13"/>
  <c r="H117" i="13"/>
  <c r="I117" i="13"/>
  <c r="G111" i="13"/>
  <c r="I111" i="13"/>
  <c r="H111" i="13"/>
  <c r="G118" i="13"/>
  <c r="I118" i="13"/>
  <c r="H118" i="13"/>
  <c r="H116" i="13"/>
  <c r="I116" i="13"/>
  <c r="G116" i="13"/>
  <c r="H139" i="13"/>
  <c r="G139" i="13"/>
  <c r="I139" i="13"/>
  <c r="G158" i="13"/>
  <c r="I158" i="13"/>
  <c r="H158" i="13"/>
  <c r="G157" i="13"/>
  <c r="I157" i="13"/>
  <c r="H157" i="13"/>
  <c r="I127" i="13"/>
  <c r="H127" i="13"/>
  <c r="G127" i="13"/>
  <c r="G145" i="13"/>
  <c r="H145" i="13"/>
  <c r="I145" i="13"/>
  <c r="G148" i="13"/>
  <c r="I148" i="13"/>
  <c r="H148" i="13"/>
  <c r="G165" i="13"/>
  <c r="H165" i="13"/>
  <c r="I165" i="13"/>
  <c r="G152" i="13"/>
  <c r="I152" i="13"/>
  <c r="H152" i="13"/>
  <c r="G151" i="13"/>
  <c r="H151" i="13"/>
  <c r="I151" i="13"/>
  <c r="H172" i="13"/>
  <c r="I172" i="13"/>
  <c r="G172" i="13"/>
  <c r="G121" i="13"/>
  <c r="I121" i="13"/>
  <c r="H121" i="13"/>
  <c r="G122" i="13"/>
  <c r="H122" i="13"/>
  <c r="I122" i="13"/>
  <c r="H140" i="13"/>
  <c r="G140" i="13"/>
  <c r="I140" i="13"/>
  <c r="G163" i="13"/>
  <c r="I163" i="13"/>
  <c r="H163" i="13"/>
  <c r="G164" i="13"/>
  <c r="H164" i="13"/>
  <c r="I164" i="13"/>
  <c r="G107" i="13"/>
  <c r="I107" i="13"/>
  <c r="H107" i="13"/>
  <c r="G134" i="13"/>
  <c r="I134" i="13"/>
  <c r="H134" i="13"/>
  <c r="G132" i="13"/>
  <c r="I132" i="13"/>
  <c r="H132" i="13"/>
  <c r="G110" i="13"/>
  <c r="I110" i="13" s="1"/>
  <c r="H110" i="13"/>
  <c r="I113" i="13"/>
  <c r="G113" i="13"/>
  <c r="H113" i="13"/>
  <c r="G115" i="13"/>
  <c r="H115" i="13" s="1"/>
  <c r="I115" i="13"/>
  <c r="I138" i="13"/>
  <c r="G138" i="13"/>
  <c r="H138" i="13"/>
  <c r="H159" i="13"/>
  <c r="I159" i="13"/>
  <c r="G159" i="13"/>
  <c r="G126" i="13"/>
  <c r="H126" i="13"/>
  <c r="I126" i="13"/>
  <c r="G147" i="13"/>
  <c r="H147" i="13"/>
  <c r="I147" i="13"/>
  <c r="H168" i="13"/>
  <c r="G168" i="13"/>
  <c r="I168" i="13"/>
  <c r="G153" i="13"/>
  <c r="H153" i="13"/>
  <c r="I153" i="13"/>
  <c r="G173" i="13"/>
  <c r="H173" i="13"/>
  <c r="I173" i="13"/>
  <c r="H124" i="13"/>
  <c r="G124" i="13"/>
  <c r="I124" i="13"/>
  <c r="I142" i="13"/>
  <c r="G142" i="13"/>
  <c r="H142" i="13"/>
  <c r="G160" i="13"/>
  <c r="H160" i="13"/>
  <c r="I160" i="13"/>
  <c r="H109" i="13"/>
  <c r="I109" i="13"/>
  <c r="G109" i="13"/>
  <c r="I131" i="13"/>
  <c r="H131" i="13"/>
  <c r="G131" i="13"/>
  <c r="I103" i="13"/>
  <c r="G103" i="13"/>
  <c r="H103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I104" i="13"/>
  <c r="H104" i="13"/>
  <c r="G104" i="13"/>
  <c r="G102" i="13"/>
  <c r="I102" i="13"/>
  <c r="H102" i="13"/>
  <c r="G101" i="13"/>
  <c r="H101" i="13" s="1"/>
  <c r="I101" i="13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H105" i="13" l="1"/>
  <c r="D100" i="13" a="1"/>
  <c r="D100" i="13" s="1"/>
  <c r="C26" i="13"/>
  <c r="B23" i="13"/>
  <c r="B26" i="13"/>
  <c r="C22" i="13"/>
  <c r="C31" i="13"/>
  <c r="B24" i="13"/>
  <c r="C29" i="13"/>
  <c r="B31" i="13"/>
  <c r="B28" i="13"/>
  <c r="B30" i="13"/>
  <c r="C35" i="13"/>
  <c r="C27" i="13"/>
  <c r="B34" i="13"/>
  <c r="C32" i="13"/>
  <c r="C30" i="13"/>
  <c r="B35" i="13"/>
  <c r="B33" i="13"/>
  <c r="C24" i="13"/>
  <c r="C34" i="13"/>
  <c r="B25" i="13"/>
  <c r="C23" i="13"/>
  <c r="C25" i="13"/>
  <c r="B32" i="13"/>
  <c r="C28" i="13"/>
  <c r="C33" i="13"/>
  <c r="B29" i="13"/>
  <c r="B27" i="13"/>
  <c r="B22" i="13"/>
  <c r="F4" i="5"/>
  <c r="D10" i="2"/>
  <c r="C5" i="5" s="1"/>
  <c r="D11" i="2"/>
  <c r="C6" i="5" s="1"/>
  <c r="D6" i="5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C11" i="2"/>
  <c r="A12" i="2"/>
  <c r="E12" i="2" s="1"/>
  <c r="AJ253" i="10" l="1"/>
  <c r="E6" i="5"/>
  <c r="B31" i="12"/>
  <c r="F27" i="13"/>
  <c r="B36" i="12"/>
  <c r="F32" i="13"/>
  <c r="C38" i="12"/>
  <c r="G34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C27" i="12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G22" i="13" l="1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96" i="13" l="1"/>
  <c r="F83" i="13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5" i="7" l="1" a="1"/>
  <c r="E5" i="7" s="1"/>
  <c r="C17" i="14"/>
  <c r="H17" i="14" s="1"/>
  <c r="C8" i="14"/>
  <c r="H8" i="14" s="1"/>
  <c r="C14" i="14"/>
  <c r="H14" i="14" s="1"/>
  <c r="C9" i="14"/>
  <c r="H9" i="14" s="1"/>
  <c r="C10" i="14"/>
  <c r="H10" i="14" s="1"/>
  <c r="C13" i="14"/>
  <c r="H13" i="14" s="1"/>
  <c r="C6" i="14"/>
  <c r="H6" i="14" s="1"/>
  <c r="C18" i="14"/>
  <c r="H18" i="14" s="1"/>
  <c r="C16" i="14"/>
  <c r="H16" i="14" s="1"/>
  <c r="C12" i="14"/>
  <c r="H12" i="14" s="1"/>
  <c r="C7" i="14"/>
  <c r="H7" i="14" s="1"/>
  <c r="C19" i="14"/>
  <c r="H19" i="14" s="1"/>
  <c r="C15" i="14"/>
  <c r="H15" i="14" s="1"/>
  <c r="C11" i="14"/>
  <c r="H11" i="14" s="1"/>
  <c r="C5" i="14"/>
  <c r="H5" i="14" s="1"/>
  <c r="AJ233" i="5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I5" i="13" l="1"/>
  <c r="A135" i="10"/>
  <c r="E6" i="7"/>
  <c r="A5" i="10"/>
  <c r="J19" i="14"/>
  <c r="I19" i="14"/>
  <c r="K19" i="14"/>
  <c r="J18" i="14"/>
  <c r="K18" i="14"/>
  <c r="I18" i="14"/>
  <c r="K9" i="14"/>
  <c r="I9" i="14"/>
  <c r="J9" i="14"/>
  <c r="K5" i="14"/>
  <c r="I5" i="14"/>
  <c r="J5" i="14"/>
  <c r="J7" i="14"/>
  <c r="I7" i="14"/>
  <c r="K7" i="14"/>
  <c r="I6" i="14"/>
  <c r="K6" i="14"/>
  <c r="J6" i="14"/>
  <c r="I14" i="14"/>
  <c r="K14" i="14"/>
  <c r="J14" i="14"/>
  <c r="I11" i="14"/>
  <c r="K11" i="14"/>
  <c r="J11" i="14"/>
  <c r="J12" i="14"/>
  <c r="I12" i="14"/>
  <c r="K12" i="14"/>
  <c r="K13" i="14"/>
  <c r="I13" i="14"/>
  <c r="J13" i="14"/>
  <c r="K8" i="14"/>
  <c r="J8" i="14"/>
  <c r="I8" i="14"/>
  <c r="J15" i="14"/>
  <c r="I15" i="14"/>
  <c r="K15" i="14"/>
  <c r="J16" i="14"/>
  <c r="I16" i="14"/>
  <c r="K16" i="14"/>
  <c r="I10" i="14"/>
  <c r="J10" i="14"/>
  <c r="K10" i="14"/>
  <c r="J17" i="14"/>
  <c r="I17" i="14"/>
  <c r="K17" i="14"/>
  <c r="BH19" i="7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R43" i="7"/>
  <c r="AP26" i="7"/>
  <c r="AR26" i="7"/>
  <c r="AD19" i="7"/>
  <c r="AD10" i="7"/>
  <c r="AD26" i="7"/>
  <c r="AR5" i="7"/>
  <c r="AP40" i="7"/>
  <c r="AR22" i="7"/>
  <c r="AP18" i="7"/>
  <c r="AQ7" i="7"/>
  <c r="AP29" i="7"/>
  <c r="AR45" i="7"/>
  <c r="AR46" i="7"/>
  <c r="AP42" i="7"/>
  <c r="AP37" i="7"/>
  <c r="AR17" i="7"/>
  <c r="AJ48" i="7"/>
  <c r="AD17" i="7"/>
  <c r="AF56" i="7"/>
  <c r="AD24" i="7"/>
  <c r="AS15" i="7"/>
  <c r="AR12" i="7"/>
  <c r="AP54" i="7"/>
  <c r="AR44" i="7"/>
  <c r="AP7" i="7"/>
  <c r="AR9" i="7"/>
  <c r="AR24" i="7"/>
  <c r="AL47" i="7"/>
  <c r="AF26" i="7"/>
  <c r="AF55" i="7"/>
  <c r="AF52" i="7"/>
  <c r="AD9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47" i="7"/>
  <c r="BU29" i="7"/>
  <c r="BU19" i="7"/>
  <c r="BU26" i="7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L14" i="14" l="1"/>
  <c r="L16" i="14"/>
  <c r="L12" i="14"/>
  <c r="L7" i="14"/>
  <c r="L9" i="14"/>
  <c r="L19" i="14"/>
  <c r="L10" i="14"/>
  <c r="B241" i="10" a="1"/>
  <c r="B241" i="10" s="1"/>
  <c r="B111" i="10" a="1"/>
  <c r="B111" i="10" s="1"/>
  <c r="B205" i="10" a="1"/>
  <c r="B205" i="10" s="1"/>
  <c r="B223" i="10" a="1"/>
  <c r="B223" i="10" s="1"/>
  <c r="B93" i="10" a="1"/>
  <c r="B93" i="10" s="1"/>
  <c r="B75" i="10" a="1"/>
  <c r="B75" i="10" s="1"/>
  <c r="A136" i="10"/>
  <c r="I6" i="13"/>
  <c r="E7" i="7"/>
  <c r="A6" i="10"/>
  <c r="BW6" i="7"/>
  <c r="BW51" i="7"/>
  <c r="BU52" i="7"/>
  <c r="BU8" i="7"/>
  <c r="BU40" i="7"/>
  <c r="AQ9" i="7"/>
  <c r="AS7" i="7"/>
  <c r="L8" i="14"/>
  <c r="L11" i="14"/>
  <c r="BW56" i="7"/>
  <c r="BW38" i="7"/>
  <c r="BU28" i="7"/>
  <c r="BU46" i="7"/>
  <c r="BW12" i="7"/>
  <c r="BW46" i="7"/>
  <c r="AQ26" i="7"/>
  <c r="AS23" i="7"/>
  <c r="L5" i="14"/>
  <c r="BU10" i="7"/>
  <c r="BU27" i="7"/>
  <c r="BW33" i="7"/>
  <c r="BU12" i="7"/>
  <c r="BY12" i="7" s="1"/>
  <c r="BW17" i="7"/>
  <c r="BU34" i="7"/>
  <c r="AQ17" i="7"/>
  <c r="AS44" i="7"/>
  <c r="L15" i="14"/>
  <c r="L13" i="14"/>
  <c r="L17" i="14"/>
  <c r="L6" i="14"/>
  <c r="L18" i="14"/>
  <c r="BU32" i="7"/>
  <c r="BW13" i="7"/>
  <c r="BW32" i="7"/>
  <c r="BW34" i="7"/>
  <c r="BU35" i="7"/>
  <c r="BW28" i="7"/>
  <c r="BW8" i="7"/>
  <c r="BW52" i="7"/>
  <c r="BU56" i="7"/>
  <c r="BY56" i="7" s="1"/>
  <c r="BW36" i="7"/>
  <c r="BU42" i="7"/>
  <c r="BW15" i="7"/>
  <c r="AS36" i="7"/>
  <c r="AQ11" i="7"/>
  <c r="AS38" i="7"/>
  <c r="AQ30" i="7"/>
  <c r="AQ27" i="7"/>
  <c r="AQ14" i="7"/>
  <c r="AQ5" i="7"/>
  <c r="AB236" i="5"/>
  <c r="BW9" i="7"/>
  <c r="BW22" i="7"/>
  <c r="BU9" i="7"/>
  <c r="BU7" i="7"/>
  <c r="BW14" i="7"/>
  <c r="BU36" i="7"/>
  <c r="BU22" i="7"/>
  <c r="BU39" i="7"/>
  <c r="BU30" i="7"/>
  <c r="CM44" i="7"/>
  <c r="CM47" i="7"/>
  <c r="BU41" i="7"/>
  <c r="BU18" i="7"/>
  <c r="AQ29" i="7"/>
  <c r="AS50" i="7"/>
  <c r="AS31" i="7"/>
  <c r="V22" i="7"/>
  <c r="AG52" i="7"/>
  <c r="AE31" i="7"/>
  <c r="AE40" i="7"/>
  <c r="CP51" i="7"/>
  <c r="V23" i="7"/>
  <c r="AG25" i="7"/>
  <c r="AE11" i="7"/>
  <c r="AG50" i="7"/>
  <c r="CJ33" i="7"/>
  <c r="BL53" i="7"/>
  <c r="BL40" i="7"/>
  <c r="BL7" i="7"/>
  <c r="AY27" i="7"/>
  <c r="AT24" i="7"/>
  <c r="AQ25" i="7"/>
  <c r="AS51" i="7"/>
  <c r="AQ18" i="7"/>
  <c r="AS27" i="7"/>
  <c r="AQ50" i="7"/>
  <c r="AU50" i="7" s="1"/>
  <c r="AQ46" i="7"/>
  <c r="AS9" i="7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W50" i="7"/>
  <c r="BW26" i="7"/>
  <c r="BY26" i="7" s="1"/>
  <c r="BU21" i="7"/>
  <c r="BW5" i="7"/>
  <c r="BU17" i="7"/>
  <c r="BY17" i="7" s="1"/>
  <c r="BW7" i="7"/>
  <c r="BW20" i="7"/>
  <c r="BU48" i="7"/>
  <c r="BU33" i="7"/>
  <c r="BY33" i="7" s="1"/>
  <c r="BU38" i="7"/>
  <c r="BY38" i="7" s="1"/>
  <c r="BW21" i="7"/>
  <c r="BW49" i="7"/>
  <c r="BU24" i="7"/>
  <c r="BU31" i="7"/>
  <c r="BW53" i="7"/>
  <c r="BU15" i="7"/>
  <c r="BW18" i="7"/>
  <c r="BU43" i="7"/>
  <c r="BW23" i="7"/>
  <c r="BU13" i="7"/>
  <c r="BY13" i="7" s="1"/>
  <c r="AS46" i="7"/>
  <c r="AS19" i="7"/>
  <c r="AS11" i="7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S18" i="7"/>
  <c r="AQ33" i="7"/>
  <c r="AS21" i="7"/>
  <c r="AQ38" i="7"/>
  <c r="AQ36" i="7"/>
  <c r="AS55" i="7"/>
  <c r="AA72" i="5"/>
  <c r="BU37" i="7"/>
  <c r="BW11" i="7"/>
  <c r="BY11" i="7" s="1"/>
  <c r="BU25" i="7"/>
  <c r="BW42" i="7"/>
  <c r="BW44" i="7"/>
  <c r="BW43" i="7"/>
  <c r="BU55" i="7"/>
  <c r="BW30" i="7"/>
  <c r="BW55" i="7"/>
  <c r="BW19" i="7"/>
  <c r="BY19" i="7" s="1"/>
  <c r="BU47" i="7"/>
  <c r="BY47" i="7" s="1"/>
  <c r="BU45" i="7"/>
  <c r="BW31" i="7"/>
  <c r="BW16" i="7"/>
  <c r="BY16" i="7" s="1"/>
  <c r="BW24" i="7"/>
  <c r="BW39" i="7"/>
  <c r="BU49" i="7"/>
  <c r="BW40" i="7"/>
  <c r="BW45" i="7"/>
  <c r="BU23" i="7"/>
  <c r="BU6" i="7"/>
  <c r="BY6" i="7" s="1"/>
  <c r="AS35" i="7"/>
  <c r="AS42" i="7"/>
  <c r="AQ8" i="7"/>
  <c r="AQ52" i="7"/>
  <c r="AU52" i="7" s="1"/>
  <c r="AQ23" i="7"/>
  <c r="AU23" i="7" s="1"/>
  <c r="AS47" i="7"/>
  <c r="AQ56" i="7"/>
  <c r="AQ51" i="7"/>
  <c r="AQ28" i="7"/>
  <c r="AU28" i="7" s="1"/>
  <c r="AS34" i="7"/>
  <c r="AS54" i="7"/>
  <c r="AS26" i="7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U31" i="7" s="1"/>
  <c r="AQ47" i="7"/>
  <c r="AS5" i="7"/>
  <c r="AU5" i="7" s="1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AU30" i="7" s="1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U29" i="7" s="1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U54" i="7"/>
  <c r="BW27" i="7"/>
  <c r="BY27" i="7" s="1"/>
  <c r="BW29" i="7"/>
  <c r="BY29" i="7" s="1"/>
  <c r="BU51" i="7"/>
  <c r="BY51" i="7" s="1"/>
  <c r="BW35" i="7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8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BY52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U9" i="7" l="1"/>
  <c r="BY40" i="7"/>
  <c r="AU26" i="7"/>
  <c r="AU14" i="7"/>
  <c r="AU11" i="7"/>
  <c r="BY30" i="7"/>
  <c r="C241" i="10" a="1"/>
  <c r="C241" i="10" s="1"/>
  <c r="C223" i="10" a="1"/>
  <c r="C223" i="10" s="1"/>
  <c r="C75" i="10" a="1"/>
  <c r="C75" i="10" s="1"/>
  <c r="C93" i="10" a="1"/>
  <c r="C93" i="10" s="1"/>
  <c r="C111" i="10" a="1"/>
  <c r="C111" i="10" s="1"/>
  <c r="C205" i="10" a="1"/>
  <c r="C205" i="10" s="1"/>
  <c r="E8" i="7"/>
  <c r="A7" i="10"/>
  <c r="A137" i="10"/>
  <c r="I7" i="13"/>
  <c r="BY42" i="7"/>
  <c r="BY15" i="7"/>
  <c r="BY41" i="7"/>
  <c r="AU38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121" i="5"/>
  <c r="AI67" i="5"/>
  <c r="AI64" i="5" l="1"/>
  <c r="D205" i="10" a="1"/>
  <c r="D205" i="10" s="1"/>
  <c r="D93" i="10" a="1"/>
  <c r="D93" i="10" s="1"/>
  <c r="D223" i="10" a="1"/>
  <c r="D223" i="10" s="1"/>
  <c r="D241" i="10" a="1"/>
  <c r="D241" i="10" s="1"/>
  <c r="D75" i="10" a="1"/>
  <c r="D75" i="10" s="1"/>
  <c r="D111" i="10" a="1"/>
  <c r="D111" i="10" s="1"/>
  <c r="I8" i="13"/>
  <c r="E9" i="7"/>
  <c r="A8" i="10"/>
  <c r="A138" i="10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E10" i="7" l="1"/>
  <c r="A9" i="10"/>
  <c r="A139" i="10"/>
  <c r="I9" i="13"/>
  <c r="E205" i="10" a="1"/>
  <c r="E205" i="10" s="1"/>
  <c r="E111" i="10" a="1"/>
  <c r="E111" i="10" s="1"/>
  <c r="E223" i="10" a="1"/>
  <c r="E223" i="10" s="1"/>
  <c r="E93" i="10" a="1"/>
  <c r="E93" i="10" s="1"/>
  <c r="E241" i="10" a="1"/>
  <c r="E241" i="10" s="1"/>
  <c r="E75" i="10" a="1"/>
  <c r="E75" i="10" s="1"/>
  <c r="M32" i="8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F223" i="10" l="1" a="1"/>
  <c r="F223" i="10" s="1"/>
  <c r="F205" i="10" a="1"/>
  <c r="F205" i="10" s="1"/>
  <c r="F75" i="10" a="1"/>
  <c r="F75" i="10" s="1"/>
  <c r="F111" i="10" a="1"/>
  <c r="F111" i="10" s="1"/>
  <c r="F241" i="10" a="1"/>
  <c r="F241" i="10" s="1"/>
  <c r="F93" i="10" a="1"/>
  <c r="F93" i="10" s="1"/>
  <c r="A140" i="10"/>
  <c r="A10" i="10"/>
  <c r="I10" i="13"/>
  <c r="E11" i="7"/>
  <c r="DA7" i="7"/>
  <c r="DA26" i="7"/>
  <c r="DA22" i="7"/>
  <c r="DA6" i="7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G241" i="10" l="1" a="1"/>
  <c r="G241" i="10" s="1"/>
  <c r="G111" i="10" a="1"/>
  <c r="G111" i="10" s="1"/>
  <c r="G205" i="10" a="1"/>
  <c r="G205" i="10" s="1"/>
  <c r="G93" i="10" a="1"/>
  <c r="G93" i="10" s="1"/>
  <c r="G223" i="10" a="1"/>
  <c r="G223" i="10" s="1"/>
  <c r="G75" i="10" a="1"/>
  <c r="G75" i="10" s="1"/>
  <c r="E12" i="7"/>
  <c r="A11" i="10"/>
  <c r="A141" i="10"/>
  <c r="I11" i="13"/>
  <c r="H241" i="10" l="1" a="1"/>
  <c r="H241" i="10" s="1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I12" i="13"/>
  <c r="A12" i="10"/>
  <c r="E13" i="7"/>
  <c r="A142" i="10"/>
  <c r="I75" i="10" l="1" a="1"/>
  <c r="I75" i="10" s="1"/>
  <c r="I241" i="10" a="1"/>
  <c r="I241" i="10" s="1"/>
  <c r="I205" i="10" a="1"/>
  <c r="I205" i="10" s="1"/>
  <c r="I93" i="10" a="1"/>
  <c r="I93" i="10" s="1"/>
  <c r="I223" i="10" a="1"/>
  <c r="I223" i="10" s="1"/>
  <c r="I111" i="10" a="1"/>
  <c r="I111" i="10" s="1"/>
  <c r="A13" i="10"/>
  <c r="A143" i="10"/>
  <c r="I13" i="13"/>
  <c r="E14" i="7"/>
  <c r="J223" i="10" l="1" a="1"/>
  <c r="J223" i="10" s="1"/>
  <c r="J111" i="10" a="1"/>
  <c r="J111" i="10" s="1"/>
  <c r="J241" i="10" a="1"/>
  <c r="J241" i="10" s="1"/>
  <c r="J93" i="10" a="1"/>
  <c r="J93" i="10" s="1"/>
  <c r="J75" i="10" a="1"/>
  <c r="J75" i="10" s="1"/>
  <c r="J205" i="10" a="1"/>
  <c r="J205" i="10" s="1"/>
  <c r="A14" i="10"/>
  <c r="A144" i="10"/>
  <c r="I14" i="13"/>
  <c r="E15" i="7"/>
  <c r="A145" i="10" l="1"/>
  <c r="I15" i="13"/>
  <c r="A15" i="10"/>
  <c r="E16" i="7"/>
  <c r="K205" i="10" a="1"/>
  <c r="K205" i="10" s="1"/>
  <c r="K111" i="10" a="1"/>
  <c r="K111" i="10" s="1"/>
  <c r="K223" i="10" a="1"/>
  <c r="K223" i="10" s="1"/>
  <c r="K75" i="10" a="1"/>
  <c r="K75" i="10" s="1"/>
  <c r="K241" i="10" a="1"/>
  <c r="K241" i="10" s="1"/>
  <c r="K93" i="10" a="1"/>
  <c r="K93" i="10" s="1"/>
  <c r="A146" i="10" l="1"/>
  <c r="I16" i="13"/>
  <c r="E17" i="7"/>
  <c r="A16" i="10"/>
  <c r="L241" i="10" a="1"/>
  <c r="L241" i="10" s="1"/>
  <c r="L93" i="10" a="1"/>
  <c r="L93" i="10" s="1"/>
  <c r="L223" i="10" a="1"/>
  <c r="L223" i="10" s="1"/>
  <c r="L75" i="10" a="1"/>
  <c r="L75" i="10" s="1"/>
  <c r="L205" i="10" a="1"/>
  <c r="L205" i="10" s="1"/>
  <c r="L111" i="10" a="1"/>
  <c r="L111" i="10" s="1"/>
  <c r="M111" i="10" l="1" a="1"/>
  <c r="M111" i="10" s="1"/>
  <c r="M223" i="10" a="1"/>
  <c r="M223" i="10" s="1"/>
  <c r="M205" i="10" a="1"/>
  <c r="M205" i="10" s="1"/>
  <c r="M75" i="10" a="1"/>
  <c r="M75" i="10" s="1"/>
  <c r="M241" i="10" a="1"/>
  <c r="M241" i="10" s="1"/>
  <c r="M93" i="10" a="1"/>
  <c r="M93" i="10" s="1"/>
  <c r="A147" i="10"/>
  <c r="E18" i="7"/>
  <c r="I17" i="13"/>
  <c r="A17" i="10"/>
  <c r="N241" i="10" l="1" a="1"/>
  <c r="N241" i="10" s="1"/>
  <c r="N223" i="10" a="1"/>
  <c r="N223" i="10" s="1"/>
  <c r="N205" i="10" a="1"/>
  <c r="N205" i="10" s="1"/>
  <c r="N93" i="10" a="1"/>
  <c r="N93" i="10" s="1"/>
  <c r="N75" i="10" a="1"/>
  <c r="N75" i="10" s="1"/>
  <c r="N111" i="10" a="1"/>
  <c r="N111" i="10" s="1"/>
  <c r="A148" i="10"/>
  <c r="I18" i="13"/>
  <c r="E19" i="7"/>
  <c r="A18" i="10"/>
  <c r="O223" i="10" l="1" a="1"/>
  <c r="O223" i="10" s="1"/>
  <c r="O93" i="10" a="1"/>
  <c r="O93" i="10" s="1"/>
  <c r="O241" i="10" a="1"/>
  <c r="O241" i="10" s="1"/>
  <c r="O75" i="10" a="1"/>
  <c r="O75" i="10" s="1"/>
  <c r="O111" i="10" a="1"/>
  <c r="O111" i="10" s="1"/>
  <c r="O205" i="10" a="1"/>
  <c r="O205" i="10" s="1"/>
  <c r="A149" i="10"/>
  <c r="E20" i="7"/>
  <c r="I19" i="13"/>
  <c r="A19" i="10"/>
  <c r="A20" i="10" l="1"/>
  <c r="A150" i="10"/>
  <c r="I20" i="13"/>
  <c r="E21" i="7"/>
  <c r="P205" i="10" a="1"/>
  <c r="P205" i="10" s="1"/>
  <c r="P111" i="10" a="1"/>
  <c r="P111" i="10" s="1"/>
  <c r="P223" i="10" a="1"/>
  <c r="P223" i="10" s="1"/>
  <c r="P93" i="10" a="1"/>
  <c r="P93" i="10" s="1"/>
  <c r="P75" i="10" a="1"/>
  <c r="P75" i="10" s="1"/>
  <c r="P241" i="10" a="1"/>
  <c r="P241" i="10" s="1"/>
  <c r="A151" i="10" l="1"/>
  <c r="E22" i="7"/>
  <c r="I21" i="13"/>
  <c r="A21" i="10"/>
  <c r="Q241" i="10" a="1"/>
  <c r="Q241" i="10" s="1"/>
  <c r="Q205" i="10" a="1"/>
  <c r="Q205" i="10" s="1"/>
  <c r="Q111" i="10" a="1"/>
  <c r="Q111" i="10" s="1"/>
  <c r="Q75" i="10" a="1"/>
  <c r="Q75" i="10" s="1"/>
  <c r="Q223" i="10" a="1"/>
  <c r="Q223" i="10" s="1"/>
  <c r="Q93" i="10" a="1"/>
  <c r="Q93" i="10" s="1"/>
  <c r="R223" i="10" l="1" a="1"/>
  <c r="R223" i="10" s="1"/>
  <c r="R205" i="10" a="1"/>
  <c r="R205" i="10" s="1"/>
  <c r="R75" i="10" a="1"/>
  <c r="R75" i="10" s="1"/>
  <c r="R241" i="10" a="1"/>
  <c r="R241" i="10" s="1"/>
  <c r="R111" i="10" a="1"/>
  <c r="R111" i="10" s="1"/>
  <c r="R93" i="10" a="1"/>
  <c r="R93" i="10" s="1"/>
  <c r="I22" i="13"/>
  <c r="E23" i="7"/>
  <c r="A22" i="10"/>
  <c r="A152" i="10"/>
  <c r="A153" i="10" l="1"/>
  <c r="E24" i="7"/>
  <c r="I23" i="13"/>
  <c r="A23" i="10"/>
  <c r="S241" i="10" a="1"/>
  <c r="S241" i="10" s="1"/>
  <c r="S111" i="10" a="1"/>
  <c r="S111" i="10" s="1"/>
  <c r="S223" i="10" a="1"/>
  <c r="S223" i="10" s="1"/>
  <c r="S93" i="10" a="1"/>
  <c r="S93" i="10" s="1"/>
  <c r="S205" i="10" a="1"/>
  <c r="S205" i="10" s="1"/>
  <c r="S75" i="10" a="1"/>
  <c r="S75" i="10" s="1"/>
  <c r="T241" i="10" l="1" a="1"/>
  <c r="T241" i="10" s="1"/>
  <c r="T205" i="10" a="1"/>
  <c r="T205" i="10" s="1"/>
  <c r="T111" i="10" a="1"/>
  <c r="T111" i="10" s="1"/>
  <c r="T223" i="10" a="1"/>
  <c r="T223" i="10" s="1"/>
  <c r="T93" i="10" a="1"/>
  <c r="T93" i="10" s="1"/>
  <c r="T75" i="10" a="1"/>
  <c r="T75" i="10" s="1"/>
  <c r="A24" i="10"/>
  <c r="A154" i="10"/>
  <c r="I24" i="13"/>
  <c r="E25" i="7"/>
  <c r="A155" i="10" l="1"/>
  <c r="E26" i="7"/>
  <c r="I25" i="13"/>
  <c r="A25" i="10"/>
  <c r="U223" i="10" a="1"/>
  <c r="U223" i="10" s="1"/>
  <c r="U93" i="10" a="1"/>
  <c r="U93" i="10" s="1"/>
  <c r="U205" i="10" a="1"/>
  <c r="U205" i="10" s="1"/>
  <c r="U111" i="10" a="1"/>
  <c r="U111" i="10" s="1"/>
  <c r="U241" i="10" a="1"/>
  <c r="U241" i="10" s="1"/>
  <c r="U75" i="10" a="1"/>
  <c r="U75" i="10" s="1"/>
  <c r="V241" i="10" l="1" a="1"/>
  <c r="V241" i="10" s="1"/>
  <c r="V223" i="10" a="1"/>
  <c r="V223" i="10" s="1"/>
  <c r="V205" i="10" a="1"/>
  <c r="V205" i="10" s="1"/>
  <c r="V93" i="10" a="1"/>
  <c r="V93" i="10" s="1"/>
  <c r="V75" i="10" a="1"/>
  <c r="V75" i="10" s="1"/>
  <c r="V111" i="10" a="1"/>
  <c r="V111" i="10" s="1"/>
  <c r="A156" i="10"/>
  <c r="I26" i="13"/>
  <c r="E27" i="7"/>
  <c r="A26" i="10"/>
  <c r="W223" i="10" l="1" a="1"/>
  <c r="W223" i="10" s="1"/>
  <c r="W241" i="10" a="1"/>
  <c r="W241" i="10" s="1"/>
  <c r="W75" i="10" a="1"/>
  <c r="W75" i="10" s="1"/>
  <c r="W205" i="10" a="1"/>
  <c r="W205" i="10" s="1"/>
  <c r="W111" i="10" a="1"/>
  <c r="W111" i="10" s="1"/>
  <c r="W93" i="10" a="1"/>
  <c r="W93" i="10" s="1"/>
  <c r="A157" i="10"/>
  <c r="E28" i="7"/>
  <c r="I27" i="13"/>
  <c r="A27" i="10"/>
  <c r="A158" i="10" l="1"/>
  <c r="A28" i="10"/>
  <c r="I28" i="13"/>
  <c r="E29" i="7"/>
  <c r="X223" i="10" a="1"/>
  <c r="X223" i="10" s="1"/>
  <c r="X93" i="10" a="1"/>
  <c r="X93" i="10" s="1"/>
  <c r="X205" i="10" a="1"/>
  <c r="X205" i="10" s="1"/>
  <c r="X111" i="10" a="1"/>
  <c r="X111" i="10" s="1"/>
  <c r="X241" i="10" a="1"/>
  <c r="X241" i="10" s="1"/>
  <c r="X75" i="10" a="1"/>
  <c r="X75" i="10" s="1"/>
  <c r="E30" i="7" l="1"/>
  <c r="A159" i="10"/>
  <c r="I29" i="13"/>
  <c r="A29" i="10"/>
  <c r="Y111" i="10" a="1"/>
  <c r="Y111" i="10" s="1"/>
  <c r="Y241" i="10" a="1"/>
  <c r="Y241" i="10" s="1"/>
  <c r="Y205" i="10" a="1"/>
  <c r="Y205" i="10" s="1"/>
  <c r="Y93" i="10" a="1"/>
  <c r="Y93" i="10" s="1"/>
  <c r="Y223" i="10" a="1"/>
  <c r="Y223" i="10" s="1"/>
  <c r="Y75" i="10" a="1"/>
  <c r="Y75" i="10" s="1"/>
  <c r="Z75" i="10" l="1" a="1"/>
  <c r="Z75" i="10" s="1"/>
  <c r="Z205" i="10" a="1"/>
  <c r="Z205" i="10" s="1"/>
  <c r="Z93" i="10" a="1"/>
  <c r="Z93" i="10" s="1"/>
  <c r="Z111" i="10" a="1"/>
  <c r="Z111" i="10" s="1"/>
  <c r="Z223" i="10" a="1"/>
  <c r="Z223" i="10" s="1"/>
  <c r="Z241" i="10" a="1"/>
  <c r="Z241" i="10" s="1"/>
  <c r="A160" i="10"/>
  <c r="I30" i="13"/>
  <c r="A30" i="10"/>
  <c r="E31" i="7"/>
  <c r="A161" i="10" l="1"/>
  <c r="E32" i="7"/>
  <c r="I31" i="13"/>
  <c r="A31" i="10"/>
  <c r="AA241" i="10" a="1"/>
  <c r="AA241" i="10" s="1"/>
  <c r="AA75" i="10" a="1"/>
  <c r="AA75" i="10" s="1"/>
  <c r="AA93" i="10" a="1"/>
  <c r="AA93" i="10" s="1"/>
  <c r="AA111" i="10" a="1"/>
  <c r="AA111" i="10" s="1"/>
  <c r="AA205" i="10" a="1"/>
  <c r="AA205" i="10" s="1"/>
  <c r="AA223" i="10" a="1"/>
  <c r="AA223" i="10" s="1"/>
  <c r="AB75" i="10" l="1" a="1"/>
  <c r="AB75" i="10" s="1"/>
  <c r="AB223" i="10" a="1"/>
  <c r="AB223" i="10" s="1"/>
  <c r="AB93" i="10" a="1"/>
  <c r="AB93" i="10" s="1"/>
  <c r="AB241" i="10" a="1"/>
  <c r="AB241" i="10" s="1"/>
  <c r="AB205" i="10" a="1"/>
  <c r="AB205" i="10" s="1"/>
  <c r="AB111" i="10" a="1"/>
  <c r="AB111" i="10" s="1"/>
  <c r="A162" i="10"/>
  <c r="I32" i="13"/>
  <c r="E33" i="7"/>
  <c r="A32" i="10"/>
  <c r="AC241" i="10" l="1" a="1"/>
  <c r="AC241" i="10" s="1"/>
  <c r="AC93" i="10" a="1"/>
  <c r="AC93" i="10" s="1"/>
  <c r="AC223" i="10" a="1"/>
  <c r="AC223" i="10" s="1"/>
  <c r="AC111" i="10" a="1"/>
  <c r="AC111" i="10" s="1"/>
  <c r="AC205" i="10" a="1"/>
  <c r="AC205" i="10" s="1"/>
  <c r="AC75" i="10" a="1"/>
  <c r="AC75" i="10" s="1"/>
  <c r="A163" i="10"/>
  <c r="E34" i="7"/>
  <c r="I33" i="13"/>
  <c r="A33" i="10"/>
  <c r="A164" i="10" l="1"/>
  <c r="I34" i="13"/>
  <c r="E35" i="7"/>
  <c r="A34" i="10"/>
  <c r="AD223" i="10" a="1"/>
  <c r="AD223" i="10" s="1"/>
  <c r="AD75" i="10" a="1"/>
  <c r="AD75" i="10" s="1"/>
  <c r="AD93" i="10" a="1"/>
  <c r="AD93" i="10" s="1"/>
  <c r="AD205" i="10" a="1"/>
  <c r="AD205" i="10" s="1"/>
  <c r="AD111" i="10" a="1"/>
  <c r="AD111" i="10" s="1"/>
  <c r="AD241" i="10" a="1"/>
  <c r="AD241" i="10" s="1"/>
  <c r="AE223" i="10" l="1" a="1"/>
  <c r="AE223" i="10" s="1"/>
  <c r="AE93" i="10" a="1"/>
  <c r="AE93" i="10" s="1"/>
  <c r="AE241" i="10" a="1"/>
  <c r="AE241" i="10" s="1"/>
  <c r="AE75" i="10" a="1"/>
  <c r="AE75" i="10" s="1"/>
  <c r="AE111" i="10" a="1"/>
  <c r="AE111" i="10" s="1"/>
  <c r="AE205" i="10" a="1"/>
  <c r="AE205" i="10" s="1"/>
  <c r="I35" i="13"/>
  <c r="A35" i="10"/>
  <c r="A165" i="10"/>
  <c r="E36" i="7"/>
  <c r="AF241" i="10" l="1" a="1"/>
  <c r="AF241" i="10" s="1"/>
  <c r="AF205" i="10" a="1"/>
  <c r="AF205" i="10" s="1"/>
  <c r="AF111" i="10" a="1"/>
  <c r="AF111" i="10" s="1"/>
  <c r="AF75" i="10" a="1"/>
  <c r="AF75" i="10" s="1"/>
  <c r="AF223" i="10" a="1"/>
  <c r="AF223" i="10" s="1"/>
  <c r="AF93" i="10" a="1"/>
  <c r="AF93" i="10" s="1"/>
  <c r="A36" i="10"/>
  <c r="I36" i="13"/>
  <c r="E37" i="7"/>
  <c r="A166" i="10"/>
  <c r="AG223" i="10" l="1" a="1"/>
  <c r="AG223" i="10" s="1"/>
  <c r="AG75" i="10" a="1"/>
  <c r="AG75" i="10" s="1"/>
  <c r="AG241" i="10" a="1"/>
  <c r="AG241" i="10" s="1"/>
  <c r="AG93" i="10" a="1"/>
  <c r="AG93" i="10" s="1"/>
  <c r="AG111" i="10" a="1"/>
  <c r="AG111" i="10" s="1"/>
  <c r="AG205" i="10" a="1"/>
  <c r="AG205" i="10" s="1"/>
  <c r="E38" i="7"/>
  <c r="I37" i="13"/>
  <c r="A37" i="10"/>
  <c r="A167" i="10"/>
  <c r="A38" i="10" l="1"/>
  <c r="A168" i="10"/>
  <c r="I38" i="13"/>
  <c r="E39" i="7"/>
  <c r="AH223" i="10" a="1"/>
  <c r="AH223" i="10" s="1"/>
  <c r="AH205" i="10" a="1"/>
  <c r="AH205" i="10" s="1"/>
  <c r="AH241" i="10" a="1"/>
  <c r="AH241" i="10" s="1"/>
  <c r="AH93" i="10" a="1"/>
  <c r="AH93" i="10" s="1"/>
  <c r="AH111" i="10" a="1"/>
  <c r="AH111" i="10" s="1"/>
  <c r="AH75" i="10" a="1"/>
  <c r="AH75" i="10" s="1"/>
  <c r="A169" i="10" l="1"/>
  <c r="E40" i="7"/>
  <c r="I39" i="13"/>
  <c r="A39" i="10"/>
  <c r="AI241" i="10" a="1"/>
  <c r="AI241" i="10" s="1"/>
  <c r="AI93" i="10" a="1"/>
  <c r="AI93" i="10" s="1"/>
  <c r="AI205" i="10" a="1"/>
  <c r="AI205" i="10" s="1"/>
  <c r="AI75" i="10" a="1"/>
  <c r="AI75" i="10" s="1"/>
  <c r="AI223" i="10" a="1"/>
  <c r="AI223" i="10" s="1"/>
  <c r="AI111" i="10" a="1"/>
  <c r="AI111" i="10" s="1"/>
  <c r="AJ241" i="10" l="1" a="1"/>
  <c r="AJ241" i="10" s="1"/>
  <c r="AJ93" i="10" a="1"/>
  <c r="AJ93" i="10" s="1"/>
  <c r="AJ205" i="10" a="1"/>
  <c r="AJ205" i="10" s="1"/>
  <c r="AJ111" i="10" a="1"/>
  <c r="AJ111" i="10" s="1"/>
  <c r="AJ223" i="10" a="1"/>
  <c r="AJ223" i="10" s="1"/>
  <c r="AJ75" i="10" a="1"/>
  <c r="AJ75" i="10" s="1"/>
  <c r="A40" i="10"/>
  <c r="A170" i="10"/>
  <c r="I40" i="13"/>
  <c r="E41" i="7"/>
  <c r="AK241" i="10" l="1" a="1"/>
  <c r="AK241" i="10" s="1"/>
  <c r="AK111" i="10" a="1"/>
  <c r="AK111" i="10" s="1"/>
  <c r="AK223" i="10" a="1"/>
  <c r="AK223" i="10" s="1"/>
  <c r="AK93" i="10" a="1"/>
  <c r="AK93" i="10" s="1"/>
  <c r="AK205" i="10" a="1"/>
  <c r="AK205" i="10" s="1"/>
  <c r="AK75" i="10" a="1"/>
  <c r="AK75" i="10" s="1"/>
  <c r="A171" i="10"/>
  <c r="E42" i="7"/>
  <c r="A41" i="10"/>
  <c r="I41" i="13"/>
  <c r="A42" i="10" l="1"/>
  <c r="I42" i="13"/>
  <c r="E43" i="7"/>
  <c r="A172" i="10"/>
  <c r="AL241" i="10" a="1"/>
  <c r="AL241" i="10" s="1"/>
  <c r="AL223" i="10" a="1"/>
  <c r="AL223" i="10" s="1"/>
  <c r="AL111" i="10" a="1"/>
  <c r="AL111" i="10" s="1"/>
  <c r="AL75" i="10" a="1"/>
  <c r="AL75" i="10" s="1"/>
  <c r="AL205" i="10" a="1"/>
  <c r="AL205" i="10" s="1"/>
  <c r="AL93" i="10" a="1"/>
  <c r="AL93" i="10" s="1"/>
  <c r="I43" i="13" l="1"/>
  <c r="A43" i="10"/>
  <c r="A173" i="10"/>
  <c r="E44" i="7"/>
  <c r="AM223" i="10" a="1"/>
  <c r="AM223" i="10" s="1"/>
  <c r="AM75" i="10" a="1"/>
  <c r="AM75" i="10" s="1"/>
  <c r="AM241" i="10" a="1"/>
  <c r="AM241" i="10" s="1"/>
  <c r="AM111" i="10" a="1"/>
  <c r="AM111" i="10" s="1"/>
  <c r="AM205" i="10" a="1"/>
  <c r="AM205" i="10" s="1"/>
  <c r="AM93" i="10" a="1"/>
  <c r="AM93" i="10" s="1"/>
  <c r="I44" i="13" l="1"/>
  <c r="A44" i="10"/>
  <c r="A174" i="10"/>
  <c r="E45" i="7"/>
  <c r="AN241" i="10" a="1"/>
  <c r="AN241" i="10" s="1"/>
  <c r="AN93" i="10" a="1"/>
  <c r="AN93" i="10" s="1"/>
  <c r="AN205" i="10" a="1"/>
  <c r="AN205" i="10" s="1"/>
  <c r="AN75" i="10" a="1"/>
  <c r="AN75" i="10" s="1"/>
  <c r="AN111" i="10" a="1"/>
  <c r="AN111" i="10" s="1"/>
  <c r="AN223" i="10" a="1"/>
  <c r="AN223" i="10" s="1"/>
  <c r="AO223" i="10" l="1" a="1"/>
  <c r="AO223" i="10" s="1"/>
  <c r="AO241" i="10" a="1"/>
  <c r="AO241" i="10" s="1"/>
  <c r="AO111" i="10" a="1"/>
  <c r="AO111" i="10" s="1"/>
  <c r="AO205" i="10" a="1"/>
  <c r="AO205" i="10" s="1"/>
  <c r="AO75" i="10" a="1"/>
  <c r="AO75" i="10" s="1"/>
  <c r="AO93" i="10" a="1"/>
  <c r="AO93" i="10" s="1"/>
  <c r="A45" i="10"/>
  <c r="A175" i="10"/>
  <c r="I45" i="13"/>
  <c r="E46" i="7"/>
  <c r="AP223" i="10" l="1" a="1"/>
  <c r="AP223" i="10" s="1"/>
  <c r="AP93" i="10" a="1"/>
  <c r="AP93" i="10" s="1"/>
  <c r="AP111" i="10" a="1"/>
  <c r="AP111" i="10" s="1"/>
  <c r="AP241" i="10" a="1"/>
  <c r="AP241" i="10" s="1"/>
  <c r="AP75" i="10" a="1"/>
  <c r="AP75" i="10" s="1"/>
  <c r="AP205" i="10" a="1"/>
  <c r="AP205" i="10" s="1"/>
  <c r="I46" i="13"/>
  <c r="A46" i="10"/>
  <c r="A176" i="10"/>
  <c r="E47" i="7"/>
  <c r="A47" i="10" l="1"/>
  <c r="A177" i="10"/>
  <c r="I47" i="13"/>
  <c r="E48" i="7"/>
  <c r="AQ241" i="10" a="1"/>
  <c r="AQ241" i="10" s="1"/>
  <c r="AQ93" i="10" a="1"/>
  <c r="AQ93" i="10" s="1"/>
  <c r="AQ205" i="10" a="1"/>
  <c r="AQ205" i="10" s="1"/>
  <c r="AQ75" i="10" a="1"/>
  <c r="AQ75" i="10" s="1"/>
  <c r="AQ223" i="10" a="1"/>
  <c r="AQ223" i="10" s="1"/>
  <c r="AQ111" i="10" a="1"/>
  <c r="AQ111" i="10" s="1"/>
  <c r="E49" i="7" l="1"/>
  <c r="A178" i="10"/>
  <c r="I48" i="13"/>
  <c r="A48" i="10"/>
  <c r="AR241" i="10" a="1"/>
  <c r="AR241" i="10" s="1"/>
  <c r="AR93" i="10" a="1"/>
  <c r="AR93" i="10" s="1"/>
  <c r="AR205" i="10" a="1"/>
  <c r="AR205" i="10" s="1"/>
  <c r="AR111" i="10" a="1"/>
  <c r="AR111" i="10" s="1"/>
  <c r="AR223" i="10" a="1"/>
  <c r="AR223" i="10" s="1"/>
  <c r="AR75" i="10" a="1"/>
  <c r="AR75" i="10" s="1"/>
  <c r="AS241" i="10" l="1" a="1"/>
  <c r="AS241" i="10" s="1"/>
  <c r="AS223" i="10" a="1"/>
  <c r="AS223" i="10" s="1"/>
  <c r="AS75" i="10" a="1"/>
  <c r="AS75" i="10" s="1"/>
  <c r="AS93" i="10" a="1"/>
  <c r="AS93" i="10" s="1"/>
  <c r="AS205" i="10" a="1"/>
  <c r="AS205" i="10" s="1"/>
  <c r="AS111" i="10" a="1"/>
  <c r="AS111" i="10" s="1"/>
  <c r="A49" i="10"/>
  <c r="A179" i="10"/>
  <c r="I49" i="13"/>
  <c r="E50" i="7"/>
  <c r="I50" i="13" l="1"/>
  <c r="A50" i="10"/>
  <c r="A180" i="10"/>
  <c r="E51" i="7"/>
  <c r="AT241" i="10" a="1"/>
  <c r="AT241" i="10" s="1"/>
  <c r="AT93" i="10" a="1"/>
  <c r="AT93" i="10" s="1"/>
  <c r="AT75" i="10" a="1"/>
  <c r="AT75" i="10" s="1"/>
  <c r="AT223" i="10" a="1"/>
  <c r="AT223" i="10" s="1"/>
  <c r="AT111" i="10" a="1"/>
  <c r="AT111" i="10" s="1"/>
  <c r="AT205" i="10" a="1"/>
  <c r="AT205" i="10" s="1"/>
  <c r="A51" i="10" l="1"/>
  <c r="I51" i="13"/>
  <c r="E52" i="7"/>
  <c r="A181" i="10"/>
  <c r="AU223" i="10" a="1"/>
  <c r="AU223" i="10" s="1"/>
  <c r="AU111" i="10" a="1"/>
  <c r="AU111" i="10" s="1"/>
  <c r="AU241" i="10" a="1"/>
  <c r="AU241" i="10" s="1"/>
  <c r="AU93" i="10" a="1"/>
  <c r="AU93" i="10" s="1"/>
  <c r="AU205" i="10" a="1"/>
  <c r="AU205" i="10" s="1"/>
  <c r="AU75" i="10" a="1"/>
  <c r="AU75" i="10" s="1"/>
  <c r="A52" i="10" l="1"/>
  <c r="A182" i="10"/>
  <c r="E53" i="7"/>
  <c r="I52" i="13"/>
  <c r="AV241" i="10" a="1"/>
  <c r="AV241" i="10" s="1"/>
  <c r="AV93" i="10" a="1"/>
  <c r="AV93" i="10" s="1"/>
  <c r="AV205" i="10" a="1"/>
  <c r="AV205" i="10" s="1"/>
  <c r="AV111" i="10" a="1"/>
  <c r="AV111" i="10" s="1"/>
  <c r="AV223" i="10" a="1"/>
  <c r="AV223" i="10" s="1"/>
  <c r="AV75" i="10" a="1"/>
  <c r="AV75" i="10" s="1"/>
  <c r="A183" i="10" l="1"/>
  <c r="I53" i="13"/>
  <c r="E54" i="7"/>
  <c r="A53" i="10"/>
  <c r="AW241" i="10" a="1"/>
  <c r="AW241" i="10" s="1"/>
  <c r="AW205" i="10" a="1"/>
  <c r="AW205" i="10" s="1"/>
  <c r="AW93" i="10" a="1"/>
  <c r="AW93" i="10" s="1"/>
  <c r="AW111" i="10" a="1"/>
  <c r="AW111" i="10" s="1"/>
  <c r="AW223" i="10" a="1"/>
  <c r="AW223" i="10" s="1"/>
  <c r="AW75" i="10" a="1"/>
  <c r="AW75" i="10" s="1"/>
  <c r="AX223" i="10" l="1" a="1"/>
  <c r="AX223" i="10" s="1"/>
  <c r="AX75" i="10" a="1"/>
  <c r="AX75" i="10" s="1"/>
  <c r="AX205" i="10" a="1"/>
  <c r="AX205" i="10" s="1"/>
  <c r="AX241" i="10" a="1"/>
  <c r="AX241" i="10" s="1"/>
  <c r="AX111" i="10" a="1"/>
  <c r="AX111" i="10" s="1"/>
  <c r="AX93" i="10" a="1"/>
  <c r="AX93" i="10" s="1"/>
  <c r="A184" i="10"/>
  <c r="E55" i="7"/>
  <c r="I54" i="13"/>
  <c r="A54" i="10"/>
  <c r="A185" i="10" l="1"/>
  <c r="A55" i="10"/>
  <c r="I55" i="13"/>
  <c r="E56" i="7"/>
  <c r="AY111" i="10" a="1"/>
  <c r="AY111" i="10" s="1"/>
  <c r="AY205" i="10" a="1"/>
  <c r="AY205" i="10" s="1"/>
  <c r="AY223" i="10" a="1"/>
  <c r="AY223" i="10" s="1"/>
  <c r="AY93" i="10" a="1"/>
  <c r="AY93" i="10" s="1"/>
  <c r="AY241" i="10" a="1"/>
  <c r="AY241" i="10" s="1"/>
  <c r="AY75" i="10" a="1"/>
  <c r="AY75" i="10" s="1"/>
  <c r="I56" i="13" l="1"/>
  <c r="A56" i="10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111" i="10" l="1" a="1"/>
  <c r="BA111" i="10" s="1"/>
  <c r="BA93" i="10" a="1"/>
  <c r="BA93" i="10" s="1"/>
  <c r="BA75" i="10" a="1"/>
  <c r="BA75" i="10" s="1"/>
  <c r="BA223" i="10" a="1"/>
  <c r="BA223" i="10" s="1"/>
  <c r="BA205" i="10" a="1"/>
  <c r="BA205" i="10" s="1"/>
  <c r="BA241" i="10" a="1"/>
  <c r="BA241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<sst xmlns="http://schemas.openxmlformats.org/spreadsheetml/2006/main" count="795" uniqueCount="198">
  <si>
    <t>Organisation Name</t>
  </si>
  <si>
    <t>Service Name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</si>
  <si>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</si>
  <si>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</si>
  <si>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</si>
  <si>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</si>
  <si>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</si>
  <si>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</si>
  <si>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</si>
  <si>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</si>
  <si>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</si>
  <si>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</si>
  <si>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</si>
  <si>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</si>
  <si>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</si>
  <si>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</si>
  <si>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</si>
  <si>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</si>
  <si>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</si>
  <si>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</si>
  <si>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</si>
  <si>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</si>
  <si>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</si>
  <si>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</si>
  <si>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</si>
  <si>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</si>
  <si>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</si>
  <si>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</si>
  <si>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</si>
  <si>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</si>
  <si>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</si>
  <si>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</si>
  <si>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</si>
  <si>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</si>
  <si>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</si>
  <si>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</si>
  <si>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</si>
  <si>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</si>
  <si>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</si>
  <si>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</si>
  <si>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</si>
  <si>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</si>
  <si>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</si>
  <si>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</si>
  <si>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</si>
  <si>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</si>
  <si>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</si>
  <si>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</si>
  <si>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</si>
  <si>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</si>
  <si>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</si>
  <si>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</si>
  <si>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</si>
  <si>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</si>
  <si>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</si>
  <si>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</si>
  <si>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</si>
  <si>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</si>
  <si>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</si>
  <si>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</si>
  <si>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</si>
  <si>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</si>
  <si>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</si>
  <si>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</si>
  <si>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</si>
  <si>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</si>
  <si>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</si>
  <si>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</si>
  <si>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</si>
  <si>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</si>
  <si>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</si>
  <si>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</si>
  <si>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</si>
  <si>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</si>
  <si>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</si>
  <si>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</si>
  <si>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</si>
  <si>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</si>
  <si>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</si>
  <si>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</si>
  <si>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</si>
  <si>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</si>
  <si>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</si>
  <si>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</si>
  <si>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</si>
  <si>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</si>
  <si>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</si>
  <si>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</si>
  <si>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</si>
  <si>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</si>
  <si>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</si>
  <si>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</si>
  <si>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</si>
  <si>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</si>
  <si>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</si>
  <si>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</si>
  <si>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</si>
  <si>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</si>
  <si>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</si>
  <si>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</si>
  <si>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</si>
  <si>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</si>
  <si>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</si>
  <si>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</si>
  <si>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</si>
  <si>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</si>
  <si>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</si>
  <si>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</si>
  <si>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</si>
  <si>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</si>
  <si>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</si>
  <si>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</si>
  <si>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</si>
  <si>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</si>
  <si>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</si>
  <si>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</si>
  <si>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</si>
  <si>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</si>
  <si>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</si>
  <si>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</si>
  <si>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</si>
  <si>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</si>
  <si>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</si>
  <si>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</si>
  <si>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</si>
  <si>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</si>
  <si>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</si>
  <si>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</si>
  <si>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</si>
  <si>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</si>
  <si>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</si>
  <si>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</si>
  <si>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</si>
  <si>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</si>
  <si>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</si>
  <si>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</si>
  <si>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</si>
  <si>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</si>
  <si>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</si>
  <si>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</si>
  <si>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</si>
  <si>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</si>
  <si>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</si>
  <si>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</si>
  <si>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</si>
  <si>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</si>
  <si>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</si>
  <si>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</si>
  <si>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</si>
  <si>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</si>
  <si>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</si>
  <si>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</si>
  <si>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</si>
  <si>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</si>
  <si>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</si>
  <si>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</si>
  <si>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</si>
  <si>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</si>
  <si>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</si>
  <si>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</si>
  <si>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</si>
  <si>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</si>
  <si>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</si>
  <si>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</si>
  <si>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Mean Demand: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</si>
  <si>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</si>
  <si>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</si>
  <si>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</si>
  <si>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</si>
  <si>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</si>
  <si>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</si>
  <si>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</si>
  <si>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</si>
  <si>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</si>
  <si>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</si>
  <si>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</si>
  <si>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</si>
  <si>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</si>
  <si>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</si>
  <si>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</si>
  <si>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</si>
  <si>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</si>
  <si>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</si>
  <si>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</si>
  <si>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</si>
  <si>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v0.4.5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</si>
  <si>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</si>
  <si>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</si>
  <si>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</si>
  <si>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</si>
  <si>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</si>
  <si>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</si>
  <si>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Caseload 1</t>
  </si>
  <si>
    <t>Caseload 2</t>
  </si>
  <si>
    <t>Caseload 3</t>
  </si>
  <si>
    <t>Caseload 4</t>
  </si>
  <si>
    <t>Caseload 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</si>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</sst>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43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7" borderId="7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0" borderId="7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2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</c:multiLvlStrRef>
          </c:cat>
          <c:val>
            <c:numRef>
              <c:f>[0]!SPC_Baseline</c:f>
              <c:numCache>
                <c:formatCode>General</c:formatCode>
                <c:ptCount val="2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[0]!SPC_Mean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[0]!SPC_Values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[0]!SPC_UCL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[0]!SPC_LCL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Caseload 1,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2</xdr:row>
      <xdr:rowOff>1586</xdr:rowOff>
    </xdr:from>
    <xdr:to>
      <xdr:col>30</xdr:col>
      <xdr:colOff>171450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527050</xdr:colOff>
      <xdr:row>1</xdr:row>
      <xdr:rowOff>184150</xdr:rowOff>
    </xdr:from>
    <xdr:to>
      <xdr:col>30</xdr:col>
      <xdr:colOff>171450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523874</xdr:colOff>
      <xdr:row>42</xdr:row>
      <xdr:rowOff>136524</xdr:rowOff>
    </xdr:from>
    <xdr:to>
      <xdr:col>30</xdr:col>
      <xdr:colOff>190499</xdr:colOff>
      <xdr:row>65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259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X262"/>
  <sheetViews>
    <sheetView workbookViewId="0"/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4" x14ac:dyDescent="0.35">
      <c r="A1" t="s">
        <v>12</v>
      </c>
      <c r="B1" t="s">
        <v>13</v>
      </c>
      <c r="D1" t="s">
        <v>75</v>
      </c>
      <c r="F1" t="s">
        <v>76</v>
      </c>
      <c r="H1" t="s">
        <v>79</v>
      </c>
      <c r="K1" t="s">
        <v>84</v>
      </c>
      <c r="N1" t="s">
        <v>92</v>
      </c>
      <c r="P1" t="s">
        <v>112</v>
      </c>
      <c r="R1" t="s">
        <v>119</v>
      </c>
      <c r="T1" t="s">
        <v>124</v>
      </c>
      <c r="V1" t="s">
        <v>167</v>
      </c>
      <c r="X1" t="s">
        <v>173</v>
      </c>
    </row>
    <row r="2" spans="1:24" x14ac:dyDescent="0.35">
      <c r="B2" t="str">
        <f>Setup!A20</f>
        <v>Caseload 1</v>
      </c>
      <c r="D2">
        <v>1</v>
      </c>
      <c r="F2" t="s">
        <v>59</v>
      </c>
      <c r="H2" t="s">
        <v>80</v>
      </c>
      <c r="I2">
        <v>0.65</v>
      </c>
      <c r="K2" t="s">
        <v>121</v>
      </c>
      <c r="L2">
        <v>7</v>
      </c>
      <c r="N2" t="s">
        <v>93</v>
      </c>
      <c r="P2" t="s">
        <v>113</v>
      </c>
      <c r="R2" t="str" cm="1">
        <f t="array" ref="R2">IF(Setup!B11="Weekly",INDEX('SPC Backing (Hide)'!$B$4:$B$263,IF(Demand!$A$8&lt;51, 1, Demand!$A$8-51),1),INDEX('SPC Backing (Hide)'!E4:E263,Demand!A8-11,1))</f>
        <v/>
      </c>
      <c r="T2" t="s">
        <v>143</v>
      </c>
      <c r="V2" t="s">
        <v>168</v>
      </c>
      <c r="X2" s="105" t="s">
        <v>45</v>
      </c>
    </row>
    <row r="3" spans="1:24" x14ac:dyDescent="0.35">
      <c r="B3" t="str">
        <f>Setup!A21</f>
        <v>Caseload 2</v>
      </c>
      <c r="D3">
        <v>2</v>
      </c>
      <c r="F3" t="s">
        <v>51</v>
      </c>
      <c r="H3" t="s">
        <v>81</v>
      </c>
      <c r="I3">
        <v>0.7</v>
      </c>
      <c r="K3" t="s">
        <v>120</v>
      </c>
      <c r="L3">
        <v>5</v>
      </c>
      <c r="N3" t="s">
        <v>94</v>
      </c>
      <c r="P3" t="s">
        <v>114</v>
      </c>
      <c r="R3" t="str" cm="1">
        <f t="array" ref="R3:R262">IF(Setup!B11="Weekly",INDEX('SPC Backing (Hide)'!$B$4:$B$263,Demand!A8,1),INDEX('SPC Backing (Hide)'!E4:E263,Demand!A8,1))</f>
        <v/>
      </c>
      <c r="T3" t="str">
        <f>Setup!A20</f>
        <v>Caseload 1</v>
      </c>
      <c r="V3" t="s">
        <v>169</v>
      </c>
      <c r="X3" s="105" t="s">
        <v>191</v>
      </c>
    </row>
    <row r="4" spans="1:24" x14ac:dyDescent="0.35">
      <c r="B4" t="str">
        <f>Setup!A22</f>
        <v>Caseload 3</v>
      </c>
      <c r="D4">
        <v>3</v>
      </c>
      <c r="F4" t="s">
        <v>64</v>
      </c>
      <c r="H4" t="s">
        <v>82</v>
      </c>
      <c r="I4">
        <v>0.75</v>
      </c>
      <c r="K4" t="s">
        <v>85</v>
      </c>
      <c r="L4">
        <v>2</v>
      </c>
      <c r="R4" t="str">
        <v/>
      </c>
      <c r="T4" t="str">
        <f>Setup!A21</f>
        <v>Caseload 2</v>
      </c>
      <c r="X4" s="105" t="s">
        <v>174</v>
      </c>
    </row>
    <row r="5" spans="1:24" x14ac:dyDescent="0.35">
      <c r="B5" t="str">
        <f>Setup!A23</f>
        <v>Caseload 4</v>
      </c>
      <c r="D5">
        <v>4</v>
      </c>
      <c r="H5" t="s">
        <v>83</v>
      </c>
      <c r="I5">
        <v>0.8</v>
      </c>
      <c r="K5" t="s">
        <v>86</v>
      </c>
      <c r="L5">
        <v>1</v>
      </c>
      <c r="R5" t="str">
        <v/>
      </c>
      <c r="T5" t="str">
        <f>Setup!A22</f>
        <v>Caseload 3</v>
      </c>
      <c r="X5" s="105" t="s">
        <v>175</v>
      </c>
    </row>
    <row r="6" spans="1:24" x14ac:dyDescent="0.35">
      <c r="B6" t="str">
        <f>Setup!A24</f>
        <v>Caseload 5</v>
      </c>
      <c r="D6">
        <v>5</v>
      </c>
      <c r="K6" t="s">
        <v>87</v>
      </c>
      <c r="L6">
        <v>0.5</v>
      </c>
      <c r="R6" t="str">
        <v/>
      </c>
      <c r="T6" t="str">
        <f>Setup!A23</f>
        <v>Caseload 4</v>
      </c>
      <c r="X6" s="105" t="s">
        <v>176</v>
      </c>
    </row>
    <row r="7" spans="1:24" x14ac:dyDescent="0.35">
      <c r="B7" t="str">
        <f>Setup!A25</f>
        <v>Caseload 6</v>
      </c>
      <c r="D7">
        <v>6</v>
      </c>
      <c r="K7" t="s">
        <v>88</v>
      </c>
      <c r="L7">
        <v>0.25</v>
      </c>
      <c r="R7" t="str">
        <v/>
      </c>
      <c r="T7" t="str">
        <f>Setup!A24</f>
        <v>Caseload 5</v>
      </c>
      <c r="X7" s="105" t="s">
        <v>177</v>
      </c>
    </row>
    <row r="8" spans="1:24" x14ac:dyDescent="0.35">
      <c r="B8" t="str">
        <f>Setup!A26</f>
        <v>Caseload 7</v>
      </c>
      <c r="D8">
        <v>7</v>
      </c>
      <c r="K8" t="s">
        <v>89</v>
      </c>
      <c r="L8">
        <v>3.7999999999999999E-2</v>
      </c>
      <c r="R8" t="str">
        <v/>
      </c>
      <c r="T8" t="str">
        <f>Setup!A25</f>
        <v>Caseload 6</v>
      </c>
      <c r="X8" s="105" t="s">
        <v>178</v>
      </c>
    </row>
    <row r="9" spans="1:24" x14ac:dyDescent="0.35">
      <c r="B9" t="str">
        <f>Setup!A27</f>
        <v>Caseload 8</v>
      </c>
      <c r="D9">
        <v>8</v>
      </c>
      <c r="K9" t="s">
        <v>90</v>
      </c>
      <c r="L9">
        <v>1.9E-2</v>
      </c>
      <c r="R9" t="str">
        <v/>
      </c>
      <c r="T9" t="str">
        <f>Setup!A26</f>
        <v>Caseload 7</v>
      </c>
    </row>
    <row r="10" spans="1:24" x14ac:dyDescent="0.35">
      <c r="B10" t="str">
        <f>Setup!A28</f>
        <v>Caseload 9</v>
      </c>
      <c r="D10">
        <v>9</v>
      </c>
      <c r="R10" t="str">
        <v/>
      </c>
      <c r="T10" t="str">
        <f>Setup!A27</f>
        <v>Caseload 8</v>
      </c>
    </row>
    <row r="11" spans="1:24" x14ac:dyDescent="0.35">
      <c r="B11" t="str">
        <f>Setup!A29</f>
        <v>Caseload 10</v>
      </c>
      <c r="D11">
        <v>10</v>
      </c>
      <c r="R11" t="str">
        <v/>
      </c>
      <c r="T11" t="str">
        <f>Setup!A28</f>
        <v>Caseload 9</v>
      </c>
    </row>
    <row r="12" spans="1:24" x14ac:dyDescent="0.35">
      <c r="B12" t="str">
        <f>Setup!A30</f>
        <v>Caseload 11</v>
      </c>
      <c r="D12">
        <v>11</v>
      </c>
      <c r="R12" t="str">
        <v/>
      </c>
      <c r="T12" t="str">
        <f>Setup!A29</f>
        <v>Caseload 10</v>
      </c>
    </row>
    <row r="13" spans="1:24" x14ac:dyDescent="0.35">
      <c r="B13" t="str">
        <f>Setup!A31</f>
        <v>Caseload 12</v>
      </c>
      <c r="D13">
        <v>12</v>
      </c>
      <c r="R13" t="str">
        <v/>
      </c>
      <c r="T13" t="str">
        <f>Setup!A30</f>
        <v>Caseload 11</v>
      </c>
    </row>
    <row r="14" spans="1:24" x14ac:dyDescent="0.35">
      <c r="B14" t="str">
        <f>Setup!A32</f>
        <v>Caseload 13</v>
      </c>
      <c r="D14">
        <v>13</v>
      </c>
      <c r="R14" t="str">
        <v/>
      </c>
      <c r="T14" t="str">
        <f>Setup!A31</f>
        <v>Caseload 12</v>
      </c>
    </row>
    <row r="15" spans="1:24" x14ac:dyDescent="0.35">
      <c r="B15" t="str">
        <f>Setup!A33</f>
        <v>Caseload 14</v>
      </c>
      <c r="D15">
        <v>14</v>
      </c>
      <c r="R15" t="str">
        <v/>
      </c>
      <c r="T15" t="str">
        <f>Setup!A32</f>
        <v>Caseload 13</v>
      </c>
    </row>
    <row r="16" spans="1:24" x14ac:dyDescent="0.35">
      <c r="B16" t="str">
        <f>Setup!A34</f>
        <v>Caseload 15</v>
      </c>
      <c r="D16">
        <v>15</v>
      </c>
      <c r="R16" t="str">
        <v/>
      </c>
      <c r="T16" t="str">
        <f>Setup!A33</f>
        <v>Caseload 14</v>
      </c>
    </row>
    <row r="17" spans="18:20" x14ac:dyDescent="0.35">
      <c r="R17" t="str">
        <v/>
      </c>
      <c r="T17" t="str">
        <f>Setup!A34</f>
        <v>Caseload 15</v>
      </c>
    </row>
    <row r="18" spans="18:20" x14ac:dyDescent="0.35">
      <c r="R18" t="str">
        <v/>
      </c>
    </row>
    <row r="19" spans="18:20" x14ac:dyDescent="0.35">
      <c r="R19" t="str">
        <v/>
      </c>
    </row>
    <row r="20" spans="18:20" x14ac:dyDescent="0.35">
      <c r="R20" t="str">
        <v/>
      </c>
    </row>
    <row r="21" spans="18:20" x14ac:dyDescent="0.35">
      <c r="R21" t="str">
        <v/>
      </c>
    </row>
    <row r="22" spans="18:20" x14ac:dyDescent="0.35">
      <c r="R22" t="str">
        <v/>
      </c>
    </row>
    <row r="23" spans="18:20" x14ac:dyDescent="0.35">
      <c r="R23" t="str">
        <v/>
      </c>
    </row>
    <row r="24" spans="18:20" x14ac:dyDescent="0.35">
      <c r="R24" t="str">
        <v/>
      </c>
    </row>
    <row r="25" spans="18:20" x14ac:dyDescent="0.35">
      <c r="R25" t="str">
        <v/>
      </c>
    </row>
    <row r="26" spans="18:20" x14ac:dyDescent="0.35">
      <c r="R26" t="str">
        <v/>
      </c>
    </row>
    <row r="27" spans="18:20" x14ac:dyDescent="0.35">
      <c r="R27" t="str">
        <v/>
      </c>
    </row>
    <row r="28" spans="18:20" x14ac:dyDescent="0.35">
      <c r="R28" t="str">
        <v/>
      </c>
    </row>
    <row r="29" spans="18:20" x14ac:dyDescent="0.35">
      <c r="R29" t="str">
        <v/>
      </c>
    </row>
    <row r="30" spans="18:20" x14ac:dyDescent="0.35">
      <c r="R30" t="str">
        <v/>
      </c>
    </row>
    <row r="31" spans="18:20" x14ac:dyDescent="0.35">
      <c r="R31" t="str">
        <v/>
      </c>
    </row>
    <row r="32" spans="18:20" x14ac:dyDescent="0.35">
      <c r="R32" t="str">
        <v/>
      </c>
    </row>
    <row r="33" spans="18:18" x14ac:dyDescent="0.35">
      <c r="R33" t="str">
        <v/>
      </c>
    </row>
    <row r="34" spans="18:18" x14ac:dyDescent="0.35">
      <c r="R34" t="str">
        <v/>
      </c>
    </row>
    <row r="35" spans="18:18" x14ac:dyDescent="0.35">
      <c r="R35" t="str">
        <v/>
      </c>
    </row>
    <row r="36" spans="18:18" x14ac:dyDescent="0.35">
      <c r="R36" t="str">
        <v/>
      </c>
    </row>
    <row r="37" spans="18:18" x14ac:dyDescent="0.35">
      <c r="R37" t="str">
        <v/>
      </c>
    </row>
    <row r="38" spans="18:18" x14ac:dyDescent="0.35">
      <c r="R38" t="str">
        <v/>
      </c>
    </row>
    <row r="39" spans="18:18" x14ac:dyDescent="0.35">
      <c r="R39" t="str">
        <v/>
      </c>
    </row>
    <row r="40" spans="18:18" x14ac:dyDescent="0.35">
      <c r="R40" t="str">
        <v/>
      </c>
    </row>
    <row r="41" spans="18:18" x14ac:dyDescent="0.35">
      <c r="R41" t="str">
        <v/>
      </c>
    </row>
    <row r="42" spans="18:18" x14ac:dyDescent="0.35">
      <c r="R42" t="str">
        <v/>
      </c>
    </row>
    <row r="43" spans="18:18" x14ac:dyDescent="0.35">
      <c r="R43" t="str">
        <v/>
      </c>
    </row>
    <row r="44" spans="18:18" x14ac:dyDescent="0.35">
      <c r="R44" t="str">
        <v/>
      </c>
    </row>
    <row r="45" spans="18:18" x14ac:dyDescent="0.35">
      <c r="R45" t="str">
        <v/>
      </c>
    </row>
    <row r="46" spans="18:18" x14ac:dyDescent="0.35">
      <c r="R46" t="str">
        <v/>
      </c>
    </row>
    <row r="47" spans="18:18" x14ac:dyDescent="0.35">
      <c r="R47" t="str">
        <v/>
      </c>
    </row>
    <row r="48" spans="18:18" x14ac:dyDescent="0.35">
      <c r="R48" t="str">
        <v/>
      </c>
    </row>
    <row r="49" spans="18:18" x14ac:dyDescent="0.35">
      <c r="R49" t="str">
        <v/>
      </c>
    </row>
    <row r="50" spans="18:18" x14ac:dyDescent="0.35">
      <c r="R50" t="str">
        <v/>
      </c>
    </row>
    <row r="51" spans="18:18" x14ac:dyDescent="0.35">
      <c r="R51" t="str">
        <v/>
      </c>
    </row>
    <row r="52" spans="18:18" x14ac:dyDescent="0.35">
      <c r="R52" t="str">
        <v/>
      </c>
    </row>
    <row r="53" spans="18:18" x14ac:dyDescent="0.35">
      <c r="R53" t="str">
        <v/>
      </c>
    </row>
    <row r="54" spans="18:18" x14ac:dyDescent="0.35">
      <c r="R54" t="str">
        <v/>
      </c>
    </row>
    <row r="55" spans="18:18" x14ac:dyDescent="0.35">
      <c r="R55" t="str">
        <v/>
      </c>
    </row>
    <row r="56" spans="18:18" x14ac:dyDescent="0.35">
      <c r="R56" t="str">
        <v/>
      </c>
    </row>
    <row r="57" spans="18:18" x14ac:dyDescent="0.35">
      <c r="R57" t="str">
        <v/>
      </c>
    </row>
    <row r="58" spans="18:18" x14ac:dyDescent="0.35">
      <c r="R58" t="str">
        <v/>
      </c>
    </row>
    <row r="59" spans="18:18" x14ac:dyDescent="0.35">
      <c r="R59" t="str">
        <v/>
      </c>
    </row>
    <row r="60" spans="18:18" x14ac:dyDescent="0.35">
      <c r="R60" t="str">
        <v/>
      </c>
    </row>
    <row r="61" spans="18:18" x14ac:dyDescent="0.35">
      <c r="R61" t="str">
        <v/>
      </c>
    </row>
    <row r="62" spans="18:18" x14ac:dyDescent="0.35">
      <c r="R62" t="str">
        <v/>
      </c>
    </row>
    <row r="63" spans="18:18" x14ac:dyDescent="0.35">
      <c r="R63" t="str">
        <v/>
      </c>
    </row>
    <row r="64" spans="18:18" x14ac:dyDescent="0.35">
      <c r="R64" t="str">
        <v/>
      </c>
    </row>
    <row r="65" spans="18:18" x14ac:dyDescent="0.35">
      <c r="R65" t="str">
        <v/>
      </c>
    </row>
    <row r="66" spans="18:18" x14ac:dyDescent="0.35">
      <c r="R66" t="str">
        <v/>
      </c>
    </row>
    <row r="67" spans="18:18" x14ac:dyDescent="0.35">
      <c r="R67" t="str">
        <v/>
      </c>
    </row>
    <row r="68" spans="18:18" x14ac:dyDescent="0.35">
      <c r="R68" t="str">
        <v/>
      </c>
    </row>
    <row r="69" spans="18:18" x14ac:dyDescent="0.35">
      <c r="R69" t="str">
        <v/>
      </c>
    </row>
    <row r="70" spans="18:18" x14ac:dyDescent="0.35">
      <c r="R70" t="str">
        <v/>
      </c>
    </row>
    <row r="71" spans="18:18" x14ac:dyDescent="0.35">
      <c r="R71" t="str">
        <v/>
      </c>
    </row>
    <row r="72" spans="18:18" x14ac:dyDescent="0.35">
      <c r="R72" t="str">
        <v/>
      </c>
    </row>
    <row r="73" spans="18:18" x14ac:dyDescent="0.35">
      <c r="R73" t="str">
        <v/>
      </c>
    </row>
    <row r="74" spans="18:18" x14ac:dyDescent="0.35">
      <c r="R74" t="str">
        <v/>
      </c>
    </row>
    <row r="75" spans="18:18" x14ac:dyDescent="0.35">
      <c r="R75" t="str">
        <v/>
      </c>
    </row>
    <row r="76" spans="18:18" x14ac:dyDescent="0.35">
      <c r="R76" t="str">
        <v/>
      </c>
    </row>
    <row r="77" spans="18:18" x14ac:dyDescent="0.35">
      <c r="R77" t="str">
        <v/>
      </c>
    </row>
    <row r="78" spans="18:18" x14ac:dyDescent="0.35">
      <c r="R78" t="str">
        <v/>
      </c>
    </row>
    <row r="79" spans="18:18" x14ac:dyDescent="0.35">
      <c r="R79" t="str">
        <v/>
      </c>
    </row>
    <row r="80" spans="18:18" x14ac:dyDescent="0.35">
      <c r="R80" t="str">
        <v/>
      </c>
    </row>
    <row r="81" spans="18:18" x14ac:dyDescent="0.35">
      <c r="R81" t="str">
        <v/>
      </c>
    </row>
    <row r="82" spans="18:18" x14ac:dyDescent="0.35">
      <c r="R82" t="str">
        <v/>
      </c>
    </row>
    <row r="83" spans="18:18" x14ac:dyDescent="0.35">
      <c r="R83" t="str">
        <v/>
      </c>
    </row>
    <row r="84" spans="18:18" x14ac:dyDescent="0.35">
      <c r="R84" t="str">
        <v/>
      </c>
    </row>
    <row r="85" spans="18:18" x14ac:dyDescent="0.35">
      <c r="R85" t="str">
        <v/>
      </c>
    </row>
    <row r="86" spans="18:18" x14ac:dyDescent="0.35">
      <c r="R86" t="str">
        <v/>
      </c>
    </row>
    <row r="87" spans="18:18" x14ac:dyDescent="0.35">
      <c r="R87" t="str">
        <v/>
      </c>
    </row>
    <row r="88" spans="18:18" x14ac:dyDescent="0.35">
      <c r="R88" t="str">
        <v/>
      </c>
    </row>
    <row r="89" spans="18:18" x14ac:dyDescent="0.35">
      <c r="R89" t="str">
        <v/>
      </c>
    </row>
    <row r="90" spans="18:18" x14ac:dyDescent="0.35">
      <c r="R90" t="str">
        <v/>
      </c>
    </row>
    <row r="91" spans="18:18" x14ac:dyDescent="0.35">
      <c r="R91" t="str">
        <v/>
      </c>
    </row>
    <row r="92" spans="18:18" x14ac:dyDescent="0.35">
      <c r="R92" t="str">
        <v/>
      </c>
    </row>
    <row r="93" spans="18:18" x14ac:dyDescent="0.35">
      <c r="R93" t="str">
        <v/>
      </c>
    </row>
    <row r="94" spans="18:18" x14ac:dyDescent="0.35">
      <c r="R94" t="str">
        <v/>
      </c>
    </row>
    <row r="95" spans="18:18" x14ac:dyDescent="0.35">
      <c r="R95" t="str">
        <v/>
      </c>
    </row>
    <row r="96" spans="18:18" x14ac:dyDescent="0.35">
      <c r="R96" t="str">
        <v/>
      </c>
    </row>
    <row r="97" spans="18:18" x14ac:dyDescent="0.35">
      <c r="R97" t="str">
        <v/>
      </c>
    </row>
    <row r="98" spans="18:18" x14ac:dyDescent="0.35">
      <c r="R98" t="str">
        <v/>
      </c>
    </row>
    <row r="99" spans="18:18" x14ac:dyDescent="0.35">
      <c r="R99" t="str">
        <v/>
      </c>
    </row>
    <row r="100" spans="18:18" x14ac:dyDescent="0.35">
      <c r="R100" t="str">
        <v/>
      </c>
    </row>
    <row r="101" spans="18:18" x14ac:dyDescent="0.35">
      <c r="R101" t="str">
        <v/>
      </c>
    </row>
    <row r="102" spans="18:18" x14ac:dyDescent="0.35">
      <c r="R102" t="str">
        <v/>
      </c>
    </row>
    <row r="103" spans="18:18" x14ac:dyDescent="0.35">
      <c r="R103" t="str">
        <v/>
      </c>
    </row>
    <row r="104" spans="18:18" x14ac:dyDescent="0.35">
      <c r="R104" t="str">
        <v/>
      </c>
    </row>
    <row r="105" spans="18:18" x14ac:dyDescent="0.35">
      <c r="R105" t="str">
        <v/>
      </c>
    </row>
    <row r="106" spans="18:18" x14ac:dyDescent="0.35">
      <c r="R106" t="str">
        <v/>
      </c>
    </row>
    <row r="107" spans="18:18" x14ac:dyDescent="0.35">
      <c r="R107" t="str">
        <v/>
      </c>
    </row>
    <row r="108" spans="18:18" x14ac:dyDescent="0.35">
      <c r="R108" t="str">
        <v/>
      </c>
    </row>
    <row r="109" spans="18:18" x14ac:dyDescent="0.35">
      <c r="R109" t="str">
        <v/>
      </c>
    </row>
    <row r="110" spans="18:18" x14ac:dyDescent="0.35">
      <c r="R110" t="str">
        <v/>
      </c>
    </row>
    <row r="111" spans="18:18" x14ac:dyDescent="0.35">
      <c r="R111" t="str">
        <v/>
      </c>
    </row>
    <row r="112" spans="18:18" x14ac:dyDescent="0.35">
      <c r="R112" t="str">
        <v/>
      </c>
    </row>
    <row r="113" spans="18:18" x14ac:dyDescent="0.35">
      <c r="R113" t="str">
        <v/>
      </c>
    </row>
    <row r="114" spans="18:18" x14ac:dyDescent="0.35">
      <c r="R114" t="str">
        <v/>
      </c>
    </row>
    <row r="115" spans="18:18" x14ac:dyDescent="0.35">
      <c r="R115" t="str">
        <v/>
      </c>
    </row>
    <row r="116" spans="18:18" x14ac:dyDescent="0.35">
      <c r="R116" t="str">
        <v/>
      </c>
    </row>
    <row r="117" spans="18:18" x14ac:dyDescent="0.35">
      <c r="R117" t="str">
        <v/>
      </c>
    </row>
    <row r="118" spans="18:18" x14ac:dyDescent="0.35">
      <c r="R118" t="str">
        <v/>
      </c>
    </row>
    <row r="119" spans="18:18" x14ac:dyDescent="0.35">
      <c r="R119" t="str">
        <v/>
      </c>
    </row>
    <row r="120" spans="18:18" x14ac:dyDescent="0.35">
      <c r="R120" t="str">
        <v/>
      </c>
    </row>
    <row r="121" spans="18:18" x14ac:dyDescent="0.35">
      <c r="R121" t="str">
        <v/>
      </c>
    </row>
    <row r="122" spans="18:18" x14ac:dyDescent="0.35">
      <c r="R122" t="str">
        <v/>
      </c>
    </row>
    <row r="123" spans="18:18" x14ac:dyDescent="0.35">
      <c r="R123" t="str">
        <v/>
      </c>
    </row>
    <row r="124" spans="18:18" x14ac:dyDescent="0.35">
      <c r="R124" t="str">
        <v/>
      </c>
    </row>
    <row r="125" spans="18:18" x14ac:dyDescent="0.35">
      <c r="R125" t="str">
        <v/>
      </c>
    </row>
    <row r="126" spans="18:18" x14ac:dyDescent="0.35">
      <c r="R126" t="str">
        <v/>
      </c>
    </row>
    <row r="127" spans="18:18" x14ac:dyDescent="0.35">
      <c r="R127" t="str">
        <v/>
      </c>
    </row>
    <row r="128" spans="18:18" x14ac:dyDescent="0.35">
      <c r="R128" t="str">
        <v/>
      </c>
    </row>
    <row r="129" spans="18:18" x14ac:dyDescent="0.35">
      <c r="R129" t="str">
        <v/>
      </c>
    </row>
    <row r="130" spans="18:18" x14ac:dyDescent="0.35">
      <c r="R130" t="str">
        <v/>
      </c>
    </row>
    <row r="131" spans="18:18" x14ac:dyDescent="0.35">
      <c r="R131" t="str">
        <v/>
      </c>
    </row>
    <row r="132" spans="18:18" x14ac:dyDescent="0.35">
      <c r="R132" t="str">
        <v/>
      </c>
    </row>
    <row r="133" spans="18:18" x14ac:dyDescent="0.35">
      <c r="R133" t="str">
        <v/>
      </c>
    </row>
    <row r="134" spans="18:18" x14ac:dyDescent="0.35">
      <c r="R134" t="str">
        <v/>
      </c>
    </row>
    <row r="135" spans="18:18" x14ac:dyDescent="0.35">
      <c r="R135" t="str">
        <v/>
      </c>
    </row>
    <row r="136" spans="18:18" x14ac:dyDescent="0.35">
      <c r="R136" t="str">
        <v/>
      </c>
    </row>
    <row r="137" spans="18:18" x14ac:dyDescent="0.35">
      <c r="R137" t="str">
        <v/>
      </c>
    </row>
    <row r="138" spans="18:18" x14ac:dyDescent="0.35">
      <c r="R138" t="str">
        <v/>
      </c>
    </row>
    <row r="139" spans="18:18" x14ac:dyDescent="0.35">
      <c r="R139" t="str">
        <v/>
      </c>
    </row>
    <row r="140" spans="18:18" x14ac:dyDescent="0.35">
      <c r="R140" t="str">
        <v/>
      </c>
    </row>
    <row r="141" spans="18:18" x14ac:dyDescent="0.35">
      <c r="R141" t="str">
        <v/>
      </c>
    </row>
    <row r="142" spans="18:18" x14ac:dyDescent="0.35">
      <c r="R142" t="str">
        <v/>
      </c>
    </row>
    <row r="143" spans="18:18" x14ac:dyDescent="0.35">
      <c r="R143" t="str">
        <v/>
      </c>
    </row>
    <row r="144" spans="18:18" x14ac:dyDescent="0.35">
      <c r="R144" t="str">
        <v/>
      </c>
    </row>
    <row r="145" spans="18:18" x14ac:dyDescent="0.35">
      <c r="R145" t="str">
        <v/>
      </c>
    </row>
    <row r="146" spans="18:18" x14ac:dyDescent="0.35">
      <c r="R146" t="str">
        <v/>
      </c>
    </row>
    <row r="147" spans="18:18" x14ac:dyDescent="0.35">
      <c r="R147" t="str">
        <v/>
      </c>
    </row>
    <row r="148" spans="18:18" x14ac:dyDescent="0.35">
      <c r="R148" t="str">
        <v/>
      </c>
    </row>
    <row r="149" spans="18:18" x14ac:dyDescent="0.35">
      <c r="R149" t="str">
        <v/>
      </c>
    </row>
    <row r="150" spans="18:18" x14ac:dyDescent="0.35">
      <c r="R150" t="str">
        <v/>
      </c>
    </row>
    <row r="151" spans="18:18" x14ac:dyDescent="0.35">
      <c r="R151" t="str">
        <v/>
      </c>
    </row>
    <row r="152" spans="18:18" x14ac:dyDescent="0.35">
      <c r="R152" t="str">
        <v/>
      </c>
    </row>
    <row r="153" spans="18:18" x14ac:dyDescent="0.35">
      <c r="R153" t="str">
        <v/>
      </c>
    </row>
    <row r="154" spans="18:18" x14ac:dyDescent="0.35">
      <c r="R154" t="str">
        <v/>
      </c>
    </row>
    <row r="155" spans="18:18" x14ac:dyDescent="0.35">
      <c r="R155" t="str">
        <v/>
      </c>
    </row>
    <row r="156" spans="18:18" x14ac:dyDescent="0.35">
      <c r="R156" t="str">
        <v/>
      </c>
    </row>
    <row r="157" spans="18:18" x14ac:dyDescent="0.35">
      <c r="R157" t="str">
        <v/>
      </c>
    </row>
    <row r="158" spans="18:18" x14ac:dyDescent="0.35">
      <c r="R158" t="str">
        <v/>
      </c>
    </row>
    <row r="159" spans="18:18" x14ac:dyDescent="0.35">
      <c r="R159" t="str">
        <v/>
      </c>
    </row>
    <row r="160" spans="18:18" x14ac:dyDescent="0.35">
      <c r="R160" t="str">
        <v/>
      </c>
    </row>
    <row r="161" spans="18:18" x14ac:dyDescent="0.35">
      <c r="R161" t="str">
        <v/>
      </c>
    </row>
    <row r="162" spans="18:18" x14ac:dyDescent="0.35">
      <c r="R162" t="str">
        <v/>
      </c>
    </row>
    <row r="163" spans="18:18" x14ac:dyDescent="0.35">
      <c r="R163" t="str">
        <v/>
      </c>
    </row>
    <row r="164" spans="18:18" x14ac:dyDescent="0.35">
      <c r="R164" t="str">
        <v/>
      </c>
    </row>
    <row r="165" spans="18:18" x14ac:dyDescent="0.35">
      <c r="R165" t="str">
        <v/>
      </c>
    </row>
    <row r="166" spans="18:18" x14ac:dyDescent="0.35">
      <c r="R166" t="str">
        <v/>
      </c>
    </row>
    <row r="167" spans="18:18" x14ac:dyDescent="0.35">
      <c r="R167" t="str">
        <v/>
      </c>
    </row>
    <row r="168" spans="18:18" x14ac:dyDescent="0.35">
      <c r="R168" t="str">
        <v/>
      </c>
    </row>
    <row r="169" spans="18:18" x14ac:dyDescent="0.35">
      <c r="R169" t="str">
        <v/>
      </c>
    </row>
    <row r="170" spans="18:18" x14ac:dyDescent="0.35">
      <c r="R170" t="str">
        <v/>
      </c>
    </row>
    <row r="171" spans="18:18" x14ac:dyDescent="0.35">
      <c r="R171" t="str">
        <v/>
      </c>
    </row>
    <row r="172" spans="18:18" x14ac:dyDescent="0.35">
      <c r="R172" t="str">
        <v/>
      </c>
    </row>
    <row r="173" spans="18:18" x14ac:dyDescent="0.35">
      <c r="R173" t="str">
        <v/>
      </c>
    </row>
    <row r="174" spans="18:18" x14ac:dyDescent="0.35">
      <c r="R174" t="str">
        <v/>
      </c>
    </row>
    <row r="175" spans="18:18" x14ac:dyDescent="0.35">
      <c r="R175" t="str">
        <v/>
      </c>
    </row>
    <row r="176" spans="18:18" x14ac:dyDescent="0.35">
      <c r="R176" t="str">
        <v/>
      </c>
    </row>
    <row r="177" spans="18:18" x14ac:dyDescent="0.35">
      <c r="R177" t="str">
        <v/>
      </c>
    </row>
    <row r="178" spans="18:18" x14ac:dyDescent="0.35">
      <c r="R178" t="str">
        <v/>
      </c>
    </row>
    <row r="179" spans="18:18" x14ac:dyDescent="0.35">
      <c r="R179" t="str">
        <v/>
      </c>
    </row>
    <row r="180" spans="18:18" x14ac:dyDescent="0.35">
      <c r="R180" t="str">
        <v/>
      </c>
    </row>
    <row r="181" spans="18:18" x14ac:dyDescent="0.35">
      <c r="R181" t="str">
        <v/>
      </c>
    </row>
    <row r="182" spans="18:18" x14ac:dyDescent="0.35">
      <c r="R182" t="str">
        <v/>
      </c>
    </row>
    <row r="183" spans="18:18" x14ac:dyDescent="0.35">
      <c r="R183" t="str">
        <v/>
      </c>
    </row>
    <row r="184" spans="18:18" x14ac:dyDescent="0.35">
      <c r="R184" t="str">
        <v/>
      </c>
    </row>
    <row r="185" spans="18:18" x14ac:dyDescent="0.35">
      <c r="R185" t="str">
        <v/>
      </c>
    </row>
    <row r="186" spans="18:18" x14ac:dyDescent="0.35">
      <c r="R186" t="str">
        <v/>
      </c>
    </row>
    <row r="187" spans="18:18" x14ac:dyDescent="0.35">
      <c r="R187" t="str">
        <v/>
      </c>
    </row>
    <row r="188" spans="18:18" x14ac:dyDescent="0.35">
      <c r="R188" t="str">
        <v/>
      </c>
    </row>
    <row r="189" spans="18:18" x14ac:dyDescent="0.35">
      <c r="R189" t="str">
        <v/>
      </c>
    </row>
    <row r="190" spans="18:18" x14ac:dyDescent="0.35">
      <c r="R190" t="str">
        <v/>
      </c>
    </row>
    <row r="191" spans="18:18" x14ac:dyDescent="0.35">
      <c r="R191" t="str">
        <v/>
      </c>
    </row>
    <row r="192" spans="18:18" x14ac:dyDescent="0.35">
      <c r="R192" t="str">
        <v/>
      </c>
    </row>
    <row r="193" spans="18:18" x14ac:dyDescent="0.35">
      <c r="R193" t="str">
        <v/>
      </c>
    </row>
    <row r="194" spans="18:18" x14ac:dyDescent="0.35">
      <c r="R194" t="str">
        <v/>
      </c>
    </row>
    <row r="195" spans="18:18" x14ac:dyDescent="0.35">
      <c r="R195" t="str">
        <v/>
      </c>
    </row>
    <row r="196" spans="18:18" x14ac:dyDescent="0.35">
      <c r="R196" t="str">
        <v/>
      </c>
    </row>
    <row r="197" spans="18:18" x14ac:dyDescent="0.35">
      <c r="R197" t="str">
        <v/>
      </c>
    </row>
    <row r="198" spans="18:18" x14ac:dyDescent="0.35">
      <c r="R198" t="str">
        <v/>
      </c>
    </row>
    <row r="199" spans="18:18" x14ac:dyDescent="0.35">
      <c r="R199" t="str">
        <v/>
      </c>
    </row>
    <row r="200" spans="18:18" x14ac:dyDescent="0.35">
      <c r="R200" t="str">
        <v/>
      </c>
    </row>
    <row r="201" spans="18:18" x14ac:dyDescent="0.35">
      <c r="R201" t="str">
        <v/>
      </c>
    </row>
    <row r="202" spans="18:18" x14ac:dyDescent="0.35">
      <c r="R202" t="str">
        <v/>
      </c>
    </row>
    <row r="203" spans="18:18" x14ac:dyDescent="0.35">
      <c r="R203" t="str">
        <v/>
      </c>
    </row>
    <row r="204" spans="18:18" x14ac:dyDescent="0.35">
      <c r="R204" t="str">
        <v/>
      </c>
    </row>
    <row r="205" spans="18:18" x14ac:dyDescent="0.35">
      <c r="R205" t="str">
        <v/>
      </c>
    </row>
    <row r="206" spans="18:18" x14ac:dyDescent="0.35">
      <c r="R206" t="str">
        <v/>
      </c>
    </row>
    <row r="207" spans="18:18" x14ac:dyDescent="0.35">
      <c r="R207" t="str">
        <v/>
      </c>
    </row>
    <row r="208" spans="18:18" x14ac:dyDescent="0.35">
      <c r="R208" t="str">
        <v/>
      </c>
    </row>
    <row r="209" spans="18:18" x14ac:dyDescent="0.35">
      <c r="R209" t="str">
        <v/>
      </c>
    </row>
    <row r="210" spans="18:18" x14ac:dyDescent="0.35">
      <c r="R210" t="str">
        <v/>
      </c>
    </row>
    <row r="211" spans="18:18" x14ac:dyDescent="0.35">
      <c r="R211" t="str">
        <v/>
      </c>
    </row>
    <row r="212" spans="18:18" x14ac:dyDescent="0.35">
      <c r="R212" t="str">
        <v/>
      </c>
    </row>
    <row r="213" spans="18:18" x14ac:dyDescent="0.35">
      <c r="R213" t="str">
        <v/>
      </c>
    </row>
    <row r="214" spans="18:18" x14ac:dyDescent="0.35">
      <c r="R214" t="str">
        <v/>
      </c>
    </row>
    <row r="215" spans="18:18" x14ac:dyDescent="0.35">
      <c r="R215" t="str">
        <v/>
      </c>
    </row>
    <row r="216" spans="18:18" x14ac:dyDescent="0.35">
      <c r="R216" t="str">
        <v/>
      </c>
    </row>
    <row r="217" spans="18:18" x14ac:dyDescent="0.35">
      <c r="R217" t="str">
        <v/>
      </c>
    </row>
    <row r="218" spans="18:18" x14ac:dyDescent="0.35">
      <c r="R218" t="str">
        <v/>
      </c>
    </row>
    <row r="219" spans="18:18" x14ac:dyDescent="0.35">
      <c r="R219" t="str">
        <v/>
      </c>
    </row>
    <row r="220" spans="18:18" x14ac:dyDescent="0.35">
      <c r="R220" t="str">
        <v/>
      </c>
    </row>
    <row r="221" spans="18:18" x14ac:dyDescent="0.35">
      <c r="R221" t="str">
        <v/>
      </c>
    </row>
    <row r="222" spans="18:18" x14ac:dyDescent="0.35">
      <c r="R222" t="str">
        <v/>
      </c>
    </row>
    <row r="223" spans="18:18" x14ac:dyDescent="0.35">
      <c r="R223" t="str">
        <v/>
      </c>
    </row>
    <row r="224" spans="18:18" x14ac:dyDescent="0.35">
      <c r="R224" t="str">
        <v/>
      </c>
    </row>
    <row r="225" spans="18:18" x14ac:dyDescent="0.35">
      <c r="R225" t="str">
        <v/>
      </c>
    </row>
    <row r="226" spans="18:18" x14ac:dyDescent="0.35">
      <c r="R226" t="str">
        <v/>
      </c>
    </row>
    <row r="227" spans="18:18" x14ac:dyDescent="0.35">
      <c r="R227" t="str">
        <v/>
      </c>
    </row>
    <row r="228" spans="18:18" x14ac:dyDescent="0.35">
      <c r="R228" t="str">
        <v/>
      </c>
    </row>
    <row r="229" spans="18:18" x14ac:dyDescent="0.35">
      <c r="R229" t="str">
        <v/>
      </c>
    </row>
    <row r="230" spans="18:18" x14ac:dyDescent="0.35">
      <c r="R230" t="str">
        <v/>
      </c>
    </row>
    <row r="231" spans="18:18" x14ac:dyDescent="0.35">
      <c r="R231" t="str">
        <v/>
      </c>
    </row>
    <row r="232" spans="18:18" x14ac:dyDescent="0.35">
      <c r="R232" t="str">
        <v/>
      </c>
    </row>
    <row r="233" spans="18:18" x14ac:dyDescent="0.35">
      <c r="R233" t="str">
        <v/>
      </c>
    </row>
    <row r="234" spans="18:18" x14ac:dyDescent="0.35">
      <c r="R234" t="str">
        <v/>
      </c>
    </row>
    <row r="235" spans="18:18" x14ac:dyDescent="0.35">
      <c r="R235" t="str">
        <v/>
      </c>
    </row>
    <row r="236" spans="18:18" x14ac:dyDescent="0.35">
      <c r="R236" t="str">
        <v/>
      </c>
    </row>
    <row r="237" spans="18:18" x14ac:dyDescent="0.35">
      <c r="R237" t="str">
        <v/>
      </c>
    </row>
    <row r="238" spans="18:18" x14ac:dyDescent="0.35">
      <c r="R238" t="str">
        <v/>
      </c>
    </row>
    <row r="239" spans="18:18" x14ac:dyDescent="0.35">
      <c r="R239" t="str">
        <v/>
      </c>
    </row>
    <row r="240" spans="18:18" x14ac:dyDescent="0.35">
      <c r="R240" t="str">
        <v/>
      </c>
    </row>
    <row r="241" spans="18:18" x14ac:dyDescent="0.35">
      <c r="R241" t="str">
        <v/>
      </c>
    </row>
    <row r="242" spans="18:18" x14ac:dyDescent="0.35">
      <c r="R242" t="str">
        <v/>
      </c>
    </row>
    <row r="243" spans="18:18" x14ac:dyDescent="0.35">
      <c r="R243" t="str">
        <v/>
      </c>
    </row>
    <row r="244" spans="18:18" x14ac:dyDescent="0.35">
      <c r="R244" t="str">
        <v/>
      </c>
    </row>
    <row r="245" spans="18:18" x14ac:dyDescent="0.35">
      <c r="R245" t="str">
        <v/>
      </c>
    </row>
    <row r="246" spans="18:18" x14ac:dyDescent="0.35">
      <c r="R246" t="str">
        <v/>
      </c>
    </row>
    <row r="247" spans="18:18" x14ac:dyDescent="0.35">
      <c r="R247" t="str">
        <v/>
      </c>
    </row>
    <row r="248" spans="18:18" x14ac:dyDescent="0.35">
      <c r="R248" t="str">
        <v/>
      </c>
    </row>
    <row r="249" spans="18:18" x14ac:dyDescent="0.35">
      <c r="R249" t="str">
        <v/>
      </c>
    </row>
    <row r="250" spans="18:18" x14ac:dyDescent="0.35">
      <c r="R250" t="str">
        <v/>
      </c>
    </row>
    <row r="251" spans="18:18" x14ac:dyDescent="0.35">
      <c r="R251" t="str">
        <v/>
      </c>
    </row>
    <row r="252" spans="18:18" x14ac:dyDescent="0.35">
      <c r="R252" t="str">
        <v/>
      </c>
    </row>
    <row r="253" spans="18:18" x14ac:dyDescent="0.35">
      <c r="R253" t="str">
        <v/>
      </c>
    </row>
    <row r="254" spans="18:18" x14ac:dyDescent="0.35">
      <c r="R254" t="str">
        <v/>
      </c>
    </row>
    <row r="255" spans="18:18" x14ac:dyDescent="0.35">
      <c r="R255" t="str">
        <v/>
      </c>
    </row>
    <row r="256" spans="18:18" x14ac:dyDescent="0.35">
      <c r="R256" t="str">
        <v/>
      </c>
    </row>
    <row r="257" spans="18:18" x14ac:dyDescent="0.35">
      <c r="R257" t="str">
        <v/>
      </c>
    </row>
    <row r="258" spans="18:18" x14ac:dyDescent="0.35">
      <c r="R258" t="str">
        <v/>
      </c>
    </row>
    <row r="259" spans="18:18" x14ac:dyDescent="0.35">
      <c r="R259" t="str">
        <v/>
      </c>
    </row>
    <row r="260" spans="18:18" x14ac:dyDescent="0.35">
      <c r="R260" t="str">
        <v/>
      </c>
    </row>
    <row r="261" spans="18:18" x14ac:dyDescent="0.35">
      <c r="R261" t="str">
        <v/>
      </c>
    </row>
    <row r="262" spans="18:18" x14ac:dyDescent="0.35">
      <c r="R262" t="str">
        <v/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F13" sqref="F13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77</v>
      </c>
    </row>
    <row r="2" spans="1:19" x14ac:dyDescent="0.35">
      <c r="A2" t="s">
        <v>185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111</v>
      </c>
      <c r="B11" s="38" t="s">
        <v>113</v>
      </c>
    </row>
    <row r="12" spans="1:19" ht="15" thickBot="1" x14ac:dyDescent="0.4"/>
    <row r="13" spans="1:19" ht="15" thickBot="1" x14ac:dyDescent="0.4">
      <c r="A13" s="63" t="s">
        <v>78</v>
      </c>
      <c r="B13" s="38" t="s">
        <v>80</v>
      </c>
    </row>
    <row r="14" spans="1:19" ht="15" thickBot="1" x14ac:dyDescent="0.4"/>
    <row r="15" spans="1:19" ht="15" thickBot="1" x14ac:dyDescent="0.4">
      <c r="A15" s="63" t="s">
        <v>172</v>
      </c>
      <c r="B15" s="38" t="s">
        <v>45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15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11" t="s">
        <v>192</v>
      </c>
      <c r="B20" s="11"/>
    </row>
    <row r="21" spans="1:2" x14ac:dyDescent="0.35">
      <c r="A21" s="39" t="s">
        <v>193</v>
      </c>
      <c r="B21" s="39"/>
    </row>
    <row r="22" spans="1:2" x14ac:dyDescent="0.35">
      <c r="A22" s="39" t="s">
        <v>194</v>
      </c>
      <c r="B22" s="39"/>
    </row>
    <row r="23" spans="1:2" x14ac:dyDescent="0.35">
      <c r="A23" s="39" t="s">
        <v>195</v>
      </c>
      <c r="B23" s="39"/>
    </row>
    <row r="24" spans="1:2" x14ac:dyDescent="0.35">
      <c r="A24" s="39" t="s">
        <v>196</v>
      </c>
      <c r="B24" s="39"/>
    </row>
    <row r="25" spans="1:2" x14ac:dyDescent="0.35">
      <c r="A25" s="39" t="s">
        <v>2</v>
      </c>
      <c r="B25" s="39"/>
    </row>
    <row r="26" spans="1:2" x14ac:dyDescent="0.35">
      <c r="A26" s="39" t="s">
        <v>3</v>
      </c>
      <c r="B26" s="39"/>
    </row>
    <row r="27" spans="1:2" x14ac:dyDescent="0.35">
      <c r="A27" s="39" t="s">
        <v>4</v>
      </c>
      <c r="B27" s="39"/>
    </row>
    <row r="28" spans="1:2" x14ac:dyDescent="0.35">
      <c r="A28" s="39" t="s">
        <v>5</v>
      </c>
      <c r="B28" s="39"/>
    </row>
    <row r="29" spans="1:2" x14ac:dyDescent="0.35">
      <c r="A29" s="39" t="s">
        <v>6</v>
      </c>
      <c r="B29" s="39"/>
    </row>
    <row r="30" spans="1:2" x14ac:dyDescent="0.35">
      <c r="A30" s="39" t="s">
        <v>7</v>
      </c>
      <c r="B30" s="39"/>
    </row>
    <row r="31" spans="1:2" x14ac:dyDescent="0.35">
      <c r="A31" s="39" t="s">
        <v>8</v>
      </c>
      <c r="B31" s="39"/>
    </row>
    <row r="32" spans="1:2" x14ac:dyDescent="0.35">
      <c r="A32" s="39" t="s">
        <v>9</v>
      </c>
      <c r="B32" s="39"/>
    </row>
    <row r="33" spans="1:19" x14ac:dyDescent="0.35">
      <c r="A33" s="39" t="s">
        <v>10</v>
      </c>
      <c r="B33" s="39"/>
    </row>
    <row r="34" spans="1:19" ht="15" thickBot="1" x14ac:dyDescent="0.4">
      <c r="A34" s="39" t="s">
        <v>11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W13" sqref="W13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customWidth="1"/>
    <col min="4" max="5" width="10.453125" hidden="1" customWidth="1"/>
    <col min="6" max="20" width="8.7265625" customWidth="1"/>
  </cols>
  <sheetData>
    <row r="1" spans="1:21" ht="23.5" x14ac:dyDescent="0.55000000000000004">
      <c r="A1" s="28" t="s">
        <v>136</v>
      </c>
    </row>
    <row r="2" spans="1:21" ht="15" thickBot="1" x14ac:dyDescent="0.4"/>
    <row r="3" spans="1:21" ht="15" thickBot="1" x14ac:dyDescent="0.4">
      <c r="A3" s="63" t="s">
        <v>15</v>
      </c>
      <c r="B3" s="47">
        <v>43617</v>
      </c>
    </row>
    <row r="4" spans="1:21" ht="15" hidden="1" thickBot="1" x14ac:dyDescent="0.4"/>
    <row r="5" spans="1:21" ht="15" hidden="1" thickBot="1" x14ac:dyDescent="0.4">
      <c r="A5" s="63" t="s">
        <v>109</v>
      </c>
      <c r="B5" s="62"/>
    </row>
    <row r="6" spans="1:21" ht="15" hidden="1" thickBot="1" x14ac:dyDescent="0.4">
      <c r="A6" s="63" t="s">
        <v>110</v>
      </c>
      <c r="B6" s="61"/>
    </row>
    <row r="7" spans="1:21" ht="15" thickBot="1" x14ac:dyDescent="0.4"/>
    <row r="8" spans="1:21" ht="28.5" customHeight="1" thickBot="1" x14ac:dyDescent="0.4">
      <c r="A8" s="27">
        <f>MAX(A9:A268)</f>
        <v>0</v>
      </c>
      <c r="C8" s="69" t="s">
        <v>16</v>
      </c>
      <c r="D8" s="55" t="s">
        <v>115</v>
      </c>
      <c r="E8" s="55" t="s">
        <v>116</v>
      </c>
      <c r="F8" s="44" t="str" cm="1">
        <f t="array" ref="F8">INDEX('Data Validation (Hide)'!$B$2:$B$16,COLUMN(A1),1)</f>
        <v>Caseload 1</v>
      </c>
      <c r="G8" s="44" t="str" cm="1">
        <f t="array" ref="G8">INDEX('Data Validation (Hide)'!$B$2:$B$16,COLUMN(B1),1)</f>
        <v>Caseload 2</v>
      </c>
      <c r="H8" s="44" t="str" cm="1">
        <f t="array" ref="H8">INDEX('Data Validation (Hide)'!$B$2:$B$16,COLUMN(C1),1)</f>
        <v>Caseload 3</v>
      </c>
      <c r="I8" s="44" t="str" cm="1">
        <f t="array" ref="I8">INDEX('Data Validation (Hide)'!$B$2:$B$16,COLUMN(D1),1)</f>
        <v>Caseload 4</v>
      </c>
      <c r="J8" s="45" t="str" cm="1">
        <f t="array" ref="J8">INDEX('Data Validation (Hide)'!$B$2:$B$16,COLUMN(E1),1)</f>
        <v>Caseload 5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 t="str">
        <f>IF(COUNTBLANK(F9:T9)=15,"",1)</f>
        <v/>
      </c>
      <c r="C9" s="42" t="str">
        <f>IF(A9="","",B3)</f>
        <v/>
      </c>
      <c r="D9" s="66" t="str">
        <f>IF(A9="","",B6)</f>
        <v/>
      </c>
      <c r="E9" s="66" t="str">
        <f>IF(A9="","",MONTH(DATEVALUE(B5&amp;" 1")))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 t="str">
        <f t="shared" ref="A10:A73" si="0">IF(COUNTBLANK(F10:T10)=15,"",A9+1)</f>
        <v/>
      </c>
      <c r="C10" s="42" t="str">
        <f t="shared" ref="C10:C73" si="1">IF(A10="","",C9+7)</f>
        <v/>
      </c>
      <c r="D10" s="67" t="str">
        <f>IF(E10=1,MAX($D$9:D9)+1,"")</f>
        <v/>
      </c>
      <c r="E10" s="67" t="str">
        <f>IF(A10="","",IF(E9=12,1,E9+1))</f>
        <v/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 t="str">
        <f t="shared" si="0"/>
        <v/>
      </c>
      <c r="C11" s="42" t="str">
        <f t="shared" si="1"/>
        <v/>
      </c>
      <c r="D11" s="67" t="str">
        <f>IF(E11=1,MAX($D$9:D10)+1,"")</f>
        <v/>
      </c>
      <c r="E11" s="67" t="str">
        <f t="shared" ref="E11:E74" si="2">IF(A11="","",IF(E10=12,1,E10+1))</f>
        <v/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 t="str">
        <f t="shared" si="0"/>
        <v/>
      </c>
      <c r="C12" s="42" t="str">
        <f t="shared" si="1"/>
        <v/>
      </c>
      <c r="D12" s="67" t="str">
        <f>IF(E12=1,MAX($D$9:D11)+1,"")</f>
        <v/>
      </c>
      <c r="E12" s="67" t="str">
        <f t="shared" si="2"/>
        <v/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 t="str">
        <f t="shared" si="0"/>
        <v/>
      </c>
      <c r="C13" s="42" t="str">
        <f t="shared" si="1"/>
        <v/>
      </c>
      <c r="D13" s="67" t="str">
        <f>IF(E13=1,MAX($D$9:D12)+1,"")</f>
        <v/>
      </c>
      <c r="E13" s="67" t="str">
        <f t="shared" si="2"/>
        <v/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 t="str">
        <f t="shared" si="0"/>
        <v/>
      </c>
      <c r="C14" s="42" t="str">
        <f t="shared" si="1"/>
        <v/>
      </c>
      <c r="D14" s="67" t="str">
        <f>IF(E14=1,MAX($D$9:D13)+1,"")</f>
        <v/>
      </c>
      <c r="E14" s="67" t="str">
        <f t="shared" si="2"/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 t="str">
        <f t="shared" si="0"/>
        <v/>
      </c>
      <c r="C15" s="42" t="str">
        <f t="shared" si="1"/>
        <v/>
      </c>
      <c r="D15" s="67" t="str">
        <f>IF(E15=1,MAX($D$9:D14)+1,"")</f>
        <v/>
      </c>
      <c r="E15" s="67" t="str">
        <f t="shared" si="2"/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 t="str">
        <f t="shared" si="0"/>
        <v/>
      </c>
      <c r="C16" s="42" t="str">
        <f t="shared" si="1"/>
        <v/>
      </c>
      <c r="D16" s="67" t="str">
        <f>IF(E16=1,MAX($D$9:D15)+1,"")</f>
        <v/>
      </c>
      <c r="E16" s="67" t="str">
        <f t="shared" si="2"/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 t="str">
        <f t="shared" si="0"/>
        <v/>
      </c>
      <c r="C17" s="42" t="str">
        <f t="shared" si="1"/>
        <v/>
      </c>
      <c r="D17" s="67" t="str">
        <f>IF(E17=1,MAX($D$9:D16)+1,"")</f>
        <v/>
      </c>
      <c r="E17" s="67" t="str">
        <f t="shared" si="2"/>
        <v/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 t="str">
        <f t="shared" si="0"/>
        <v/>
      </c>
      <c r="C18" s="42" t="str">
        <f t="shared" si="1"/>
        <v/>
      </c>
      <c r="D18" s="67" t="str">
        <f>IF(E18=1,MAX($D$9:D17)+1,"")</f>
        <v/>
      </c>
      <c r="E18" s="67" t="str">
        <f t="shared" si="2"/>
        <v/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 t="str">
        <f t="shared" si="0"/>
        <v/>
      </c>
      <c r="C19" s="42" t="str">
        <f t="shared" si="1"/>
        <v/>
      </c>
      <c r="D19" s="67" t="str">
        <f>IF(E19=1,MAX($D$9:D18)+1,"")</f>
        <v/>
      </c>
      <c r="E19" s="67" t="str">
        <f t="shared" si="2"/>
        <v/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 t="str">
        <f t="shared" si="0"/>
        <v/>
      </c>
      <c r="C20" s="42" t="str">
        <f t="shared" si="1"/>
        <v/>
      </c>
      <c r="D20" s="67" t="str">
        <f>IF(E20=1,MAX($D$9:D19)+1,"")</f>
        <v/>
      </c>
      <c r="E20" s="67" t="str">
        <f t="shared" si="2"/>
        <v/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 t="str">
        <f t="shared" si="0"/>
        <v/>
      </c>
      <c r="C21" s="42" t="str">
        <f t="shared" si="1"/>
        <v/>
      </c>
      <c r="D21" s="67" t="str">
        <f>IF(E21=1,MAX($D$9:D20)+1,"")</f>
        <v/>
      </c>
      <c r="E21" s="67" t="str">
        <f t="shared" si="2"/>
        <v/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B18" sqref="B18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137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192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95</v>
      </c>
    </row>
    <row r="6" spans="1:4" ht="15" thickBot="1" x14ac:dyDescent="0.4">
      <c r="A6" s="41" t="s">
        <v>43</v>
      </c>
      <c r="B6" s="17" t="s">
        <v>98</v>
      </c>
    </row>
    <row r="7" spans="1:4" ht="15" thickBot="1" x14ac:dyDescent="0.4">
      <c r="A7" s="52" t="s">
        <v>96</v>
      </c>
      <c r="B7" s="17" t="s">
        <v>98</v>
      </c>
    </row>
    <row r="8" spans="1:4" ht="15" thickBot="1" x14ac:dyDescent="0.4">
      <c r="A8" s="52" t="s">
        <v>97</v>
      </c>
      <c r="B8" s="17" t="s">
        <v>98</v>
      </c>
    </row>
    <row r="9" spans="1:4" ht="15" thickBot="1" x14ac:dyDescent="0.4">
      <c r="A9" s="53" t="s">
        <v>30</v>
      </c>
      <c r="B9" s="40" t="s">
        <v>98</v>
      </c>
    </row>
    <row r="10" spans="1:4" ht="15" thickBot="1" x14ac:dyDescent="0.4"/>
    <row r="11" spans="1:4" ht="15" thickBot="1" x14ac:dyDescent="0.4">
      <c r="A11" s="37" t="s">
        <v>99</v>
      </c>
    </row>
    <row r="12" spans="1:4" ht="15" thickBot="1" x14ac:dyDescent="0.4">
      <c r="A12" s="37" t="s">
        <v>102</v>
      </c>
      <c r="B12" s="17" t="s">
        <v>142</v>
      </c>
    </row>
    <row r="13" spans="1:4" ht="15" thickBot="1" x14ac:dyDescent="0.4">
      <c r="A13" s="37" t="s">
        <v>100</v>
      </c>
      <c r="B13" s="47" t="s">
        <v>197</v>
      </c>
    </row>
    <row r="14" spans="1:4" ht="15" thickBot="1" x14ac:dyDescent="0.4">
      <c r="A14" s="53" t="s">
        <v>101</v>
      </c>
      <c r="B14" s="47" t="s">
        <v>197</v>
      </c>
    </row>
    <row r="27" spans="1:2" ht="15" thickBot="1" x14ac:dyDescent="0.4"/>
    <row r="28" spans="1:2" ht="15" thickBot="1" x14ac:dyDescent="0.4">
      <c r="A28" s="48"/>
      <c r="B28" t="s">
        <v>39</v>
      </c>
    </row>
    <row r="29" spans="1:2" ht="15" thickBot="1" x14ac:dyDescent="0.4">
      <c r="A29" s="49"/>
      <c r="B29" t="s">
        <v>40</v>
      </c>
    </row>
    <row r="30" spans="1:2" ht="15" thickBot="1" x14ac:dyDescent="0.4">
      <c r="A30" s="50"/>
      <c r="B30" t="s">
        <v>41</v>
      </c>
    </row>
    <row r="31" spans="1:2" ht="15" thickBot="1" x14ac:dyDescent="0.4">
      <c r="A31" s="51"/>
      <c r="B31" t="s">
        <v>42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17</v>
      </c>
      <c r="B1"/>
      <c r="C1"/>
      <c r="D1"/>
      <c r="E1"/>
      <c r="V1" t="s">
        <v>18</v>
      </c>
      <c r="AN1" t="s">
        <v>43</v>
      </c>
    </row>
    <row r="2" spans="1:42" ht="15" thickBot="1" x14ac:dyDescent="0.4">
      <c r="B2"/>
      <c r="C2"/>
      <c r="D2"/>
      <c r="E2"/>
      <c r="V2" t="s">
        <v>19</v>
      </c>
      <c r="W2" t="str">
        <f>SPC!B3</f>
        <v>Caseload 1</v>
      </c>
      <c r="AG2" t="s">
        <v>30</v>
      </c>
    </row>
    <row r="3" spans="1:42" x14ac:dyDescent="0.35">
      <c r="B3" s="11" t="s">
        <v>16</v>
      </c>
      <c r="C3" s="3" t="s">
        <v>115</v>
      </c>
      <c r="D3" s="3" t="s">
        <v>116</v>
      </c>
      <c r="E3" s="3" t="s">
        <v>117</v>
      </c>
      <c r="F3" s="3" t="str" cm="1">
        <f t="array" ref="F3">INDEX('Data Validation (Hide)'!$B$2:$B$16,COLUMN(A1),1)</f>
        <v>Caseload 1</v>
      </c>
      <c r="G3" s="4" t="str" cm="1">
        <f t="array" ref="G3">INDEX('Data Validation (Hide)'!$B$2:$B$16,COLUMN(B1),1)</f>
        <v>Caseload 2</v>
      </c>
      <c r="H3" s="4" t="str" cm="1">
        <f t="array" ref="H3">INDEX('Data Validation (Hide)'!$B$2:$B$16,COLUMN(C1),1)</f>
        <v>Caseload 3</v>
      </c>
      <c r="I3" s="4" t="str" cm="1">
        <f t="array" ref="I3">INDEX('Data Validation (Hide)'!$B$2:$B$16,COLUMN(D1),1)</f>
        <v>Caseload 4</v>
      </c>
      <c r="J3" s="4" t="str" cm="1">
        <f t="array" ref="J3">INDEX('Data Validation (Hide)'!$B$2:$B$16,COLUMN(E1),1)</f>
        <v>Caseload 5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103</v>
      </c>
      <c r="V3" t="s">
        <v>32</v>
      </c>
      <c r="W3" t="s">
        <v>20</v>
      </c>
      <c r="X3" t="s">
        <v>22</v>
      </c>
      <c r="Y3" t="s">
        <v>21</v>
      </c>
      <c r="Z3" t="s">
        <v>23</v>
      </c>
      <c r="AA3" t="s">
        <v>24</v>
      </c>
      <c r="AB3" s="16" t="s">
        <v>26</v>
      </c>
      <c r="AC3" s="16" t="s">
        <v>27</v>
      </c>
      <c r="AD3" s="16" t="s">
        <v>28</v>
      </c>
      <c r="AE3" s="16" t="s">
        <v>29</v>
      </c>
      <c r="AF3" t="s">
        <v>25</v>
      </c>
      <c r="AG3" t="s">
        <v>31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>
        <f>INDEX('Data Validation (Hide)'!$H$2:$I$5,MATCH(Setup!$B$13,'Data Validation (Hide)'!$H$2:$H$5,0),2)</f>
        <v>0.65</v>
      </c>
      <c r="AO3">
        <v>0.85</v>
      </c>
      <c r="AP3" t="s">
        <v>44</v>
      </c>
    </row>
    <row r="4" spans="1:42" x14ac:dyDescent="0.35">
      <c r="B4" s="12" t="str">
        <f>Demand!C9</f>
        <v/>
      </c>
      <c r="C4" s="64" t="str">
        <f>Demand!D9</f>
        <v/>
      </c>
      <c r="D4" s="64" t="str">
        <f>Demand!E9</f>
        <v/>
      </c>
      <c r="E4" s="64" t="e">
        <f>TEXT(D4*29,"mmm")&amp;"-"&amp;C4</f>
        <v>#VALUE!</v>
      </c>
      <c r="F4" s="7">
        <f>INDEX(Demand!$F$9:$T$268,MATCH('SPC Backing (Hide)'!$B4,Demand!$C$9:$C$268,0),MATCH('SPC Backing (Hide)'!F$3,Demand!$F$8:$T$8,0))</f>
        <v>0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1</v>
      </c>
      <c r="V4" cm="1">
        <f t="array" ref="V4">INDEX($F$4:$T$263,ROW(A1),MATCH($W$2,$F$3:$T$3,0))</f>
        <v>0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Y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" t="e">
        <f>Y4/1.128</f>
        <v>#DIV/0!</v>
      </c>
      <c r="AA4" t="e">
        <f>MAX(0,W4-(3*Z4))</f>
        <v>#DIV/0!</v>
      </c>
      <c r="AB4" t="e">
        <f>MAX(0,W4-(2*Z4))</f>
        <v>#DIV/0!</v>
      </c>
      <c r="AC4" t="e">
        <f>MAX(0,W4-Z4)</f>
        <v>#DIV/0!</v>
      </c>
      <c r="AD4" t="e">
        <f>W4+Z4</f>
        <v>#DIV/0!</v>
      </c>
      <c r="AE4" t="e">
        <f>W4+(2*Z4)</f>
        <v>#DIV/0!</v>
      </c>
      <c r="AF4" t="e">
        <f>W4+(3*Z4)</f>
        <v>#DIV/0!</v>
      </c>
      <c r="AG4" t="e">
        <f>IF(OR(V4&gt;AF4,V4&lt;AA4),V4,NA())</f>
        <v>#DIV/0!</v>
      </c>
      <c r="AH4" t="e">
        <f>IF(V4&gt;AE4,2,IF(V4&lt;AB4,-2,IF(V4&gt;W4,1,IF(V4&lt;W4,-1,0))))</f>
        <v>#DIV/0!</v>
      </c>
      <c r="AI4" t="e">
        <f>IF(ABS(SUM(AH4:AH6))&gt;=5,V4,NA())</f>
        <v>#DIV/0!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0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">
        <f>AO4-AN4</f>
        <v>1</v>
      </c>
    </row>
    <row r="5" spans="1:42" x14ac:dyDescent="0.35">
      <c r="B5" s="12" t="str">
        <f>Demand!C10</f>
        <v/>
      </c>
      <c r="C5" s="64" t="str">
        <f>Demand!D10</f>
        <v/>
      </c>
      <c r="D5" s="64" t="str">
        <f>Demand!E10</f>
        <v/>
      </c>
      <c r="E5" s="64" t="e">
        <f>TEXT(D5*29,"mmm")&amp;"-"&amp;IF(D5=1,MAX($C$4:C4)+1,MAX($C$4:C4))</f>
        <v>#VALUE!</v>
      </c>
      <c r="F5" s="7">
        <f>INDEX(Demand!$F$9:$T$268,MATCH('SPC Backing (Hide)'!$B5,Demand!$C$9:$C$268,0),MATCH('SPC Backing (Hide)'!F$3,Demand!$F$8:$T$8,0))</f>
        <v>0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1</v>
      </c>
      <c r="V5" cm="1">
        <f t="array" ref="V5">INDEX($F$4:$T$263,ROW(A2),MATCH($W$2,$F$3:$T$3,0))</f>
        <v>0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" cm="1">
        <f t="array" ref="X5">ABS(INDEX($F$4:$T$263,ROW(A2),MATCH($W$2,$F$3:$T$3,0))-INDEX($F$4:$T$263,ROW(A1),MATCH($W$2,$F$3:$T$3,0)))</f>
        <v>0</v>
      </c>
      <c r="Y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" t="e">
        <f t="shared" ref="Z5:Z68" si="0">Y5/1.128</f>
        <v>#DIV/0!</v>
      </c>
      <c r="AA5" t="e">
        <f t="shared" ref="AA5:AA68" si="1">MAX(0,W5-(3*Z5))</f>
        <v>#DIV/0!</v>
      </c>
      <c r="AB5" t="e">
        <f t="shared" ref="AB5:AB68" si="2">MAX(0,W5-(2*Z5))</f>
        <v>#DIV/0!</v>
      </c>
      <c r="AC5" t="e">
        <f t="shared" ref="AC5:AC68" si="3">MAX(0,W5-Z5)</f>
        <v>#DIV/0!</v>
      </c>
      <c r="AD5" t="e">
        <f t="shared" ref="AD5:AD68" si="4">W5+Z5</f>
        <v>#DIV/0!</v>
      </c>
      <c r="AE5" t="e">
        <f t="shared" ref="AE5:AE68" si="5">W5+(2*Z5)</f>
        <v>#DIV/0!</v>
      </c>
      <c r="AF5" t="e">
        <f t="shared" ref="AF5:AF68" si="6">W5+(3*Z5)</f>
        <v>#DIV/0!</v>
      </c>
      <c r="AG5" t="e">
        <f t="shared" ref="AG5:AG68" si="7">IF(OR(V5&gt;AF5,V5&lt;AA5),V5,NA())</f>
        <v>#DIV/0!</v>
      </c>
      <c r="AH5" t="e">
        <f>IF(V5&gt;AE5,2,IF(V5&lt;AB5,-2,IF(V5&gt;W5,1,IF(V5&lt;W5,-1,0))))</f>
        <v>#DIV/0!</v>
      </c>
      <c r="AI5" t="e">
        <f t="shared" ref="AI5:AI68" si="8">IF(ABS(SUM(AH5:AH7))&gt;=5,V5,NA())</f>
        <v>#DIV/0!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0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">
        <f t="shared" ref="AP5:AP68" si="13">AO5-AN5</f>
        <v>1</v>
      </c>
    </row>
    <row r="6" spans="1:42" x14ac:dyDescent="0.35">
      <c r="B6" s="12" t="str">
        <f>Demand!C11</f>
        <v/>
      </c>
      <c r="C6" s="64" t="str">
        <f>Demand!D11</f>
        <v/>
      </c>
      <c r="D6" s="64" t="str">
        <f>Demand!E11</f>
        <v/>
      </c>
      <c r="E6" s="64" t="e">
        <f>TEXT(D6*29,"mmm")&amp;"-"&amp;IF(D6=1,MAX($C$4:C5)+1,MAX($C$4:C5))</f>
        <v>#VALUE!</v>
      </c>
      <c r="F6" s="7">
        <f>INDEX(Demand!$F$9:$T$268,MATCH('SPC Backing (Hide)'!$B6,Demand!$C$9:$C$268,0),MATCH('SPC Backing (Hide)'!F$3,Demand!$F$8:$T$8,0))</f>
        <v>0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1</v>
      </c>
      <c r="V6" cm="1">
        <f t="array" ref="V6">INDEX($F$4:$T$263,ROW(A3),MATCH($W$2,$F$3:$T$3,0))</f>
        <v>0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" cm="1">
        <f t="array" ref="X6">ABS(INDEX($F$4:$T$263,ROW(A3),MATCH($W$2,$F$3:$T$3,0))-INDEX($F$4:$T$263,ROW(A2),MATCH($W$2,$F$3:$T$3,0)))</f>
        <v>0</v>
      </c>
      <c r="Y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" t="e">
        <f t="shared" si="0"/>
        <v>#DIV/0!</v>
      </c>
      <c r="AA6" t="e">
        <f t="shared" si="1"/>
        <v>#DIV/0!</v>
      </c>
      <c r="AB6" t="e">
        <f t="shared" si="2"/>
        <v>#DIV/0!</v>
      </c>
      <c r="AC6" t="e">
        <f t="shared" si="3"/>
        <v>#DIV/0!</v>
      </c>
      <c r="AD6" t="e">
        <f t="shared" si="4"/>
        <v>#DIV/0!</v>
      </c>
      <c r="AE6" t="e">
        <f t="shared" si="5"/>
        <v>#DIV/0!</v>
      </c>
      <c r="AF6" t="e">
        <f t="shared" si="6"/>
        <v>#DIV/0!</v>
      </c>
      <c r="AG6" t="e">
        <f t="shared" si="7"/>
        <v>#DIV/0!</v>
      </c>
      <c r="AH6" t="e">
        <f t="shared" ref="AH6:AH69" si="14">IF(V6&gt;AE6,2,IF(V6&lt;AB6,-2,IF(V6&gt;W6,1,IF(V6&lt;W6,-1,0))))</f>
        <v>#DIV/0!</v>
      </c>
      <c r="AI6" t="e">
        <f t="shared" si="8"/>
        <v>#DIV/0!</v>
      </c>
      <c r="AJ6">
        <f t="shared" si="9"/>
        <v>0</v>
      </c>
      <c r="AK6" t="e">
        <f t="shared" si="10"/>
        <v>#N/A</v>
      </c>
      <c r="AL6">
        <f t="shared" si="11"/>
        <v>0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">
        <f t="shared" si="13"/>
        <v>1</v>
      </c>
    </row>
    <row r="7" spans="1:42" x14ac:dyDescent="0.35">
      <c r="B7" s="12" t="str">
        <f>Demand!C12</f>
        <v/>
      </c>
      <c r="C7" s="64" t="str">
        <f>Demand!D12</f>
        <v/>
      </c>
      <c r="D7" s="64" t="str">
        <f>Demand!E12</f>
        <v/>
      </c>
      <c r="E7" s="64" t="e">
        <f>TEXT(D7*29,"mmm")&amp;"-"&amp;IF(D7=1,MAX($C$4:C6)+1,MAX($C$4:C6))</f>
        <v>#VALUE!</v>
      </c>
      <c r="F7" s="7">
        <f>INDEX(Demand!$F$9:$T$268,MATCH('SPC Backing (Hide)'!$B7,Demand!$C$9:$C$268,0),MATCH('SPC Backing (Hide)'!F$3,Demand!$F$8:$T$8,0))</f>
        <v>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1</v>
      </c>
      <c r="V7" cm="1">
        <f t="array" ref="V7">INDEX($F$4:$T$263,ROW(A4),MATCH($W$2,$F$3:$T$3,0))</f>
        <v>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" cm="1">
        <f t="array" ref="X7">ABS(INDEX($F$4:$T$263,ROW(A4),MATCH($W$2,$F$3:$T$3,0))-INDEX($F$4:$T$263,ROW(A3),MATCH($W$2,$F$3:$T$3,0)))</f>
        <v>0</v>
      </c>
      <c r="Y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" t="e">
        <f t="shared" si="0"/>
        <v>#DIV/0!</v>
      </c>
      <c r="AA7" t="e">
        <f t="shared" si="1"/>
        <v>#DIV/0!</v>
      </c>
      <c r="AB7" t="e">
        <f t="shared" si="2"/>
        <v>#DIV/0!</v>
      </c>
      <c r="AC7" t="e">
        <f t="shared" si="3"/>
        <v>#DIV/0!</v>
      </c>
      <c r="AD7" t="e">
        <f t="shared" si="4"/>
        <v>#DIV/0!</v>
      </c>
      <c r="AE7" t="e">
        <f t="shared" si="5"/>
        <v>#DIV/0!</v>
      </c>
      <c r="AF7" t="e">
        <f t="shared" si="6"/>
        <v>#DIV/0!</v>
      </c>
      <c r="AG7" t="e">
        <f t="shared" si="7"/>
        <v>#DIV/0!</v>
      </c>
      <c r="AH7" t="e">
        <f t="shared" si="14"/>
        <v>#DIV/0!</v>
      </c>
      <c r="AI7" t="e">
        <f t="shared" si="8"/>
        <v>#DIV/0!</v>
      </c>
      <c r="AJ7">
        <f t="shared" si="9"/>
        <v>0</v>
      </c>
      <c r="AK7" t="e">
        <f t="shared" si="10"/>
        <v>#N/A</v>
      </c>
      <c r="AL7">
        <f t="shared" si="11"/>
        <v>0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">
        <f t="shared" si="13"/>
        <v>1</v>
      </c>
    </row>
    <row r="8" spans="1:42" x14ac:dyDescent="0.35">
      <c r="B8" s="12" t="str">
        <f>Demand!C13</f>
        <v/>
      </c>
      <c r="C8" s="64" t="str">
        <f>Demand!D13</f>
        <v/>
      </c>
      <c r="D8" s="64" t="str">
        <f>Demand!E13</f>
        <v/>
      </c>
      <c r="E8" s="64" t="e">
        <f>TEXT(D8*29,"mmm")&amp;"-"&amp;IF(D8=1,MAX($C$4:C7)+1,MAX($C$4:C7))</f>
        <v>#VALUE!</v>
      </c>
      <c r="F8" s="7">
        <f>INDEX(Demand!$F$9:$T$268,MATCH('SPC Backing (Hide)'!$B8,Demand!$C$9:$C$268,0),MATCH('SPC Backing (Hide)'!F$3,Demand!$F$8:$T$8,0))</f>
        <v>0</v>
      </c>
      <c r="G8" s="5">
        <f>INDEX(Demand!$F$9:$T$268,MATCH('SPC Backing (Hide)'!$B8,Demand!$C$9:$C$268,0),MATCH('SPC Backing (Hide)'!G$3,Demand!$F$8:$T$8,0))</f>
        <v>0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1</v>
      </c>
      <c r="V8" cm="1">
        <f t="array" ref="V8">INDEX($F$4:$T$263,ROW(A5),MATCH($W$2,$F$3:$T$3,0))</f>
        <v>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" cm="1">
        <f t="array" ref="X8">ABS(INDEX($F$4:$T$263,ROW(A5),MATCH($W$2,$F$3:$T$3,0))-INDEX($F$4:$T$263,ROW(A4),MATCH($W$2,$F$3:$T$3,0)))</f>
        <v>0</v>
      </c>
      <c r="Y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" t="e">
        <f t="shared" si="0"/>
        <v>#DIV/0!</v>
      </c>
      <c r="AA8" t="e">
        <f t="shared" si="1"/>
        <v>#DIV/0!</v>
      </c>
      <c r="AB8" t="e">
        <f t="shared" si="2"/>
        <v>#DIV/0!</v>
      </c>
      <c r="AC8" t="e">
        <f t="shared" si="3"/>
        <v>#DIV/0!</v>
      </c>
      <c r="AD8" t="e">
        <f t="shared" si="4"/>
        <v>#DIV/0!</v>
      </c>
      <c r="AE8" t="e">
        <f t="shared" si="5"/>
        <v>#DIV/0!</v>
      </c>
      <c r="AF8" t="e">
        <f t="shared" si="6"/>
        <v>#DIV/0!</v>
      </c>
      <c r="AG8" t="e">
        <f t="shared" si="7"/>
        <v>#DIV/0!</v>
      </c>
      <c r="AH8" t="e">
        <f t="shared" si="14"/>
        <v>#DIV/0!</v>
      </c>
      <c r="AI8" t="e">
        <f t="shared" si="8"/>
        <v>#DIV/0!</v>
      </c>
      <c r="AJ8">
        <f t="shared" si="9"/>
        <v>0</v>
      </c>
      <c r="AK8" t="e">
        <f t="shared" si="10"/>
        <v>#N/A</v>
      </c>
      <c r="AL8">
        <f t="shared" si="11"/>
        <v>0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">
        <f t="shared" si="13"/>
        <v>1</v>
      </c>
    </row>
    <row r="9" spans="1:42" x14ac:dyDescent="0.35">
      <c r="B9" s="12" t="str">
        <f>Demand!C14</f>
        <v/>
      </c>
      <c r="C9" s="64" t="str">
        <f>Demand!D14</f>
        <v/>
      </c>
      <c r="D9" s="64" t="str">
        <f>Demand!E14</f>
        <v/>
      </c>
      <c r="E9" s="64" t="e">
        <f>TEXT(D9*29,"mmm")&amp;"-"&amp;IF(D9=1,MAX($C$4:C8)+1,MAX($C$4:C8))</f>
        <v>#VALUE!</v>
      </c>
      <c r="F9" s="7">
        <f>INDEX(Demand!$F$9:$T$268,MATCH('SPC Backing (Hide)'!$B9,Demand!$C$9:$C$268,0),MATCH('SPC Backing (Hide)'!F$3,Demand!$F$8:$T$8,0))</f>
        <v>0</v>
      </c>
      <c r="G9" s="5">
        <f>INDEX(Demand!$F$9:$T$268,MATCH('SPC Backing (Hide)'!$B9,Demand!$C$9:$C$268,0),MATCH('SPC Backing (Hide)'!G$3,Demand!$F$8:$T$8,0))</f>
        <v>0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1</v>
      </c>
      <c r="V9" cm="1">
        <f t="array" ref="V9">INDEX($F$4:$T$263,ROW(A6),MATCH($W$2,$F$3:$T$3,0))</f>
        <v>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" cm="1">
        <f t="array" ref="X9">ABS(INDEX($F$4:$T$263,ROW(A6),MATCH($W$2,$F$3:$T$3,0))-INDEX($F$4:$T$263,ROW(A5),MATCH($W$2,$F$3:$T$3,0)))</f>
        <v>0</v>
      </c>
      <c r="Y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" t="e">
        <f t="shared" si="0"/>
        <v>#DIV/0!</v>
      </c>
      <c r="AA9" t="e">
        <f t="shared" si="1"/>
        <v>#DIV/0!</v>
      </c>
      <c r="AB9" t="e">
        <f t="shared" si="2"/>
        <v>#DIV/0!</v>
      </c>
      <c r="AC9" t="e">
        <f t="shared" si="3"/>
        <v>#DIV/0!</v>
      </c>
      <c r="AD9" t="e">
        <f t="shared" si="4"/>
        <v>#DIV/0!</v>
      </c>
      <c r="AE9" t="e">
        <f t="shared" si="5"/>
        <v>#DIV/0!</v>
      </c>
      <c r="AF9" t="e">
        <f t="shared" si="6"/>
        <v>#DIV/0!</v>
      </c>
      <c r="AG9" t="e">
        <f t="shared" si="7"/>
        <v>#DIV/0!</v>
      </c>
      <c r="AH9" t="e">
        <f t="shared" si="14"/>
        <v>#DIV/0!</v>
      </c>
      <c r="AI9" t="e">
        <f t="shared" si="8"/>
        <v>#DIV/0!</v>
      </c>
      <c r="AJ9">
        <f t="shared" si="9"/>
        <v>0</v>
      </c>
      <c r="AK9" t="e">
        <f t="shared" si="10"/>
        <v>#N/A</v>
      </c>
      <c r="AL9">
        <f t="shared" si="11"/>
        <v>0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">
        <f t="shared" si="13"/>
        <v>1</v>
      </c>
    </row>
    <row r="10" spans="1:42" x14ac:dyDescent="0.35">
      <c r="B10" s="12" t="str">
        <f>Demand!C15</f>
        <v/>
      </c>
      <c r="C10" s="64" t="str">
        <f>Demand!D15</f>
        <v/>
      </c>
      <c r="D10" s="64" t="str">
        <f>Demand!E15</f>
        <v/>
      </c>
      <c r="E10" s="64" t="e">
        <f>TEXT(D10*29,"mmm")&amp;"-"&amp;IF(D10=1,MAX($C$4:C9)+1,MAX($C$4:C9))</f>
        <v>#VALUE!</v>
      </c>
      <c r="F10" s="7">
        <f>INDEX(Demand!$F$9:$T$268,MATCH('SPC Backing (Hide)'!$B10,Demand!$C$9:$C$268,0),MATCH('SPC Backing (Hide)'!F$3,Demand!$F$8:$T$8,0))</f>
        <v>0</v>
      </c>
      <c r="G10" s="5">
        <f>INDEX(Demand!$F$9:$T$268,MATCH('SPC Backing (Hide)'!$B10,Demand!$C$9:$C$268,0),MATCH('SPC Backing (Hide)'!G$3,Demand!$F$8:$T$8,0))</f>
        <v>0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1</v>
      </c>
      <c r="V10" cm="1">
        <f t="array" ref="V10">INDEX($F$4:$T$263,ROW(A7),MATCH($W$2,$F$3:$T$3,0))</f>
        <v>0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" cm="1">
        <f t="array" ref="X10">ABS(INDEX($F$4:$T$263,ROW(A7),MATCH($W$2,$F$3:$T$3,0))-INDEX($F$4:$T$263,ROW(A6),MATCH($W$2,$F$3:$T$3,0)))</f>
        <v>0</v>
      </c>
      <c r="Y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" t="e">
        <f t="shared" si="0"/>
        <v>#DIV/0!</v>
      </c>
      <c r="AA10" t="e">
        <f t="shared" si="1"/>
        <v>#DIV/0!</v>
      </c>
      <c r="AB10" t="e">
        <f t="shared" si="2"/>
        <v>#DIV/0!</v>
      </c>
      <c r="AC10" t="e">
        <f t="shared" si="3"/>
        <v>#DIV/0!</v>
      </c>
      <c r="AD10" t="e">
        <f t="shared" si="4"/>
        <v>#DIV/0!</v>
      </c>
      <c r="AE10" t="e">
        <f t="shared" si="5"/>
        <v>#DIV/0!</v>
      </c>
      <c r="AF10" t="e">
        <f t="shared" si="6"/>
        <v>#DIV/0!</v>
      </c>
      <c r="AG10" t="e">
        <f t="shared" si="7"/>
        <v>#DIV/0!</v>
      </c>
      <c r="AH10" t="e">
        <f t="shared" si="14"/>
        <v>#DIV/0!</v>
      </c>
      <c r="AI10" t="e">
        <f t="shared" si="8"/>
        <v>#DIV/0!</v>
      </c>
      <c r="AJ10">
        <f t="shared" si="9"/>
        <v>0</v>
      </c>
      <c r="AK10" t="e">
        <f t="shared" si="10"/>
        <v>#N/A</v>
      </c>
      <c r="AL10">
        <f t="shared" si="11"/>
        <v>0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">
        <f t="shared" si="13"/>
        <v>1</v>
      </c>
    </row>
    <row r="11" spans="1:42" x14ac:dyDescent="0.35">
      <c r="B11" s="12" t="str">
        <f>Demand!C16</f>
        <v/>
      </c>
      <c r="C11" s="64" t="str">
        <f>Demand!D16</f>
        <v/>
      </c>
      <c r="D11" s="64" t="str">
        <f>Demand!E16</f>
        <v/>
      </c>
      <c r="E11" s="64" t="e">
        <f>TEXT(D11*29,"mmm")&amp;"-"&amp;IF(D11=1,MAX($C$4:C10)+1,MAX($C$4:C10))</f>
        <v>#VALUE!</v>
      </c>
      <c r="F11" s="7">
        <f>INDEX(Demand!$F$9:$T$268,MATCH('SPC Backing (Hide)'!$B11,Demand!$C$9:$C$268,0),MATCH('SPC Backing (Hide)'!F$3,Demand!$F$8:$T$8,0))</f>
        <v>0</v>
      </c>
      <c r="G11" s="5">
        <f>INDEX(Demand!$F$9:$T$268,MATCH('SPC Backing (Hide)'!$B11,Demand!$C$9:$C$268,0),MATCH('SPC Backing (Hide)'!G$3,Demand!$F$8:$T$8,0))</f>
        <v>0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0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" cm="1">
        <f t="array" ref="X11">ABS(INDEX($F$4:$T$263,ROW(A8),MATCH($W$2,$F$3:$T$3,0))-INDEX($F$4:$T$263,ROW(A7),MATCH($W$2,$F$3:$T$3,0)))</f>
        <v>0</v>
      </c>
      <c r="Y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" t="e">
        <f t="shared" si="0"/>
        <v>#DIV/0!</v>
      </c>
      <c r="AA11" t="e">
        <f t="shared" si="1"/>
        <v>#DIV/0!</v>
      </c>
      <c r="AB11" t="e">
        <f t="shared" si="2"/>
        <v>#DIV/0!</v>
      </c>
      <c r="AC11" t="e">
        <f t="shared" si="3"/>
        <v>#DIV/0!</v>
      </c>
      <c r="AD11" t="e">
        <f t="shared" si="4"/>
        <v>#DIV/0!</v>
      </c>
      <c r="AE11" t="e">
        <f t="shared" si="5"/>
        <v>#DIV/0!</v>
      </c>
      <c r="AF11" t="e">
        <f t="shared" si="6"/>
        <v>#DIV/0!</v>
      </c>
      <c r="AG11" t="e">
        <f t="shared" si="7"/>
        <v>#DIV/0!</v>
      </c>
      <c r="AH11" t="e">
        <f t="shared" si="14"/>
        <v>#DIV/0!</v>
      </c>
      <c r="AI11" t="e">
        <f t="shared" si="8"/>
        <v>#DIV/0!</v>
      </c>
      <c r="AJ11">
        <f t="shared" si="9"/>
        <v>0</v>
      </c>
      <c r="AK11" t="e">
        <f t="shared" si="10"/>
        <v>#N/A</v>
      </c>
      <c r="AL11">
        <f t="shared" si="11"/>
        <v>0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">
        <f t="shared" si="13"/>
        <v>1</v>
      </c>
    </row>
    <row r="12" spans="1:42" x14ac:dyDescent="0.35">
      <c r="B12" s="12" t="str">
        <f>Demand!C17</f>
        <v/>
      </c>
      <c r="C12" s="64" t="str">
        <f>Demand!D17</f>
        <v/>
      </c>
      <c r="D12" s="64" t="str">
        <f>Demand!E17</f>
        <v/>
      </c>
      <c r="E12" s="64" t="e">
        <f>TEXT(D12*29,"mmm")&amp;"-"&amp;IF(D12=1,MAX($C$4:C11)+1,MAX($C$4:C11))</f>
        <v>#VALUE!</v>
      </c>
      <c r="F12" s="7">
        <f>INDEX(Demand!$F$9:$T$268,MATCH('SPC Backing (Hide)'!$B12,Demand!$C$9:$C$268,0),MATCH('SPC Backing (Hide)'!F$3,Demand!$F$8:$T$8,0))</f>
        <v>0</v>
      </c>
      <c r="G12" s="5">
        <f>INDEX(Demand!$F$9:$T$268,MATCH('SPC Backing (Hide)'!$B12,Demand!$C$9:$C$268,0),MATCH('SPC Backing (Hide)'!G$3,Demand!$F$8:$T$8,0))</f>
        <v>0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0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" cm="1">
        <f t="array" ref="X12">ABS(INDEX($F$4:$T$263,ROW(A9),MATCH($W$2,$F$3:$T$3,0))-INDEX($F$4:$T$263,ROW(A8),MATCH($W$2,$F$3:$T$3,0)))</f>
        <v>0</v>
      </c>
      <c r="Y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" t="e">
        <f t="shared" si="0"/>
        <v>#DIV/0!</v>
      </c>
      <c r="AA12" t="e">
        <f t="shared" si="1"/>
        <v>#DIV/0!</v>
      </c>
      <c r="AB12" t="e">
        <f t="shared" si="2"/>
        <v>#DIV/0!</v>
      </c>
      <c r="AC12" t="e">
        <f t="shared" si="3"/>
        <v>#DIV/0!</v>
      </c>
      <c r="AD12" t="e">
        <f t="shared" si="4"/>
        <v>#DIV/0!</v>
      </c>
      <c r="AE12" t="e">
        <f t="shared" si="5"/>
        <v>#DIV/0!</v>
      </c>
      <c r="AF12" t="e">
        <f t="shared" si="6"/>
        <v>#DIV/0!</v>
      </c>
      <c r="AG12" t="e">
        <f t="shared" si="7"/>
        <v>#DIV/0!</v>
      </c>
      <c r="AH12" t="e">
        <f t="shared" si="14"/>
        <v>#DIV/0!</v>
      </c>
      <c r="AI12" t="e">
        <f t="shared" si="8"/>
        <v>#DIV/0!</v>
      </c>
      <c r="AJ12">
        <f t="shared" si="9"/>
        <v>0</v>
      </c>
      <c r="AK12" t="e">
        <f t="shared" si="10"/>
        <v>#N/A</v>
      </c>
      <c r="AL12">
        <f t="shared" si="11"/>
        <v>0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">
        <f t="shared" si="13"/>
        <v>1</v>
      </c>
    </row>
    <row r="13" spans="1:42" x14ac:dyDescent="0.35">
      <c r="B13" s="12" t="str">
        <f>Demand!C18</f>
        <v/>
      </c>
      <c r="C13" s="64" t="str">
        <f>Demand!D18</f>
        <v/>
      </c>
      <c r="D13" s="64" t="str">
        <f>Demand!E18</f>
        <v/>
      </c>
      <c r="E13" s="64" t="e">
        <f>TEXT(D13*29,"mmm")&amp;"-"&amp;IF(D13=1,MAX($C$4:C12)+1,MAX($C$4:C12))</f>
        <v>#VALUE!</v>
      </c>
      <c r="F13" s="7">
        <f>INDEX(Demand!$F$9:$T$268,MATCH('SPC Backing (Hide)'!$B13,Demand!$C$9:$C$268,0),MATCH('SPC Backing (Hide)'!F$3,Demand!$F$8:$T$8,0))</f>
        <v>0</v>
      </c>
      <c r="G13" s="5">
        <f>INDEX(Demand!$F$9:$T$268,MATCH('SPC Backing (Hide)'!$B13,Demand!$C$9:$C$268,0),MATCH('SPC Backing (Hide)'!G$3,Demand!$F$8:$T$8,0))</f>
        <v>0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0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" cm="1">
        <f t="array" ref="X13">ABS(INDEX($F$4:$T$263,ROW(A10),MATCH($W$2,$F$3:$T$3,0))-INDEX($F$4:$T$263,ROW(A9),MATCH($W$2,$F$3:$T$3,0)))</f>
        <v>0</v>
      </c>
      <c r="Y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" t="e">
        <f t="shared" si="0"/>
        <v>#DIV/0!</v>
      </c>
      <c r="AA13" t="e">
        <f t="shared" si="1"/>
        <v>#DIV/0!</v>
      </c>
      <c r="AB13" t="e">
        <f t="shared" si="2"/>
        <v>#DIV/0!</v>
      </c>
      <c r="AC13" t="e">
        <f t="shared" si="3"/>
        <v>#DIV/0!</v>
      </c>
      <c r="AD13" t="e">
        <f t="shared" si="4"/>
        <v>#DIV/0!</v>
      </c>
      <c r="AE13" t="e">
        <f t="shared" si="5"/>
        <v>#DIV/0!</v>
      </c>
      <c r="AF13" t="e">
        <f t="shared" si="6"/>
        <v>#DIV/0!</v>
      </c>
      <c r="AG13" t="e">
        <f t="shared" si="7"/>
        <v>#DIV/0!</v>
      </c>
      <c r="AH13" t="e">
        <f t="shared" si="14"/>
        <v>#DIV/0!</v>
      </c>
      <c r="AI13" t="e">
        <f t="shared" si="8"/>
        <v>#DIV/0!</v>
      </c>
      <c r="AJ13">
        <f t="shared" si="9"/>
        <v>0</v>
      </c>
      <c r="AK13" t="e">
        <f t="shared" si="10"/>
        <v>#N/A</v>
      </c>
      <c r="AL13">
        <f t="shared" si="11"/>
        <v>0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">
        <f t="shared" si="13"/>
        <v>1</v>
      </c>
    </row>
    <row r="14" spans="1:42" x14ac:dyDescent="0.35">
      <c r="B14" s="12" t="str">
        <f>Demand!C19</f>
        <v/>
      </c>
      <c r="C14" s="64" t="str">
        <f>Demand!D19</f>
        <v/>
      </c>
      <c r="D14" s="64" t="str">
        <f>Demand!E19</f>
        <v/>
      </c>
      <c r="E14" s="64" t="e">
        <f>TEXT(D14*29,"mmm")&amp;"-"&amp;IF(D14=1,MAX($C$4:C13)+1,MAX($C$4:C13))</f>
        <v>#VALUE!</v>
      </c>
      <c r="F14" s="7">
        <f>INDEX(Demand!$F$9:$T$268,MATCH('SPC Backing (Hide)'!$B14,Demand!$C$9:$C$268,0),MATCH('SPC Backing (Hide)'!F$3,Demand!$F$8:$T$8,0))</f>
        <v>0</v>
      </c>
      <c r="G14" s="5">
        <f>INDEX(Demand!$F$9:$T$268,MATCH('SPC Backing (Hide)'!$B14,Demand!$C$9:$C$268,0),MATCH('SPC Backing (Hide)'!G$3,Demand!$F$8:$T$8,0))</f>
        <v>0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0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" cm="1">
        <f t="array" ref="X14">ABS(INDEX($F$4:$T$263,ROW(A11),MATCH($W$2,$F$3:$T$3,0))-INDEX($F$4:$T$263,ROW(A10),MATCH($W$2,$F$3:$T$3,0)))</f>
        <v>0</v>
      </c>
      <c r="Y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" t="e">
        <f t="shared" si="0"/>
        <v>#DIV/0!</v>
      </c>
      <c r="AA14" t="e">
        <f t="shared" si="1"/>
        <v>#DIV/0!</v>
      </c>
      <c r="AB14" t="e">
        <f t="shared" si="2"/>
        <v>#DIV/0!</v>
      </c>
      <c r="AC14" t="e">
        <f t="shared" si="3"/>
        <v>#DIV/0!</v>
      </c>
      <c r="AD14" t="e">
        <f t="shared" si="4"/>
        <v>#DIV/0!</v>
      </c>
      <c r="AE14" t="e">
        <f t="shared" si="5"/>
        <v>#DIV/0!</v>
      </c>
      <c r="AF14" t="e">
        <f t="shared" si="6"/>
        <v>#DIV/0!</v>
      </c>
      <c r="AG14" t="e">
        <f t="shared" si="7"/>
        <v>#DIV/0!</v>
      </c>
      <c r="AH14" t="e">
        <f t="shared" si="14"/>
        <v>#DIV/0!</v>
      </c>
      <c r="AI14" t="e">
        <f t="shared" si="8"/>
        <v>#DIV/0!</v>
      </c>
      <c r="AJ14">
        <f t="shared" si="9"/>
        <v>0</v>
      </c>
      <c r="AK14" t="e">
        <f t="shared" si="10"/>
        <v>#N/A</v>
      </c>
      <c r="AL14">
        <f t="shared" si="11"/>
        <v>0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">
        <f t="shared" si="13"/>
        <v>1</v>
      </c>
    </row>
    <row r="15" spans="1:42" x14ac:dyDescent="0.35">
      <c r="B15" s="12" t="str">
        <f>Demand!C20</f>
        <v/>
      </c>
      <c r="C15" s="64" t="str">
        <f>Demand!D20</f>
        <v/>
      </c>
      <c r="D15" s="64" t="str">
        <f>Demand!E20</f>
        <v/>
      </c>
      <c r="E15" s="64" t="e">
        <f>TEXT(D15*29,"mmm")&amp;"-"&amp;IF(D15=1,MAX($C$4:C14)+1,MAX($C$4:C14))</f>
        <v>#VALUE!</v>
      </c>
      <c r="F15" s="7">
        <f>INDEX(Demand!$F$9:$T$268,MATCH('SPC Backing (Hide)'!$B15,Demand!$C$9:$C$268,0),MATCH('SPC Backing (Hide)'!F$3,Demand!$F$8:$T$8,0))</f>
        <v>0</v>
      </c>
      <c r="G15" s="5">
        <f>INDEX(Demand!$F$9:$T$268,MATCH('SPC Backing (Hide)'!$B15,Demand!$C$9:$C$268,0),MATCH('SPC Backing (Hide)'!G$3,Demand!$F$8:$T$8,0))</f>
        <v>0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0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" cm="1">
        <f t="array" ref="X15">ABS(INDEX($F$4:$T$263,ROW(A12),MATCH($W$2,$F$3:$T$3,0))-INDEX($F$4:$T$263,ROW(A11),MATCH($W$2,$F$3:$T$3,0)))</f>
        <v>0</v>
      </c>
      <c r="Y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" t="e">
        <f t="shared" si="0"/>
        <v>#DIV/0!</v>
      </c>
      <c r="AA15" t="e">
        <f t="shared" si="1"/>
        <v>#DIV/0!</v>
      </c>
      <c r="AB15" t="e">
        <f t="shared" si="2"/>
        <v>#DIV/0!</v>
      </c>
      <c r="AC15" t="e">
        <f t="shared" si="3"/>
        <v>#DIV/0!</v>
      </c>
      <c r="AD15" t="e">
        <f t="shared" si="4"/>
        <v>#DIV/0!</v>
      </c>
      <c r="AE15" t="e">
        <f t="shared" si="5"/>
        <v>#DIV/0!</v>
      </c>
      <c r="AF15" t="e">
        <f t="shared" si="6"/>
        <v>#DIV/0!</v>
      </c>
      <c r="AG15" t="e">
        <f t="shared" si="7"/>
        <v>#DIV/0!</v>
      </c>
      <c r="AH15" t="e">
        <f t="shared" si="14"/>
        <v>#DIV/0!</v>
      </c>
      <c r="AI15" t="e">
        <f t="shared" si="8"/>
        <v>#DIV/0!</v>
      </c>
      <c r="AJ15">
        <f t="shared" si="9"/>
        <v>0</v>
      </c>
      <c r="AK15" t="e">
        <f t="shared" si="10"/>
        <v>#N/A</v>
      </c>
      <c r="AL15">
        <f t="shared" si="11"/>
        <v>0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">
        <f t="shared" si="13"/>
        <v>1</v>
      </c>
    </row>
    <row r="16" spans="1:42" x14ac:dyDescent="0.35">
      <c r="B16" s="12" t="str">
        <f>Demand!C21</f>
        <v/>
      </c>
      <c r="C16" s="64" t="str">
        <f>Demand!D21</f>
        <v/>
      </c>
      <c r="D16" s="64" t="str">
        <f>Demand!E21</f>
        <v/>
      </c>
      <c r="E16" s="64" t="e">
        <f>TEXT(D16*29,"mmm")&amp;"-"&amp;IF(D16=1,MAX($C$4:C15)+1,MAX($C$4:C15))</f>
        <v>#VALUE!</v>
      </c>
      <c r="F16" s="7">
        <f>INDEX(Demand!$F$9:$T$268,MATCH('SPC Backing (Hide)'!$B16,Demand!$C$9:$C$268,0),MATCH('SPC Backing (Hide)'!F$3,Demand!$F$8:$T$8,0))</f>
        <v>0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0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" cm="1">
        <f t="array" ref="X16">ABS(INDEX($F$4:$T$263,ROW(A13),MATCH($W$2,$F$3:$T$3,0))-INDEX($F$4:$T$263,ROW(A12),MATCH($W$2,$F$3:$T$3,0)))</f>
        <v>0</v>
      </c>
      <c r="Y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" t="e">
        <f t="shared" si="0"/>
        <v>#DIV/0!</v>
      </c>
      <c r="AA16" t="e">
        <f t="shared" si="1"/>
        <v>#DIV/0!</v>
      </c>
      <c r="AB16" t="e">
        <f t="shared" si="2"/>
        <v>#DIV/0!</v>
      </c>
      <c r="AC16" t="e">
        <f t="shared" si="3"/>
        <v>#DIV/0!</v>
      </c>
      <c r="AD16" t="e">
        <f t="shared" si="4"/>
        <v>#DIV/0!</v>
      </c>
      <c r="AE16" t="e">
        <f t="shared" si="5"/>
        <v>#DIV/0!</v>
      </c>
      <c r="AF16" t="e">
        <f t="shared" si="6"/>
        <v>#DIV/0!</v>
      </c>
      <c r="AG16" t="e">
        <f t="shared" si="7"/>
        <v>#DIV/0!</v>
      </c>
      <c r="AH16" t="e">
        <f t="shared" si="14"/>
        <v>#DIV/0!</v>
      </c>
      <c r="AI16" t="e">
        <f t="shared" si="8"/>
        <v>#DIV/0!</v>
      </c>
      <c r="AJ16">
        <f t="shared" si="9"/>
        <v>0</v>
      </c>
      <c r="AK16" t="e">
        <f t="shared" si="10"/>
        <v>#N/A</v>
      </c>
      <c r="AL16">
        <f t="shared" si="11"/>
        <v>0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">
        <f t="shared" si="13"/>
        <v>1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1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" cm="1">
        <f t="array" ref="X17">ABS(INDEX($F$4:$T$263,ROW(A14),MATCH($W$2,$F$3:$T$3,0))-INDEX($F$4:$T$263,ROW(A13),MATCH($W$2,$F$3:$T$3,0)))</f>
        <v>0</v>
      </c>
      <c r="Y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" t="e">
        <f t="shared" si="0"/>
        <v>#DIV/0!</v>
      </c>
      <c r="AA17" t="e">
        <f t="shared" si="1"/>
        <v>#DIV/0!</v>
      </c>
      <c r="AB17" t="e">
        <f t="shared" si="2"/>
        <v>#DIV/0!</v>
      </c>
      <c r="AC17" t="e">
        <f t="shared" si="3"/>
        <v>#DIV/0!</v>
      </c>
      <c r="AD17" t="e">
        <f t="shared" si="4"/>
        <v>#DIV/0!</v>
      </c>
      <c r="AE17" t="e">
        <f t="shared" si="5"/>
        <v>#DIV/0!</v>
      </c>
      <c r="AF17" t="e">
        <f t="shared" si="6"/>
        <v>#DIV/0!</v>
      </c>
      <c r="AG17" t="e">
        <f t="shared" si="7"/>
        <v>#DIV/0!</v>
      </c>
      <c r="AH17" t="e">
        <f t="shared" si="14"/>
        <v>#DIV/0!</v>
      </c>
      <c r="AI17" t="e">
        <f t="shared" si="8"/>
        <v>#DIV/0!</v>
      </c>
      <c r="AJ17">
        <f t="shared" si="9"/>
        <v>0</v>
      </c>
      <c r="AK17" t="e">
        <f t="shared" si="10"/>
        <v>#N/A</v>
      </c>
      <c r="AL17">
        <f t="shared" si="11"/>
        <v>0</v>
      </c>
      <c r="AM17" t="e">
        <f t="shared" si="12"/>
        <v>#N/A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">
        <f t="shared" si="13"/>
        <v>1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1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" cm="1">
        <f t="array" ref="X18">ABS(INDEX($F$4:$T$263,ROW(A15),MATCH($W$2,$F$3:$T$3,0))-INDEX($F$4:$T$263,ROW(A14),MATCH($W$2,$F$3:$T$3,0)))</f>
        <v>0</v>
      </c>
      <c r="Y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" t="e">
        <f t="shared" si="0"/>
        <v>#DIV/0!</v>
      </c>
      <c r="AA18" t="e">
        <f t="shared" si="1"/>
        <v>#DIV/0!</v>
      </c>
      <c r="AB18" t="e">
        <f t="shared" si="2"/>
        <v>#DIV/0!</v>
      </c>
      <c r="AC18" t="e">
        <f t="shared" si="3"/>
        <v>#DIV/0!</v>
      </c>
      <c r="AD18" t="e">
        <f t="shared" si="4"/>
        <v>#DIV/0!</v>
      </c>
      <c r="AE18" t="e">
        <f t="shared" si="5"/>
        <v>#DIV/0!</v>
      </c>
      <c r="AF18" t="e">
        <f t="shared" si="6"/>
        <v>#DIV/0!</v>
      </c>
      <c r="AG18" t="e">
        <f t="shared" si="7"/>
        <v>#DIV/0!</v>
      </c>
      <c r="AH18" t="e">
        <f t="shared" si="14"/>
        <v>#DIV/0!</v>
      </c>
      <c r="AI18" t="e">
        <f t="shared" si="8"/>
        <v>#DIV/0!</v>
      </c>
      <c r="AJ18">
        <f t="shared" si="9"/>
        <v>0</v>
      </c>
      <c r="AK18" t="e">
        <f t="shared" si="10"/>
        <v>#N/A</v>
      </c>
      <c r="AL18">
        <f t="shared" si="11"/>
        <v>0</v>
      </c>
      <c r="AM18" t="e">
        <f t="shared" si="12"/>
        <v>#N/A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">
        <f t="shared" si="13"/>
        <v>1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1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" cm="1">
        <f t="array" ref="X19">ABS(INDEX($F$4:$T$263,ROW(A16),MATCH($W$2,$F$3:$T$3,0))-INDEX($F$4:$T$263,ROW(A15),MATCH($W$2,$F$3:$T$3,0)))</f>
        <v>0</v>
      </c>
      <c r="Y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" t="e">
        <f t="shared" si="0"/>
        <v>#DIV/0!</v>
      </c>
      <c r="AA19" t="e">
        <f t="shared" si="1"/>
        <v>#DIV/0!</v>
      </c>
      <c r="AB19" t="e">
        <f t="shared" si="2"/>
        <v>#DIV/0!</v>
      </c>
      <c r="AC19" t="e">
        <f t="shared" si="3"/>
        <v>#DIV/0!</v>
      </c>
      <c r="AD19" t="e">
        <f t="shared" si="4"/>
        <v>#DIV/0!</v>
      </c>
      <c r="AE19" t="e">
        <f t="shared" si="5"/>
        <v>#DIV/0!</v>
      </c>
      <c r="AF19" t="e">
        <f t="shared" si="6"/>
        <v>#DIV/0!</v>
      </c>
      <c r="AG19" t="e">
        <f t="shared" si="7"/>
        <v>#DIV/0!</v>
      </c>
      <c r="AH19" t="e">
        <f t="shared" si="14"/>
        <v>#DIV/0!</v>
      </c>
      <c r="AI19" t="e">
        <f t="shared" si="8"/>
        <v>#DIV/0!</v>
      </c>
      <c r="AJ19">
        <f t="shared" si="9"/>
        <v>0</v>
      </c>
      <c r="AK19" t="e">
        <f t="shared" si="10"/>
        <v>#N/A</v>
      </c>
      <c r="AL19">
        <f t="shared" si="11"/>
        <v>0</v>
      </c>
      <c r="AM19" t="e">
        <f t="shared" si="12"/>
        <v>#N/A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">
        <f t="shared" si="13"/>
        <v>1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1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" cm="1">
        <f t="array" ref="X20">ABS(INDEX($F$4:$T$263,ROW(A17),MATCH($W$2,$F$3:$T$3,0))-INDEX($F$4:$T$263,ROW(A16),MATCH($W$2,$F$3:$T$3,0)))</f>
        <v>0</v>
      </c>
      <c r="Y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" t="e">
        <f t="shared" si="0"/>
        <v>#DIV/0!</v>
      </c>
      <c r="AA20" t="e">
        <f t="shared" si="1"/>
        <v>#DIV/0!</v>
      </c>
      <c r="AB20" t="e">
        <f t="shared" si="2"/>
        <v>#DIV/0!</v>
      </c>
      <c r="AC20" t="e">
        <f t="shared" si="3"/>
        <v>#DIV/0!</v>
      </c>
      <c r="AD20" t="e">
        <f t="shared" si="4"/>
        <v>#DIV/0!</v>
      </c>
      <c r="AE20" t="e">
        <f t="shared" si="5"/>
        <v>#DIV/0!</v>
      </c>
      <c r="AF20" t="e">
        <f t="shared" si="6"/>
        <v>#DIV/0!</v>
      </c>
      <c r="AG20" t="e">
        <f t="shared" si="7"/>
        <v>#DIV/0!</v>
      </c>
      <c r="AH20" t="e">
        <f t="shared" si="14"/>
        <v>#DIV/0!</v>
      </c>
      <c r="AI20" t="e">
        <f t="shared" si="8"/>
        <v>#DIV/0!</v>
      </c>
      <c r="AJ20">
        <f t="shared" si="9"/>
        <v>0</v>
      </c>
      <c r="AK20" t="e">
        <f t="shared" si="10"/>
        <v>#N/A</v>
      </c>
      <c r="AL20">
        <f t="shared" si="11"/>
        <v>0</v>
      </c>
      <c r="AM20" t="e">
        <f t="shared" si="12"/>
        <v>#N/A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">
        <f t="shared" si="13"/>
        <v>1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1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" cm="1">
        <f t="array" ref="X21">ABS(INDEX($F$4:$T$263,ROW(A18),MATCH($W$2,$F$3:$T$3,0))-INDEX($F$4:$T$263,ROW(A17),MATCH($W$2,$F$3:$T$3,0)))</f>
        <v>0</v>
      </c>
      <c r="Y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" t="e">
        <f t="shared" si="0"/>
        <v>#DIV/0!</v>
      </c>
      <c r="AA21" t="e">
        <f t="shared" si="1"/>
        <v>#DIV/0!</v>
      </c>
      <c r="AB21" t="e">
        <f t="shared" si="2"/>
        <v>#DIV/0!</v>
      </c>
      <c r="AC21" t="e">
        <f t="shared" si="3"/>
        <v>#DIV/0!</v>
      </c>
      <c r="AD21" t="e">
        <f t="shared" si="4"/>
        <v>#DIV/0!</v>
      </c>
      <c r="AE21" t="e">
        <f t="shared" si="5"/>
        <v>#DIV/0!</v>
      </c>
      <c r="AF21" t="e">
        <f t="shared" si="6"/>
        <v>#DIV/0!</v>
      </c>
      <c r="AG21" t="e">
        <f t="shared" si="7"/>
        <v>#DIV/0!</v>
      </c>
      <c r="AH21" t="e">
        <f t="shared" si="14"/>
        <v>#DIV/0!</v>
      </c>
      <c r="AI21" t="e">
        <f t="shared" si="8"/>
        <v>#DIV/0!</v>
      </c>
      <c r="AJ21">
        <f t="shared" si="9"/>
        <v>0</v>
      </c>
      <c r="AK21" t="e">
        <f t="shared" si="10"/>
        <v>#N/A</v>
      </c>
      <c r="AL21">
        <f t="shared" si="11"/>
        <v>0</v>
      </c>
      <c r="AM21" t="e">
        <f t="shared" si="12"/>
        <v>#N/A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">
        <f t="shared" si="13"/>
        <v>1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1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" cm="1">
        <f t="array" ref="X22">ABS(INDEX($F$4:$T$263,ROW(A19),MATCH($W$2,$F$3:$T$3,0))-INDEX($F$4:$T$263,ROW(A18),MATCH($W$2,$F$3:$T$3,0)))</f>
        <v>0</v>
      </c>
      <c r="Y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" t="e">
        <f t="shared" si="0"/>
        <v>#DIV/0!</v>
      </c>
      <c r="AA22" t="e">
        <f t="shared" si="1"/>
        <v>#DIV/0!</v>
      </c>
      <c r="AB22" t="e">
        <f t="shared" si="2"/>
        <v>#DIV/0!</v>
      </c>
      <c r="AC22" t="e">
        <f t="shared" si="3"/>
        <v>#DIV/0!</v>
      </c>
      <c r="AD22" t="e">
        <f t="shared" si="4"/>
        <v>#DIV/0!</v>
      </c>
      <c r="AE22" t="e">
        <f t="shared" si="5"/>
        <v>#DIV/0!</v>
      </c>
      <c r="AF22" t="e">
        <f t="shared" si="6"/>
        <v>#DIV/0!</v>
      </c>
      <c r="AG22" t="e">
        <f t="shared" si="7"/>
        <v>#DIV/0!</v>
      </c>
      <c r="AH22" t="e">
        <f t="shared" si="14"/>
        <v>#DIV/0!</v>
      </c>
      <c r="AI22" t="e">
        <f t="shared" si="8"/>
        <v>#DIV/0!</v>
      </c>
      <c r="AJ22">
        <f t="shared" si="9"/>
        <v>0</v>
      </c>
      <c r="AK22" t="e">
        <f t="shared" si="10"/>
        <v>#N/A</v>
      </c>
      <c r="AL22">
        <f t="shared" si="11"/>
        <v>0</v>
      </c>
      <c r="AM22" t="e">
        <f t="shared" si="12"/>
        <v>#N/A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">
        <f t="shared" si="13"/>
        <v>1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1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" cm="1">
        <f t="array" ref="X23">ABS(INDEX($F$4:$T$263,ROW(A20),MATCH($W$2,$F$3:$T$3,0))-INDEX($F$4:$T$263,ROW(A19),MATCH($W$2,$F$3:$T$3,0)))</f>
        <v>0</v>
      </c>
      <c r="Y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" t="e">
        <f t="shared" si="0"/>
        <v>#DIV/0!</v>
      </c>
      <c r="AA23" t="e">
        <f t="shared" si="1"/>
        <v>#DIV/0!</v>
      </c>
      <c r="AB23" t="e">
        <f t="shared" si="2"/>
        <v>#DIV/0!</v>
      </c>
      <c r="AC23" t="e">
        <f t="shared" si="3"/>
        <v>#DIV/0!</v>
      </c>
      <c r="AD23" t="e">
        <f t="shared" si="4"/>
        <v>#DIV/0!</v>
      </c>
      <c r="AE23" t="e">
        <f t="shared" si="5"/>
        <v>#DIV/0!</v>
      </c>
      <c r="AF23" t="e">
        <f t="shared" si="6"/>
        <v>#DIV/0!</v>
      </c>
      <c r="AG23" t="e">
        <f t="shared" si="7"/>
        <v>#DIV/0!</v>
      </c>
      <c r="AH23" t="e">
        <f t="shared" si="14"/>
        <v>#DIV/0!</v>
      </c>
      <c r="AI23" t="e">
        <f t="shared" si="8"/>
        <v>#DIV/0!</v>
      </c>
      <c r="AJ23">
        <f t="shared" si="9"/>
        <v>0</v>
      </c>
      <c r="AK23" t="e">
        <f t="shared" si="10"/>
        <v>#N/A</v>
      </c>
      <c r="AL23">
        <f t="shared" si="11"/>
        <v>0</v>
      </c>
      <c r="AM23" t="e">
        <f t="shared" si="12"/>
        <v>#N/A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">
        <f t="shared" si="13"/>
        <v>1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1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" cm="1">
        <f t="array" ref="X24">ABS(INDEX($F$4:$T$263,ROW(A21),MATCH($W$2,$F$3:$T$3,0))-INDEX($F$4:$T$263,ROW(A20),MATCH($W$2,$F$3:$T$3,0)))</f>
        <v>0</v>
      </c>
      <c r="Y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" t="e">
        <f t="shared" si="0"/>
        <v>#DIV/0!</v>
      </c>
      <c r="AA24" t="e">
        <f t="shared" si="1"/>
        <v>#DIV/0!</v>
      </c>
      <c r="AB24" t="e">
        <f t="shared" si="2"/>
        <v>#DIV/0!</v>
      </c>
      <c r="AC24" t="e">
        <f t="shared" si="3"/>
        <v>#DIV/0!</v>
      </c>
      <c r="AD24" t="e">
        <f t="shared" si="4"/>
        <v>#DIV/0!</v>
      </c>
      <c r="AE24" t="e">
        <f t="shared" si="5"/>
        <v>#DIV/0!</v>
      </c>
      <c r="AF24" t="e">
        <f t="shared" si="6"/>
        <v>#DIV/0!</v>
      </c>
      <c r="AG24" t="e">
        <f t="shared" si="7"/>
        <v>#DIV/0!</v>
      </c>
      <c r="AH24" t="e">
        <f t="shared" si="14"/>
        <v>#DIV/0!</v>
      </c>
      <c r="AI24" t="e">
        <f t="shared" si="8"/>
        <v>#DIV/0!</v>
      </c>
      <c r="AJ24">
        <f t="shared" si="9"/>
        <v>0</v>
      </c>
      <c r="AK24" t="e">
        <f t="shared" si="10"/>
        <v>#N/A</v>
      </c>
      <c r="AL24">
        <f t="shared" si="11"/>
        <v>0</v>
      </c>
      <c r="AM24" t="e">
        <f t="shared" si="12"/>
        <v>#N/A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">
        <f t="shared" si="13"/>
        <v>1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1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" cm="1">
        <f t="array" ref="X25">ABS(INDEX($F$4:$T$263,ROW(A22),MATCH($W$2,$F$3:$T$3,0))-INDEX($F$4:$T$263,ROW(A21),MATCH($W$2,$F$3:$T$3,0)))</f>
        <v>0</v>
      </c>
      <c r="Y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" t="e">
        <f t="shared" si="0"/>
        <v>#DIV/0!</v>
      </c>
      <c r="AA25" t="e">
        <f t="shared" si="1"/>
        <v>#DIV/0!</v>
      </c>
      <c r="AB25" t="e">
        <f t="shared" si="2"/>
        <v>#DIV/0!</v>
      </c>
      <c r="AC25" t="e">
        <f t="shared" si="3"/>
        <v>#DIV/0!</v>
      </c>
      <c r="AD25" t="e">
        <f t="shared" si="4"/>
        <v>#DIV/0!</v>
      </c>
      <c r="AE25" t="e">
        <f t="shared" si="5"/>
        <v>#DIV/0!</v>
      </c>
      <c r="AF25" t="e">
        <f t="shared" si="6"/>
        <v>#DIV/0!</v>
      </c>
      <c r="AG25" t="e">
        <f t="shared" si="7"/>
        <v>#DIV/0!</v>
      </c>
      <c r="AH25" t="e">
        <f t="shared" si="14"/>
        <v>#DIV/0!</v>
      </c>
      <c r="AI25" t="e">
        <f t="shared" si="8"/>
        <v>#DIV/0!</v>
      </c>
      <c r="AJ25">
        <f t="shared" si="9"/>
        <v>0</v>
      </c>
      <c r="AK25" t="e">
        <f t="shared" si="10"/>
        <v>#N/A</v>
      </c>
      <c r="AL25">
        <f t="shared" si="11"/>
        <v>0</v>
      </c>
      <c r="AM25" t="e">
        <f t="shared" si="12"/>
        <v>#N/A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">
        <f t="shared" si="13"/>
        <v>1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1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" cm="1">
        <f t="array" ref="X26">ABS(INDEX($F$4:$T$263,ROW(A23),MATCH($W$2,$F$3:$T$3,0))-INDEX($F$4:$T$263,ROW(A22),MATCH($W$2,$F$3:$T$3,0)))</f>
        <v>0</v>
      </c>
      <c r="Y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" t="e">
        <f t="shared" si="0"/>
        <v>#DIV/0!</v>
      </c>
      <c r="AA26" t="e">
        <f t="shared" si="1"/>
        <v>#DIV/0!</v>
      </c>
      <c r="AB26" t="e">
        <f t="shared" si="2"/>
        <v>#DIV/0!</v>
      </c>
      <c r="AC26" t="e">
        <f t="shared" si="3"/>
        <v>#DIV/0!</v>
      </c>
      <c r="AD26" t="e">
        <f t="shared" si="4"/>
        <v>#DIV/0!</v>
      </c>
      <c r="AE26" t="e">
        <f t="shared" si="5"/>
        <v>#DIV/0!</v>
      </c>
      <c r="AF26" t="e">
        <f t="shared" si="6"/>
        <v>#DIV/0!</v>
      </c>
      <c r="AG26" t="e">
        <f t="shared" si="7"/>
        <v>#DIV/0!</v>
      </c>
      <c r="AH26" t="e">
        <f t="shared" si="14"/>
        <v>#DIV/0!</v>
      </c>
      <c r="AI26" t="e">
        <f t="shared" si="8"/>
        <v>#DIV/0!</v>
      </c>
      <c r="AJ26">
        <f t="shared" si="9"/>
        <v>0</v>
      </c>
      <c r="AK26" t="e">
        <f t="shared" si="10"/>
        <v>#N/A</v>
      </c>
      <c r="AL26">
        <f t="shared" si="11"/>
        <v>0</v>
      </c>
      <c r="AM26" t="e">
        <f t="shared" si="12"/>
        <v>#N/A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">
        <f t="shared" si="13"/>
        <v>1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1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7" cm="1">
        <f t="array" ref="X27">ABS(INDEX($F$4:$T$263,ROW(A24),MATCH($W$2,$F$3:$T$3,0))-INDEX($F$4:$T$263,ROW(A23),MATCH($W$2,$F$3:$T$3,0)))</f>
        <v>0</v>
      </c>
      <c r="Y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7" t="e">
        <f t="shared" si="0"/>
        <v>#DIV/0!</v>
      </c>
      <c r="AA27" t="e">
        <f t="shared" si="1"/>
        <v>#DIV/0!</v>
      </c>
      <c r="AB27" t="e">
        <f t="shared" si="2"/>
        <v>#DIV/0!</v>
      </c>
      <c r="AC27" t="e">
        <f t="shared" si="3"/>
        <v>#DIV/0!</v>
      </c>
      <c r="AD27" t="e">
        <f t="shared" si="4"/>
        <v>#DIV/0!</v>
      </c>
      <c r="AE27" t="e">
        <f t="shared" si="5"/>
        <v>#DIV/0!</v>
      </c>
      <c r="AF27" t="e">
        <f t="shared" si="6"/>
        <v>#DIV/0!</v>
      </c>
      <c r="AG27" t="e">
        <f t="shared" si="7"/>
        <v>#DIV/0!</v>
      </c>
      <c r="AH27" t="e">
        <f t="shared" si="14"/>
        <v>#DIV/0!</v>
      </c>
      <c r="AI27" t="e">
        <f t="shared" si="8"/>
        <v>#DIV/0!</v>
      </c>
      <c r="AJ27">
        <f t="shared" si="9"/>
        <v>0</v>
      </c>
      <c r="AK27" t="e">
        <f t="shared" si="10"/>
        <v>#N/A</v>
      </c>
      <c r="AL27">
        <f t="shared" si="11"/>
        <v>0</v>
      </c>
      <c r="AM27" t="e">
        <f t="shared" si="12"/>
        <v>#N/A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7">
        <f t="shared" si="13"/>
        <v>1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1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8" cm="1">
        <f t="array" ref="X28">ABS(INDEX($F$4:$T$263,ROW(A25),MATCH($W$2,$F$3:$T$3,0))-INDEX($F$4:$T$263,ROW(A24),MATCH($W$2,$F$3:$T$3,0)))</f>
        <v>0</v>
      </c>
      <c r="Y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8" t="e">
        <f t="shared" si="0"/>
        <v>#DIV/0!</v>
      </c>
      <c r="AA28" t="e">
        <f t="shared" si="1"/>
        <v>#DIV/0!</v>
      </c>
      <c r="AB28" t="e">
        <f t="shared" si="2"/>
        <v>#DIV/0!</v>
      </c>
      <c r="AC28" t="e">
        <f t="shared" si="3"/>
        <v>#DIV/0!</v>
      </c>
      <c r="AD28" t="e">
        <f t="shared" si="4"/>
        <v>#DIV/0!</v>
      </c>
      <c r="AE28" t="e">
        <f t="shared" si="5"/>
        <v>#DIV/0!</v>
      </c>
      <c r="AF28" t="e">
        <f t="shared" si="6"/>
        <v>#DIV/0!</v>
      </c>
      <c r="AG28" t="e">
        <f t="shared" si="7"/>
        <v>#DIV/0!</v>
      </c>
      <c r="AH28" t="e">
        <f t="shared" si="14"/>
        <v>#DIV/0!</v>
      </c>
      <c r="AI28" t="e">
        <f t="shared" si="8"/>
        <v>#DIV/0!</v>
      </c>
      <c r="AJ28">
        <f t="shared" si="9"/>
        <v>0</v>
      </c>
      <c r="AK28" t="e">
        <f t="shared" si="10"/>
        <v>#N/A</v>
      </c>
      <c r="AL28">
        <f t="shared" si="11"/>
        <v>0</v>
      </c>
      <c r="AM28" t="e">
        <f t="shared" si="12"/>
        <v>#N/A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8">
        <f t="shared" si="13"/>
        <v>1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1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9" cm="1">
        <f t="array" ref="X29">ABS(INDEX($F$4:$T$263,ROW(A26),MATCH($W$2,$F$3:$T$3,0))-INDEX($F$4:$T$263,ROW(A25),MATCH($W$2,$F$3:$T$3,0)))</f>
        <v>0</v>
      </c>
      <c r="Y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9" t="e">
        <f t="shared" si="0"/>
        <v>#DIV/0!</v>
      </c>
      <c r="AA29" t="e">
        <f t="shared" si="1"/>
        <v>#DIV/0!</v>
      </c>
      <c r="AB29" t="e">
        <f t="shared" si="2"/>
        <v>#DIV/0!</v>
      </c>
      <c r="AC29" t="e">
        <f t="shared" si="3"/>
        <v>#DIV/0!</v>
      </c>
      <c r="AD29" t="e">
        <f t="shared" si="4"/>
        <v>#DIV/0!</v>
      </c>
      <c r="AE29" t="e">
        <f t="shared" si="5"/>
        <v>#DIV/0!</v>
      </c>
      <c r="AF29" t="e">
        <f t="shared" si="6"/>
        <v>#DIV/0!</v>
      </c>
      <c r="AG29" t="e">
        <f t="shared" si="7"/>
        <v>#DIV/0!</v>
      </c>
      <c r="AH29" t="e">
        <f t="shared" si="14"/>
        <v>#DIV/0!</v>
      </c>
      <c r="AI29" t="e">
        <f t="shared" si="8"/>
        <v>#DIV/0!</v>
      </c>
      <c r="AJ29">
        <f t="shared" si="9"/>
        <v>0</v>
      </c>
      <c r="AK29" t="e">
        <f t="shared" si="10"/>
        <v>#N/A</v>
      </c>
      <c r="AL29">
        <f t="shared" si="11"/>
        <v>0</v>
      </c>
      <c r="AM29" t="e">
        <f t="shared" si="12"/>
        <v>#N/A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9">
        <f t="shared" si="13"/>
        <v>1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1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0" cm="1">
        <f t="array" ref="X30">ABS(INDEX($F$4:$T$263,ROW(A27),MATCH($W$2,$F$3:$T$3,0))-INDEX($F$4:$T$263,ROW(A26),MATCH($W$2,$F$3:$T$3,0)))</f>
        <v>0</v>
      </c>
      <c r="Y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0" t="e">
        <f t="shared" si="0"/>
        <v>#DIV/0!</v>
      </c>
      <c r="AA30" t="e">
        <f t="shared" si="1"/>
        <v>#DIV/0!</v>
      </c>
      <c r="AB30" t="e">
        <f t="shared" si="2"/>
        <v>#DIV/0!</v>
      </c>
      <c r="AC30" t="e">
        <f t="shared" si="3"/>
        <v>#DIV/0!</v>
      </c>
      <c r="AD30" t="e">
        <f t="shared" si="4"/>
        <v>#DIV/0!</v>
      </c>
      <c r="AE30" t="e">
        <f t="shared" si="5"/>
        <v>#DIV/0!</v>
      </c>
      <c r="AF30" t="e">
        <f t="shared" si="6"/>
        <v>#DIV/0!</v>
      </c>
      <c r="AG30" t="e">
        <f t="shared" si="7"/>
        <v>#DIV/0!</v>
      </c>
      <c r="AH30" t="e">
        <f t="shared" si="14"/>
        <v>#DIV/0!</v>
      </c>
      <c r="AI30" t="e">
        <f t="shared" si="8"/>
        <v>#DIV/0!</v>
      </c>
      <c r="AJ30">
        <f t="shared" si="9"/>
        <v>0</v>
      </c>
      <c r="AK30" t="e">
        <f t="shared" si="10"/>
        <v>#N/A</v>
      </c>
      <c r="AL30">
        <f t="shared" si="11"/>
        <v>0</v>
      </c>
      <c r="AM30" t="e">
        <f t="shared" si="12"/>
        <v>#N/A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0">
        <f t="shared" si="13"/>
        <v>1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1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1" cm="1">
        <f t="array" ref="X31">ABS(INDEX($F$4:$T$263,ROW(A28),MATCH($W$2,$F$3:$T$3,0))-INDEX($F$4:$T$263,ROW(A27),MATCH($W$2,$F$3:$T$3,0)))</f>
        <v>0</v>
      </c>
      <c r="Y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1" t="e">
        <f t="shared" si="0"/>
        <v>#DIV/0!</v>
      </c>
      <c r="AA31" t="e">
        <f t="shared" si="1"/>
        <v>#DIV/0!</v>
      </c>
      <c r="AB31" t="e">
        <f t="shared" si="2"/>
        <v>#DIV/0!</v>
      </c>
      <c r="AC31" t="e">
        <f t="shared" si="3"/>
        <v>#DIV/0!</v>
      </c>
      <c r="AD31" t="e">
        <f t="shared" si="4"/>
        <v>#DIV/0!</v>
      </c>
      <c r="AE31" t="e">
        <f t="shared" si="5"/>
        <v>#DIV/0!</v>
      </c>
      <c r="AF31" t="e">
        <f t="shared" si="6"/>
        <v>#DIV/0!</v>
      </c>
      <c r="AG31" t="e">
        <f t="shared" si="7"/>
        <v>#DIV/0!</v>
      </c>
      <c r="AH31" t="e">
        <f t="shared" si="14"/>
        <v>#DIV/0!</v>
      </c>
      <c r="AI31" t="e">
        <f t="shared" si="8"/>
        <v>#DIV/0!</v>
      </c>
      <c r="AJ31">
        <f t="shared" si="9"/>
        <v>0</v>
      </c>
      <c r="AK31" t="e">
        <f t="shared" si="10"/>
        <v>#N/A</v>
      </c>
      <c r="AL31">
        <f t="shared" si="11"/>
        <v>0</v>
      </c>
      <c r="AM31" t="e">
        <f t="shared" si="12"/>
        <v>#N/A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1">
        <f t="shared" si="13"/>
        <v>1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1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2" cm="1">
        <f t="array" ref="X32">ABS(INDEX($F$4:$T$263,ROW(A29),MATCH($W$2,$F$3:$T$3,0))-INDEX($F$4:$T$263,ROW(A28),MATCH($W$2,$F$3:$T$3,0)))</f>
        <v>0</v>
      </c>
      <c r="Y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2" t="e">
        <f t="shared" si="0"/>
        <v>#DIV/0!</v>
      </c>
      <c r="AA32" t="e">
        <f t="shared" si="1"/>
        <v>#DIV/0!</v>
      </c>
      <c r="AB32" t="e">
        <f t="shared" si="2"/>
        <v>#DIV/0!</v>
      </c>
      <c r="AC32" t="e">
        <f t="shared" si="3"/>
        <v>#DIV/0!</v>
      </c>
      <c r="AD32" t="e">
        <f t="shared" si="4"/>
        <v>#DIV/0!</v>
      </c>
      <c r="AE32" t="e">
        <f t="shared" si="5"/>
        <v>#DIV/0!</v>
      </c>
      <c r="AF32" t="e">
        <f t="shared" si="6"/>
        <v>#DIV/0!</v>
      </c>
      <c r="AG32" t="e">
        <f t="shared" si="7"/>
        <v>#DIV/0!</v>
      </c>
      <c r="AH32" t="e">
        <f t="shared" si="14"/>
        <v>#DIV/0!</v>
      </c>
      <c r="AI32" t="e">
        <f t="shared" si="8"/>
        <v>#DIV/0!</v>
      </c>
      <c r="AJ32">
        <f t="shared" si="9"/>
        <v>0</v>
      </c>
      <c r="AK32" t="e">
        <f t="shared" si="10"/>
        <v>#N/A</v>
      </c>
      <c r="AL32">
        <f t="shared" si="11"/>
        <v>0</v>
      </c>
      <c r="AM32" t="e">
        <f t="shared" si="12"/>
        <v>#N/A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2">
        <f t="shared" si="13"/>
        <v>1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1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3" cm="1">
        <f t="array" ref="X33">ABS(INDEX($F$4:$T$263,ROW(A30),MATCH($W$2,$F$3:$T$3,0))-INDEX($F$4:$T$263,ROW(A29),MATCH($W$2,$F$3:$T$3,0)))</f>
        <v>0</v>
      </c>
      <c r="Y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3" t="e">
        <f t="shared" si="0"/>
        <v>#DIV/0!</v>
      </c>
      <c r="AA33" t="e">
        <f t="shared" si="1"/>
        <v>#DIV/0!</v>
      </c>
      <c r="AB33" t="e">
        <f t="shared" si="2"/>
        <v>#DIV/0!</v>
      </c>
      <c r="AC33" t="e">
        <f t="shared" si="3"/>
        <v>#DIV/0!</v>
      </c>
      <c r="AD33" t="e">
        <f t="shared" si="4"/>
        <v>#DIV/0!</v>
      </c>
      <c r="AE33" t="e">
        <f t="shared" si="5"/>
        <v>#DIV/0!</v>
      </c>
      <c r="AF33" t="e">
        <f t="shared" si="6"/>
        <v>#DIV/0!</v>
      </c>
      <c r="AG33" t="e">
        <f t="shared" si="7"/>
        <v>#DIV/0!</v>
      </c>
      <c r="AH33" t="e">
        <f t="shared" si="14"/>
        <v>#DIV/0!</v>
      </c>
      <c r="AI33" t="e">
        <f t="shared" si="8"/>
        <v>#DIV/0!</v>
      </c>
      <c r="AJ33">
        <f t="shared" si="9"/>
        <v>0</v>
      </c>
      <c r="AK33" t="e">
        <f t="shared" si="10"/>
        <v>#N/A</v>
      </c>
      <c r="AL33">
        <f t="shared" si="11"/>
        <v>0</v>
      </c>
      <c r="AM33" t="e">
        <f t="shared" si="12"/>
        <v>#N/A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3">
        <f t="shared" si="13"/>
        <v>1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1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4" cm="1">
        <f t="array" ref="X34">ABS(INDEX($F$4:$T$263,ROW(A31),MATCH($W$2,$F$3:$T$3,0))-INDEX($F$4:$T$263,ROW(A30),MATCH($W$2,$F$3:$T$3,0)))</f>
        <v>0</v>
      </c>
      <c r="Y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4" t="e">
        <f t="shared" si="0"/>
        <v>#DIV/0!</v>
      </c>
      <c r="AA34" t="e">
        <f t="shared" si="1"/>
        <v>#DIV/0!</v>
      </c>
      <c r="AB34" t="e">
        <f t="shared" si="2"/>
        <v>#DIV/0!</v>
      </c>
      <c r="AC34" t="e">
        <f t="shared" si="3"/>
        <v>#DIV/0!</v>
      </c>
      <c r="AD34" t="e">
        <f t="shared" si="4"/>
        <v>#DIV/0!</v>
      </c>
      <c r="AE34" t="e">
        <f t="shared" si="5"/>
        <v>#DIV/0!</v>
      </c>
      <c r="AF34" t="e">
        <f t="shared" si="6"/>
        <v>#DIV/0!</v>
      </c>
      <c r="AG34" t="e">
        <f t="shared" si="7"/>
        <v>#DIV/0!</v>
      </c>
      <c r="AH34" t="e">
        <f t="shared" si="14"/>
        <v>#DIV/0!</v>
      </c>
      <c r="AI34" t="e">
        <f t="shared" si="8"/>
        <v>#DIV/0!</v>
      </c>
      <c r="AJ34">
        <f t="shared" si="9"/>
        <v>0</v>
      </c>
      <c r="AK34" t="e">
        <f t="shared" si="10"/>
        <v>#N/A</v>
      </c>
      <c r="AL34">
        <f t="shared" si="11"/>
        <v>0</v>
      </c>
      <c r="AM34" t="e">
        <f t="shared" si="12"/>
        <v>#N/A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4">
        <f t="shared" si="13"/>
        <v>1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1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5" cm="1">
        <f t="array" ref="X35">ABS(INDEX($F$4:$T$263,ROW(A32),MATCH($W$2,$F$3:$T$3,0))-INDEX($F$4:$T$263,ROW(A31),MATCH($W$2,$F$3:$T$3,0)))</f>
        <v>0</v>
      </c>
      <c r="Y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5" t="e">
        <f t="shared" si="0"/>
        <v>#DIV/0!</v>
      </c>
      <c r="AA35" t="e">
        <f t="shared" si="1"/>
        <v>#DIV/0!</v>
      </c>
      <c r="AB35" t="e">
        <f t="shared" si="2"/>
        <v>#DIV/0!</v>
      </c>
      <c r="AC35" t="e">
        <f t="shared" si="3"/>
        <v>#DIV/0!</v>
      </c>
      <c r="AD35" t="e">
        <f t="shared" si="4"/>
        <v>#DIV/0!</v>
      </c>
      <c r="AE35" t="e">
        <f t="shared" si="5"/>
        <v>#DIV/0!</v>
      </c>
      <c r="AF35" t="e">
        <f t="shared" si="6"/>
        <v>#DIV/0!</v>
      </c>
      <c r="AG35" t="e">
        <f t="shared" si="7"/>
        <v>#DIV/0!</v>
      </c>
      <c r="AH35" t="e">
        <f t="shared" si="14"/>
        <v>#DIV/0!</v>
      </c>
      <c r="AI35" t="e">
        <f t="shared" si="8"/>
        <v>#DIV/0!</v>
      </c>
      <c r="AJ35">
        <f t="shared" si="9"/>
        <v>0</v>
      </c>
      <c r="AK35" t="e">
        <f t="shared" si="10"/>
        <v>#N/A</v>
      </c>
      <c r="AL35">
        <f t="shared" si="11"/>
        <v>0</v>
      </c>
      <c r="AM35" t="e">
        <f t="shared" si="12"/>
        <v>#N/A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5">
        <f t="shared" si="13"/>
        <v>1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1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6" cm="1">
        <f t="array" ref="X36">ABS(INDEX($F$4:$T$263,ROW(A33),MATCH($W$2,$F$3:$T$3,0))-INDEX($F$4:$T$263,ROW(A32),MATCH($W$2,$F$3:$T$3,0)))</f>
        <v>0</v>
      </c>
      <c r="Y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6" t="e">
        <f t="shared" si="0"/>
        <v>#DIV/0!</v>
      </c>
      <c r="AA36" t="e">
        <f t="shared" si="1"/>
        <v>#DIV/0!</v>
      </c>
      <c r="AB36" t="e">
        <f t="shared" si="2"/>
        <v>#DIV/0!</v>
      </c>
      <c r="AC36" t="e">
        <f t="shared" si="3"/>
        <v>#DIV/0!</v>
      </c>
      <c r="AD36" t="e">
        <f t="shared" si="4"/>
        <v>#DIV/0!</v>
      </c>
      <c r="AE36" t="e">
        <f t="shared" si="5"/>
        <v>#DIV/0!</v>
      </c>
      <c r="AF36" t="e">
        <f t="shared" si="6"/>
        <v>#DIV/0!</v>
      </c>
      <c r="AG36" t="e">
        <f t="shared" si="7"/>
        <v>#DIV/0!</v>
      </c>
      <c r="AH36" t="e">
        <f t="shared" si="14"/>
        <v>#DIV/0!</v>
      </c>
      <c r="AI36" t="e">
        <f t="shared" si="8"/>
        <v>#DIV/0!</v>
      </c>
      <c r="AJ36">
        <f t="shared" si="9"/>
        <v>0</v>
      </c>
      <c r="AK36" t="e">
        <f t="shared" si="10"/>
        <v>#N/A</v>
      </c>
      <c r="AL36">
        <f t="shared" si="11"/>
        <v>0</v>
      </c>
      <c r="AM36" t="e">
        <f t="shared" si="12"/>
        <v>#N/A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6">
        <f t="shared" si="13"/>
        <v>1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1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7" cm="1">
        <f t="array" ref="X37">ABS(INDEX($F$4:$T$263,ROW(A34),MATCH($W$2,$F$3:$T$3,0))-INDEX($F$4:$T$263,ROW(A33),MATCH($W$2,$F$3:$T$3,0)))</f>
        <v>0</v>
      </c>
      <c r="Y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7" t="e">
        <f t="shared" si="0"/>
        <v>#DIV/0!</v>
      </c>
      <c r="AA37" t="e">
        <f t="shared" si="1"/>
        <v>#DIV/0!</v>
      </c>
      <c r="AB37" t="e">
        <f t="shared" si="2"/>
        <v>#DIV/0!</v>
      </c>
      <c r="AC37" t="e">
        <f t="shared" si="3"/>
        <v>#DIV/0!</v>
      </c>
      <c r="AD37" t="e">
        <f t="shared" si="4"/>
        <v>#DIV/0!</v>
      </c>
      <c r="AE37" t="e">
        <f t="shared" si="5"/>
        <v>#DIV/0!</v>
      </c>
      <c r="AF37" t="e">
        <f t="shared" si="6"/>
        <v>#DIV/0!</v>
      </c>
      <c r="AG37" t="e">
        <f t="shared" si="7"/>
        <v>#DIV/0!</v>
      </c>
      <c r="AH37" t="e">
        <f t="shared" si="14"/>
        <v>#DIV/0!</v>
      </c>
      <c r="AI37" t="e">
        <f t="shared" si="8"/>
        <v>#DIV/0!</v>
      </c>
      <c r="AJ37">
        <f t="shared" si="9"/>
        <v>0</v>
      </c>
      <c r="AK37" t="e">
        <f t="shared" si="10"/>
        <v>#N/A</v>
      </c>
      <c r="AL37">
        <f t="shared" si="11"/>
        <v>0</v>
      </c>
      <c r="AM37" t="e">
        <f t="shared" si="12"/>
        <v>#N/A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7">
        <f t="shared" si="13"/>
        <v>1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1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8" cm="1">
        <f t="array" ref="X38">ABS(INDEX($F$4:$T$263,ROW(A35),MATCH($W$2,$F$3:$T$3,0))-INDEX($F$4:$T$263,ROW(A34),MATCH($W$2,$F$3:$T$3,0)))</f>
        <v>0</v>
      </c>
      <c r="Y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8" t="e">
        <f t="shared" si="0"/>
        <v>#DIV/0!</v>
      </c>
      <c r="AA38" t="e">
        <f t="shared" si="1"/>
        <v>#DIV/0!</v>
      </c>
      <c r="AB38" t="e">
        <f t="shared" si="2"/>
        <v>#DIV/0!</v>
      </c>
      <c r="AC38" t="e">
        <f t="shared" si="3"/>
        <v>#DIV/0!</v>
      </c>
      <c r="AD38" t="e">
        <f t="shared" si="4"/>
        <v>#DIV/0!</v>
      </c>
      <c r="AE38" t="e">
        <f t="shared" si="5"/>
        <v>#DIV/0!</v>
      </c>
      <c r="AF38" t="e">
        <f t="shared" si="6"/>
        <v>#DIV/0!</v>
      </c>
      <c r="AG38" t="e">
        <f t="shared" si="7"/>
        <v>#DIV/0!</v>
      </c>
      <c r="AH38" t="e">
        <f t="shared" si="14"/>
        <v>#DIV/0!</v>
      </c>
      <c r="AI38" t="e">
        <f t="shared" si="8"/>
        <v>#DIV/0!</v>
      </c>
      <c r="AJ38">
        <f t="shared" si="9"/>
        <v>0</v>
      </c>
      <c r="AK38" t="e">
        <f t="shared" si="10"/>
        <v>#N/A</v>
      </c>
      <c r="AL38">
        <f t="shared" si="11"/>
        <v>0</v>
      </c>
      <c r="AM38" t="e">
        <f t="shared" si="12"/>
        <v>#N/A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8">
        <f t="shared" si="13"/>
        <v>1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1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9" cm="1">
        <f t="array" ref="X39">ABS(INDEX($F$4:$T$263,ROW(A36),MATCH($W$2,$F$3:$T$3,0))-INDEX($F$4:$T$263,ROW(A35),MATCH($W$2,$F$3:$T$3,0)))</f>
        <v>0</v>
      </c>
      <c r="Y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9" t="e">
        <f t="shared" si="0"/>
        <v>#DIV/0!</v>
      </c>
      <c r="AA39" t="e">
        <f t="shared" si="1"/>
        <v>#DIV/0!</v>
      </c>
      <c r="AB39" t="e">
        <f t="shared" si="2"/>
        <v>#DIV/0!</v>
      </c>
      <c r="AC39" t="e">
        <f t="shared" si="3"/>
        <v>#DIV/0!</v>
      </c>
      <c r="AD39" t="e">
        <f t="shared" si="4"/>
        <v>#DIV/0!</v>
      </c>
      <c r="AE39" t="e">
        <f t="shared" si="5"/>
        <v>#DIV/0!</v>
      </c>
      <c r="AF39" t="e">
        <f t="shared" si="6"/>
        <v>#DIV/0!</v>
      </c>
      <c r="AG39" t="e">
        <f t="shared" si="7"/>
        <v>#DIV/0!</v>
      </c>
      <c r="AH39" t="e">
        <f t="shared" si="14"/>
        <v>#DIV/0!</v>
      </c>
      <c r="AI39" t="e">
        <f t="shared" si="8"/>
        <v>#DIV/0!</v>
      </c>
      <c r="AJ39">
        <f t="shared" si="9"/>
        <v>0</v>
      </c>
      <c r="AK39" t="e">
        <f t="shared" si="10"/>
        <v>#N/A</v>
      </c>
      <c r="AL39">
        <f t="shared" si="11"/>
        <v>0</v>
      </c>
      <c r="AM39" t="e">
        <f t="shared" si="12"/>
        <v>#N/A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9">
        <f t="shared" si="13"/>
        <v>1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1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0" cm="1">
        <f t="array" ref="X40">ABS(INDEX($F$4:$T$263,ROW(A37),MATCH($W$2,$F$3:$T$3,0))-INDEX($F$4:$T$263,ROW(A36),MATCH($W$2,$F$3:$T$3,0)))</f>
        <v>0</v>
      </c>
      <c r="Y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0" t="e">
        <f t="shared" si="0"/>
        <v>#DIV/0!</v>
      </c>
      <c r="AA40" t="e">
        <f t="shared" si="1"/>
        <v>#DIV/0!</v>
      </c>
      <c r="AB40" t="e">
        <f t="shared" si="2"/>
        <v>#DIV/0!</v>
      </c>
      <c r="AC40" t="e">
        <f t="shared" si="3"/>
        <v>#DIV/0!</v>
      </c>
      <c r="AD40" t="e">
        <f t="shared" si="4"/>
        <v>#DIV/0!</v>
      </c>
      <c r="AE40" t="e">
        <f t="shared" si="5"/>
        <v>#DIV/0!</v>
      </c>
      <c r="AF40" t="e">
        <f t="shared" si="6"/>
        <v>#DIV/0!</v>
      </c>
      <c r="AG40" t="e">
        <f t="shared" si="7"/>
        <v>#DIV/0!</v>
      </c>
      <c r="AH40" t="e">
        <f t="shared" si="14"/>
        <v>#DIV/0!</v>
      </c>
      <c r="AI40" t="e">
        <f t="shared" si="8"/>
        <v>#DIV/0!</v>
      </c>
      <c r="AJ40">
        <f t="shared" si="9"/>
        <v>0</v>
      </c>
      <c r="AK40" t="e">
        <f t="shared" si="10"/>
        <v>#N/A</v>
      </c>
      <c r="AL40">
        <f t="shared" si="11"/>
        <v>0</v>
      </c>
      <c r="AM40" t="e">
        <f t="shared" si="12"/>
        <v>#N/A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0">
        <f t="shared" si="13"/>
        <v>1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1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1" cm="1">
        <f t="array" ref="X41">ABS(INDEX($F$4:$T$263,ROW(A38),MATCH($W$2,$F$3:$T$3,0))-INDEX($F$4:$T$263,ROW(A37),MATCH($W$2,$F$3:$T$3,0)))</f>
        <v>0</v>
      </c>
      <c r="Y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1" t="e">
        <f t="shared" si="0"/>
        <v>#DIV/0!</v>
      </c>
      <c r="AA41" t="e">
        <f t="shared" si="1"/>
        <v>#DIV/0!</v>
      </c>
      <c r="AB41" t="e">
        <f t="shared" si="2"/>
        <v>#DIV/0!</v>
      </c>
      <c r="AC41" t="e">
        <f t="shared" si="3"/>
        <v>#DIV/0!</v>
      </c>
      <c r="AD41" t="e">
        <f t="shared" si="4"/>
        <v>#DIV/0!</v>
      </c>
      <c r="AE41" t="e">
        <f t="shared" si="5"/>
        <v>#DIV/0!</v>
      </c>
      <c r="AF41" t="e">
        <f t="shared" si="6"/>
        <v>#DIV/0!</v>
      </c>
      <c r="AG41" t="e">
        <f t="shared" si="7"/>
        <v>#DIV/0!</v>
      </c>
      <c r="AH41" t="e">
        <f t="shared" si="14"/>
        <v>#DIV/0!</v>
      </c>
      <c r="AI41" t="e">
        <f t="shared" si="8"/>
        <v>#DIV/0!</v>
      </c>
      <c r="AJ41">
        <f t="shared" si="9"/>
        <v>0</v>
      </c>
      <c r="AK41" t="e">
        <f t="shared" si="10"/>
        <v>#N/A</v>
      </c>
      <c r="AL41">
        <f t="shared" si="11"/>
        <v>0</v>
      </c>
      <c r="AM41" t="e">
        <f t="shared" si="12"/>
        <v>#N/A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1">
        <f t="shared" si="13"/>
        <v>1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1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2" cm="1">
        <f t="array" ref="X42">ABS(INDEX($F$4:$T$263,ROW(A39),MATCH($W$2,$F$3:$T$3,0))-INDEX($F$4:$T$263,ROW(A38),MATCH($W$2,$F$3:$T$3,0)))</f>
        <v>0</v>
      </c>
      <c r="Y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2" t="e">
        <f t="shared" si="0"/>
        <v>#DIV/0!</v>
      </c>
      <c r="AA42" t="e">
        <f t="shared" si="1"/>
        <v>#DIV/0!</v>
      </c>
      <c r="AB42" t="e">
        <f t="shared" si="2"/>
        <v>#DIV/0!</v>
      </c>
      <c r="AC42" t="e">
        <f t="shared" si="3"/>
        <v>#DIV/0!</v>
      </c>
      <c r="AD42" t="e">
        <f t="shared" si="4"/>
        <v>#DIV/0!</v>
      </c>
      <c r="AE42" t="e">
        <f t="shared" si="5"/>
        <v>#DIV/0!</v>
      </c>
      <c r="AF42" t="e">
        <f t="shared" si="6"/>
        <v>#DIV/0!</v>
      </c>
      <c r="AG42" t="e">
        <f t="shared" si="7"/>
        <v>#DIV/0!</v>
      </c>
      <c r="AH42" t="e">
        <f t="shared" si="14"/>
        <v>#DIV/0!</v>
      </c>
      <c r="AI42" t="e">
        <f t="shared" si="8"/>
        <v>#DIV/0!</v>
      </c>
      <c r="AJ42">
        <f t="shared" si="9"/>
        <v>0</v>
      </c>
      <c r="AK42" t="e">
        <f t="shared" si="10"/>
        <v>#N/A</v>
      </c>
      <c r="AL42">
        <f t="shared" si="11"/>
        <v>0</v>
      </c>
      <c r="AM42" t="e">
        <f t="shared" si="12"/>
        <v>#N/A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2">
        <f t="shared" si="13"/>
        <v>1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1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3" cm="1">
        <f t="array" ref="X43">ABS(INDEX($F$4:$T$263,ROW(A40),MATCH($W$2,$F$3:$T$3,0))-INDEX($F$4:$T$263,ROW(A39),MATCH($W$2,$F$3:$T$3,0)))</f>
        <v>0</v>
      </c>
      <c r="Y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3" t="e">
        <f t="shared" si="0"/>
        <v>#DIV/0!</v>
      </c>
      <c r="AA43" t="e">
        <f t="shared" si="1"/>
        <v>#DIV/0!</v>
      </c>
      <c r="AB43" t="e">
        <f t="shared" si="2"/>
        <v>#DIV/0!</v>
      </c>
      <c r="AC43" t="e">
        <f t="shared" si="3"/>
        <v>#DIV/0!</v>
      </c>
      <c r="AD43" t="e">
        <f t="shared" si="4"/>
        <v>#DIV/0!</v>
      </c>
      <c r="AE43" t="e">
        <f t="shared" si="5"/>
        <v>#DIV/0!</v>
      </c>
      <c r="AF43" t="e">
        <f t="shared" si="6"/>
        <v>#DIV/0!</v>
      </c>
      <c r="AG43" t="e">
        <f t="shared" si="7"/>
        <v>#DIV/0!</v>
      </c>
      <c r="AH43" t="e">
        <f t="shared" si="14"/>
        <v>#DIV/0!</v>
      </c>
      <c r="AI43" t="e">
        <f t="shared" si="8"/>
        <v>#DIV/0!</v>
      </c>
      <c r="AJ43">
        <f t="shared" si="9"/>
        <v>0</v>
      </c>
      <c r="AK43" t="e">
        <f t="shared" si="10"/>
        <v>#N/A</v>
      </c>
      <c r="AL43">
        <f t="shared" si="11"/>
        <v>0</v>
      </c>
      <c r="AM43" t="e">
        <f t="shared" si="12"/>
        <v>#N/A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3">
        <f t="shared" si="13"/>
        <v>1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1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4" cm="1">
        <f t="array" ref="X44">ABS(INDEX($F$4:$T$263,ROW(A41),MATCH($W$2,$F$3:$T$3,0))-INDEX($F$4:$T$263,ROW(A40),MATCH($W$2,$F$3:$T$3,0)))</f>
        <v>0</v>
      </c>
      <c r="Y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4" t="e">
        <f t="shared" si="0"/>
        <v>#DIV/0!</v>
      </c>
      <c r="AA44" t="e">
        <f t="shared" si="1"/>
        <v>#DIV/0!</v>
      </c>
      <c r="AB44" t="e">
        <f t="shared" si="2"/>
        <v>#DIV/0!</v>
      </c>
      <c r="AC44" t="e">
        <f t="shared" si="3"/>
        <v>#DIV/0!</v>
      </c>
      <c r="AD44" t="e">
        <f t="shared" si="4"/>
        <v>#DIV/0!</v>
      </c>
      <c r="AE44" t="e">
        <f t="shared" si="5"/>
        <v>#DIV/0!</v>
      </c>
      <c r="AF44" t="e">
        <f t="shared" si="6"/>
        <v>#DIV/0!</v>
      </c>
      <c r="AG44" t="e">
        <f t="shared" si="7"/>
        <v>#DIV/0!</v>
      </c>
      <c r="AH44" t="e">
        <f t="shared" si="14"/>
        <v>#DIV/0!</v>
      </c>
      <c r="AI44" t="e">
        <f t="shared" si="8"/>
        <v>#DIV/0!</v>
      </c>
      <c r="AJ44">
        <f t="shared" si="9"/>
        <v>0</v>
      </c>
      <c r="AK44" t="e">
        <f t="shared" si="10"/>
        <v>#N/A</v>
      </c>
      <c r="AL44">
        <f t="shared" si="11"/>
        <v>0</v>
      </c>
      <c r="AM44" t="e">
        <f t="shared" si="12"/>
        <v>#N/A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4">
        <f t="shared" si="13"/>
        <v>1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1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5" cm="1">
        <f t="array" ref="X45">ABS(INDEX($F$4:$T$263,ROW(A42),MATCH($W$2,$F$3:$T$3,0))-INDEX($F$4:$T$263,ROW(A41),MATCH($W$2,$F$3:$T$3,0)))</f>
        <v>0</v>
      </c>
      <c r="Y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5" t="e">
        <f t="shared" si="0"/>
        <v>#DIV/0!</v>
      </c>
      <c r="AA45" t="e">
        <f t="shared" si="1"/>
        <v>#DIV/0!</v>
      </c>
      <c r="AB45" t="e">
        <f t="shared" si="2"/>
        <v>#DIV/0!</v>
      </c>
      <c r="AC45" t="e">
        <f t="shared" si="3"/>
        <v>#DIV/0!</v>
      </c>
      <c r="AD45" t="e">
        <f t="shared" si="4"/>
        <v>#DIV/0!</v>
      </c>
      <c r="AE45" t="e">
        <f t="shared" si="5"/>
        <v>#DIV/0!</v>
      </c>
      <c r="AF45" t="e">
        <f t="shared" si="6"/>
        <v>#DIV/0!</v>
      </c>
      <c r="AG45" t="e">
        <f t="shared" si="7"/>
        <v>#DIV/0!</v>
      </c>
      <c r="AH45" t="e">
        <f t="shared" si="14"/>
        <v>#DIV/0!</v>
      </c>
      <c r="AI45" t="e">
        <f t="shared" si="8"/>
        <v>#DIV/0!</v>
      </c>
      <c r="AJ45">
        <f t="shared" si="9"/>
        <v>0</v>
      </c>
      <c r="AK45" t="e">
        <f t="shared" si="10"/>
        <v>#N/A</v>
      </c>
      <c r="AL45">
        <f t="shared" si="11"/>
        <v>0</v>
      </c>
      <c r="AM45" t="e">
        <f t="shared" si="12"/>
        <v>#N/A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5">
        <f t="shared" si="13"/>
        <v>1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1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6" cm="1">
        <f t="array" ref="X46">ABS(INDEX($F$4:$T$263,ROW(A43),MATCH($W$2,$F$3:$T$3,0))-INDEX($F$4:$T$263,ROW(A42),MATCH($W$2,$F$3:$T$3,0)))</f>
        <v>0</v>
      </c>
      <c r="Y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6" t="e">
        <f t="shared" si="0"/>
        <v>#DIV/0!</v>
      </c>
      <c r="AA46" t="e">
        <f t="shared" si="1"/>
        <v>#DIV/0!</v>
      </c>
      <c r="AB46" t="e">
        <f t="shared" si="2"/>
        <v>#DIV/0!</v>
      </c>
      <c r="AC46" t="e">
        <f t="shared" si="3"/>
        <v>#DIV/0!</v>
      </c>
      <c r="AD46" t="e">
        <f t="shared" si="4"/>
        <v>#DIV/0!</v>
      </c>
      <c r="AE46" t="e">
        <f t="shared" si="5"/>
        <v>#DIV/0!</v>
      </c>
      <c r="AF46" t="e">
        <f t="shared" si="6"/>
        <v>#DIV/0!</v>
      </c>
      <c r="AG46" t="e">
        <f t="shared" si="7"/>
        <v>#DIV/0!</v>
      </c>
      <c r="AH46" t="e">
        <f t="shared" si="14"/>
        <v>#DIV/0!</v>
      </c>
      <c r="AI46" t="e">
        <f t="shared" si="8"/>
        <v>#DIV/0!</v>
      </c>
      <c r="AJ46">
        <f t="shared" si="9"/>
        <v>0</v>
      </c>
      <c r="AK46" t="e">
        <f t="shared" si="10"/>
        <v>#N/A</v>
      </c>
      <c r="AL46">
        <f t="shared" si="11"/>
        <v>0</v>
      </c>
      <c r="AM46" t="e">
        <f t="shared" si="12"/>
        <v>#N/A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6">
        <f t="shared" si="13"/>
        <v>1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1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7" cm="1">
        <f t="array" ref="X47">ABS(INDEX($F$4:$T$263,ROW(A44),MATCH($W$2,$F$3:$T$3,0))-INDEX($F$4:$T$263,ROW(A43),MATCH($W$2,$F$3:$T$3,0)))</f>
        <v>0</v>
      </c>
      <c r="Y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7" t="e">
        <f t="shared" si="0"/>
        <v>#DIV/0!</v>
      </c>
      <c r="AA47" t="e">
        <f t="shared" si="1"/>
        <v>#DIV/0!</v>
      </c>
      <c r="AB47" t="e">
        <f t="shared" si="2"/>
        <v>#DIV/0!</v>
      </c>
      <c r="AC47" t="e">
        <f t="shared" si="3"/>
        <v>#DIV/0!</v>
      </c>
      <c r="AD47" t="e">
        <f t="shared" si="4"/>
        <v>#DIV/0!</v>
      </c>
      <c r="AE47" t="e">
        <f t="shared" si="5"/>
        <v>#DIV/0!</v>
      </c>
      <c r="AF47" t="e">
        <f t="shared" si="6"/>
        <v>#DIV/0!</v>
      </c>
      <c r="AG47" t="e">
        <f t="shared" si="7"/>
        <v>#DIV/0!</v>
      </c>
      <c r="AH47" t="e">
        <f t="shared" si="14"/>
        <v>#DIV/0!</v>
      </c>
      <c r="AI47" t="e">
        <f t="shared" si="8"/>
        <v>#DIV/0!</v>
      </c>
      <c r="AJ47">
        <f t="shared" si="9"/>
        <v>0</v>
      </c>
      <c r="AK47" t="e">
        <f t="shared" si="10"/>
        <v>#N/A</v>
      </c>
      <c r="AL47">
        <f t="shared" si="11"/>
        <v>0</v>
      </c>
      <c r="AM47" t="e">
        <f t="shared" si="12"/>
        <v>#N/A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7">
        <f t="shared" si="13"/>
        <v>1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1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8" cm="1">
        <f t="array" ref="X48">ABS(INDEX($F$4:$T$263,ROW(A45),MATCH($W$2,$F$3:$T$3,0))-INDEX($F$4:$T$263,ROW(A44),MATCH($W$2,$F$3:$T$3,0)))</f>
        <v>0</v>
      </c>
      <c r="Y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8" t="e">
        <f t="shared" si="0"/>
        <v>#DIV/0!</v>
      </c>
      <c r="AA48" t="e">
        <f t="shared" si="1"/>
        <v>#DIV/0!</v>
      </c>
      <c r="AB48" t="e">
        <f t="shared" si="2"/>
        <v>#DIV/0!</v>
      </c>
      <c r="AC48" t="e">
        <f t="shared" si="3"/>
        <v>#DIV/0!</v>
      </c>
      <c r="AD48" t="e">
        <f t="shared" si="4"/>
        <v>#DIV/0!</v>
      </c>
      <c r="AE48" t="e">
        <f t="shared" si="5"/>
        <v>#DIV/0!</v>
      </c>
      <c r="AF48" t="e">
        <f t="shared" si="6"/>
        <v>#DIV/0!</v>
      </c>
      <c r="AG48" t="e">
        <f t="shared" si="7"/>
        <v>#DIV/0!</v>
      </c>
      <c r="AH48" t="e">
        <f t="shared" si="14"/>
        <v>#DIV/0!</v>
      </c>
      <c r="AI48" t="e">
        <f t="shared" si="8"/>
        <v>#DIV/0!</v>
      </c>
      <c r="AJ48">
        <f t="shared" si="9"/>
        <v>0</v>
      </c>
      <c r="AK48" t="e">
        <f t="shared" si="10"/>
        <v>#N/A</v>
      </c>
      <c r="AL48">
        <f t="shared" si="11"/>
        <v>0</v>
      </c>
      <c r="AM48" t="e">
        <f t="shared" si="12"/>
        <v>#N/A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8">
        <f t="shared" si="13"/>
        <v>1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1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9" cm="1">
        <f t="array" ref="X49">ABS(INDEX($F$4:$T$263,ROW(A46),MATCH($W$2,$F$3:$T$3,0))-INDEX($F$4:$T$263,ROW(A45),MATCH($W$2,$F$3:$T$3,0)))</f>
        <v>0</v>
      </c>
      <c r="Y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9" t="e">
        <f t="shared" si="0"/>
        <v>#DIV/0!</v>
      </c>
      <c r="AA49" t="e">
        <f t="shared" si="1"/>
        <v>#DIV/0!</v>
      </c>
      <c r="AB49" t="e">
        <f t="shared" si="2"/>
        <v>#DIV/0!</v>
      </c>
      <c r="AC49" t="e">
        <f t="shared" si="3"/>
        <v>#DIV/0!</v>
      </c>
      <c r="AD49" t="e">
        <f t="shared" si="4"/>
        <v>#DIV/0!</v>
      </c>
      <c r="AE49" t="e">
        <f t="shared" si="5"/>
        <v>#DIV/0!</v>
      </c>
      <c r="AF49" t="e">
        <f t="shared" si="6"/>
        <v>#DIV/0!</v>
      </c>
      <c r="AG49" t="e">
        <f t="shared" si="7"/>
        <v>#DIV/0!</v>
      </c>
      <c r="AH49" t="e">
        <f t="shared" si="14"/>
        <v>#DIV/0!</v>
      </c>
      <c r="AI49" t="e">
        <f t="shared" si="8"/>
        <v>#DIV/0!</v>
      </c>
      <c r="AJ49">
        <f t="shared" si="9"/>
        <v>0</v>
      </c>
      <c r="AK49" t="e">
        <f t="shared" si="10"/>
        <v>#N/A</v>
      </c>
      <c r="AL49">
        <f t="shared" si="11"/>
        <v>0</v>
      </c>
      <c r="AM49" t="e">
        <f t="shared" si="12"/>
        <v>#N/A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9">
        <f t="shared" si="13"/>
        <v>1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1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0" cm="1">
        <f t="array" ref="X50">ABS(INDEX($F$4:$T$263,ROW(A47),MATCH($W$2,$F$3:$T$3,0))-INDEX($F$4:$T$263,ROW(A46),MATCH($W$2,$F$3:$T$3,0)))</f>
        <v>0</v>
      </c>
      <c r="Y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0" t="e">
        <f t="shared" si="0"/>
        <v>#DIV/0!</v>
      </c>
      <c r="AA50" t="e">
        <f t="shared" si="1"/>
        <v>#DIV/0!</v>
      </c>
      <c r="AB50" t="e">
        <f t="shared" si="2"/>
        <v>#DIV/0!</v>
      </c>
      <c r="AC50" t="e">
        <f t="shared" si="3"/>
        <v>#DIV/0!</v>
      </c>
      <c r="AD50" t="e">
        <f t="shared" si="4"/>
        <v>#DIV/0!</v>
      </c>
      <c r="AE50" t="e">
        <f t="shared" si="5"/>
        <v>#DIV/0!</v>
      </c>
      <c r="AF50" t="e">
        <f t="shared" si="6"/>
        <v>#DIV/0!</v>
      </c>
      <c r="AG50" t="e">
        <f t="shared" si="7"/>
        <v>#DIV/0!</v>
      </c>
      <c r="AH50" t="e">
        <f t="shared" si="14"/>
        <v>#DIV/0!</v>
      </c>
      <c r="AI50" t="e">
        <f t="shared" si="8"/>
        <v>#DIV/0!</v>
      </c>
      <c r="AJ50">
        <f t="shared" si="9"/>
        <v>0</v>
      </c>
      <c r="AK50" t="e">
        <f t="shared" si="10"/>
        <v>#N/A</v>
      </c>
      <c r="AL50">
        <f t="shared" si="11"/>
        <v>0</v>
      </c>
      <c r="AM50" t="e">
        <f t="shared" si="12"/>
        <v>#N/A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0">
        <f t="shared" si="13"/>
        <v>1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1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1" cm="1">
        <f t="array" ref="X51">ABS(INDEX($F$4:$T$263,ROW(A48),MATCH($W$2,$F$3:$T$3,0))-INDEX($F$4:$T$263,ROW(A47),MATCH($W$2,$F$3:$T$3,0)))</f>
        <v>0</v>
      </c>
      <c r="Y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1" t="e">
        <f t="shared" si="0"/>
        <v>#DIV/0!</v>
      </c>
      <c r="AA51" t="e">
        <f t="shared" si="1"/>
        <v>#DIV/0!</v>
      </c>
      <c r="AB51" t="e">
        <f t="shared" si="2"/>
        <v>#DIV/0!</v>
      </c>
      <c r="AC51" t="e">
        <f t="shared" si="3"/>
        <v>#DIV/0!</v>
      </c>
      <c r="AD51" t="e">
        <f t="shared" si="4"/>
        <v>#DIV/0!</v>
      </c>
      <c r="AE51" t="e">
        <f t="shared" si="5"/>
        <v>#DIV/0!</v>
      </c>
      <c r="AF51" t="e">
        <f t="shared" si="6"/>
        <v>#DIV/0!</v>
      </c>
      <c r="AG51" t="e">
        <f t="shared" si="7"/>
        <v>#DIV/0!</v>
      </c>
      <c r="AH51" t="e">
        <f t="shared" si="14"/>
        <v>#DIV/0!</v>
      </c>
      <c r="AI51" t="e">
        <f t="shared" si="8"/>
        <v>#DIV/0!</v>
      </c>
      <c r="AJ51">
        <f t="shared" si="9"/>
        <v>0</v>
      </c>
      <c r="AK51" t="e">
        <f t="shared" si="10"/>
        <v>#N/A</v>
      </c>
      <c r="AL51">
        <f t="shared" si="11"/>
        <v>0</v>
      </c>
      <c r="AM51" t="e">
        <f t="shared" si="12"/>
        <v>#N/A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1">
        <f t="shared" si="13"/>
        <v>1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1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2" cm="1">
        <f t="array" ref="X52">ABS(INDEX($F$4:$T$263,ROW(A49),MATCH($W$2,$F$3:$T$3,0))-INDEX($F$4:$T$263,ROW(A48),MATCH($W$2,$F$3:$T$3,0)))</f>
        <v>0</v>
      </c>
      <c r="Y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2" t="e">
        <f t="shared" si="0"/>
        <v>#DIV/0!</v>
      </c>
      <c r="AA52" t="e">
        <f t="shared" si="1"/>
        <v>#DIV/0!</v>
      </c>
      <c r="AB52" t="e">
        <f t="shared" si="2"/>
        <v>#DIV/0!</v>
      </c>
      <c r="AC52" t="e">
        <f t="shared" si="3"/>
        <v>#DIV/0!</v>
      </c>
      <c r="AD52" t="e">
        <f t="shared" si="4"/>
        <v>#DIV/0!</v>
      </c>
      <c r="AE52" t="e">
        <f t="shared" si="5"/>
        <v>#DIV/0!</v>
      </c>
      <c r="AF52" t="e">
        <f t="shared" si="6"/>
        <v>#DIV/0!</v>
      </c>
      <c r="AG52" t="e">
        <f t="shared" si="7"/>
        <v>#DIV/0!</v>
      </c>
      <c r="AH52" t="e">
        <f t="shared" si="14"/>
        <v>#DIV/0!</v>
      </c>
      <c r="AI52" t="e">
        <f t="shared" si="8"/>
        <v>#DIV/0!</v>
      </c>
      <c r="AJ52">
        <f t="shared" si="9"/>
        <v>0</v>
      </c>
      <c r="AK52" t="e">
        <f t="shared" si="10"/>
        <v>#N/A</v>
      </c>
      <c r="AL52">
        <f t="shared" si="11"/>
        <v>0</v>
      </c>
      <c r="AM52" t="e">
        <f t="shared" si="12"/>
        <v>#N/A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2">
        <f t="shared" si="13"/>
        <v>1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1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3" cm="1">
        <f t="array" ref="X53">ABS(INDEX($F$4:$T$263,ROW(A50),MATCH($W$2,$F$3:$T$3,0))-INDEX($F$4:$T$263,ROW(A49),MATCH($W$2,$F$3:$T$3,0)))</f>
        <v>0</v>
      </c>
      <c r="Y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3" t="e">
        <f t="shared" si="0"/>
        <v>#DIV/0!</v>
      </c>
      <c r="AA53" t="e">
        <f t="shared" si="1"/>
        <v>#DIV/0!</v>
      </c>
      <c r="AB53" t="e">
        <f t="shared" si="2"/>
        <v>#DIV/0!</v>
      </c>
      <c r="AC53" t="e">
        <f t="shared" si="3"/>
        <v>#DIV/0!</v>
      </c>
      <c r="AD53" t="e">
        <f t="shared" si="4"/>
        <v>#DIV/0!</v>
      </c>
      <c r="AE53" t="e">
        <f t="shared" si="5"/>
        <v>#DIV/0!</v>
      </c>
      <c r="AF53" t="e">
        <f t="shared" si="6"/>
        <v>#DIV/0!</v>
      </c>
      <c r="AG53" t="e">
        <f t="shared" si="7"/>
        <v>#DIV/0!</v>
      </c>
      <c r="AH53" t="e">
        <f t="shared" si="14"/>
        <v>#DIV/0!</v>
      </c>
      <c r="AI53" t="e">
        <f t="shared" si="8"/>
        <v>#DIV/0!</v>
      </c>
      <c r="AJ53">
        <f t="shared" si="9"/>
        <v>0</v>
      </c>
      <c r="AK53" t="e">
        <f t="shared" si="10"/>
        <v>#N/A</v>
      </c>
      <c r="AL53">
        <f t="shared" si="11"/>
        <v>0</v>
      </c>
      <c r="AM53" t="e">
        <f t="shared" si="12"/>
        <v>#N/A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3">
        <f t="shared" si="13"/>
        <v>1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1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4" cm="1">
        <f t="array" ref="X54">ABS(INDEX($F$4:$T$263,ROW(A51),MATCH($W$2,$F$3:$T$3,0))-INDEX($F$4:$T$263,ROW(A50),MATCH($W$2,$F$3:$T$3,0)))</f>
        <v>0</v>
      </c>
      <c r="Y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4" t="e">
        <f t="shared" si="0"/>
        <v>#DIV/0!</v>
      </c>
      <c r="AA54" t="e">
        <f t="shared" si="1"/>
        <v>#DIV/0!</v>
      </c>
      <c r="AB54" t="e">
        <f t="shared" si="2"/>
        <v>#DIV/0!</v>
      </c>
      <c r="AC54" t="e">
        <f t="shared" si="3"/>
        <v>#DIV/0!</v>
      </c>
      <c r="AD54" t="e">
        <f t="shared" si="4"/>
        <v>#DIV/0!</v>
      </c>
      <c r="AE54" t="e">
        <f t="shared" si="5"/>
        <v>#DIV/0!</v>
      </c>
      <c r="AF54" t="e">
        <f t="shared" si="6"/>
        <v>#DIV/0!</v>
      </c>
      <c r="AG54" t="e">
        <f t="shared" si="7"/>
        <v>#DIV/0!</v>
      </c>
      <c r="AH54" t="e">
        <f t="shared" si="14"/>
        <v>#DIV/0!</v>
      </c>
      <c r="AI54" t="e">
        <f t="shared" si="8"/>
        <v>#DIV/0!</v>
      </c>
      <c r="AJ54">
        <f t="shared" si="9"/>
        <v>0</v>
      </c>
      <c r="AK54" t="e">
        <f t="shared" si="10"/>
        <v>#N/A</v>
      </c>
      <c r="AL54">
        <f t="shared" si="11"/>
        <v>0</v>
      </c>
      <c r="AM54" t="e">
        <f t="shared" si="12"/>
        <v>#N/A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4">
        <f t="shared" si="13"/>
        <v>1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1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5" cm="1">
        <f t="array" ref="X55">ABS(INDEX($F$4:$T$263,ROW(A52),MATCH($W$2,$F$3:$T$3,0))-INDEX($F$4:$T$263,ROW(A51),MATCH($W$2,$F$3:$T$3,0)))</f>
        <v>0</v>
      </c>
      <c r="Y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5" t="e">
        <f t="shared" si="0"/>
        <v>#DIV/0!</v>
      </c>
      <c r="AA55" t="e">
        <f t="shared" si="1"/>
        <v>#DIV/0!</v>
      </c>
      <c r="AB55" t="e">
        <f t="shared" si="2"/>
        <v>#DIV/0!</v>
      </c>
      <c r="AC55" t="e">
        <f t="shared" si="3"/>
        <v>#DIV/0!</v>
      </c>
      <c r="AD55" t="e">
        <f t="shared" si="4"/>
        <v>#DIV/0!</v>
      </c>
      <c r="AE55" t="e">
        <f t="shared" si="5"/>
        <v>#DIV/0!</v>
      </c>
      <c r="AF55" t="e">
        <f t="shared" si="6"/>
        <v>#DIV/0!</v>
      </c>
      <c r="AG55" t="e">
        <f t="shared" si="7"/>
        <v>#DIV/0!</v>
      </c>
      <c r="AH55" t="e">
        <f t="shared" si="14"/>
        <v>#DIV/0!</v>
      </c>
      <c r="AI55" t="e">
        <f t="shared" si="8"/>
        <v>#DIV/0!</v>
      </c>
      <c r="AJ55">
        <f t="shared" si="9"/>
        <v>0</v>
      </c>
      <c r="AK55" t="e">
        <f t="shared" si="10"/>
        <v>#N/A</v>
      </c>
      <c r="AL55">
        <f t="shared" si="11"/>
        <v>0</v>
      </c>
      <c r="AM55" t="e">
        <f t="shared" si="12"/>
        <v>#N/A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5">
        <f t="shared" si="13"/>
        <v>1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1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6" cm="1">
        <f t="array" ref="X56">ABS(INDEX($F$4:$T$263,ROW(A53),MATCH($W$2,$F$3:$T$3,0))-INDEX($F$4:$T$263,ROW(A52),MATCH($W$2,$F$3:$T$3,0)))</f>
        <v>0</v>
      </c>
      <c r="Y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6" t="e">
        <f t="shared" si="0"/>
        <v>#DIV/0!</v>
      </c>
      <c r="AA56" t="e">
        <f t="shared" si="1"/>
        <v>#DIV/0!</v>
      </c>
      <c r="AB56" t="e">
        <f t="shared" si="2"/>
        <v>#DIV/0!</v>
      </c>
      <c r="AC56" t="e">
        <f t="shared" si="3"/>
        <v>#DIV/0!</v>
      </c>
      <c r="AD56" t="e">
        <f t="shared" si="4"/>
        <v>#DIV/0!</v>
      </c>
      <c r="AE56" t="e">
        <f t="shared" si="5"/>
        <v>#DIV/0!</v>
      </c>
      <c r="AF56" t="e">
        <f t="shared" si="6"/>
        <v>#DIV/0!</v>
      </c>
      <c r="AG56" t="e">
        <f t="shared" si="7"/>
        <v>#DIV/0!</v>
      </c>
      <c r="AH56" t="e">
        <f t="shared" si="14"/>
        <v>#DIV/0!</v>
      </c>
      <c r="AI56" t="e">
        <f t="shared" si="8"/>
        <v>#DIV/0!</v>
      </c>
      <c r="AJ56">
        <f t="shared" si="9"/>
        <v>0</v>
      </c>
      <c r="AK56" t="e">
        <f t="shared" si="10"/>
        <v>#N/A</v>
      </c>
      <c r="AL56">
        <f t="shared" si="11"/>
        <v>0</v>
      </c>
      <c r="AM56" t="e">
        <f t="shared" si="12"/>
        <v>#N/A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6">
        <f t="shared" si="13"/>
        <v>1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1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7" cm="1">
        <f t="array" ref="X57">ABS(INDEX($F$4:$T$263,ROW(A54),MATCH($W$2,$F$3:$T$3,0))-INDEX($F$4:$T$263,ROW(A53),MATCH($W$2,$F$3:$T$3,0)))</f>
        <v>0</v>
      </c>
      <c r="Y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7" t="e">
        <f t="shared" si="0"/>
        <v>#DIV/0!</v>
      </c>
      <c r="AA57" t="e">
        <f t="shared" si="1"/>
        <v>#DIV/0!</v>
      </c>
      <c r="AB57" t="e">
        <f t="shared" si="2"/>
        <v>#DIV/0!</v>
      </c>
      <c r="AC57" t="e">
        <f t="shared" si="3"/>
        <v>#DIV/0!</v>
      </c>
      <c r="AD57" t="e">
        <f t="shared" si="4"/>
        <v>#DIV/0!</v>
      </c>
      <c r="AE57" t="e">
        <f t="shared" si="5"/>
        <v>#DIV/0!</v>
      </c>
      <c r="AF57" t="e">
        <f t="shared" si="6"/>
        <v>#DIV/0!</v>
      </c>
      <c r="AG57" t="e">
        <f t="shared" si="7"/>
        <v>#DIV/0!</v>
      </c>
      <c r="AH57" t="e">
        <f t="shared" si="14"/>
        <v>#DIV/0!</v>
      </c>
      <c r="AI57" t="e">
        <f t="shared" si="8"/>
        <v>#DIV/0!</v>
      </c>
      <c r="AJ57">
        <f t="shared" si="9"/>
        <v>0</v>
      </c>
      <c r="AK57" t="e">
        <f t="shared" si="10"/>
        <v>#N/A</v>
      </c>
      <c r="AL57">
        <f t="shared" si="11"/>
        <v>0</v>
      </c>
      <c r="AM57" t="e">
        <f t="shared" si="12"/>
        <v>#N/A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7">
        <f t="shared" si="13"/>
        <v>1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1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8" cm="1">
        <f t="array" ref="X58">ABS(INDEX($F$4:$T$263,ROW(A55),MATCH($W$2,$F$3:$T$3,0))-INDEX($F$4:$T$263,ROW(A54),MATCH($W$2,$F$3:$T$3,0)))</f>
        <v>0</v>
      </c>
      <c r="Y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8" t="e">
        <f t="shared" si="0"/>
        <v>#DIV/0!</v>
      </c>
      <c r="AA58" t="e">
        <f t="shared" si="1"/>
        <v>#DIV/0!</v>
      </c>
      <c r="AB58" t="e">
        <f t="shared" si="2"/>
        <v>#DIV/0!</v>
      </c>
      <c r="AC58" t="e">
        <f t="shared" si="3"/>
        <v>#DIV/0!</v>
      </c>
      <c r="AD58" t="e">
        <f t="shared" si="4"/>
        <v>#DIV/0!</v>
      </c>
      <c r="AE58" t="e">
        <f t="shared" si="5"/>
        <v>#DIV/0!</v>
      </c>
      <c r="AF58" t="e">
        <f t="shared" si="6"/>
        <v>#DIV/0!</v>
      </c>
      <c r="AG58" t="e">
        <f t="shared" si="7"/>
        <v>#DIV/0!</v>
      </c>
      <c r="AH58" t="e">
        <f t="shared" si="14"/>
        <v>#DIV/0!</v>
      </c>
      <c r="AI58" t="e">
        <f t="shared" si="8"/>
        <v>#DIV/0!</v>
      </c>
      <c r="AJ58">
        <f t="shared" si="9"/>
        <v>0</v>
      </c>
      <c r="AK58" t="e">
        <f t="shared" si="10"/>
        <v>#N/A</v>
      </c>
      <c r="AL58">
        <f t="shared" si="11"/>
        <v>0</v>
      </c>
      <c r="AM58" t="e">
        <f t="shared" si="12"/>
        <v>#N/A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8">
        <f t="shared" si="13"/>
        <v>1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1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9" cm="1">
        <f t="array" ref="X59">ABS(INDEX($F$4:$T$263,ROW(A56),MATCH($W$2,$F$3:$T$3,0))-INDEX($F$4:$T$263,ROW(A55),MATCH($W$2,$F$3:$T$3,0)))</f>
        <v>0</v>
      </c>
      <c r="Y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9" t="e">
        <f t="shared" si="0"/>
        <v>#DIV/0!</v>
      </c>
      <c r="AA59" t="e">
        <f t="shared" si="1"/>
        <v>#DIV/0!</v>
      </c>
      <c r="AB59" t="e">
        <f t="shared" si="2"/>
        <v>#DIV/0!</v>
      </c>
      <c r="AC59" t="e">
        <f t="shared" si="3"/>
        <v>#DIV/0!</v>
      </c>
      <c r="AD59" t="e">
        <f t="shared" si="4"/>
        <v>#DIV/0!</v>
      </c>
      <c r="AE59" t="e">
        <f t="shared" si="5"/>
        <v>#DIV/0!</v>
      </c>
      <c r="AF59" t="e">
        <f t="shared" si="6"/>
        <v>#DIV/0!</v>
      </c>
      <c r="AG59" t="e">
        <f t="shared" si="7"/>
        <v>#DIV/0!</v>
      </c>
      <c r="AH59" t="e">
        <f t="shared" si="14"/>
        <v>#DIV/0!</v>
      </c>
      <c r="AI59" t="e">
        <f t="shared" si="8"/>
        <v>#DIV/0!</v>
      </c>
      <c r="AJ59">
        <f t="shared" si="9"/>
        <v>0</v>
      </c>
      <c r="AK59" t="e">
        <f t="shared" si="10"/>
        <v>#N/A</v>
      </c>
      <c r="AL59">
        <f t="shared" si="11"/>
        <v>0</v>
      </c>
      <c r="AM59" t="e">
        <f t="shared" si="12"/>
        <v>#N/A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9">
        <f t="shared" si="13"/>
        <v>1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1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0" cm="1">
        <f t="array" ref="X60">ABS(INDEX($F$4:$T$263,ROW(A57),MATCH($W$2,$F$3:$T$3,0))-INDEX($F$4:$T$263,ROW(A56),MATCH($W$2,$F$3:$T$3,0)))</f>
        <v>0</v>
      </c>
      <c r="Y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0" t="e">
        <f t="shared" si="0"/>
        <v>#DIV/0!</v>
      </c>
      <c r="AA60" t="e">
        <f t="shared" si="1"/>
        <v>#DIV/0!</v>
      </c>
      <c r="AB60" t="e">
        <f t="shared" si="2"/>
        <v>#DIV/0!</v>
      </c>
      <c r="AC60" t="e">
        <f t="shared" si="3"/>
        <v>#DIV/0!</v>
      </c>
      <c r="AD60" t="e">
        <f t="shared" si="4"/>
        <v>#DIV/0!</v>
      </c>
      <c r="AE60" t="e">
        <f t="shared" si="5"/>
        <v>#DIV/0!</v>
      </c>
      <c r="AF60" t="e">
        <f t="shared" si="6"/>
        <v>#DIV/0!</v>
      </c>
      <c r="AG60" t="e">
        <f t="shared" si="7"/>
        <v>#DIV/0!</v>
      </c>
      <c r="AH60" t="e">
        <f t="shared" si="14"/>
        <v>#DIV/0!</v>
      </c>
      <c r="AI60" t="e">
        <f t="shared" si="8"/>
        <v>#DIV/0!</v>
      </c>
      <c r="AJ60">
        <f t="shared" si="9"/>
        <v>0</v>
      </c>
      <c r="AK60" t="e">
        <f t="shared" si="10"/>
        <v>#N/A</v>
      </c>
      <c r="AL60">
        <f t="shared" si="11"/>
        <v>0</v>
      </c>
      <c r="AM60" t="e">
        <f t="shared" si="12"/>
        <v>#N/A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0">
        <f t="shared" si="13"/>
        <v>1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1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1" cm="1">
        <f t="array" ref="X61">ABS(INDEX($F$4:$T$263,ROW(A58),MATCH($W$2,$F$3:$T$3,0))-INDEX($F$4:$T$263,ROW(A57),MATCH($W$2,$F$3:$T$3,0)))</f>
        <v>0</v>
      </c>
      <c r="Y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1" t="e">
        <f t="shared" si="0"/>
        <v>#DIV/0!</v>
      </c>
      <c r="AA61" t="e">
        <f t="shared" si="1"/>
        <v>#DIV/0!</v>
      </c>
      <c r="AB61" t="e">
        <f t="shared" si="2"/>
        <v>#DIV/0!</v>
      </c>
      <c r="AC61" t="e">
        <f t="shared" si="3"/>
        <v>#DIV/0!</v>
      </c>
      <c r="AD61" t="e">
        <f t="shared" si="4"/>
        <v>#DIV/0!</v>
      </c>
      <c r="AE61" t="e">
        <f t="shared" si="5"/>
        <v>#DIV/0!</v>
      </c>
      <c r="AF61" t="e">
        <f t="shared" si="6"/>
        <v>#DIV/0!</v>
      </c>
      <c r="AG61" t="e">
        <f t="shared" si="7"/>
        <v>#DIV/0!</v>
      </c>
      <c r="AH61" t="e">
        <f t="shared" si="14"/>
        <v>#DIV/0!</v>
      </c>
      <c r="AI61" t="e">
        <f t="shared" si="8"/>
        <v>#DIV/0!</v>
      </c>
      <c r="AJ61">
        <f t="shared" si="9"/>
        <v>0</v>
      </c>
      <c r="AK61" t="e">
        <f t="shared" si="10"/>
        <v>#N/A</v>
      </c>
      <c r="AL61">
        <f t="shared" si="11"/>
        <v>0</v>
      </c>
      <c r="AM61" t="e">
        <f t="shared" si="12"/>
        <v>#N/A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1">
        <f t="shared" si="13"/>
        <v>1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1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2" cm="1">
        <f t="array" ref="X62">ABS(INDEX($F$4:$T$263,ROW(A59),MATCH($W$2,$F$3:$T$3,0))-INDEX($F$4:$T$263,ROW(A58),MATCH($W$2,$F$3:$T$3,0)))</f>
        <v>0</v>
      </c>
      <c r="Y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2" t="e">
        <f t="shared" si="0"/>
        <v>#DIV/0!</v>
      </c>
      <c r="AA62" t="e">
        <f t="shared" si="1"/>
        <v>#DIV/0!</v>
      </c>
      <c r="AB62" t="e">
        <f t="shared" si="2"/>
        <v>#DIV/0!</v>
      </c>
      <c r="AC62" t="e">
        <f t="shared" si="3"/>
        <v>#DIV/0!</v>
      </c>
      <c r="AD62" t="e">
        <f t="shared" si="4"/>
        <v>#DIV/0!</v>
      </c>
      <c r="AE62" t="e">
        <f t="shared" si="5"/>
        <v>#DIV/0!</v>
      </c>
      <c r="AF62" t="e">
        <f t="shared" si="6"/>
        <v>#DIV/0!</v>
      </c>
      <c r="AG62" t="e">
        <f t="shared" si="7"/>
        <v>#DIV/0!</v>
      </c>
      <c r="AH62" t="e">
        <f t="shared" si="14"/>
        <v>#DIV/0!</v>
      </c>
      <c r="AI62" t="e">
        <f t="shared" si="8"/>
        <v>#DIV/0!</v>
      </c>
      <c r="AJ62">
        <f t="shared" si="9"/>
        <v>0</v>
      </c>
      <c r="AK62" t="e">
        <f t="shared" si="10"/>
        <v>#N/A</v>
      </c>
      <c r="AL62">
        <f t="shared" si="11"/>
        <v>0</v>
      </c>
      <c r="AM62" t="e">
        <f t="shared" si="12"/>
        <v>#N/A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2">
        <f t="shared" si="13"/>
        <v>1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1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3" cm="1">
        <f t="array" ref="X63">ABS(INDEX($F$4:$T$263,ROW(A60),MATCH($W$2,$F$3:$T$3,0))-INDEX($F$4:$T$263,ROW(A59),MATCH($W$2,$F$3:$T$3,0)))</f>
        <v>0</v>
      </c>
      <c r="Y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3" t="e">
        <f t="shared" si="0"/>
        <v>#DIV/0!</v>
      </c>
      <c r="AA63" t="e">
        <f t="shared" si="1"/>
        <v>#DIV/0!</v>
      </c>
      <c r="AB63" t="e">
        <f t="shared" si="2"/>
        <v>#DIV/0!</v>
      </c>
      <c r="AC63" t="e">
        <f t="shared" si="3"/>
        <v>#DIV/0!</v>
      </c>
      <c r="AD63" t="e">
        <f t="shared" si="4"/>
        <v>#DIV/0!</v>
      </c>
      <c r="AE63" t="e">
        <f t="shared" si="5"/>
        <v>#DIV/0!</v>
      </c>
      <c r="AF63" t="e">
        <f t="shared" si="6"/>
        <v>#DIV/0!</v>
      </c>
      <c r="AG63" t="e">
        <f t="shared" si="7"/>
        <v>#DIV/0!</v>
      </c>
      <c r="AH63" t="e">
        <f t="shared" si="14"/>
        <v>#DIV/0!</v>
      </c>
      <c r="AI63" t="e">
        <f t="shared" si="8"/>
        <v>#DIV/0!</v>
      </c>
      <c r="AJ63">
        <f t="shared" si="9"/>
        <v>0</v>
      </c>
      <c r="AK63" t="e">
        <f t="shared" si="10"/>
        <v>#N/A</v>
      </c>
      <c r="AL63">
        <f t="shared" si="11"/>
        <v>0</v>
      </c>
      <c r="AM63" t="e">
        <f t="shared" si="12"/>
        <v>#N/A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3">
        <f t="shared" si="13"/>
        <v>1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1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4" cm="1">
        <f t="array" ref="X64">ABS(INDEX($F$4:$T$263,ROW(A61),MATCH($W$2,$F$3:$T$3,0))-INDEX($F$4:$T$263,ROW(A60),MATCH($W$2,$F$3:$T$3,0)))</f>
        <v>0</v>
      </c>
      <c r="Y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4" t="e">
        <f t="shared" si="0"/>
        <v>#DIV/0!</v>
      </c>
      <c r="AA64" t="e">
        <f t="shared" si="1"/>
        <v>#DIV/0!</v>
      </c>
      <c r="AB64" t="e">
        <f t="shared" si="2"/>
        <v>#DIV/0!</v>
      </c>
      <c r="AC64" t="e">
        <f t="shared" si="3"/>
        <v>#DIV/0!</v>
      </c>
      <c r="AD64" t="e">
        <f t="shared" si="4"/>
        <v>#DIV/0!</v>
      </c>
      <c r="AE64" t="e">
        <f t="shared" si="5"/>
        <v>#DIV/0!</v>
      </c>
      <c r="AF64" t="e">
        <f t="shared" si="6"/>
        <v>#DIV/0!</v>
      </c>
      <c r="AG64" t="e">
        <f t="shared" si="7"/>
        <v>#DIV/0!</v>
      </c>
      <c r="AH64" t="e">
        <f t="shared" si="14"/>
        <v>#DIV/0!</v>
      </c>
      <c r="AI64" t="e">
        <f t="shared" si="8"/>
        <v>#DIV/0!</v>
      </c>
      <c r="AJ64">
        <f t="shared" si="9"/>
        <v>0</v>
      </c>
      <c r="AK64" t="e">
        <f t="shared" si="10"/>
        <v>#N/A</v>
      </c>
      <c r="AL64">
        <f t="shared" si="11"/>
        <v>0</v>
      </c>
      <c r="AM64" t="e">
        <f t="shared" si="12"/>
        <v>#N/A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4">
        <f t="shared" si="13"/>
        <v>1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1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5" cm="1">
        <f t="array" ref="X65">ABS(INDEX($F$4:$T$263,ROW(A62),MATCH($W$2,$F$3:$T$3,0))-INDEX($F$4:$T$263,ROW(A61),MATCH($W$2,$F$3:$T$3,0)))</f>
        <v>0</v>
      </c>
      <c r="Y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5" t="e">
        <f t="shared" si="0"/>
        <v>#DIV/0!</v>
      </c>
      <c r="AA65" t="e">
        <f t="shared" si="1"/>
        <v>#DIV/0!</v>
      </c>
      <c r="AB65" t="e">
        <f t="shared" si="2"/>
        <v>#DIV/0!</v>
      </c>
      <c r="AC65" t="e">
        <f t="shared" si="3"/>
        <v>#DIV/0!</v>
      </c>
      <c r="AD65" t="e">
        <f t="shared" si="4"/>
        <v>#DIV/0!</v>
      </c>
      <c r="AE65" t="e">
        <f t="shared" si="5"/>
        <v>#DIV/0!</v>
      </c>
      <c r="AF65" t="e">
        <f t="shared" si="6"/>
        <v>#DIV/0!</v>
      </c>
      <c r="AG65" t="e">
        <f t="shared" si="7"/>
        <v>#DIV/0!</v>
      </c>
      <c r="AH65" t="e">
        <f t="shared" si="14"/>
        <v>#DIV/0!</v>
      </c>
      <c r="AI65" t="e">
        <f t="shared" si="8"/>
        <v>#DIV/0!</v>
      </c>
      <c r="AJ65">
        <f t="shared" si="9"/>
        <v>0</v>
      </c>
      <c r="AK65" t="e">
        <f t="shared" si="10"/>
        <v>#N/A</v>
      </c>
      <c r="AL65">
        <f t="shared" si="11"/>
        <v>0</v>
      </c>
      <c r="AM65" t="e">
        <f t="shared" si="12"/>
        <v>#N/A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5">
        <f t="shared" si="13"/>
        <v>1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1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6" cm="1">
        <f t="array" ref="X66">ABS(INDEX($F$4:$T$263,ROW(A63),MATCH($W$2,$F$3:$T$3,0))-INDEX($F$4:$T$263,ROW(A62),MATCH($W$2,$F$3:$T$3,0)))</f>
        <v>0</v>
      </c>
      <c r="Y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6" t="e">
        <f t="shared" si="0"/>
        <v>#DIV/0!</v>
      </c>
      <c r="AA66" t="e">
        <f t="shared" si="1"/>
        <v>#DIV/0!</v>
      </c>
      <c r="AB66" t="e">
        <f t="shared" si="2"/>
        <v>#DIV/0!</v>
      </c>
      <c r="AC66" t="e">
        <f t="shared" si="3"/>
        <v>#DIV/0!</v>
      </c>
      <c r="AD66" t="e">
        <f t="shared" si="4"/>
        <v>#DIV/0!</v>
      </c>
      <c r="AE66" t="e">
        <f t="shared" si="5"/>
        <v>#DIV/0!</v>
      </c>
      <c r="AF66" t="e">
        <f t="shared" si="6"/>
        <v>#DIV/0!</v>
      </c>
      <c r="AG66" t="e">
        <f t="shared" si="7"/>
        <v>#DIV/0!</v>
      </c>
      <c r="AH66" t="e">
        <f t="shared" si="14"/>
        <v>#DIV/0!</v>
      </c>
      <c r="AI66" t="e">
        <f t="shared" si="8"/>
        <v>#DIV/0!</v>
      </c>
      <c r="AJ66">
        <f t="shared" si="9"/>
        <v>0</v>
      </c>
      <c r="AK66" t="e">
        <f t="shared" si="10"/>
        <v>#N/A</v>
      </c>
      <c r="AL66">
        <f t="shared" si="11"/>
        <v>0</v>
      </c>
      <c r="AM66" t="e">
        <f t="shared" si="12"/>
        <v>#N/A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6">
        <f t="shared" si="13"/>
        <v>1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1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7" cm="1">
        <f t="array" ref="X67">ABS(INDEX($F$4:$T$263,ROW(A64),MATCH($W$2,$F$3:$T$3,0))-INDEX($F$4:$T$263,ROW(A63),MATCH($W$2,$F$3:$T$3,0)))</f>
        <v>0</v>
      </c>
      <c r="Y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7" t="e">
        <f t="shared" si="0"/>
        <v>#DIV/0!</v>
      </c>
      <c r="AA67" t="e">
        <f t="shared" si="1"/>
        <v>#DIV/0!</v>
      </c>
      <c r="AB67" t="e">
        <f t="shared" si="2"/>
        <v>#DIV/0!</v>
      </c>
      <c r="AC67" t="e">
        <f t="shared" si="3"/>
        <v>#DIV/0!</v>
      </c>
      <c r="AD67" t="e">
        <f t="shared" si="4"/>
        <v>#DIV/0!</v>
      </c>
      <c r="AE67" t="e">
        <f t="shared" si="5"/>
        <v>#DIV/0!</v>
      </c>
      <c r="AF67" t="e">
        <f t="shared" si="6"/>
        <v>#DIV/0!</v>
      </c>
      <c r="AG67" t="e">
        <f t="shared" si="7"/>
        <v>#DIV/0!</v>
      </c>
      <c r="AH67" t="e">
        <f t="shared" si="14"/>
        <v>#DIV/0!</v>
      </c>
      <c r="AI67" t="e">
        <f t="shared" si="8"/>
        <v>#DIV/0!</v>
      </c>
      <c r="AJ67">
        <f t="shared" si="9"/>
        <v>0</v>
      </c>
      <c r="AK67" t="e">
        <f t="shared" si="10"/>
        <v>#N/A</v>
      </c>
      <c r="AL67">
        <f t="shared" si="11"/>
        <v>0</v>
      </c>
      <c r="AM67" t="e">
        <f t="shared" si="12"/>
        <v>#N/A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7">
        <f t="shared" si="13"/>
        <v>1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1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8" cm="1">
        <f t="array" ref="X68">ABS(INDEX($F$4:$T$263,ROW(A65),MATCH($W$2,$F$3:$T$3,0))-INDEX($F$4:$T$263,ROW(A64),MATCH($W$2,$F$3:$T$3,0)))</f>
        <v>0</v>
      </c>
      <c r="Y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8" t="e">
        <f t="shared" si="0"/>
        <v>#DIV/0!</v>
      </c>
      <c r="AA68" t="e">
        <f t="shared" si="1"/>
        <v>#DIV/0!</v>
      </c>
      <c r="AB68" t="e">
        <f t="shared" si="2"/>
        <v>#DIV/0!</v>
      </c>
      <c r="AC68" t="e">
        <f t="shared" si="3"/>
        <v>#DIV/0!</v>
      </c>
      <c r="AD68" t="e">
        <f t="shared" si="4"/>
        <v>#DIV/0!</v>
      </c>
      <c r="AE68" t="e">
        <f t="shared" si="5"/>
        <v>#DIV/0!</v>
      </c>
      <c r="AF68" t="e">
        <f t="shared" si="6"/>
        <v>#DIV/0!</v>
      </c>
      <c r="AG68" t="e">
        <f t="shared" si="7"/>
        <v>#DIV/0!</v>
      </c>
      <c r="AH68" t="e">
        <f t="shared" si="14"/>
        <v>#DIV/0!</v>
      </c>
      <c r="AI68" t="e">
        <f t="shared" si="8"/>
        <v>#DIV/0!</v>
      </c>
      <c r="AJ68">
        <f t="shared" si="9"/>
        <v>0</v>
      </c>
      <c r="AK68" t="e">
        <f t="shared" si="10"/>
        <v>#N/A</v>
      </c>
      <c r="AL68">
        <f t="shared" si="11"/>
        <v>0</v>
      </c>
      <c r="AM68" t="e">
        <f t="shared" si="12"/>
        <v>#N/A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8">
        <f t="shared" si="13"/>
        <v>1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1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9" cm="1">
        <f t="array" ref="X69">ABS(INDEX($F$4:$T$263,ROW(A66),MATCH($W$2,$F$3:$T$3,0))-INDEX($F$4:$T$263,ROW(A65),MATCH($W$2,$F$3:$T$3,0)))</f>
        <v>0</v>
      </c>
      <c r="Y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9" t="e">
        <f t="shared" ref="Z69:Z132" si="15">Y69/1.128</f>
        <v>#DIV/0!</v>
      </c>
      <c r="AA69" t="e">
        <f t="shared" ref="AA69:AA132" si="16">MAX(0,W69-(3*Z69))</f>
        <v>#DIV/0!</v>
      </c>
      <c r="AB69" t="e">
        <f t="shared" ref="AB69:AB132" si="17">MAX(0,W69-(2*Z69))</f>
        <v>#DIV/0!</v>
      </c>
      <c r="AC69" t="e">
        <f t="shared" ref="AC69:AC132" si="18">MAX(0,W69-Z69)</f>
        <v>#DIV/0!</v>
      </c>
      <c r="AD69" t="e">
        <f t="shared" ref="AD69:AD132" si="19">W69+Z69</f>
        <v>#DIV/0!</v>
      </c>
      <c r="AE69" t="e">
        <f t="shared" ref="AE69:AE132" si="20">W69+(2*Z69)</f>
        <v>#DIV/0!</v>
      </c>
      <c r="AF69" t="e">
        <f t="shared" ref="AF69:AF132" si="21">W69+(3*Z69)</f>
        <v>#DIV/0!</v>
      </c>
      <c r="AG69" t="e">
        <f t="shared" ref="AG69:AG132" si="22">IF(OR(V69&gt;AF69,V69&lt;AA69),V69,NA())</f>
        <v>#DIV/0!</v>
      </c>
      <c r="AH69" t="e">
        <f t="shared" si="14"/>
        <v>#DIV/0!</v>
      </c>
      <c r="AI69" t="e">
        <f t="shared" ref="AI69:AI132" si="23">IF(ABS(SUM(AH69:AH71))&gt;=5,V69,NA())</f>
        <v>#DIV/0!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0</v>
      </c>
      <c r="AM69" t="e">
        <f t="shared" ref="AM69:AM132" si="27">IF(ABS(SUM(AL69:AL77))=9,V69,NA())</f>
        <v>#N/A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9">
        <f t="shared" ref="AP69:AP132" si="28">AO69-AN69</f>
        <v>1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1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0" cm="1">
        <f t="array" ref="X70">ABS(INDEX($F$4:$T$263,ROW(A67),MATCH($W$2,$F$3:$T$3,0))-INDEX($F$4:$T$263,ROW(A66),MATCH($W$2,$F$3:$T$3,0)))</f>
        <v>0</v>
      </c>
      <c r="Y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0" t="e">
        <f t="shared" si="15"/>
        <v>#DIV/0!</v>
      </c>
      <c r="AA70" t="e">
        <f t="shared" si="16"/>
        <v>#DIV/0!</v>
      </c>
      <c r="AB70" t="e">
        <f t="shared" si="17"/>
        <v>#DIV/0!</v>
      </c>
      <c r="AC70" t="e">
        <f t="shared" si="18"/>
        <v>#DIV/0!</v>
      </c>
      <c r="AD70" t="e">
        <f t="shared" si="19"/>
        <v>#DIV/0!</v>
      </c>
      <c r="AE70" t="e">
        <f t="shared" si="20"/>
        <v>#DIV/0!</v>
      </c>
      <c r="AF70" t="e">
        <f t="shared" si="21"/>
        <v>#DIV/0!</v>
      </c>
      <c r="AG70" t="e">
        <f t="shared" si="22"/>
        <v>#DIV/0!</v>
      </c>
      <c r="AH70" t="e">
        <f t="shared" ref="AH70:AH133" si="29">IF(V70&gt;AE70,2,IF(V70&lt;AB70,-2,IF(V70&gt;W70,1,IF(V70&lt;W70,-1,0))))</f>
        <v>#DIV/0!</v>
      </c>
      <c r="AI70" t="e">
        <f t="shared" si="23"/>
        <v>#DIV/0!</v>
      </c>
      <c r="AJ70">
        <f t="shared" si="24"/>
        <v>0</v>
      </c>
      <c r="AK70" t="e">
        <f t="shared" si="25"/>
        <v>#N/A</v>
      </c>
      <c r="AL70">
        <f t="shared" si="26"/>
        <v>0</v>
      </c>
      <c r="AM70" t="e">
        <f t="shared" si="27"/>
        <v>#N/A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0">
        <f t="shared" si="28"/>
        <v>1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1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1" cm="1">
        <f t="array" ref="X71">ABS(INDEX($F$4:$T$263,ROW(A68),MATCH($W$2,$F$3:$T$3,0))-INDEX($F$4:$T$263,ROW(A67),MATCH($W$2,$F$3:$T$3,0)))</f>
        <v>0</v>
      </c>
      <c r="Y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1" t="e">
        <f t="shared" si="15"/>
        <v>#DIV/0!</v>
      </c>
      <c r="AA71" t="e">
        <f t="shared" si="16"/>
        <v>#DIV/0!</v>
      </c>
      <c r="AB71" t="e">
        <f t="shared" si="17"/>
        <v>#DIV/0!</v>
      </c>
      <c r="AC71" t="e">
        <f t="shared" si="18"/>
        <v>#DIV/0!</v>
      </c>
      <c r="AD71" t="e">
        <f t="shared" si="19"/>
        <v>#DIV/0!</v>
      </c>
      <c r="AE71" t="e">
        <f t="shared" si="20"/>
        <v>#DIV/0!</v>
      </c>
      <c r="AF71" t="e">
        <f t="shared" si="21"/>
        <v>#DIV/0!</v>
      </c>
      <c r="AG71" t="e">
        <f t="shared" si="22"/>
        <v>#DIV/0!</v>
      </c>
      <c r="AH71" t="e">
        <f t="shared" si="29"/>
        <v>#DIV/0!</v>
      </c>
      <c r="AI71" t="e">
        <f t="shared" si="23"/>
        <v>#DIV/0!</v>
      </c>
      <c r="AJ71">
        <f t="shared" si="24"/>
        <v>0</v>
      </c>
      <c r="AK71" t="e">
        <f t="shared" si="25"/>
        <v>#N/A</v>
      </c>
      <c r="AL71">
        <f t="shared" si="26"/>
        <v>0</v>
      </c>
      <c r="AM71" t="e">
        <f t="shared" si="27"/>
        <v>#N/A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1">
        <f t="shared" si="28"/>
        <v>1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1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2" cm="1">
        <f t="array" ref="X72">ABS(INDEX($F$4:$T$263,ROW(A69),MATCH($W$2,$F$3:$T$3,0))-INDEX($F$4:$T$263,ROW(A68),MATCH($W$2,$F$3:$T$3,0)))</f>
        <v>0</v>
      </c>
      <c r="Y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2" t="e">
        <f t="shared" si="15"/>
        <v>#DIV/0!</v>
      </c>
      <c r="AA72" t="e">
        <f t="shared" si="16"/>
        <v>#DIV/0!</v>
      </c>
      <c r="AB72" t="e">
        <f t="shared" si="17"/>
        <v>#DIV/0!</v>
      </c>
      <c r="AC72" t="e">
        <f t="shared" si="18"/>
        <v>#DIV/0!</v>
      </c>
      <c r="AD72" t="e">
        <f t="shared" si="19"/>
        <v>#DIV/0!</v>
      </c>
      <c r="AE72" t="e">
        <f t="shared" si="20"/>
        <v>#DIV/0!</v>
      </c>
      <c r="AF72" t="e">
        <f t="shared" si="21"/>
        <v>#DIV/0!</v>
      </c>
      <c r="AG72" t="e">
        <f t="shared" si="22"/>
        <v>#DIV/0!</v>
      </c>
      <c r="AH72" t="e">
        <f t="shared" si="29"/>
        <v>#DIV/0!</v>
      </c>
      <c r="AI72" t="e">
        <f t="shared" si="23"/>
        <v>#DIV/0!</v>
      </c>
      <c r="AJ72">
        <f t="shared" si="24"/>
        <v>0</v>
      </c>
      <c r="AK72" t="e">
        <f t="shared" si="25"/>
        <v>#N/A</v>
      </c>
      <c r="AL72">
        <f t="shared" si="26"/>
        <v>0</v>
      </c>
      <c r="AM72" t="e">
        <f t="shared" si="27"/>
        <v>#N/A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2">
        <f t="shared" si="28"/>
        <v>1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1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3" cm="1">
        <f t="array" ref="X73">ABS(INDEX($F$4:$T$263,ROW(A70),MATCH($W$2,$F$3:$T$3,0))-INDEX($F$4:$T$263,ROW(A69),MATCH($W$2,$F$3:$T$3,0)))</f>
        <v>0</v>
      </c>
      <c r="Y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3" t="e">
        <f t="shared" si="15"/>
        <v>#DIV/0!</v>
      </c>
      <c r="AA73" t="e">
        <f t="shared" si="16"/>
        <v>#DIV/0!</v>
      </c>
      <c r="AB73" t="e">
        <f t="shared" si="17"/>
        <v>#DIV/0!</v>
      </c>
      <c r="AC73" t="e">
        <f t="shared" si="18"/>
        <v>#DIV/0!</v>
      </c>
      <c r="AD73" t="e">
        <f t="shared" si="19"/>
        <v>#DIV/0!</v>
      </c>
      <c r="AE73" t="e">
        <f t="shared" si="20"/>
        <v>#DIV/0!</v>
      </c>
      <c r="AF73" t="e">
        <f t="shared" si="21"/>
        <v>#DIV/0!</v>
      </c>
      <c r="AG73" t="e">
        <f t="shared" si="22"/>
        <v>#DIV/0!</v>
      </c>
      <c r="AH73" t="e">
        <f t="shared" si="29"/>
        <v>#DIV/0!</v>
      </c>
      <c r="AI73" t="e">
        <f t="shared" si="23"/>
        <v>#DIV/0!</v>
      </c>
      <c r="AJ73">
        <f t="shared" si="24"/>
        <v>0</v>
      </c>
      <c r="AK73" t="e">
        <f t="shared" si="25"/>
        <v>#N/A</v>
      </c>
      <c r="AL73">
        <f t="shared" si="26"/>
        <v>0</v>
      </c>
      <c r="AM73" t="e">
        <f t="shared" si="27"/>
        <v>#N/A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3">
        <f t="shared" si="28"/>
        <v>1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1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4" cm="1">
        <f t="array" ref="X74">ABS(INDEX($F$4:$T$263,ROW(A71),MATCH($W$2,$F$3:$T$3,0))-INDEX($F$4:$T$263,ROW(A70),MATCH($W$2,$F$3:$T$3,0)))</f>
        <v>0</v>
      </c>
      <c r="Y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4" t="e">
        <f t="shared" si="15"/>
        <v>#DIV/0!</v>
      </c>
      <c r="AA74" t="e">
        <f t="shared" si="16"/>
        <v>#DIV/0!</v>
      </c>
      <c r="AB74" t="e">
        <f t="shared" si="17"/>
        <v>#DIV/0!</v>
      </c>
      <c r="AC74" t="e">
        <f t="shared" si="18"/>
        <v>#DIV/0!</v>
      </c>
      <c r="AD74" t="e">
        <f t="shared" si="19"/>
        <v>#DIV/0!</v>
      </c>
      <c r="AE74" t="e">
        <f t="shared" si="20"/>
        <v>#DIV/0!</v>
      </c>
      <c r="AF74" t="e">
        <f t="shared" si="21"/>
        <v>#DIV/0!</v>
      </c>
      <c r="AG74" t="e">
        <f t="shared" si="22"/>
        <v>#DIV/0!</v>
      </c>
      <c r="AH74" t="e">
        <f t="shared" si="29"/>
        <v>#DIV/0!</v>
      </c>
      <c r="AI74" t="e">
        <f t="shared" si="23"/>
        <v>#DIV/0!</v>
      </c>
      <c r="AJ74">
        <f t="shared" si="24"/>
        <v>0</v>
      </c>
      <c r="AK74" t="e">
        <f t="shared" si="25"/>
        <v>#N/A</v>
      </c>
      <c r="AL74">
        <f t="shared" si="26"/>
        <v>0</v>
      </c>
      <c r="AM74" t="e">
        <f t="shared" si="27"/>
        <v>#N/A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4">
        <f t="shared" si="28"/>
        <v>1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1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5" cm="1">
        <f t="array" ref="X75">ABS(INDEX($F$4:$T$263,ROW(A72),MATCH($W$2,$F$3:$T$3,0))-INDEX($F$4:$T$263,ROW(A71),MATCH($W$2,$F$3:$T$3,0)))</f>
        <v>0</v>
      </c>
      <c r="Y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5" t="e">
        <f t="shared" si="15"/>
        <v>#DIV/0!</v>
      </c>
      <c r="AA75" t="e">
        <f t="shared" si="16"/>
        <v>#DIV/0!</v>
      </c>
      <c r="AB75" t="e">
        <f t="shared" si="17"/>
        <v>#DIV/0!</v>
      </c>
      <c r="AC75" t="e">
        <f t="shared" si="18"/>
        <v>#DIV/0!</v>
      </c>
      <c r="AD75" t="e">
        <f t="shared" si="19"/>
        <v>#DIV/0!</v>
      </c>
      <c r="AE75" t="e">
        <f t="shared" si="20"/>
        <v>#DIV/0!</v>
      </c>
      <c r="AF75" t="e">
        <f t="shared" si="21"/>
        <v>#DIV/0!</v>
      </c>
      <c r="AG75" t="e">
        <f t="shared" si="22"/>
        <v>#DIV/0!</v>
      </c>
      <c r="AH75" t="e">
        <f t="shared" si="29"/>
        <v>#DIV/0!</v>
      </c>
      <c r="AI75" t="e">
        <f t="shared" si="23"/>
        <v>#DIV/0!</v>
      </c>
      <c r="AJ75">
        <f t="shared" si="24"/>
        <v>0</v>
      </c>
      <c r="AK75" t="e">
        <f t="shared" si="25"/>
        <v>#N/A</v>
      </c>
      <c r="AL75">
        <f t="shared" si="26"/>
        <v>0</v>
      </c>
      <c r="AM75" t="e">
        <f t="shared" si="27"/>
        <v>#N/A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5">
        <f t="shared" si="28"/>
        <v>1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1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6" cm="1">
        <f t="array" ref="X76">ABS(INDEX($F$4:$T$263,ROW(A73),MATCH($W$2,$F$3:$T$3,0))-INDEX($F$4:$T$263,ROW(A72),MATCH($W$2,$F$3:$T$3,0)))</f>
        <v>0</v>
      </c>
      <c r="Y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6" t="e">
        <f t="shared" si="15"/>
        <v>#DIV/0!</v>
      </c>
      <c r="AA76" t="e">
        <f t="shared" si="16"/>
        <v>#DIV/0!</v>
      </c>
      <c r="AB76" t="e">
        <f t="shared" si="17"/>
        <v>#DIV/0!</v>
      </c>
      <c r="AC76" t="e">
        <f t="shared" si="18"/>
        <v>#DIV/0!</v>
      </c>
      <c r="AD76" t="e">
        <f t="shared" si="19"/>
        <v>#DIV/0!</v>
      </c>
      <c r="AE76" t="e">
        <f t="shared" si="20"/>
        <v>#DIV/0!</v>
      </c>
      <c r="AF76" t="e">
        <f t="shared" si="21"/>
        <v>#DIV/0!</v>
      </c>
      <c r="AG76" t="e">
        <f t="shared" si="22"/>
        <v>#DIV/0!</v>
      </c>
      <c r="AH76" t="e">
        <f t="shared" si="29"/>
        <v>#DIV/0!</v>
      </c>
      <c r="AI76" t="e">
        <f t="shared" si="23"/>
        <v>#DIV/0!</v>
      </c>
      <c r="AJ76">
        <f t="shared" si="24"/>
        <v>0</v>
      </c>
      <c r="AK76" t="e">
        <f t="shared" si="25"/>
        <v>#N/A</v>
      </c>
      <c r="AL76">
        <f t="shared" si="26"/>
        <v>0</v>
      </c>
      <c r="AM76" t="e">
        <f t="shared" si="27"/>
        <v>#N/A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6">
        <f t="shared" si="28"/>
        <v>1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1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7" cm="1">
        <f t="array" ref="X77">ABS(INDEX($F$4:$T$263,ROW(A74),MATCH($W$2,$F$3:$T$3,0))-INDEX($F$4:$T$263,ROW(A73),MATCH($W$2,$F$3:$T$3,0)))</f>
        <v>0</v>
      </c>
      <c r="Y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7" t="e">
        <f t="shared" si="15"/>
        <v>#DIV/0!</v>
      </c>
      <c r="AA77" t="e">
        <f t="shared" si="16"/>
        <v>#DIV/0!</v>
      </c>
      <c r="AB77" t="e">
        <f t="shared" si="17"/>
        <v>#DIV/0!</v>
      </c>
      <c r="AC77" t="e">
        <f t="shared" si="18"/>
        <v>#DIV/0!</v>
      </c>
      <c r="AD77" t="e">
        <f t="shared" si="19"/>
        <v>#DIV/0!</v>
      </c>
      <c r="AE77" t="e">
        <f t="shared" si="20"/>
        <v>#DIV/0!</v>
      </c>
      <c r="AF77" t="e">
        <f t="shared" si="21"/>
        <v>#DIV/0!</v>
      </c>
      <c r="AG77" t="e">
        <f t="shared" si="22"/>
        <v>#DIV/0!</v>
      </c>
      <c r="AH77" t="e">
        <f t="shared" si="29"/>
        <v>#DIV/0!</v>
      </c>
      <c r="AI77" t="e">
        <f t="shared" si="23"/>
        <v>#DIV/0!</v>
      </c>
      <c r="AJ77">
        <f t="shared" si="24"/>
        <v>0</v>
      </c>
      <c r="AK77" t="e">
        <f t="shared" si="25"/>
        <v>#N/A</v>
      </c>
      <c r="AL77">
        <f t="shared" si="26"/>
        <v>0</v>
      </c>
      <c r="AM77" t="e">
        <f t="shared" si="27"/>
        <v>#N/A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7">
        <f t="shared" si="28"/>
        <v>1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1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8" cm="1">
        <f t="array" ref="X78">ABS(INDEX($F$4:$T$263,ROW(A75),MATCH($W$2,$F$3:$T$3,0))-INDEX($F$4:$T$263,ROW(A74),MATCH($W$2,$F$3:$T$3,0)))</f>
        <v>0</v>
      </c>
      <c r="Y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8" t="e">
        <f t="shared" si="15"/>
        <v>#DIV/0!</v>
      </c>
      <c r="AA78" t="e">
        <f t="shared" si="16"/>
        <v>#DIV/0!</v>
      </c>
      <c r="AB78" t="e">
        <f t="shared" si="17"/>
        <v>#DIV/0!</v>
      </c>
      <c r="AC78" t="e">
        <f t="shared" si="18"/>
        <v>#DIV/0!</v>
      </c>
      <c r="AD78" t="e">
        <f t="shared" si="19"/>
        <v>#DIV/0!</v>
      </c>
      <c r="AE78" t="e">
        <f t="shared" si="20"/>
        <v>#DIV/0!</v>
      </c>
      <c r="AF78" t="e">
        <f t="shared" si="21"/>
        <v>#DIV/0!</v>
      </c>
      <c r="AG78" t="e">
        <f t="shared" si="22"/>
        <v>#DIV/0!</v>
      </c>
      <c r="AH78" t="e">
        <f t="shared" si="29"/>
        <v>#DIV/0!</v>
      </c>
      <c r="AI78" t="e">
        <f t="shared" si="23"/>
        <v>#DIV/0!</v>
      </c>
      <c r="AJ78">
        <f t="shared" si="24"/>
        <v>0</v>
      </c>
      <c r="AK78" t="e">
        <f t="shared" si="25"/>
        <v>#N/A</v>
      </c>
      <c r="AL78">
        <f t="shared" si="26"/>
        <v>0</v>
      </c>
      <c r="AM78" t="e">
        <f t="shared" si="27"/>
        <v>#N/A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8">
        <f t="shared" si="28"/>
        <v>1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1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9" cm="1">
        <f t="array" ref="X79">ABS(INDEX($F$4:$T$263,ROW(A76),MATCH($W$2,$F$3:$T$3,0))-INDEX($F$4:$T$263,ROW(A75),MATCH($W$2,$F$3:$T$3,0)))</f>
        <v>0</v>
      </c>
      <c r="Y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9" t="e">
        <f t="shared" si="15"/>
        <v>#DIV/0!</v>
      </c>
      <c r="AA79" t="e">
        <f t="shared" si="16"/>
        <v>#DIV/0!</v>
      </c>
      <c r="AB79" t="e">
        <f t="shared" si="17"/>
        <v>#DIV/0!</v>
      </c>
      <c r="AC79" t="e">
        <f t="shared" si="18"/>
        <v>#DIV/0!</v>
      </c>
      <c r="AD79" t="e">
        <f t="shared" si="19"/>
        <v>#DIV/0!</v>
      </c>
      <c r="AE79" t="e">
        <f t="shared" si="20"/>
        <v>#DIV/0!</v>
      </c>
      <c r="AF79" t="e">
        <f t="shared" si="21"/>
        <v>#DIV/0!</v>
      </c>
      <c r="AG79" t="e">
        <f t="shared" si="22"/>
        <v>#DIV/0!</v>
      </c>
      <c r="AH79" t="e">
        <f t="shared" si="29"/>
        <v>#DIV/0!</v>
      </c>
      <c r="AI79" t="e">
        <f t="shared" si="23"/>
        <v>#DIV/0!</v>
      </c>
      <c r="AJ79">
        <f t="shared" si="24"/>
        <v>0</v>
      </c>
      <c r="AK79" t="e">
        <f t="shared" si="25"/>
        <v>#N/A</v>
      </c>
      <c r="AL79">
        <f t="shared" si="26"/>
        <v>0</v>
      </c>
      <c r="AM79" t="e">
        <f t="shared" si="27"/>
        <v>#N/A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9">
        <f t="shared" si="28"/>
        <v>1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1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0" cm="1">
        <f t="array" ref="X80">ABS(INDEX($F$4:$T$263,ROW(A77),MATCH($W$2,$F$3:$T$3,0))-INDEX($F$4:$T$263,ROW(A76),MATCH($W$2,$F$3:$T$3,0)))</f>
        <v>0</v>
      </c>
      <c r="Y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0" t="e">
        <f t="shared" si="15"/>
        <v>#DIV/0!</v>
      </c>
      <c r="AA80" t="e">
        <f t="shared" si="16"/>
        <v>#DIV/0!</v>
      </c>
      <c r="AB80" t="e">
        <f t="shared" si="17"/>
        <v>#DIV/0!</v>
      </c>
      <c r="AC80" t="e">
        <f t="shared" si="18"/>
        <v>#DIV/0!</v>
      </c>
      <c r="AD80" t="e">
        <f t="shared" si="19"/>
        <v>#DIV/0!</v>
      </c>
      <c r="AE80" t="e">
        <f t="shared" si="20"/>
        <v>#DIV/0!</v>
      </c>
      <c r="AF80" t="e">
        <f t="shared" si="21"/>
        <v>#DIV/0!</v>
      </c>
      <c r="AG80" t="e">
        <f t="shared" si="22"/>
        <v>#DIV/0!</v>
      </c>
      <c r="AH80" t="e">
        <f t="shared" si="29"/>
        <v>#DIV/0!</v>
      </c>
      <c r="AI80" t="e">
        <f t="shared" si="23"/>
        <v>#DIV/0!</v>
      </c>
      <c r="AJ80">
        <f t="shared" si="24"/>
        <v>0</v>
      </c>
      <c r="AK80" t="e">
        <f t="shared" si="25"/>
        <v>#N/A</v>
      </c>
      <c r="AL80">
        <f t="shared" si="26"/>
        <v>0</v>
      </c>
      <c r="AM80" t="e">
        <f t="shared" si="27"/>
        <v>#N/A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0">
        <f t="shared" si="28"/>
        <v>1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1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1" cm="1">
        <f t="array" ref="X81">ABS(INDEX($F$4:$T$263,ROW(A78),MATCH($W$2,$F$3:$T$3,0))-INDEX($F$4:$T$263,ROW(A77),MATCH($W$2,$F$3:$T$3,0)))</f>
        <v>0</v>
      </c>
      <c r="Y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1" t="e">
        <f t="shared" si="15"/>
        <v>#DIV/0!</v>
      </c>
      <c r="AA81" t="e">
        <f t="shared" si="16"/>
        <v>#DIV/0!</v>
      </c>
      <c r="AB81" t="e">
        <f t="shared" si="17"/>
        <v>#DIV/0!</v>
      </c>
      <c r="AC81" t="e">
        <f t="shared" si="18"/>
        <v>#DIV/0!</v>
      </c>
      <c r="AD81" t="e">
        <f t="shared" si="19"/>
        <v>#DIV/0!</v>
      </c>
      <c r="AE81" t="e">
        <f t="shared" si="20"/>
        <v>#DIV/0!</v>
      </c>
      <c r="AF81" t="e">
        <f t="shared" si="21"/>
        <v>#DIV/0!</v>
      </c>
      <c r="AG81" t="e">
        <f t="shared" si="22"/>
        <v>#DIV/0!</v>
      </c>
      <c r="AH81" t="e">
        <f t="shared" si="29"/>
        <v>#DIV/0!</v>
      </c>
      <c r="AI81" t="e">
        <f t="shared" si="23"/>
        <v>#DIV/0!</v>
      </c>
      <c r="AJ81">
        <f t="shared" si="24"/>
        <v>0</v>
      </c>
      <c r="AK81" t="e">
        <f t="shared" si="25"/>
        <v>#N/A</v>
      </c>
      <c r="AL81">
        <f t="shared" si="26"/>
        <v>0</v>
      </c>
      <c r="AM81" t="e">
        <f t="shared" si="27"/>
        <v>#N/A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1">
        <f t="shared" si="28"/>
        <v>1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1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2" cm="1">
        <f t="array" ref="X82">ABS(INDEX($F$4:$T$263,ROW(A79),MATCH($W$2,$F$3:$T$3,0))-INDEX($F$4:$T$263,ROW(A78),MATCH($W$2,$F$3:$T$3,0)))</f>
        <v>0</v>
      </c>
      <c r="Y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2" t="e">
        <f t="shared" si="15"/>
        <v>#DIV/0!</v>
      </c>
      <c r="AA82" t="e">
        <f t="shared" si="16"/>
        <v>#DIV/0!</v>
      </c>
      <c r="AB82" t="e">
        <f t="shared" si="17"/>
        <v>#DIV/0!</v>
      </c>
      <c r="AC82" t="e">
        <f t="shared" si="18"/>
        <v>#DIV/0!</v>
      </c>
      <c r="AD82" t="e">
        <f t="shared" si="19"/>
        <v>#DIV/0!</v>
      </c>
      <c r="AE82" t="e">
        <f t="shared" si="20"/>
        <v>#DIV/0!</v>
      </c>
      <c r="AF82" t="e">
        <f t="shared" si="21"/>
        <v>#DIV/0!</v>
      </c>
      <c r="AG82" t="e">
        <f t="shared" si="22"/>
        <v>#DIV/0!</v>
      </c>
      <c r="AH82" t="e">
        <f t="shared" si="29"/>
        <v>#DIV/0!</v>
      </c>
      <c r="AI82" t="e">
        <f t="shared" si="23"/>
        <v>#DIV/0!</v>
      </c>
      <c r="AJ82">
        <f t="shared" si="24"/>
        <v>0</v>
      </c>
      <c r="AK82" t="e">
        <f t="shared" si="25"/>
        <v>#N/A</v>
      </c>
      <c r="AL82">
        <f t="shared" si="26"/>
        <v>0</v>
      </c>
      <c r="AM82" t="e">
        <f t="shared" si="27"/>
        <v>#N/A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2">
        <f t="shared" si="28"/>
        <v>1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1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3" cm="1">
        <f t="array" ref="X83">ABS(INDEX($F$4:$T$263,ROW(A80),MATCH($W$2,$F$3:$T$3,0))-INDEX($F$4:$T$263,ROW(A79),MATCH($W$2,$F$3:$T$3,0)))</f>
        <v>0</v>
      </c>
      <c r="Y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3" t="e">
        <f t="shared" si="15"/>
        <v>#DIV/0!</v>
      </c>
      <c r="AA83" t="e">
        <f t="shared" si="16"/>
        <v>#DIV/0!</v>
      </c>
      <c r="AB83" t="e">
        <f t="shared" si="17"/>
        <v>#DIV/0!</v>
      </c>
      <c r="AC83" t="e">
        <f t="shared" si="18"/>
        <v>#DIV/0!</v>
      </c>
      <c r="AD83" t="e">
        <f t="shared" si="19"/>
        <v>#DIV/0!</v>
      </c>
      <c r="AE83" t="e">
        <f t="shared" si="20"/>
        <v>#DIV/0!</v>
      </c>
      <c r="AF83" t="e">
        <f t="shared" si="21"/>
        <v>#DIV/0!</v>
      </c>
      <c r="AG83" t="e">
        <f t="shared" si="22"/>
        <v>#DIV/0!</v>
      </c>
      <c r="AH83" t="e">
        <f t="shared" si="29"/>
        <v>#DIV/0!</v>
      </c>
      <c r="AI83" t="e">
        <f t="shared" si="23"/>
        <v>#DIV/0!</v>
      </c>
      <c r="AJ83">
        <f t="shared" si="24"/>
        <v>0</v>
      </c>
      <c r="AK83" t="e">
        <f t="shared" si="25"/>
        <v>#N/A</v>
      </c>
      <c r="AL83">
        <f t="shared" si="26"/>
        <v>0</v>
      </c>
      <c r="AM83" t="e">
        <f t="shared" si="27"/>
        <v>#N/A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3">
        <f t="shared" si="28"/>
        <v>1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1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4" cm="1">
        <f t="array" ref="X84">ABS(INDEX($F$4:$T$263,ROW(A81),MATCH($W$2,$F$3:$T$3,0))-INDEX($F$4:$T$263,ROW(A80),MATCH($W$2,$F$3:$T$3,0)))</f>
        <v>0</v>
      </c>
      <c r="Y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4" t="e">
        <f t="shared" si="15"/>
        <v>#DIV/0!</v>
      </c>
      <c r="AA84" t="e">
        <f t="shared" si="16"/>
        <v>#DIV/0!</v>
      </c>
      <c r="AB84" t="e">
        <f t="shared" si="17"/>
        <v>#DIV/0!</v>
      </c>
      <c r="AC84" t="e">
        <f t="shared" si="18"/>
        <v>#DIV/0!</v>
      </c>
      <c r="AD84" t="e">
        <f t="shared" si="19"/>
        <v>#DIV/0!</v>
      </c>
      <c r="AE84" t="e">
        <f t="shared" si="20"/>
        <v>#DIV/0!</v>
      </c>
      <c r="AF84" t="e">
        <f t="shared" si="21"/>
        <v>#DIV/0!</v>
      </c>
      <c r="AG84" t="e">
        <f t="shared" si="22"/>
        <v>#DIV/0!</v>
      </c>
      <c r="AH84" t="e">
        <f t="shared" si="29"/>
        <v>#DIV/0!</v>
      </c>
      <c r="AI84" t="e">
        <f t="shared" si="23"/>
        <v>#DIV/0!</v>
      </c>
      <c r="AJ84">
        <f t="shared" si="24"/>
        <v>0</v>
      </c>
      <c r="AK84" t="e">
        <f t="shared" si="25"/>
        <v>#N/A</v>
      </c>
      <c r="AL84">
        <f t="shared" si="26"/>
        <v>0</v>
      </c>
      <c r="AM84" t="e">
        <f t="shared" si="27"/>
        <v>#N/A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4">
        <f t="shared" si="28"/>
        <v>1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1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5" cm="1">
        <f t="array" ref="X85">ABS(INDEX($F$4:$T$263,ROW(A82),MATCH($W$2,$F$3:$T$3,0))-INDEX($F$4:$T$263,ROW(A81),MATCH($W$2,$F$3:$T$3,0)))</f>
        <v>0</v>
      </c>
      <c r="Y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5" t="e">
        <f t="shared" si="15"/>
        <v>#DIV/0!</v>
      </c>
      <c r="AA85" t="e">
        <f t="shared" si="16"/>
        <v>#DIV/0!</v>
      </c>
      <c r="AB85" t="e">
        <f t="shared" si="17"/>
        <v>#DIV/0!</v>
      </c>
      <c r="AC85" t="e">
        <f t="shared" si="18"/>
        <v>#DIV/0!</v>
      </c>
      <c r="AD85" t="e">
        <f t="shared" si="19"/>
        <v>#DIV/0!</v>
      </c>
      <c r="AE85" t="e">
        <f t="shared" si="20"/>
        <v>#DIV/0!</v>
      </c>
      <c r="AF85" t="e">
        <f t="shared" si="21"/>
        <v>#DIV/0!</v>
      </c>
      <c r="AG85" t="e">
        <f t="shared" si="22"/>
        <v>#DIV/0!</v>
      </c>
      <c r="AH85" t="e">
        <f t="shared" si="29"/>
        <v>#DIV/0!</v>
      </c>
      <c r="AI85" t="e">
        <f t="shared" si="23"/>
        <v>#DIV/0!</v>
      </c>
      <c r="AJ85">
        <f t="shared" si="24"/>
        <v>0</v>
      </c>
      <c r="AK85" t="e">
        <f t="shared" si="25"/>
        <v>#N/A</v>
      </c>
      <c r="AL85">
        <f t="shared" si="26"/>
        <v>0</v>
      </c>
      <c r="AM85" t="e">
        <f t="shared" si="27"/>
        <v>#N/A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5">
        <f t="shared" si="28"/>
        <v>1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1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6" cm="1">
        <f t="array" ref="X86">ABS(INDEX($F$4:$T$263,ROW(A83),MATCH($W$2,$F$3:$T$3,0))-INDEX($F$4:$T$263,ROW(A82),MATCH($W$2,$F$3:$T$3,0)))</f>
        <v>0</v>
      </c>
      <c r="Y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6" t="e">
        <f t="shared" si="15"/>
        <v>#DIV/0!</v>
      </c>
      <c r="AA86" t="e">
        <f t="shared" si="16"/>
        <v>#DIV/0!</v>
      </c>
      <c r="AB86" t="e">
        <f t="shared" si="17"/>
        <v>#DIV/0!</v>
      </c>
      <c r="AC86" t="e">
        <f t="shared" si="18"/>
        <v>#DIV/0!</v>
      </c>
      <c r="AD86" t="e">
        <f t="shared" si="19"/>
        <v>#DIV/0!</v>
      </c>
      <c r="AE86" t="e">
        <f t="shared" si="20"/>
        <v>#DIV/0!</v>
      </c>
      <c r="AF86" t="e">
        <f t="shared" si="21"/>
        <v>#DIV/0!</v>
      </c>
      <c r="AG86" t="e">
        <f t="shared" si="22"/>
        <v>#DIV/0!</v>
      </c>
      <c r="AH86" t="e">
        <f t="shared" si="29"/>
        <v>#DIV/0!</v>
      </c>
      <c r="AI86" t="e">
        <f t="shared" si="23"/>
        <v>#DIV/0!</v>
      </c>
      <c r="AJ86">
        <f t="shared" si="24"/>
        <v>0</v>
      </c>
      <c r="AK86" t="e">
        <f t="shared" si="25"/>
        <v>#N/A</v>
      </c>
      <c r="AL86">
        <f t="shared" si="26"/>
        <v>0</v>
      </c>
      <c r="AM86" t="e">
        <f t="shared" si="27"/>
        <v>#N/A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6">
        <f t="shared" si="28"/>
        <v>1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1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7" cm="1">
        <f t="array" ref="X87">ABS(INDEX($F$4:$T$263,ROW(A84),MATCH($W$2,$F$3:$T$3,0))-INDEX($F$4:$T$263,ROW(A83),MATCH($W$2,$F$3:$T$3,0)))</f>
        <v>0</v>
      </c>
      <c r="Y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7" t="e">
        <f t="shared" si="15"/>
        <v>#DIV/0!</v>
      </c>
      <c r="AA87" t="e">
        <f t="shared" si="16"/>
        <v>#DIV/0!</v>
      </c>
      <c r="AB87" t="e">
        <f t="shared" si="17"/>
        <v>#DIV/0!</v>
      </c>
      <c r="AC87" t="e">
        <f t="shared" si="18"/>
        <v>#DIV/0!</v>
      </c>
      <c r="AD87" t="e">
        <f t="shared" si="19"/>
        <v>#DIV/0!</v>
      </c>
      <c r="AE87" t="e">
        <f t="shared" si="20"/>
        <v>#DIV/0!</v>
      </c>
      <c r="AF87" t="e">
        <f t="shared" si="21"/>
        <v>#DIV/0!</v>
      </c>
      <c r="AG87" t="e">
        <f t="shared" si="22"/>
        <v>#DIV/0!</v>
      </c>
      <c r="AH87" t="e">
        <f t="shared" si="29"/>
        <v>#DIV/0!</v>
      </c>
      <c r="AI87" t="e">
        <f t="shared" si="23"/>
        <v>#DIV/0!</v>
      </c>
      <c r="AJ87">
        <f t="shared" si="24"/>
        <v>0</v>
      </c>
      <c r="AK87" t="e">
        <f t="shared" si="25"/>
        <v>#N/A</v>
      </c>
      <c r="AL87">
        <f t="shared" si="26"/>
        <v>0</v>
      </c>
      <c r="AM87" t="e">
        <f t="shared" si="27"/>
        <v>#N/A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7">
        <f t="shared" si="28"/>
        <v>1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1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8" cm="1">
        <f t="array" ref="X88">ABS(INDEX($F$4:$T$263,ROW(A85),MATCH($W$2,$F$3:$T$3,0))-INDEX($F$4:$T$263,ROW(A84),MATCH($W$2,$F$3:$T$3,0)))</f>
        <v>0</v>
      </c>
      <c r="Y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8" t="e">
        <f t="shared" si="15"/>
        <v>#DIV/0!</v>
      </c>
      <c r="AA88" t="e">
        <f t="shared" si="16"/>
        <v>#DIV/0!</v>
      </c>
      <c r="AB88" t="e">
        <f t="shared" si="17"/>
        <v>#DIV/0!</v>
      </c>
      <c r="AC88" t="e">
        <f t="shared" si="18"/>
        <v>#DIV/0!</v>
      </c>
      <c r="AD88" t="e">
        <f t="shared" si="19"/>
        <v>#DIV/0!</v>
      </c>
      <c r="AE88" t="e">
        <f t="shared" si="20"/>
        <v>#DIV/0!</v>
      </c>
      <c r="AF88" t="e">
        <f t="shared" si="21"/>
        <v>#DIV/0!</v>
      </c>
      <c r="AG88" t="e">
        <f t="shared" si="22"/>
        <v>#DIV/0!</v>
      </c>
      <c r="AH88" t="e">
        <f t="shared" si="29"/>
        <v>#DIV/0!</v>
      </c>
      <c r="AI88" t="e">
        <f t="shared" si="23"/>
        <v>#DIV/0!</v>
      </c>
      <c r="AJ88">
        <f t="shared" si="24"/>
        <v>0</v>
      </c>
      <c r="AK88" t="e">
        <f t="shared" si="25"/>
        <v>#N/A</v>
      </c>
      <c r="AL88">
        <f t="shared" si="26"/>
        <v>0</v>
      </c>
      <c r="AM88" t="e">
        <f t="shared" si="27"/>
        <v>#N/A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8">
        <f t="shared" si="28"/>
        <v>1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1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9" cm="1">
        <f t="array" ref="X89">ABS(INDEX($F$4:$T$263,ROW(A86),MATCH($W$2,$F$3:$T$3,0))-INDEX($F$4:$T$263,ROW(A85),MATCH($W$2,$F$3:$T$3,0)))</f>
        <v>0</v>
      </c>
      <c r="Y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9" t="e">
        <f t="shared" si="15"/>
        <v>#DIV/0!</v>
      </c>
      <c r="AA89" t="e">
        <f t="shared" si="16"/>
        <v>#DIV/0!</v>
      </c>
      <c r="AB89" t="e">
        <f t="shared" si="17"/>
        <v>#DIV/0!</v>
      </c>
      <c r="AC89" t="e">
        <f t="shared" si="18"/>
        <v>#DIV/0!</v>
      </c>
      <c r="AD89" t="e">
        <f t="shared" si="19"/>
        <v>#DIV/0!</v>
      </c>
      <c r="AE89" t="e">
        <f t="shared" si="20"/>
        <v>#DIV/0!</v>
      </c>
      <c r="AF89" t="e">
        <f t="shared" si="21"/>
        <v>#DIV/0!</v>
      </c>
      <c r="AG89" t="e">
        <f t="shared" si="22"/>
        <v>#DIV/0!</v>
      </c>
      <c r="AH89" t="e">
        <f t="shared" si="29"/>
        <v>#DIV/0!</v>
      </c>
      <c r="AI89" t="e">
        <f t="shared" si="23"/>
        <v>#DIV/0!</v>
      </c>
      <c r="AJ89">
        <f t="shared" si="24"/>
        <v>0</v>
      </c>
      <c r="AK89" t="e">
        <f t="shared" si="25"/>
        <v>#N/A</v>
      </c>
      <c r="AL89">
        <f t="shared" si="26"/>
        <v>0</v>
      </c>
      <c r="AM89" t="e">
        <f t="shared" si="27"/>
        <v>#N/A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9">
        <f t="shared" si="28"/>
        <v>1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1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0" cm="1">
        <f t="array" ref="X90">ABS(INDEX($F$4:$T$263,ROW(A87),MATCH($W$2,$F$3:$T$3,0))-INDEX($F$4:$T$263,ROW(A86),MATCH($W$2,$F$3:$T$3,0)))</f>
        <v>0</v>
      </c>
      <c r="Y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0" t="e">
        <f t="shared" si="15"/>
        <v>#DIV/0!</v>
      </c>
      <c r="AA90" t="e">
        <f t="shared" si="16"/>
        <v>#DIV/0!</v>
      </c>
      <c r="AB90" t="e">
        <f t="shared" si="17"/>
        <v>#DIV/0!</v>
      </c>
      <c r="AC90" t="e">
        <f t="shared" si="18"/>
        <v>#DIV/0!</v>
      </c>
      <c r="AD90" t="e">
        <f t="shared" si="19"/>
        <v>#DIV/0!</v>
      </c>
      <c r="AE90" t="e">
        <f t="shared" si="20"/>
        <v>#DIV/0!</v>
      </c>
      <c r="AF90" t="e">
        <f t="shared" si="21"/>
        <v>#DIV/0!</v>
      </c>
      <c r="AG90" t="e">
        <f t="shared" si="22"/>
        <v>#DIV/0!</v>
      </c>
      <c r="AH90" t="e">
        <f t="shared" si="29"/>
        <v>#DIV/0!</v>
      </c>
      <c r="AI90" t="e">
        <f t="shared" si="23"/>
        <v>#DIV/0!</v>
      </c>
      <c r="AJ90">
        <f t="shared" si="24"/>
        <v>0</v>
      </c>
      <c r="AK90" t="e">
        <f t="shared" si="25"/>
        <v>#N/A</v>
      </c>
      <c r="AL90">
        <f t="shared" si="26"/>
        <v>0</v>
      </c>
      <c r="AM90" t="e">
        <f t="shared" si="27"/>
        <v>#N/A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0">
        <f t="shared" si="28"/>
        <v>1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1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1" cm="1">
        <f t="array" ref="X91">ABS(INDEX($F$4:$T$263,ROW(A88),MATCH($W$2,$F$3:$T$3,0))-INDEX($F$4:$T$263,ROW(A87),MATCH($W$2,$F$3:$T$3,0)))</f>
        <v>0</v>
      </c>
      <c r="Y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1" t="e">
        <f t="shared" si="15"/>
        <v>#DIV/0!</v>
      </c>
      <c r="AA91" t="e">
        <f t="shared" si="16"/>
        <v>#DIV/0!</v>
      </c>
      <c r="AB91" t="e">
        <f t="shared" si="17"/>
        <v>#DIV/0!</v>
      </c>
      <c r="AC91" t="e">
        <f t="shared" si="18"/>
        <v>#DIV/0!</v>
      </c>
      <c r="AD91" t="e">
        <f t="shared" si="19"/>
        <v>#DIV/0!</v>
      </c>
      <c r="AE91" t="e">
        <f t="shared" si="20"/>
        <v>#DIV/0!</v>
      </c>
      <c r="AF91" t="e">
        <f t="shared" si="21"/>
        <v>#DIV/0!</v>
      </c>
      <c r="AG91" t="e">
        <f t="shared" si="22"/>
        <v>#DIV/0!</v>
      </c>
      <c r="AH91" t="e">
        <f t="shared" si="29"/>
        <v>#DIV/0!</v>
      </c>
      <c r="AI91" t="e">
        <f t="shared" si="23"/>
        <v>#DIV/0!</v>
      </c>
      <c r="AJ91">
        <f t="shared" si="24"/>
        <v>0</v>
      </c>
      <c r="AK91" t="e">
        <f t="shared" si="25"/>
        <v>#N/A</v>
      </c>
      <c r="AL91">
        <f t="shared" si="26"/>
        <v>0</v>
      </c>
      <c r="AM91" t="e">
        <f t="shared" si="27"/>
        <v>#N/A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1">
        <f t="shared" si="28"/>
        <v>1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1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2" cm="1">
        <f t="array" ref="X92">ABS(INDEX($F$4:$T$263,ROW(A89),MATCH($W$2,$F$3:$T$3,0))-INDEX($F$4:$T$263,ROW(A88),MATCH($W$2,$F$3:$T$3,0)))</f>
        <v>0</v>
      </c>
      <c r="Y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2" t="e">
        <f t="shared" si="15"/>
        <v>#DIV/0!</v>
      </c>
      <c r="AA92" t="e">
        <f t="shared" si="16"/>
        <v>#DIV/0!</v>
      </c>
      <c r="AB92" t="e">
        <f t="shared" si="17"/>
        <v>#DIV/0!</v>
      </c>
      <c r="AC92" t="e">
        <f t="shared" si="18"/>
        <v>#DIV/0!</v>
      </c>
      <c r="AD92" t="e">
        <f t="shared" si="19"/>
        <v>#DIV/0!</v>
      </c>
      <c r="AE92" t="e">
        <f t="shared" si="20"/>
        <v>#DIV/0!</v>
      </c>
      <c r="AF92" t="e">
        <f t="shared" si="21"/>
        <v>#DIV/0!</v>
      </c>
      <c r="AG92" t="e">
        <f t="shared" si="22"/>
        <v>#DIV/0!</v>
      </c>
      <c r="AH92" t="e">
        <f t="shared" si="29"/>
        <v>#DIV/0!</v>
      </c>
      <c r="AI92" t="e">
        <f t="shared" si="23"/>
        <v>#DIV/0!</v>
      </c>
      <c r="AJ92">
        <f t="shared" si="24"/>
        <v>0</v>
      </c>
      <c r="AK92" t="e">
        <f t="shared" si="25"/>
        <v>#N/A</v>
      </c>
      <c r="AL92">
        <f t="shared" si="26"/>
        <v>0</v>
      </c>
      <c r="AM92" t="e">
        <f t="shared" si="27"/>
        <v>#N/A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2">
        <f t="shared" si="28"/>
        <v>1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1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3" cm="1">
        <f t="array" ref="X93">ABS(INDEX($F$4:$T$263,ROW(A90),MATCH($W$2,$F$3:$T$3,0))-INDEX($F$4:$T$263,ROW(A89),MATCH($W$2,$F$3:$T$3,0)))</f>
        <v>0</v>
      </c>
      <c r="Y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3" t="e">
        <f t="shared" si="15"/>
        <v>#DIV/0!</v>
      </c>
      <c r="AA93" t="e">
        <f t="shared" si="16"/>
        <v>#DIV/0!</v>
      </c>
      <c r="AB93" t="e">
        <f t="shared" si="17"/>
        <v>#DIV/0!</v>
      </c>
      <c r="AC93" t="e">
        <f t="shared" si="18"/>
        <v>#DIV/0!</v>
      </c>
      <c r="AD93" t="e">
        <f t="shared" si="19"/>
        <v>#DIV/0!</v>
      </c>
      <c r="AE93" t="e">
        <f t="shared" si="20"/>
        <v>#DIV/0!</v>
      </c>
      <c r="AF93" t="e">
        <f t="shared" si="21"/>
        <v>#DIV/0!</v>
      </c>
      <c r="AG93" t="e">
        <f t="shared" si="22"/>
        <v>#DIV/0!</v>
      </c>
      <c r="AH93" t="e">
        <f t="shared" si="29"/>
        <v>#DIV/0!</v>
      </c>
      <c r="AI93" t="e">
        <f t="shared" si="23"/>
        <v>#DIV/0!</v>
      </c>
      <c r="AJ93">
        <f t="shared" si="24"/>
        <v>0</v>
      </c>
      <c r="AK93" t="e">
        <f t="shared" si="25"/>
        <v>#N/A</v>
      </c>
      <c r="AL93">
        <f t="shared" si="26"/>
        <v>0</v>
      </c>
      <c r="AM93" t="e">
        <f t="shared" si="27"/>
        <v>#N/A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3">
        <f t="shared" si="28"/>
        <v>1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1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4" cm="1">
        <f t="array" ref="X94">ABS(INDEX($F$4:$T$263,ROW(A91),MATCH($W$2,$F$3:$T$3,0))-INDEX($F$4:$T$263,ROW(A90),MATCH($W$2,$F$3:$T$3,0)))</f>
        <v>0</v>
      </c>
      <c r="Y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4" t="e">
        <f t="shared" si="15"/>
        <v>#DIV/0!</v>
      </c>
      <c r="AA94" t="e">
        <f t="shared" si="16"/>
        <v>#DIV/0!</v>
      </c>
      <c r="AB94" t="e">
        <f t="shared" si="17"/>
        <v>#DIV/0!</v>
      </c>
      <c r="AC94" t="e">
        <f t="shared" si="18"/>
        <v>#DIV/0!</v>
      </c>
      <c r="AD94" t="e">
        <f t="shared" si="19"/>
        <v>#DIV/0!</v>
      </c>
      <c r="AE94" t="e">
        <f t="shared" si="20"/>
        <v>#DIV/0!</v>
      </c>
      <c r="AF94" t="e">
        <f t="shared" si="21"/>
        <v>#DIV/0!</v>
      </c>
      <c r="AG94" t="e">
        <f t="shared" si="22"/>
        <v>#DIV/0!</v>
      </c>
      <c r="AH94" t="e">
        <f t="shared" si="29"/>
        <v>#DIV/0!</v>
      </c>
      <c r="AI94" t="e">
        <f t="shared" si="23"/>
        <v>#DIV/0!</v>
      </c>
      <c r="AJ94">
        <f t="shared" si="24"/>
        <v>0</v>
      </c>
      <c r="AK94" t="e">
        <f t="shared" si="25"/>
        <v>#N/A</v>
      </c>
      <c r="AL94">
        <f t="shared" si="26"/>
        <v>0</v>
      </c>
      <c r="AM94" t="e">
        <f t="shared" si="27"/>
        <v>#N/A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4">
        <f t="shared" si="28"/>
        <v>1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1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5" cm="1">
        <f t="array" ref="X95">ABS(INDEX($F$4:$T$263,ROW(A92),MATCH($W$2,$F$3:$T$3,0))-INDEX($F$4:$T$263,ROW(A91),MATCH($W$2,$F$3:$T$3,0)))</f>
        <v>0</v>
      </c>
      <c r="Y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5" t="e">
        <f t="shared" si="15"/>
        <v>#DIV/0!</v>
      </c>
      <c r="AA95" t="e">
        <f t="shared" si="16"/>
        <v>#DIV/0!</v>
      </c>
      <c r="AB95" t="e">
        <f t="shared" si="17"/>
        <v>#DIV/0!</v>
      </c>
      <c r="AC95" t="e">
        <f t="shared" si="18"/>
        <v>#DIV/0!</v>
      </c>
      <c r="AD95" t="e">
        <f t="shared" si="19"/>
        <v>#DIV/0!</v>
      </c>
      <c r="AE95" t="e">
        <f t="shared" si="20"/>
        <v>#DIV/0!</v>
      </c>
      <c r="AF95" t="e">
        <f t="shared" si="21"/>
        <v>#DIV/0!</v>
      </c>
      <c r="AG95" t="e">
        <f t="shared" si="22"/>
        <v>#DIV/0!</v>
      </c>
      <c r="AH95" t="e">
        <f t="shared" si="29"/>
        <v>#DIV/0!</v>
      </c>
      <c r="AI95" t="e">
        <f t="shared" si="23"/>
        <v>#DIV/0!</v>
      </c>
      <c r="AJ95">
        <f t="shared" si="24"/>
        <v>0</v>
      </c>
      <c r="AK95" t="e">
        <f t="shared" si="25"/>
        <v>#N/A</v>
      </c>
      <c r="AL95">
        <f t="shared" si="26"/>
        <v>0</v>
      </c>
      <c r="AM95" t="e">
        <f t="shared" si="27"/>
        <v>#N/A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5">
        <f t="shared" si="28"/>
        <v>1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1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6" cm="1">
        <f t="array" ref="X96">ABS(INDEX($F$4:$T$263,ROW(A93),MATCH($W$2,$F$3:$T$3,0))-INDEX($F$4:$T$263,ROW(A92),MATCH($W$2,$F$3:$T$3,0)))</f>
        <v>0</v>
      </c>
      <c r="Y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6" t="e">
        <f t="shared" si="15"/>
        <v>#DIV/0!</v>
      </c>
      <c r="AA96" t="e">
        <f t="shared" si="16"/>
        <v>#DIV/0!</v>
      </c>
      <c r="AB96" t="e">
        <f t="shared" si="17"/>
        <v>#DIV/0!</v>
      </c>
      <c r="AC96" t="e">
        <f t="shared" si="18"/>
        <v>#DIV/0!</v>
      </c>
      <c r="AD96" t="e">
        <f t="shared" si="19"/>
        <v>#DIV/0!</v>
      </c>
      <c r="AE96" t="e">
        <f t="shared" si="20"/>
        <v>#DIV/0!</v>
      </c>
      <c r="AF96" t="e">
        <f t="shared" si="21"/>
        <v>#DIV/0!</v>
      </c>
      <c r="AG96" t="e">
        <f t="shared" si="22"/>
        <v>#DIV/0!</v>
      </c>
      <c r="AH96" t="e">
        <f t="shared" si="29"/>
        <v>#DIV/0!</v>
      </c>
      <c r="AI96" t="e">
        <f t="shared" si="23"/>
        <v>#DIV/0!</v>
      </c>
      <c r="AJ96">
        <f t="shared" si="24"/>
        <v>0</v>
      </c>
      <c r="AK96" t="e">
        <f t="shared" si="25"/>
        <v>#N/A</v>
      </c>
      <c r="AL96">
        <f t="shared" si="26"/>
        <v>0</v>
      </c>
      <c r="AM96" t="e">
        <f t="shared" si="27"/>
        <v>#N/A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6">
        <f t="shared" si="28"/>
        <v>1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1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7" cm="1">
        <f t="array" ref="X97">ABS(INDEX($F$4:$T$263,ROW(A94),MATCH($W$2,$F$3:$T$3,0))-INDEX($F$4:$T$263,ROW(A93),MATCH($W$2,$F$3:$T$3,0)))</f>
        <v>0</v>
      </c>
      <c r="Y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7" t="e">
        <f t="shared" si="15"/>
        <v>#DIV/0!</v>
      </c>
      <c r="AA97" t="e">
        <f t="shared" si="16"/>
        <v>#DIV/0!</v>
      </c>
      <c r="AB97" t="e">
        <f t="shared" si="17"/>
        <v>#DIV/0!</v>
      </c>
      <c r="AC97" t="e">
        <f t="shared" si="18"/>
        <v>#DIV/0!</v>
      </c>
      <c r="AD97" t="e">
        <f t="shared" si="19"/>
        <v>#DIV/0!</v>
      </c>
      <c r="AE97" t="e">
        <f t="shared" si="20"/>
        <v>#DIV/0!</v>
      </c>
      <c r="AF97" t="e">
        <f t="shared" si="21"/>
        <v>#DIV/0!</v>
      </c>
      <c r="AG97" t="e">
        <f t="shared" si="22"/>
        <v>#DIV/0!</v>
      </c>
      <c r="AH97" t="e">
        <f t="shared" si="29"/>
        <v>#DIV/0!</v>
      </c>
      <c r="AI97" t="e">
        <f t="shared" si="23"/>
        <v>#DIV/0!</v>
      </c>
      <c r="AJ97">
        <f t="shared" si="24"/>
        <v>0</v>
      </c>
      <c r="AK97" t="e">
        <f t="shared" si="25"/>
        <v>#N/A</v>
      </c>
      <c r="AL97">
        <f t="shared" si="26"/>
        <v>0</v>
      </c>
      <c r="AM97" t="e">
        <f t="shared" si="27"/>
        <v>#N/A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7">
        <f t="shared" si="28"/>
        <v>1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1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8" cm="1">
        <f t="array" ref="X98">ABS(INDEX($F$4:$T$263,ROW(A95),MATCH($W$2,$F$3:$T$3,0))-INDEX($F$4:$T$263,ROW(A94),MATCH($W$2,$F$3:$T$3,0)))</f>
        <v>0</v>
      </c>
      <c r="Y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8" t="e">
        <f t="shared" si="15"/>
        <v>#DIV/0!</v>
      </c>
      <c r="AA98" t="e">
        <f t="shared" si="16"/>
        <v>#DIV/0!</v>
      </c>
      <c r="AB98" t="e">
        <f t="shared" si="17"/>
        <v>#DIV/0!</v>
      </c>
      <c r="AC98" t="e">
        <f t="shared" si="18"/>
        <v>#DIV/0!</v>
      </c>
      <c r="AD98" t="e">
        <f t="shared" si="19"/>
        <v>#DIV/0!</v>
      </c>
      <c r="AE98" t="e">
        <f t="shared" si="20"/>
        <v>#DIV/0!</v>
      </c>
      <c r="AF98" t="e">
        <f t="shared" si="21"/>
        <v>#DIV/0!</v>
      </c>
      <c r="AG98" t="e">
        <f t="shared" si="22"/>
        <v>#DIV/0!</v>
      </c>
      <c r="AH98" t="e">
        <f t="shared" si="29"/>
        <v>#DIV/0!</v>
      </c>
      <c r="AI98" t="e">
        <f t="shared" si="23"/>
        <v>#DIV/0!</v>
      </c>
      <c r="AJ98">
        <f t="shared" si="24"/>
        <v>0</v>
      </c>
      <c r="AK98" t="e">
        <f t="shared" si="25"/>
        <v>#N/A</v>
      </c>
      <c r="AL98">
        <f t="shared" si="26"/>
        <v>0</v>
      </c>
      <c r="AM98" t="e">
        <f t="shared" si="27"/>
        <v>#N/A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8">
        <f t="shared" si="28"/>
        <v>1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1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9" cm="1">
        <f t="array" ref="X99">ABS(INDEX($F$4:$T$263,ROW(A96),MATCH($W$2,$F$3:$T$3,0))-INDEX($F$4:$T$263,ROW(A95),MATCH($W$2,$F$3:$T$3,0)))</f>
        <v>0</v>
      </c>
      <c r="Y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9" t="e">
        <f t="shared" si="15"/>
        <v>#DIV/0!</v>
      </c>
      <c r="AA99" t="e">
        <f t="shared" si="16"/>
        <v>#DIV/0!</v>
      </c>
      <c r="AB99" t="e">
        <f t="shared" si="17"/>
        <v>#DIV/0!</v>
      </c>
      <c r="AC99" t="e">
        <f t="shared" si="18"/>
        <v>#DIV/0!</v>
      </c>
      <c r="AD99" t="e">
        <f t="shared" si="19"/>
        <v>#DIV/0!</v>
      </c>
      <c r="AE99" t="e">
        <f t="shared" si="20"/>
        <v>#DIV/0!</v>
      </c>
      <c r="AF99" t="e">
        <f t="shared" si="21"/>
        <v>#DIV/0!</v>
      </c>
      <c r="AG99" t="e">
        <f t="shared" si="22"/>
        <v>#DIV/0!</v>
      </c>
      <c r="AH99" t="e">
        <f t="shared" si="29"/>
        <v>#DIV/0!</v>
      </c>
      <c r="AI99" t="e">
        <f t="shared" si="23"/>
        <v>#DIV/0!</v>
      </c>
      <c r="AJ99">
        <f t="shared" si="24"/>
        <v>0</v>
      </c>
      <c r="AK99" t="e">
        <f t="shared" si="25"/>
        <v>#N/A</v>
      </c>
      <c r="AL99">
        <f t="shared" si="26"/>
        <v>0</v>
      </c>
      <c r="AM99" t="e">
        <f t="shared" si="27"/>
        <v>#N/A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9">
        <f t="shared" si="28"/>
        <v>1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1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0" cm="1">
        <f t="array" ref="X100">ABS(INDEX($F$4:$T$263,ROW(A97),MATCH($W$2,$F$3:$T$3,0))-INDEX($F$4:$T$263,ROW(A96),MATCH($W$2,$F$3:$T$3,0)))</f>
        <v>0</v>
      </c>
      <c r="Y1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0" t="e">
        <f t="shared" si="15"/>
        <v>#DIV/0!</v>
      </c>
      <c r="AA100" t="e">
        <f t="shared" si="16"/>
        <v>#DIV/0!</v>
      </c>
      <c r="AB100" t="e">
        <f t="shared" si="17"/>
        <v>#DIV/0!</v>
      </c>
      <c r="AC100" t="e">
        <f t="shared" si="18"/>
        <v>#DIV/0!</v>
      </c>
      <c r="AD100" t="e">
        <f t="shared" si="19"/>
        <v>#DIV/0!</v>
      </c>
      <c r="AE100" t="e">
        <f t="shared" si="20"/>
        <v>#DIV/0!</v>
      </c>
      <c r="AF100" t="e">
        <f t="shared" si="21"/>
        <v>#DIV/0!</v>
      </c>
      <c r="AG100" t="e">
        <f t="shared" si="22"/>
        <v>#DIV/0!</v>
      </c>
      <c r="AH100" t="e">
        <f t="shared" si="29"/>
        <v>#DIV/0!</v>
      </c>
      <c r="AI100" t="e">
        <f t="shared" si="23"/>
        <v>#DIV/0!</v>
      </c>
      <c r="AJ100">
        <f t="shared" si="24"/>
        <v>0</v>
      </c>
      <c r="AK100" t="e">
        <f t="shared" si="25"/>
        <v>#N/A</v>
      </c>
      <c r="AL100">
        <f t="shared" si="26"/>
        <v>0</v>
      </c>
      <c r="AM100" t="e">
        <f t="shared" si="27"/>
        <v>#N/A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0">
        <f t="shared" si="28"/>
        <v>1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1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1" cm="1">
        <f t="array" ref="X101">ABS(INDEX($F$4:$T$263,ROW(A98),MATCH($W$2,$F$3:$T$3,0))-INDEX($F$4:$T$263,ROW(A97),MATCH($W$2,$F$3:$T$3,0)))</f>
        <v>0</v>
      </c>
      <c r="Y1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1" t="e">
        <f t="shared" si="15"/>
        <v>#DIV/0!</v>
      </c>
      <c r="AA101" t="e">
        <f t="shared" si="16"/>
        <v>#DIV/0!</v>
      </c>
      <c r="AB101" t="e">
        <f t="shared" si="17"/>
        <v>#DIV/0!</v>
      </c>
      <c r="AC101" t="e">
        <f t="shared" si="18"/>
        <v>#DIV/0!</v>
      </c>
      <c r="AD101" t="e">
        <f t="shared" si="19"/>
        <v>#DIV/0!</v>
      </c>
      <c r="AE101" t="e">
        <f t="shared" si="20"/>
        <v>#DIV/0!</v>
      </c>
      <c r="AF101" t="e">
        <f t="shared" si="21"/>
        <v>#DIV/0!</v>
      </c>
      <c r="AG101" t="e">
        <f t="shared" si="22"/>
        <v>#DIV/0!</v>
      </c>
      <c r="AH101" t="e">
        <f t="shared" si="29"/>
        <v>#DIV/0!</v>
      </c>
      <c r="AI101" t="e">
        <f t="shared" si="23"/>
        <v>#DIV/0!</v>
      </c>
      <c r="AJ101">
        <f t="shared" si="24"/>
        <v>0</v>
      </c>
      <c r="AK101" t="e">
        <f t="shared" si="25"/>
        <v>#N/A</v>
      </c>
      <c r="AL101">
        <f t="shared" si="26"/>
        <v>0</v>
      </c>
      <c r="AM101" t="e">
        <f t="shared" si="27"/>
        <v>#N/A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1">
        <f t="shared" si="28"/>
        <v>1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1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2" cm="1">
        <f t="array" ref="X102">ABS(INDEX($F$4:$T$263,ROW(A99),MATCH($W$2,$F$3:$T$3,0))-INDEX($F$4:$T$263,ROW(A98),MATCH($W$2,$F$3:$T$3,0)))</f>
        <v>0</v>
      </c>
      <c r="Y1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2" t="e">
        <f t="shared" si="15"/>
        <v>#DIV/0!</v>
      </c>
      <c r="AA102" t="e">
        <f t="shared" si="16"/>
        <v>#DIV/0!</v>
      </c>
      <c r="AB102" t="e">
        <f t="shared" si="17"/>
        <v>#DIV/0!</v>
      </c>
      <c r="AC102" t="e">
        <f t="shared" si="18"/>
        <v>#DIV/0!</v>
      </c>
      <c r="AD102" t="e">
        <f t="shared" si="19"/>
        <v>#DIV/0!</v>
      </c>
      <c r="AE102" t="e">
        <f t="shared" si="20"/>
        <v>#DIV/0!</v>
      </c>
      <c r="AF102" t="e">
        <f t="shared" si="21"/>
        <v>#DIV/0!</v>
      </c>
      <c r="AG102" t="e">
        <f t="shared" si="22"/>
        <v>#DIV/0!</v>
      </c>
      <c r="AH102" t="e">
        <f t="shared" si="29"/>
        <v>#DIV/0!</v>
      </c>
      <c r="AI102" t="e">
        <f t="shared" si="23"/>
        <v>#DIV/0!</v>
      </c>
      <c r="AJ102">
        <f t="shared" si="24"/>
        <v>0</v>
      </c>
      <c r="AK102" t="e">
        <f t="shared" si="25"/>
        <v>#N/A</v>
      </c>
      <c r="AL102">
        <f t="shared" si="26"/>
        <v>0</v>
      </c>
      <c r="AM102" t="e">
        <f t="shared" si="27"/>
        <v>#N/A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2">
        <f t="shared" si="28"/>
        <v>1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1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3" cm="1">
        <f t="array" ref="X103">ABS(INDEX($F$4:$T$263,ROW(A100),MATCH($W$2,$F$3:$T$3,0))-INDEX($F$4:$T$263,ROW(A99),MATCH($W$2,$F$3:$T$3,0)))</f>
        <v>0</v>
      </c>
      <c r="Y1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3" t="e">
        <f t="shared" si="15"/>
        <v>#DIV/0!</v>
      </c>
      <c r="AA103" t="e">
        <f t="shared" si="16"/>
        <v>#DIV/0!</v>
      </c>
      <c r="AB103" t="e">
        <f t="shared" si="17"/>
        <v>#DIV/0!</v>
      </c>
      <c r="AC103" t="e">
        <f t="shared" si="18"/>
        <v>#DIV/0!</v>
      </c>
      <c r="AD103" t="e">
        <f t="shared" si="19"/>
        <v>#DIV/0!</v>
      </c>
      <c r="AE103" t="e">
        <f t="shared" si="20"/>
        <v>#DIV/0!</v>
      </c>
      <c r="AF103" t="e">
        <f t="shared" si="21"/>
        <v>#DIV/0!</v>
      </c>
      <c r="AG103" t="e">
        <f t="shared" si="22"/>
        <v>#DIV/0!</v>
      </c>
      <c r="AH103" t="e">
        <f t="shared" si="29"/>
        <v>#DIV/0!</v>
      </c>
      <c r="AI103" t="e">
        <f t="shared" si="23"/>
        <v>#DIV/0!</v>
      </c>
      <c r="AJ103">
        <f t="shared" si="24"/>
        <v>0</v>
      </c>
      <c r="AK103" t="e">
        <f t="shared" si="25"/>
        <v>#N/A</v>
      </c>
      <c r="AL103">
        <f t="shared" si="26"/>
        <v>0</v>
      </c>
      <c r="AM103" t="e">
        <f t="shared" si="27"/>
        <v>#N/A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3">
        <f t="shared" si="28"/>
        <v>1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1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4" cm="1">
        <f t="array" ref="X104">ABS(INDEX($F$4:$T$263,ROW(A101),MATCH($W$2,$F$3:$T$3,0))-INDEX($F$4:$T$263,ROW(A100),MATCH($W$2,$F$3:$T$3,0)))</f>
        <v>0</v>
      </c>
      <c r="Y1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4" t="e">
        <f t="shared" si="15"/>
        <v>#DIV/0!</v>
      </c>
      <c r="AA104" t="e">
        <f t="shared" si="16"/>
        <v>#DIV/0!</v>
      </c>
      <c r="AB104" t="e">
        <f t="shared" si="17"/>
        <v>#DIV/0!</v>
      </c>
      <c r="AC104" t="e">
        <f t="shared" si="18"/>
        <v>#DIV/0!</v>
      </c>
      <c r="AD104" t="e">
        <f t="shared" si="19"/>
        <v>#DIV/0!</v>
      </c>
      <c r="AE104" t="e">
        <f t="shared" si="20"/>
        <v>#DIV/0!</v>
      </c>
      <c r="AF104" t="e">
        <f t="shared" si="21"/>
        <v>#DIV/0!</v>
      </c>
      <c r="AG104" t="e">
        <f t="shared" si="22"/>
        <v>#DIV/0!</v>
      </c>
      <c r="AH104" t="e">
        <f t="shared" si="29"/>
        <v>#DIV/0!</v>
      </c>
      <c r="AI104" t="e">
        <f t="shared" si="23"/>
        <v>#DIV/0!</v>
      </c>
      <c r="AJ104">
        <f t="shared" si="24"/>
        <v>0</v>
      </c>
      <c r="AK104" t="e">
        <f t="shared" si="25"/>
        <v>#N/A</v>
      </c>
      <c r="AL104">
        <f t="shared" si="26"/>
        <v>0</v>
      </c>
      <c r="AM104" t="e">
        <f t="shared" si="27"/>
        <v>#N/A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4">
        <f t="shared" si="28"/>
        <v>1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1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5" cm="1">
        <f t="array" ref="X105">ABS(INDEX($F$4:$T$263,ROW(A102),MATCH($W$2,$F$3:$T$3,0))-INDEX($F$4:$T$263,ROW(A101),MATCH($W$2,$F$3:$T$3,0)))</f>
        <v>0</v>
      </c>
      <c r="Y1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5" t="e">
        <f t="shared" si="15"/>
        <v>#DIV/0!</v>
      </c>
      <c r="AA105" t="e">
        <f t="shared" si="16"/>
        <v>#DIV/0!</v>
      </c>
      <c r="AB105" t="e">
        <f t="shared" si="17"/>
        <v>#DIV/0!</v>
      </c>
      <c r="AC105" t="e">
        <f t="shared" si="18"/>
        <v>#DIV/0!</v>
      </c>
      <c r="AD105" t="e">
        <f t="shared" si="19"/>
        <v>#DIV/0!</v>
      </c>
      <c r="AE105" t="e">
        <f t="shared" si="20"/>
        <v>#DIV/0!</v>
      </c>
      <c r="AF105" t="e">
        <f t="shared" si="21"/>
        <v>#DIV/0!</v>
      </c>
      <c r="AG105" t="e">
        <f t="shared" si="22"/>
        <v>#DIV/0!</v>
      </c>
      <c r="AH105" t="e">
        <f t="shared" si="29"/>
        <v>#DIV/0!</v>
      </c>
      <c r="AI105" t="e">
        <f t="shared" si="23"/>
        <v>#DIV/0!</v>
      </c>
      <c r="AJ105">
        <f t="shared" si="24"/>
        <v>0</v>
      </c>
      <c r="AK105" t="e">
        <f t="shared" si="25"/>
        <v>#N/A</v>
      </c>
      <c r="AL105">
        <f t="shared" si="26"/>
        <v>0</v>
      </c>
      <c r="AM105" t="e">
        <f t="shared" si="27"/>
        <v>#N/A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5">
        <f t="shared" si="28"/>
        <v>1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1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6" cm="1">
        <f t="array" ref="X106">ABS(INDEX($F$4:$T$263,ROW(A103),MATCH($W$2,$F$3:$T$3,0))-INDEX($F$4:$T$263,ROW(A102),MATCH($W$2,$F$3:$T$3,0)))</f>
        <v>0</v>
      </c>
      <c r="Y1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6" t="e">
        <f t="shared" si="15"/>
        <v>#DIV/0!</v>
      </c>
      <c r="AA106" t="e">
        <f t="shared" si="16"/>
        <v>#DIV/0!</v>
      </c>
      <c r="AB106" t="e">
        <f t="shared" si="17"/>
        <v>#DIV/0!</v>
      </c>
      <c r="AC106" t="e">
        <f t="shared" si="18"/>
        <v>#DIV/0!</v>
      </c>
      <c r="AD106" t="e">
        <f t="shared" si="19"/>
        <v>#DIV/0!</v>
      </c>
      <c r="AE106" t="e">
        <f t="shared" si="20"/>
        <v>#DIV/0!</v>
      </c>
      <c r="AF106" t="e">
        <f t="shared" si="21"/>
        <v>#DIV/0!</v>
      </c>
      <c r="AG106" t="e">
        <f t="shared" si="22"/>
        <v>#DIV/0!</v>
      </c>
      <c r="AH106" t="e">
        <f t="shared" si="29"/>
        <v>#DIV/0!</v>
      </c>
      <c r="AI106" t="e">
        <f t="shared" si="23"/>
        <v>#DIV/0!</v>
      </c>
      <c r="AJ106">
        <f t="shared" si="24"/>
        <v>0</v>
      </c>
      <c r="AK106" t="e">
        <f t="shared" si="25"/>
        <v>#N/A</v>
      </c>
      <c r="AL106">
        <f t="shared" si="26"/>
        <v>0</v>
      </c>
      <c r="AM106" t="e">
        <f t="shared" si="27"/>
        <v>#N/A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6">
        <f t="shared" si="28"/>
        <v>1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1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7" cm="1">
        <f t="array" ref="X107">ABS(INDEX($F$4:$T$263,ROW(A104),MATCH($W$2,$F$3:$T$3,0))-INDEX($F$4:$T$263,ROW(A103),MATCH($W$2,$F$3:$T$3,0)))</f>
        <v>0</v>
      </c>
      <c r="Y1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7" t="e">
        <f t="shared" si="15"/>
        <v>#DIV/0!</v>
      </c>
      <c r="AA107" t="e">
        <f t="shared" si="16"/>
        <v>#DIV/0!</v>
      </c>
      <c r="AB107" t="e">
        <f t="shared" si="17"/>
        <v>#DIV/0!</v>
      </c>
      <c r="AC107" t="e">
        <f t="shared" si="18"/>
        <v>#DIV/0!</v>
      </c>
      <c r="AD107" t="e">
        <f t="shared" si="19"/>
        <v>#DIV/0!</v>
      </c>
      <c r="AE107" t="e">
        <f t="shared" si="20"/>
        <v>#DIV/0!</v>
      </c>
      <c r="AF107" t="e">
        <f t="shared" si="21"/>
        <v>#DIV/0!</v>
      </c>
      <c r="AG107" t="e">
        <f t="shared" si="22"/>
        <v>#DIV/0!</v>
      </c>
      <c r="AH107" t="e">
        <f t="shared" si="29"/>
        <v>#DIV/0!</v>
      </c>
      <c r="AI107" t="e">
        <f t="shared" si="23"/>
        <v>#DIV/0!</v>
      </c>
      <c r="AJ107">
        <f t="shared" si="24"/>
        <v>0</v>
      </c>
      <c r="AK107" t="e">
        <f t="shared" si="25"/>
        <v>#N/A</v>
      </c>
      <c r="AL107">
        <f t="shared" si="26"/>
        <v>0</v>
      </c>
      <c r="AM107" t="e">
        <f t="shared" si="27"/>
        <v>#N/A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7">
        <f t="shared" si="28"/>
        <v>1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1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8" cm="1">
        <f t="array" ref="X108">ABS(INDEX($F$4:$T$263,ROW(A105),MATCH($W$2,$F$3:$T$3,0))-INDEX($F$4:$T$263,ROW(A104),MATCH($W$2,$F$3:$T$3,0)))</f>
        <v>0</v>
      </c>
      <c r="Y1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8" t="e">
        <f t="shared" si="15"/>
        <v>#DIV/0!</v>
      </c>
      <c r="AA108" t="e">
        <f t="shared" si="16"/>
        <v>#DIV/0!</v>
      </c>
      <c r="AB108" t="e">
        <f t="shared" si="17"/>
        <v>#DIV/0!</v>
      </c>
      <c r="AC108" t="e">
        <f t="shared" si="18"/>
        <v>#DIV/0!</v>
      </c>
      <c r="AD108" t="e">
        <f t="shared" si="19"/>
        <v>#DIV/0!</v>
      </c>
      <c r="AE108" t="e">
        <f t="shared" si="20"/>
        <v>#DIV/0!</v>
      </c>
      <c r="AF108" t="e">
        <f t="shared" si="21"/>
        <v>#DIV/0!</v>
      </c>
      <c r="AG108" t="e">
        <f t="shared" si="22"/>
        <v>#DIV/0!</v>
      </c>
      <c r="AH108" t="e">
        <f t="shared" si="29"/>
        <v>#DIV/0!</v>
      </c>
      <c r="AI108" t="e">
        <f t="shared" si="23"/>
        <v>#DIV/0!</v>
      </c>
      <c r="AJ108">
        <f t="shared" si="24"/>
        <v>0</v>
      </c>
      <c r="AK108" t="e">
        <f t="shared" si="25"/>
        <v>#N/A</v>
      </c>
      <c r="AL108">
        <f t="shared" si="26"/>
        <v>0</v>
      </c>
      <c r="AM108" t="e">
        <f t="shared" si="27"/>
        <v>#N/A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8">
        <f t="shared" si="28"/>
        <v>1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1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9" cm="1">
        <f t="array" ref="X109">ABS(INDEX($F$4:$T$263,ROW(A106),MATCH($W$2,$F$3:$T$3,0))-INDEX($F$4:$T$263,ROW(A105),MATCH($W$2,$F$3:$T$3,0)))</f>
        <v>0</v>
      </c>
      <c r="Y1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9" t="e">
        <f t="shared" si="15"/>
        <v>#DIV/0!</v>
      </c>
      <c r="AA109" t="e">
        <f t="shared" si="16"/>
        <v>#DIV/0!</v>
      </c>
      <c r="AB109" t="e">
        <f t="shared" si="17"/>
        <v>#DIV/0!</v>
      </c>
      <c r="AC109" t="e">
        <f t="shared" si="18"/>
        <v>#DIV/0!</v>
      </c>
      <c r="AD109" t="e">
        <f t="shared" si="19"/>
        <v>#DIV/0!</v>
      </c>
      <c r="AE109" t="e">
        <f t="shared" si="20"/>
        <v>#DIV/0!</v>
      </c>
      <c r="AF109" t="e">
        <f t="shared" si="21"/>
        <v>#DIV/0!</v>
      </c>
      <c r="AG109" t="e">
        <f t="shared" si="22"/>
        <v>#DIV/0!</v>
      </c>
      <c r="AH109" t="e">
        <f t="shared" si="29"/>
        <v>#DIV/0!</v>
      </c>
      <c r="AI109" t="e">
        <f t="shared" si="23"/>
        <v>#DIV/0!</v>
      </c>
      <c r="AJ109">
        <f t="shared" si="24"/>
        <v>0</v>
      </c>
      <c r="AK109" t="e">
        <f t="shared" si="25"/>
        <v>#N/A</v>
      </c>
      <c r="AL109">
        <f t="shared" si="26"/>
        <v>0</v>
      </c>
      <c r="AM109" t="e">
        <f t="shared" si="27"/>
        <v>#N/A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9">
        <f t="shared" si="28"/>
        <v>1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1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0" cm="1">
        <f t="array" ref="X110">ABS(INDEX($F$4:$T$263,ROW(A107),MATCH($W$2,$F$3:$T$3,0))-INDEX($F$4:$T$263,ROW(A106),MATCH($W$2,$F$3:$T$3,0)))</f>
        <v>0</v>
      </c>
      <c r="Y1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0" t="e">
        <f t="shared" si="15"/>
        <v>#DIV/0!</v>
      </c>
      <c r="AA110" t="e">
        <f t="shared" si="16"/>
        <v>#DIV/0!</v>
      </c>
      <c r="AB110" t="e">
        <f t="shared" si="17"/>
        <v>#DIV/0!</v>
      </c>
      <c r="AC110" t="e">
        <f t="shared" si="18"/>
        <v>#DIV/0!</v>
      </c>
      <c r="AD110" t="e">
        <f t="shared" si="19"/>
        <v>#DIV/0!</v>
      </c>
      <c r="AE110" t="e">
        <f t="shared" si="20"/>
        <v>#DIV/0!</v>
      </c>
      <c r="AF110" t="e">
        <f t="shared" si="21"/>
        <v>#DIV/0!</v>
      </c>
      <c r="AG110" t="e">
        <f t="shared" si="22"/>
        <v>#DIV/0!</v>
      </c>
      <c r="AH110" t="e">
        <f t="shared" si="29"/>
        <v>#DIV/0!</v>
      </c>
      <c r="AI110" t="e">
        <f t="shared" si="23"/>
        <v>#DIV/0!</v>
      </c>
      <c r="AJ110">
        <f t="shared" si="24"/>
        <v>0</v>
      </c>
      <c r="AK110" t="e">
        <f t="shared" si="25"/>
        <v>#N/A</v>
      </c>
      <c r="AL110">
        <f t="shared" si="26"/>
        <v>0</v>
      </c>
      <c r="AM110" t="e">
        <f t="shared" si="27"/>
        <v>#N/A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0">
        <f t="shared" si="28"/>
        <v>1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1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1" cm="1">
        <f t="array" ref="X111">ABS(INDEX($F$4:$T$263,ROW(A108),MATCH($W$2,$F$3:$T$3,0))-INDEX($F$4:$T$263,ROW(A107),MATCH($W$2,$F$3:$T$3,0)))</f>
        <v>0</v>
      </c>
      <c r="Y1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1" t="e">
        <f t="shared" si="15"/>
        <v>#DIV/0!</v>
      </c>
      <c r="AA111" t="e">
        <f t="shared" si="16"/>
        <v>#DIV/0!</v>
      </c>
      <c r="AB111" t="e">
        <f t="shared" si="17"/>
        <v>#DIV/0!</v>
      </c>
      <c r="AC111" t="e">
        <f t="shared" si="18"/>
        <v>#DIV/0!</v>
      </c>
      <c r="AD111" t="e">
        <f t="shared" si="19"/>
        <v>#DIV/0!</v>
      </c>
      <c r="AE111" t="e">
        <f t="shared" si="20"/>
        <v>#DIV/0!</v>
      </c>
      <c r="AF111" t="e">
        <f t="shared" si="21"/>
        <v>#DIV/0!</v>
      </c>
      <c r="AG111" t="e">
        <f t="shared" si="22"/>
        <v>#DIV/0!</v>
      </c>
      <c r="AH111" t="e">
        <f t="shared" si="29"/>
        <v>#DIV/0!</v>
      </c>
      <c r="AI111" t="e">
        <f t="shared" si="23"/>
        <v>#DIV/0!</v>
      </c>
      <c r="AJ111">
        <f t="shared" si="24"/>
        <v>0</v>
      </c>
      <c r="AK111" t="e">
        <f t="shared" si="25"/>
        <v>#N/A</v>
      </c>
      <c r="AL111">
        <f t="shared" si="26"/>
        <v>0</v>
      </c>
      <c r="AM111" t="e">
        <f t="shared" si="27"/>
        <v>#N/A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1">
        <f t="shared" si="28"/>
        <v>1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1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2" cm="1">
        <f t="array" ref="X112">ABS(INDEX($F$4:$T$263,ROW(A109),MATCH($W$2,$F$3:$T$3,0))-INDEX($F$4:$T$263,ROW(A108),MATCH($W$2,$F$3:$T$3,0)))</f>
        <v>0</v>
      </c>
      <c r="Y1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2" t="e">
        <f t="shared" si="15"/>
        <v>#DIV/0!</v>
      </c>
      <c r="AA112" t="e">
        <f t="shared" si="16"/>
        <v>#DIV/0!</v>
      </c>
      <c r="AB112" t="e">
        <f t="shared" si="17"/>
        <v>#DIV/0!</v>
      </c>
      <c r="AC112" t="e">
        <f t="shared" si="18"/>
        <v>#DIV/0!</v>
      </c>
      <c r="AD112" t="e">
        <f t="shared" si="19"/>
        <v>#DIV/0!</v>
      </c>
      <c r="AE112" t="e">
        <f t="shared" si="20"/>
        <v>#DIV/0!</v>
      </c>
      <c r="AF112" t="e">
        <f t="shared" si="21"/>
        <v>#DIV/0!</v>
      </c>
      <c r="AG112" t="e">
        <f t="shared" si="22"/>
        <v>#DIV/0!</v>
      </c>
      <c r="AH112" t="e">
        <f t="shared" si="29"/>
        <v>#DIV/0!</v>
      </c>
      <c r="AI112" t="e">
        <f t="shared" si="23"/>
        <v>#DIV/0!</v>
      </c>
      <c r="AJ112">
        <f t="shared" si="24"/>
        <v>0</v>
      </c>
      <c r="AK112" t="e">
        <f t="shared" si="25"/>
        <v>#N/A</v>
      </c>
      <c r="AL112">
        <f t="shared" si="26"/>
        <v>0</v>
      </c>
      <c r="AM112" t="e">
        <f t="shared" si="27"/>
        <v>#N/A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2">
        <f t="shared" si="28"/>
        <v>1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1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3" cm="1">
        <f t="array" ref="X113">ABS(INDEX($F$4:$T$263,ROW(A110),MATCH($W$2,$F$3:$T$3,0))-INDEX($F$4:$T$263,ROW(A109),MATCH($W$2,$F$3:$T$3,0)))</f>
        <v>0</v>
      </c>
      <c r="Y1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3" t="e">
        <f t="shared" si="15"/>
        <v>#DIV/0!</v>
      </c>
      <c r="AA113" t="e">
        <f t="shared" si="16"/>
        <v>#DIV/0!</v>
      </c>
      <c r="AB113" t="e">
        <f t="shared" si="17"/>
        <v>#DIV/0!</v>
      </c>
      <c r="AC113" t="e">
        <f t="shared" si="18"/>
        <v>#DIV/0!</v>
      </c>
      <c r="AD113" t="e">
        <f t="shared" si="19"/>
        <v>#DIV/0!</v>
      </c>
      <c r="AE113" t="e">
        <f t="shared" si="20"/>
        <v>#DIV/0!</v>
      </c>
      <c r="AF113" t="e">
        <f t="shared" si="21"/>
        <v>#DIV/0!</v>
      </c>
      <c r="AG113" t="e">
        <f t="shared" si="22"/>
        <v>#DIV/0!</v>
      </c>
      <c r="AH113" t="e">
        <f t="shared" si="29"/>
        <v>#DIV/0!</v>
      </c>
      <c r="AI113" t="e">
        <f t="shared" si="23"/>
        <v>#DIV/0!</v>
      </c>
      <c r="AJ113">
        <f t="shared" si="24"/>
        <v>0</v>
      </c>
      <c r="AK113" t="e">
        <f t="shared" si="25"/>
        <v>#N/A</v>
      </c>
      <c r="AL113">
        <f t="shared" si="26"/>
        <v>0</v>
      </c>
      <c r="AM113" t="e">
        <f t="shared" si="27"/>
        <v>#N/A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3">
        <f t="shared" si="28"/>
        <v>1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1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4" cm="1">
        <f t="array" ref="X114">ABS(INDEX($F$4:$T$263,ROW(A111),MATCH($W$2,$F$3:$T$3,0))-INDEX($F$4:$T$263,ROW(A110),MATCH($W$2,$F$3:$T$3,0)))</f>
        <v>0</v>
      </c>
      <c r="Y1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4" t="e">
        <f t="shared" si="15"/>
        <v>#DIV/0!</v>
      </c>
      <c r="AA114" t="e">
        <f t="shared" si="16"/>
        <v>#DIV/0!</v>
      </c>
      <c r="AB114" t="e">
        <f t="shared" si="17"/>
        <v>#DIV/0!</v>
      </c>
      <c r="AC114" t="e">
        <f t="shared" si="18"/>
        <v>#DIV/0!</v>
      </c>
      <c r="AD114" t="e">
        <f t="shared" si="19"/>
        <v>#DIV/0!</v>
      </c>
      <c r="AE114" t="e">
        <f t="shared" si="20"/>
        <v>#DIV/0!</v>
      </c>
      <c r="AF114" t="e">
        <f t="shared" si="21"/>
        <v>#DIV/0!</v>
      </c>
      <c r="AG114" t="e">
        <f t="shared" si="22"/>
        <v>#DIV/0!</v>
      </c>
      <c r="AH114" t="e">
        <f t="shared" si="29"/>
        <v>#DIV/0!</v>
      </c>
      <c r="AI114" t="e">
        <f t="shared" si="23"/>
        <v>#DIV/0!</v>
      </c>
      <c r="AJ114">
        <f t="shared" si="24"/>
        <v>0</v>
      </c>
      <c r="AK114" t="e">
        <f t="shared" si="25"/>
        <v>#N/A</v>
      </c>
      <c r="AL114">
        <f t="shared" si="26"/>
        <v>0</v>
      </c>
      <c r="AM114" t="e">
        <f t="shared" si="27"/>
        <v>#N/A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4">
        <f t="shared" si="28"/>
        <v>1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1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5" cm="1">
        <f t="array" ref="X115">ABS(INDEX($F$4:$T$263,ROW(A112),MATCH($W$2,$F$3:$T$3,0))-INDEX($F$4:$T$263,ROW(A111),MATCH($W$2,$F$3:$T$3,0)))</f>
        <v>0</v>
      </c>
      <c r="Y1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5" t="e">
        <f t="shared" si="15"/>
        <v>#DIV/0!</v>
      </c>
      <c r="AA115" t="e">
        <f t="shared" si="16"/>
        <v>#DIV/0!</v>
      </c>
      <c r="AB115" t="e">
        <f t="shared" si="17"/>
        <v>#DIV/0!</v>
      </c>
      <c r="AC115" t="e">
        <f t="shared" si="18"/>
        <v>#DIV/0!</v>
      </c>
      <c r="AD115" t="e">
        <f t="shared" si="19"/>
        <v>#DIV/0!</v>
      </c>
      <c r="AE115" t="e">
        <f t="shared" si="20"/>
        <v>#DIV/0!</v>
      </c>
      <c r="AF115" t="e">
        <f t="shared" si="21"/>
        <v>#DIV/0!</v>
      </c>
      <c r="AG115" t="e">
        <f t="shared" si="22"/>
        <v>#DIV/0!</v>
      </c>
      <c r="AH115" t="e">
        <f t="shared" si="29"/>
        <v>#DIV/0!</v>
      </c>
      <c r="AI115" t="e">
        <f t="shared" si="23"/>
        <v>#DIV/0!</v>
      </c>
      <c r="AJ115">
        <f t="shared" si="24"/>
        <v>0</v>
      </c>
      <c r="AK115" t="e">
        <f t="shared" si="25"/>
        <v>#N/A</v>
      </c>
      <c r="AL115">
        <f t="shared" si="26"/>
        <v>0</v>
      </c>
      <c r="AM115" t="e">
        <f t="shared" si="27"/>
        <v>#N/A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5">
        <f t="shared" si="28"/>
        <v>1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1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6" cm="1">
        <f t="array" ref="X116">ABS(INDEX($F$4:$T$263,ROW(A113),MATCH($W$2,$F$3:$T$3,0))-INDEX($F$4:$T$263,ROW(A112),MATCH($W$2,$F$3:$T$3,0)))</f>
        <v>0</v>
      </c>
      <c r="Y1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6" t="e">
        <f t="shared" si="15"/>
        <v>#DIV/0!</v>
      </c>
      <c r="AA116" t="e">
        <f t="shared" si="16"/>
        <v>#DIV/0!</v>
      </c>
      <c r="AB116" t="e">
        <f t="shared" si="17"/>
        <v>#DIV/0!</v>
      </c>
      <c r="AC116" t="e">
        <f t="shared" si="18"/>
        <v>#DIV/0!</v>
      </c>
      <c r="AD116" t="e">
        <f t="shared" si="19"/>
        <v>#DIV/0!</v>
      </c>
      <c r="AE116" t="e">
        <f t="shared" si="20"/>
        <v>#DIV/0!</v>
      </c>
      <c r="AF116" t="e">
        <f t="shared" si="21"/>
        <v>#DIV/0!</v>
      </c>
      <c r="AG116" t="e">
        <f t="shared" si="22"/>
        <v>#DIV/0!</v>
      </c>
      <c r="AH116" t="e">
        <f t="shared" si="29"/>
        <v>#DIV/0!</v>
      </c>
      <c r="AI116" t="e">
        <f t="shared" si="23"/>
        <v>#DIV/0!</v>
      </c>
      <c r="AJ116">
        <f t="shared" si="24"/>
        <v>0</v>
      </c>
      <c r="AK116" t="e">
        <f t="shared" si="25"/>
        <v>#N/A</v>
      </c>
      <c r="AL116">
        <f t="shared" si="26"/>
        <v>0</v>
      </c>
      <c r="AM116" t="e">
        <f t="shared" si="27"/>
        <v>#N/A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6">
        <f t="shared" si="28"/>
        <v>1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1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7" cm="1">
        <f t="array" ref="X117">ABS(INDEX($F$4:$T$263,ROW(A114),MATCH($W$2,$F$3:$T$3,0))-INDEX($F$4:$T$263,ROW(A113),MATCH($W$2,$F$3:$T$3,0)))</f>
        <v>0</v>
      </c>
      <c r="Y1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7" t="e">
        <f t="shared" si="15"/>
        <v>#DIV/0!</v>
      </c>
      <c r="AA117" t="e">
        <f t="shared" si="16"/>
        <v>#DIV/0!</v>
      </c>
      <c r="AB117" t="e">
        <f t="shared" si="17"/>
        <v>#DIV/0!</v>
      </c>
      <c r="AC117" t="e">
        <f t="shared" si="18"/>
        <v>#DIV/0!</v>
      </c>
      <c r="AD117" t="e">
        <f t="shared" si="19"/>
        <v>#DIV/0!</v>
      </c>
      <c r="AE117" t="e">
        <f t="shared" si="20"/>
        <v>#DIV/0!</v>
      </c>
      <c r="AF117" t="e">
        <f t="shared" si="21"/>
        <v>#DIV/0!</v>
      </c>
      <c r="AG117" t="e">
        <f t="shared" si="22"/>
        <v>#DIV/0!</v>
      </c>
      <c r="AH117" t="e">
        <f t="shared" si="29"/>
        <v>#DIV/0!</v>
      </c>
      <c r="AI117" t="e">
        <f t="shared" si="23"/>
        <v>#DIV/0!</v>
      </c>
      <c r="AJ117">
        <f t="shared" si="24"/>
        <v>0</v>
      </c>
      <c r="AK117" t="e">
        <f t="shared" si="25"/>
        <v>#N/A</v>
      </c>
      <c r="AL117">
        <f t="shared" si="26"/>
        <v>0</v>
      </c>
      <c r="AM117" t="e">
        <f t="shared" si="27"/>
        <v>#N/A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7">
        <f t="shared" si="28"/>
        <v>1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1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8" cm="1">
        <f t="array" ref="X118">ABS(INDEX($F$4:$T$263,ROW(A115),MATCH($W$2,$F$3:$T$3,0))-INDEX($F$4:$T$263,ROW(A114),MATCH($W$2,$F$3:$T$3,0)))</f>
        <v>0</v>
      </c>
      <c r="Y1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8" t="e">
        <f t="shared" si="15"/>
        <v>#DIV/0!</v>
      </c>
      <c r="AA118" t="e">
        <f t="shared" si="16"/>
        <v>#DIV/0!</v>
      </c>
      <c r="AB118" t="e">
        <f t="shared" si="17"/>
        <v>#DIV/0!</v>
      </c>
      <c r="AC118" t="e">
        <f t="shared" si="18"/>
        <v>#DIV/0!</v>
      </c>
      <c r="AD118" t="e">
        <f t="shared" si="19"/>
        <v>#DIV/0!</v>
      </c>
      <c r="AE118" t="e">
        <f t="shared" si="20"/>
        <v>#DIV/0!</v>
      </c>
      <c r="AF118" t="e">
        <f t="shared" si="21"/>
        <v>#DIV/0!</v>
      </c>
      <c r="AG118" t="e">
        <f t="shared" si="22"/>
        <v>#DIV/0!</v>
      </c>
      <c r="AH118" t="e">
        <f t="shared" si="29"/>
        <v>#DIV/0!</v>
      </c>
      <c r="AI118" t="e">
        <f t="shared" si="23"/>
        <v>#DIV/0!</v>
      </c>
      <c r="AJ118">
        <f t="shared" si="24"/>
        <v>0</v>
      </c>
      <c r="AK118" t="e">
        <f t="shared" si="25"/>
        <v>#N/A</v>
      </c>
      <c r="AL118">
        <f t="shared" si="26"/>
        <v>0</v>
      </c>
      <c r="AM118" t="e">
        <f t="shared" si="27"/>
        <v>#N/A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8">
        <f t="shared" si="28"/>
        <v>1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1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9" cm="1">
        <f t="array" ref="X119">ABS(INDEX($F$4:$T$263,ROW(A116),MATCH($W$2,$F$3:$T$3,0))-INDEX($F$4:$T$263,ROW(A115),MATCH($W$2,$F$3:$T$3,0)))</f>
        <v>0</v>
      </c>
      <c r="Y1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9" t="e">
        <f t="shared" si="15"/>
        <v>#DIV/0!</v>
      </c>
      <c r="AA119" t="e">
        <f t="shared" si="16"/>
        <v>#DIV/0!</v>
      </c>
      <c r="AB119" t="e">
        <f t="shared" si="17"/>
        <v>#DIV/0!</v>
      </c>
      <c r="AC119" t="e">
        <f t="shared" si="18"/>
        <v>#DIV/0!</v>
      </c>
      <c r="AD119" t="e">
        <f t="shared" si="19"/>
        <v>#DIV/0!</v>
      </c>
      <c r="AE119" t="e">
        <f t="shared" si="20"/>
        <v>#DIV/0!</v>
      </c>
      <c r="AF119" t="e">
        <f t="shared" si="21"/>
        <v>#DIV/0!</v>
      </c>
      <c r="AG119" t="e">
        <f t="shared" si="22"/>
        <v>#DIV/0!</v>
      </c>
      <c r="AH119" t="e">
        <f t="shared" si="29"/>
        <v>#DIV/0!</v>
      </c>
      <c r="AI119" t="e">
        <f t="shared" si="23"/>
        <v>#DIV/0!</v>
      </c>
      <c r="AJ119">
        <f t="shared" si="24"/>
        <v>0</v>
      </c>
      <c r="AK119" t="e">
        <f t="shared" si="25"/>
        <v>#N/A</v>
      </c>
      <c r="AL119">
        <f t="shared" si="26"/>
        <v>0</v>
      </c>
      <c r="AM119" t="e">
        <f t="shared" si="27"/>
        <v>#N/A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9">
        <f t="shared" si="28"/>
        <v>1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1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0" cm="1">
        <f t="array" ref="X120">ABS(INDEX($F$4:$T$263,ROW(A117),MATCH($W$2,$F$3:$T$3,0))-INDEX($F$4:$T$263,ROW(A116),MATCH($W$2,$F$3:$T$3,0)))</f>
        <v>0</v>
      </c>
      <c r="Y1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0" t="e">
        <f t="shared" si="15"/>
        <v>#DIV/0!</v>
      </c>
      <c r="AA120" t="e">
        <f t="shared" si="16"/>
        <v>#DIV/0!</v>
      </c>
      <c r="AB120" t="e">
        <f t="shared" si="17"/>
        <v>#DIV/0!</v>
      </c>
      <c r="AC120" t="e">
        <f t="shared" si="18"/>
        <v>#DIV/0!</v>
      </c>
      <c r="AD120" t="e">
        <f t="shared" si="19"/>
        <v>#DIV/0!</v>
      </c>
      <c r="AE120" t="e">
        <f t="shared" si="20"/>
        <v>#DIV/0!</v>
      </c>
      <c r="AF120" t="e">
        <f t="shared" si="21"/>
        <v>#DIV/0!</v>
      </c>
      <c r="AG120" t="e">
        <f t="shared" si="22"/>
        <v>#DIV/0!</v>
      </c>
      <c r="AH120" t="e">
        <f t="shared" si="29"/>
        <v>#DIV/0!</v>
      </c>
      <c r="AI120" t="e">
        <f t="shared" si="23"/>
        <v>#DIV/0!</v>
      </c>
      <c r="AJ120">
        <f t="shared" si="24"/>
        <v>0</v>
      </c>
      <c r="AK120" t="e">
        <f t="shared" si="25"/>
        <v>#N/A</v>
      </c>
      <c r="AL120">
        <f t="shared" si="26"/>
        <v>0</v>
      </c>
      <c r="AM120" t="e">
        <f t="shared" si="27"/>
        <v>#N/A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0">
        <f t="shared" si="28"/>
        <v>1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1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1" cm="1">
        <f t="array" ref="X121">ABS(INDEX($F$4:$T$263,ROW(A118),MATCH($W$2,$F$3:$T$3,0))-INDEX($F$4:$T$263,ROW(A117),MATCH($W$2,$F$3:$T$3,0)))</f>
        <v>0</v>
      </c>
      <c r="Y1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1" t="e">
        <f t="shared" si="15"/>
        <v>#DIV/0!</v>
      </c>
      <c r="AA121" t="e">
        <f t="shared" si="16"/>
        <v>#DIV/0!</v>
      </c>
      <c r="AB121" t="e">
        <f t="shared" si="17"/>
        <v>#DIV/0!</v>
      </c>
      <c r="AC121" t="e">
        <f t="shared" si="18"/>
        <v>#DIV/0!</v>
      </c>
      <c r="AD121" t="e">
        <f t="shared" si="19"/>
        <v>#DIV/0!</v>
      </c>
      <c r="AE121" t="e">
        <f t="shared" si="20"/>
        <v>#DIV/0!</v>
      </c>
      <c r="AF121" t="e">
        <f t="shared" si="21"/>
        <v>#DIV/0!</v>
      </c>
      <c r="AG121" t="e">
        <f t="shared" si="22"/>
        <v>#DIV/0!</v>
      </c>
      <c r="AH121" t="e">
        <f t="shared" si="29"/>
        <v>#DIV/0!</v>
      </c>
      <c r="AI121" t="e">
        <f t="shared" si="23"/>
        <v>#DIV/0!</v>
      </c>
      <c r="AJ121">
        <f t="shared" si="24"/>
        <v>0</v>
      </c>
      <c r="AK121" t="e">
        <f t="shared" si="25"/>
        <v>#N/A</v>
      </c>
      <c r="AL121">
        <f t="shared" si="26"/>
        <v>0</v>
      </c>
      <c r="AM121" t="e">
        <f t="shared" si="27"/>
        <v>#N/A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1">
        <f t="shared" si="28"/>
        <v>1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1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2" cm="1">
        <f t="array" ref="X122">ABS(INDEX($F$4:$T$263,ROW(A119),MATCH($W$2,$F$3:$T$3,0))-INDEX($F$4:$T$263,ROW(A118),MATCH($W$2,$F$3:$T$3,0)))</f>
        <v>0</v>
      </c>
      <c r="Y1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2" t="e">
        <f t="shared" si="15"/>
        <v>#DIV/0!</v>
      </c>
      <c r="AA122" t="e">
        <f t="shared" si="16"/>
        <v>#DIV/0!</v>
      </c>
      <c r="AB122" t="e">
        <f t="shared" si="17"/>
        <v>#DIV/0!</v>
      </c>
      <c r="AC122" t="e">
        <f t="shared" si="18"/>
        <v>#DIV/0!</v>
      </c>
      <c r="AD122" t="e">
        <f t="shared" si="19"/>
        <v>#DIV/0!</v>
      </c>
      <c r="AE122" t="e">
        <f t="shared" si="20"/>
        <v>#DIV/0!</v>
      </c>
      <c r="AF122" t="e">
        <f t="shared" si="21"/>
        <v>#DIV/0!</v>
      </c>
      <c r="AG122" t="e">
        <f t="shared" si="22"/>
        <v>#DIV/0!</v>
      </c>
      <c r="AH122" t="e">
        <f t="shared" si="29"/>
        <v>#DIV/0!</v>
      </c>
      <c r="AI122" t="e">
        <f t="shared" si="23"/>
        <v>#DIV/0!</v>
      </c>
      <c r="AJ122">
        <f t="shared" si="24"/>
        <v>0</v>
      </c>
      <c r="AK122" t="e">
        <f t="shared" si="25"/>
        <v>#N/A</v>
      </c>
      <c r="AL122">
        <f t="shared" si="26"/>
        <v>0</v>
      </c>
      <c r="AM122" t="e">
        <f t="shared" si="27"/>
        <v>#N/A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2">
        <f t="shared" si="28"/>
        <v>1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1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3" cm="1">
        <f t="array" ref="X123">ABS(INDEX($F$4:$T$263,ROW(A120),MATCH($W$2,$F$3:$T$3,0))-INDEX($F$4:$T$263,ROW(A119),MATCH($W$2,$F$3:$T$3,0)))</f>
        <v>0</v>
      </c>
      <c r="Y1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3" t="e">
        <f t="shared" si="15"/>
        <v>#DIV/0!</v>
      </c>
      <c r="AA123" t="e">
        <f t="shared" si="16"/>
        <v>#DIV/0!</v>
      </c>
      <c r="AB123" t="e">
        <f t="shared" si="17"/>
        <v>#DIV/0!</v>
      </c>
      <c r="AC123" t="e">
        <f t="shared" si="18"/>
        <v>#DIV/0!</v>
      </c>
      <c r="AD123" t="e">
        <f t="shared" si="19"/>
        <v>#DIV/0!</v>
      </c>
      <c r="AE123" t="e">
        <f t="shared" si="20"/>
        <v>#DIV/0!</v>
      </c>
      <c r="AF123" t="e">
        <f t="shared" si="21"/>
        <v>#DIV/0!</v>
      </c>
      <c r="AG123" t="e">
        <f t="shared" si="22"/>
        <v>#DIV/0!</v>
      </c>
      <c r="AH123" t="e">
        <f t="shared" si="29"/>
        <v>#DIV/0!</v>
      </c>
      <c r="AI123" t="e">
        <f t="shared" si="23"/>
        <v>#DIV/0!</v>
      </c>
      <c r="AJ123">
        <f t="shared" si="24"/>
        <v>0</v>
      </c>
      <c r="AK123" t="e">
        <f t="shared" si="25"/>
        <v>#N/A</v>
      </c>
      <c r="AL123">
        <f t="shared" si="26"/>
        <v>0</v>
      </c>
      <c r="AM123" t="e">
        <f t="shared" si="27"/>
        <v>#N/A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3">
        <f t="shared" si="28"/>
        <v>1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1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4" cm="1">
        <f t="array" ref="X124">ABS(INDEX($F$4:$T$263,ROW(A121),MATCH($W$2,$F$3:$T$3,0))-INDEX($F$4:$T$263,ROW(A120),MATCH($W$2,$F$3:$T$3,0)))</f>
        <v>0</v>
      </c>
      <c r="Y1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4" t="e">
        <f t="shared" si="15"/>
        <v>#DIV/0!</v>
      </c>
      <c r="AA124" t="e">
        <f t="shared" si="16"/>
        <v>#DIV/0!</v>
      </c>
      <c r="AB124" t="e">
        <f t="shared" si="17"/>
        <v>#DIV/0!</v>
      </c>
      <c r="AC124" t="e">
        <f t="shared" si="18"/>
        <v>#DIV/0!</v>
      </c>
      <c r="AD124" t="e">
        <f t="shared" si="19"/>
        <v>#DIV/0!</v>
      </c>
      <c r="AE124" t="e">
        <f t="shared" si="20"/>
        <v>#DIV/0!</v>
      </c>
      <c r="AF124" t="e">
        <f t="shared" si="21"/>
        <v>#DIV/0!</v>
      </c>
      <c r="AG124" t="e">
        <f t="shared" si="22"/>
        <v>#DIV/0!</v>
      </c>
      <c r="AH124" t="e">
        <f t="shared" si="29"/>
        <v>#DIV/0!</v>
      </c>
      <c r="AI124" t="e">
        <f t="shared" si="23"/>
        <v>#DIV/0!</v>
      </c>
      <c r="AJ124">
        <f t="shared" si="24"/>
        <v>0</v>
      </c>
      <c r="AK124" t="e">
        <f t="shared" si="25"/>
        <v>#N/A</v>
      </c>
      <c r="AL124">
        <f t="shared" si="26"/>
        <v>0</v>
      </c>
      <c r="AM124" t="e">
        <f t="shared" si="27"/>
        <v>#N/A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4">
        <f t="shared" si="28"/>
        <v>1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1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5" cm="1">
        <f t="array" ref="X125">ABS(INDEX($F$4:$T$263,ROW(A122),MATCH($W$2,$F$3:$T$3,0))-INDEX($F$4:$T$263,ROW(A121),MATCH($W$2,$F$3:$T$3,0)))</f>
        <v>0</v>
      </c>
      <c r="Y1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5" t="e">
        <f t="shared" si="15"/>
        <v>#DIV/0!</v>
      </c>
      <c r="AA125" t="e">
        <f t="shared" si="16"/>
        <v>#DIV/0!</v>
      </c>
      <c r="AB125" t="e">
        <f t="shared" si="17"/>
        <v>#DIV/0!</v>
      </c>
      <c r="AC125" t="e">
        <f t="shared" si="18"/>
        <v>#DIV/0!</v>
      </c>
      <c r="AD125" t="e">
        <f t="shared" si="19"/>
        <v>#DIV/0!</v>
      </c>
      <c r="AE125" t="e">
        <f t="shared" si="20"/>
        <v>#DIV/0!</v>
      </c>
      <c r="AF125" t="e">
        <f t="shared" si="21"/>
        <v>#DIV/0!</v>
      </c>
      <c r="AG125" t="e">
        <f t="shared" si="22"/>
        <v>#DIV/0!</v>
      </c>
      <c r="AH125" t="e">
        <f t="shared" si="29"/>
        <v>#DIV/0!</v>
      </c>
      <c r="AI125" t="e">
        <f t="shared" si="23"/>
        <v>#DIV/0!</v>
      </c>
      <c r="AJ125">
        <f t="shared" si="24"/>
        <v>0</v>
      </c>
      <c r="AK125" t="e">
        <f t="shared" si="25"/>
        <v>#N/A</v>
      </c>
      <c r="AL125">
        <f t="shared" si="26"/>
        <v>0</v>
      </c>
      <c r="AM125" t="e">
        <f t="shared" si="27"/>
        <v>#N/A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5">
        <f t="shared" si="28"/>
        <v>1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1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6" cm="1">
        <f t="array" ref="X126">ABS(INDEX($F$4:$T$263,ROW(A123),MATCH($W$2,$F$3:$T$3,0))-INDEX($F$4:$T$263,ROW(A122),MATCH($W$2,$F$3:$T$3,0)))</f>
        <v>0</v>
      </c>
      <c r="Y1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6" t="e">
        <f t="shared" si="15"/>
        <v>#DIV/0!</v>
      </c>
      <c r="AA126" t="e">
        <f t="shared" si="16"/>
        <v>#DIV/0!</v>
      </c>
      <c r="AB126" t="e">
        <f t="shared" si="17"/>
        <v>#DIV/0!</v>
      </c>
      <c r="AC126" t="e">
        <f t="shared" si="18"/>
        <v>#DIV/0!</v>
      </c>
      <c r="AD126" t="e">
        <f t="shared" si="19"/>
        <v>#DIV/0!</v>
      </c>
      <c r="AE126" t="e">
        <f t="shared" si="20"/>
        <v>#DIV/0!</v>
      </c>
      <c r="AF126" t="e">
        <f t="shared" si="21"/>
        <v>#DIV/0!</v>
      </c>
      <c r="AG126" t="e">
        <f t="shared" si="22"/>
        <v>#DIV/0!</v>
      </c>
      <c r="AH126" t="e">
        <f t="shared" si="29"/>
        <v>#DIV/0!</v>
      </c>
      <c r="AI126" t="e">
        <f t="shared" si="23"/>
        <v>#DIV/0!</v>
      </c>
      <c r="AJ126">
        <f t="shared" si="24"/>
        <v>0</v>
      </c>
      <c r="AK126" t="e">
        <f t="shared" si="25"/>
        <v>#N/A</v>
      </c>
      <c r="AL126">
        <f t="shared" si="26"/>
        <v>0</v>
      </c>
      <c r="AM126" t="e">
        <f t="shared" si="27"/>
        <v>#N/A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6">
        <f t="shared" si="28"/>
        <v>1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1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7" cm="1">
        <f t="array" ref="X127">ABS(INDEX($F$4:$T$263,ROW(A124),MATCH($W$2,$F$3:$T$3,0))-INDEX($F$4:$T$263,ROW(A123),MATCH($W$2,$F$3:$T$3,0)))</f>
        <v>0</v>
      </c>
      <c r="Y1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7" t="e">
        <f t="shared" si="15"/>
        <v>#DIV/0!</v>
      </c>
      <c r="AA127" t="e">
        <f t="shared" si="16"/>
        <v>#DIV/0!</v>
      </c>
      <c r="AB127" t="e">
        <f t="shared" si="17"/>
        <v>#DIV/0!</v>
      </c>
      <c r="AC127" t="e">
        <f t="shared" si="18"/>
        <v>#DIV/0!</v>
      </c>
      <c r="AD127" t="e">
        <f t="shared" si="19"/>
        <v>#DIV/0!</v>
      </c>
      <c r="AE127" t="e">
        <f t="shared" si="20"/>
        <v>#DIV/0!</v>
      </c>
      <c r="AF127" t="e">
        <f t="shared" si="21"/>
        <v>#DIV/0!</v>
      </c>
      <c r="AG127" t="e">
        <f t="shared" si="22"/>
        <v>#DIV/0!</v>
      </c>
      <c r="AH127" t="e">
        <f t="shared" si="29"/>
        <v>#DIV/0!</v>
      </c>
      <c r="AI127" t="e">
        <f t="shared" si="23"/>
        <v>#DIV/0!</v>
      </c>
      <c r="AJ127">
        <f t="shared" si="24"/>
        <v>0</v>
      </c>
      <c r="AK127" t="e">
        <f t="shared" si="25"/>
        <v>#N/A</v>
      </c>
      <c r="AL127">
        <f t="shared" si="26"/>
        <v>0</v>
      </c>
      <c r="AM127" t="e">
        <f t="shared" si="27"/>
        <v>#N/A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7">
        <f t="shared" si="28"/>
        <v>1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1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8" cm="1">
        <f t="array" ref="X128">ABS(INDEX($F$4:$T$263,ROW(A125),MATCH($W$2,$F$3:$T$3,0))-INDEX($F$4:$T$263,ROW(A124),MATCH($W$2,$F$3:$T$3,0)))</f>
        <v>0</v>
      </c>
      <c r="Y1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8" t="e">
        <f t="shared" si="15"/>
        <v>#DIV/0!</v>
      </c>
      <c r="AA128" t="e">
        <f t="shared" si="16"/>
        <v>#DIV/0!</v>
      </c>
      <c r="AB128" t="e">
        <f t="shared" si="17"/>
        <v>#DIV/0!</v>
      </c>
      <c r="AC128" t="e">
        <f t="shared" si="18"/>
        <v>#DIV/0!</v>
      </c>
      <c r="AD128" t="e">
        <f t="shared" si="19"/>
        <v>#DIV/0!</v>
      </c>
      <c r="AE128" t="e">
        <f t="shared" si="20"/>
        <v>#DIV/0!</v>
      </c>
      <c r="AF128" t="e">
        <f t="shared" si="21"/>
        <v>#DIV/0!</v>
      </c>
      <c r="AG128" t="e">
        <f t="shared" si="22"/>
        <v>#DIV/0!</v>
      </c>
      <c r="AH128" t="e">
        <f t="shared" si="29"/>
        <v>#DIV/0!</v>
      </c>
      <c r="AI128" t="e">
        <f t="shared" si="23"/>
        <v>#DIV/0!</v>
      </c>
      <c r="AJ128">
        <f t="shared" si="24"/>
        <v>0</v>
      </c>
      <c r="AK128" t="e">
        <f t="shared" si="25"/>
        <v>#N/A</v>
      </c>
      <c r="AL128">
        <f t="shared" si="26"/>
        <v>0</v>
      </c>
      <c r="AM128" t="e">
        <f t="shared" si="27"/>
        <v>#N/A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8">
        <f t="shared" si="28"/>
        <v>1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1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9" cm="1">
        <f t="array" ref="X129">ABS(INDEX($F$4:$T$263,ROW(A126),MATCH($W$2,$F$3:$T$3,0))-INDEX($F$4:$T$263,ROW(A125),MATCH($W$2,$F$3:$T$3,0)))</f>
        <v>0</v>
      </c>
      <c r="Y1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9" t="e">
        <f t="shared" si="15"/>
        <v>#DIV/0!</v>
      </c>
      <c r="AA129" t="e">
        <f t="shared" si="16"/>
        <v>#DIV/0!</v>
      </c>
      <c r="AB129" t="e">
        <f t="shared" si="17"/>
        <v>#DIV/0!</v>
      </c>
      <c r="AC129" t="e">
        <f t="shared" si="18"/>
        <v>#DIV/0!</v>
      </c>
      <c r="AD129" t="e">
        <f t="shared" si="19"/>
        <v>#DIV/0!</v>
      </c>
      <c r="AE129" t="e">
        <f t="shared" si="20"/>
        <v>#DIV/0!</v>
      </c>
      <c r="AF129" t="e">
        <f t="shared" si="21"/>
        <v>#DIV/0!</v>
      </c>
      <c r="AG129" t="e">
        <f t="shared" si="22"/>
        <v>#DIV/0!</v>
      </c>
      <c r="AH129" t="e">
        <f t="shared" si="29"/>
        <v>#DIV/0!</v>
      </c>
      <c r="AI129" t="e">
        <f t="shared" si="23"/>
        <v>#DIV/0!</v>
      </c>
      <c r="AJ129">
        <f t="shared" si="24"/>
        <v>0</v>
      </c>
      <c r="AK129" t="e">
        <f t="shared" si="25"/>
        <v>#N/A</v>
      </c>
      <c r="AL129">
        <f t="shared" si="26"/>
        <v>0</v>
      </c>
      <c r="AM129" t="e">
        <f t="shared" si="27"/>
        <v>#N/A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9">
        <f t="shared" si="28"/>
        <v>1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1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0" cm="1">
        <f t="array" ref="X130">ABS(INDEX($F$4:$T$263,ROW(A127),MATCH($W$2,$F$3:$T$3,0))-INDEX($F$4:$T$263,ROW(A126),MATCH($W$2,$F$3:$T$3,0)))</f>
        <v>0</v>
      </c>
      <c r="Y1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0" t="e">
        <f t="shared" si="15"/>
        <v>#DIV/0!</v>
      </c>
      <c r="AA130" t="e">
        <f t="shared" si="16"/>
        <v>#DIV/0!</v>
      </c>
      <c r="AB130" t="e">
        <f t="shared" si="17"/>
        <v>#DIV/0!</v>
      </c>
      <c r="AC130" t="e">
        <f t="shared" si="18"/>
        <v>#DIV/0!</v>
      </c>
      <c r="AD130" t="e">
        <f t="shared" si="19"/>
        <v>#DIV/0!</v>
      </c>
      <c r="AE130" t="e">
        <f t="shared" si="20"/>
        <v>#DIV/0!</v>
      </c>
      <c r="AF130" t="e">
        <f t="shared" si="21"/>
        <v>#DIV/0!</v>
      </c>
      <c r="AG130" t="e">
        <f t="shared" si="22"/>
        <v>#DIV/0!</v>
      </c>
      <c r="AH130" t="e">
        <f t="shared" si="29"/>
        <v>#DIV/0!</v>
      </c>
      <c r="AI130" t="e">
        <f t="shared" si="23"/>
        <v>#DIV/0!</v>
      </c>
      <c r="AJ130">
        <f t="shared" si="24"/>
        <v>0</v>
      </c>
      <c r="AK130" t="e">
        <f t="shared" si="25"/>
        <v>#N/A</v>
      </c>
      <c r="AL130">
        <f t="shared" si="26"/>
        <v>0</v>
      </c>
      <c r="AM130" t="e">
        <f t="shared" si="27"/>
        <v>#N/A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0">
        <f t="shared" si="28"/>
        <v>1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1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1" cm="1">
        <f t="array" ref="X131">ABS(INDEX($F$4:$T$263,ROW(A128),MATCH($W$2,$F$3:$T$3,0))-INDEX($F$4:$T$263,ROW(A127),MATCH($W$2,$F$3:$T$3,0)))</f>
        <v>0</v>
      </c>
      <c r="Y1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1" t="e">
        <f t="shared" si="15"/>
        <v>#DIV/0!</v>
      </c>
      <c r="AA131" t="e">
        <f t="shared" si="16"/>
        <v>#DIV/0!</v>
      </c>
      <c r="AB131" t="e">
        <f t="shared" si="17"/>
        <v>#DIV/0!</v>
      </c>
      <c r="AC131" t="e">
        <f t="shared" si="18"/>
        <v>#DIV/0!</v>
      </c>
      <c r="AD131" t="e">
        <f t="shared" si="19"/>
        <v>#DIV/0!</v>
      </c>
      <c r="AE131" t="e">
        <f t="shared" si="20"/>
        <v>#DIV/0!</v>
      </c>
      <c r="AF131" t="e">
        <f t="shared" si="21"/>
        <v>#DIV/0!</v>
      </c>
      <c r="AG131" t="e">
        <f t="shared" si="22"/>
        <v>#DIV/0!</v>
      </c>
      <c r="AH131" t="e">
        <f t="shared" si="29"/>
        <v>#DIV/0!</v>
      </c>
      <c r="AI131" t="e">
        <f t="shared" si="23"/>
        <v>#DIV/0!</v>
      </c>
      <c r="AJ131">
        <f t="shared" si="24"/>
        <v>0</v>
      </c>
      <c r="AK131" t="e">
        <f t="shared" si="25"/>
        <v>#N/A</v>
      </c>
      <c r="AL131">
        <f t="shared" si="26"/>
        <v>0</v>
      </c>
      <c r="AM131" t="e">
        <f t="shared" si="27"/>
        <v>#N/A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1">
        <f t="shared" si="28"/>
        <v>1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1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2" cm="1">
        <f t="array" ref="X132">ABS(INDEX($F$4:$T$263,ROW(A129),MATCH($W$2,$F$3:$T$3,0))-INDEX($F$4:$T$263,ROW(A128),MATCH($W$2,$F$3:$T$3,0)))</f>
        <v>0</v>
      </c>
      <c r="Y1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2" t="e">
        <f t="shared" si="15"/>
        <v>#DIV/0!</v>
      </c>
      <c r="AA132" t="e">
        <f t="shared" si="16"/>
        <v>#DIV/0!</v>
      </c>
      <c r="AB132" t="e">
        <f t="shared" si="17"/>
        <v>#DIV/0!</v>
      </c>
      <c r="AC132" t="e">
        <f t="shared" si="18"/>
        <v>#DIV/0!</v>
      </c>
      <c r="AD132" t="e">
        <f t="shared" si="19"/>
        <v>#DIV/0!</v>
      </c>
      <c r="AE132" t="e">
        <f t="shared" si="20"/>
        <v>#DIV/0!</v>
      </c>
      <c r="AF132" t="e">
        <f t="shared" si="21"/>
        <v>#DIV/0!</v>
      </c>
      <c r="AG132" t="e">
        <f t="shared" si="22"/>
        <v>#DIV/0!</v>
      </c>
      <c r="AH132" t="e">
        <f t="shared" si="29"/>
        <v>#DIV/0!</v>
      </c>
      <c r="AI132" t="e">
        <f t="shared" si="23"/>
        <v>#DIV/0!</v>
      </c>
      <c r="AJ132">
        <f t="shared" si="24"/>
        <v>0</v>
      </c>
      <c r="AK132" t="e">
        <f t="shared" si="25"/>
        <v>#N/A</v>
      </c>
      <c r="AL132">
        <f t="shared" si="26"/>
        <v>0</v>
      </c>
      <c r="AM132" t="e">
        <f t="shared" si="27"/>
        <v>#N/A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2">
        <f t="shared" si="28"/>
        <v>1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1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3" cm="1">
        <f t="array" ref="X133">ABS(INDEX($F$4:$T$263,ROW(A130),MATCH($W$2,$F$3:$T$3,0))-INDEX($F$4:$T$263,ROW(A129),MATCH($W$2,$F$3:$T$3,0)))</f>
        <v>0</v>
      </c>
      <c r="Y1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3" t="e">
        <f t="shared" ref="Z133:Z196" si="30">Y133/1.128</f>
        <v>#DIV/0!</v>
      </c>
      <c r="AA133" t="e">
        <f t="shared" ref="AA133:AA196" si="31">MAX(0,W133-(3*Z133))</f>
        <v>#DIV/0!</v>
      </c>
      <c r="AB133" t="e">
        <f t="shared" ref="AB133:AB196" si="32">MAX(0,W133-(2*Z133))</f>
        <v>#DIV/0!</v>
      </c>
      <c r="AC133" t="e">
        <f t="shared" ref="AC133:AC196" si="33">MAX(0,W133-Z133)</f>
        <v>#DIV/0!</v>
      </c>
      <c r="AD133" t="e">
        <f t="shared" ref="AD133:AD196" si="34">W133+Z133</f>
        <v>#DIV/0!</v>
      </c>
      <c r="AE133" t="e">
        <f t="shared" ref="AE133:AE196" si="35">W133+(2*Z133)</f>
        <v>#DIV/0!</v>
      </c>
      <c r="AF133" t="e">
        <f t="shared" ref="AF133:AF196" si="36">W133+(3*Z133)</f>
        <v>#DIV/0!</v>
      </c>
      <c r="AG133" t="e">
        <f t="shared" ref="AG133:AG196" si="37">IF(OR(V133&gt;AF133,V133&lt;AA133),V133,NA())</f>
        <v>#DIV/0!</v>
      </c>
      <c r="AH133" t="e">
        <f t="shared" si="29"/>
        <v>#DIV/0!</v>
      </c>
      <c r="AI133" t="e">
        <f t="shared" ref="AI133:AI196" si="38">IF(ABS(SUM(AH133:AH135))&gt;=5,V133,NA())</f>
        <v>#DIV/0!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0</v>
      </c>
      <c r="AM133" t="e">
        <f t="shared" ref="AM133:AM196" si="42">IF(ABS(SUM(AL133:AL141))=9,V133,NA())</f>
        <v>#N/A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3">
        <f t="shared" ref="AP133:AP196" si="43">AO133-AN133</f>
        <v>1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1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4" cm="1">
        <f t="array" ref="X134">ABS(INDEX($F$4:$T$263,ROW(A131),MATCH($W$2,$F$3:$T$3,0))-INDEX($F$4:$T$263,ROW(A130),MATCH($W$2,$F$3:$T$3,0)))</f>
        <v>0</v>
      </c>
      <c r="Y1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4" t="e">
        <f t="shared" si="30"/>
        <v>#DIV/0!</v>
      </c>
      <c r="AA134" t="e">
        <f t="shared" si="31"/>
        <v>#DIV/0!</v>
      </c>
      <c r="AB134" t="e">
        <f t="shared" si="32"/>
        <v>#DIV/0!</v>
      </c>
      <c r="AC134" t="e">
        <f t="shared" si="33"/>
        <v>#DIV/0!</v>
      </c>
      <c r="AD134" t="e">
        <f t="shared" si="34"/>
        <v>#DIV/0!</v>
      </c>
      <c r="AE134" t="e">
        <f t="shared" si="35"/>
        <v>#DIV/0!</v>
      </c>
      <c r="AF134" t="e">
        <f t="shared" si="36"/>
        <v>#DIV/0!</v>
      </c>
      <c r="AG134" t="e">
        <f t="shared" si="37"/>
        <v>#DIV/0!</v>
      </c>
      <c r="AH134" t="e">
        <f t="shared" ref="AH134:AH197" si="44">IF(V134&gt;AE134,2,IF(V134&lt;AB134,-2,IF(V134&gt;W134,1,IF(V134&lt;W134,-1,0))))</f>
        <v>#DIV/0!</v>
      </c>
      <c r="AI134" t="e">
        <f t="shared" si="38"/>
        <v>#DIV/0!</v>
      </c>
      <c r="AJ134">
        <f t="shared" si="39"/>
        <v>0</v>
      </c>
      <c r="AK134" t="e">
        <f t="shared" si="40"/>
        <v>#N/A</v>
      </c>
      <c r="AL134">
        <f t="shared" si="41"/>
        <v>0</v>
      </c>
      <c r="AM134" t="e">
        <f t="shared" si="42"/>
        <v>#N/A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4">
        <f t="shared" si="43"/>
        <v>1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1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5" cm="1">
        <f t="array" ref="X135">ABS(INDEX($F$4:$T$263,ROW(A132),MATCH($W$2,$F$3:$T$3,0))-INDEX($F$4:$T$263,ROW(A131),MATCH($W$2,$F$3:$T$3,0)))</f>
        <v>0</v>
      </c>
      <c r="Y1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5" t="e">
        <f t="shared" si="30"/>
        <v>#DIV/0!</v>
      </c>
      <c r="AA135" t="e">
        <f t="shared" si="31"/>
        <v>#DIV/0!</v>
      </c>
      <c r="AB135" t="e">
        <f t="shared" si="32"/>
        <v>#DIV/0!</v>
      </c>
      <c r="AC135" t="e">
        <f t="shared" si="33"/>
        <v>#DIV/0!</v>
      </c>
      <c r="AD135" t="e">
        <f t="shared" si="34"/>
        <v>#DIV/0!</v>
      </c>
      <c r="AE135" t="e">
        <f t="shared" si="35"/>
        <v>#DIV/0!</v>
      </c>
      <c r="AF135" t="e">
        <f t="shared" si="36"/>
        <v>#DIV/0!</v>
      </c>
      <c r="AG135" t="e">
        <f t="shared" si="37"/>
        <v>#DIV/0!</v>
      </c>
      <c r="AH135" t="e">
        <f t="shared" si="44"/>
        <v>#DIV/0!</v>
      </c>
      <c r="AI135" t="e">
        <f t="shared" si="38"/>
        <v>#DIV/0!</v>
      </c>
      <c r="AJ135">
        <f t="shared" si="39"/>
        <v>0</v>
      </c>
      <c r="AK135" t="e">
        <f t="shared" si="40"/>
        <v>#N/A</v>
      </c>
      <c r="AL135">
        <f t="shared" si="41"/>
        <v>0</v>
      </c>
      <c r="AM135" t="e">
        <f t="shared" si="42"/>
        <v>#N/A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5">
        <f t="shared" si="43"/>
        <v>1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1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6" cm="1">
        <f t="array" ref="X136">ABS(INDEX($F$4:$T$263,ROW(A133),MATCH($W$2,$F$3:$T$3,0))-INDEX($F$4:$T$263,ROW(A132),MATCH($W$2,$F$3:$T$3,0)))</f>
        <v>0</v>
      </c>
      <c r="Y1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6" t="e">
        <f t="shared" si="30"/>
        <v>#DIV/0!</v>
      </c>
      <c r="AA136" t="e">
        <f t="shared" si="31"/>
        <v>#DIV/0!</v>
      </c>
      <c r="AB136" t="e">
        <f t="shared" si="32"/>
        <v>#DIV/0!</v>
      </c>
      <c r="AC136" t="e">
        <f t="shared" si="33"/>
        <v>#DIV/0!</v>
      </c>
      <c r="AD136" t="e">
        <f t="shared" si="34"/>
        <v>#DIV/0!</v>
      </c>
      <c r="AE136" t="e">
        <f t="shared" si="35"/>
        <v>#DIV/0!</v>
      </c>
      <c r="AF136" t="e">
        <f t="shared" si="36"/>
        <v>#DIV/0!</v>
      </c>
      <c r="AG136" t="e">
        <f t="shared" si="37"/>
        <v>#DIV/0!</v>
      </c>
      <c r="AH136" t="e">
        <f t="shared" si="44"/>
        <v>#DIV/0!</v>
      </c>
      <c r="AI136" t="e">
        <f t="shared" si="38"/>
        <v>#DIV/0!</v>
      </c>
      <c r="AJ136">
        <f t="shared" si="39"/>
        <v>0</v>
      </c>
      <c r="AK136" t="e">
        <f t="shared" si="40"/>
        <v>#N/A</v>
      </c>
      <c r="AL136">
        <f t="shared" si="41"/>
        <v>0</v>
      </c>
      <c r="AM136" t="e">
        <f t="shared" si="42"/>
        <v>#N/A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6">
        <f t="shared" si="43"/>
        <v>1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1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7" cm="1">
        <f t="array" ref="X137">ABS(INDEX($F$4:$T$263,ROW(A134),MATCH($W$2,$F$3:$T$3,0))-INDEX($F$4:$T$263,ROW(A133),MATCH($W$2,$F$3:$T$3,0)))</f>
        <v>0</v>
      </c>
      <c r="Y1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7" t="e">
        <f t="shared" si="30"/>
        <v>#DIV/0!</v>
      </c>
      <c r="AA137" t="e">
        <f t="shared" si="31"/>
        <v>#DIV/0!</v>
      </c>
      <c r="AB137" t="e">
        <f t="shared" si="32"/>
        <v>#DIV/0!</v>
      </c>
      <c r="AC137" t="e">
        <f t="shared" si="33"/>
        <v>#DIV/0!</v>
      </c>
      <c r="AD137" t="e">
        <f t="shared" si="34"/>
        <v>#DIV/0!</v>
      </c>
      <c r="AE137" t="e">
        <f t="shared" si="35"/>
        <v>#DIV/0!</v>
      </c>
      <c r="AF137" t="e">
        <f t="shared" si="36"/>
        <v>#DIV/0!</v>
      </c>
      <c r="AG137" t="e">
        <f t="shared" si="37"/>
        <v>#DIV/0!</v>
      </c>
      <c r="AH137" t="e">
        <f t="shared" si="44"/>
        <v>#DIV/0!</v>
      </c>
      <c r="AI137" t="e">
        <f t="shared" si="38"/>
        <v>#DIV/0!</v>
      </c>
      <c r="AJ137">
        <f t="shared" si="39"/>
        <v>0</v>
      </c>
      <c r="AK137" t="e">
        <f t="shared" si="40"/>
        <v>#N/A</v>
      </c>
      <c r="AL137">
        <f t="shared" si="41"/>
        <v>0</v>
      </c>
      <c r="AM137" t="e">
        <f t="shared" si="42"/>
        <v>#N/A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7">
        <f t="shared" si="43"/>
        <v>1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1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8" cm="1">
        <f t="array" ref="X138">ABS(INDEX($F$4:$T$263,ROW(A135),MATCH($W$2,$F$3:$T$3,0))-INDEX($F$4:$T$263,ROW(A134),MATCH($W$2,$F$3:$T$3,0)))</f>
        <v>0</v>
      </c>
      <c r="Y1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8" t="e">
        <f t="shared" si="30"/>
        <v>#DIV/0!</v>
      </c>
      <c r="AA138" t="e">
        <f t="shared" si="31"/>
        <v>#DIV/0!</v>
      </c>
      <c r="AB138" t="e">
        <f t="shared" si="32"/>
        <v>#DIV/0!</v>
      </c>
      <c r="AC138" t="e">
        <f t="shared" si="33"/>
        <v>#DIV/0!</v>
      </c>
      <c r="AD138" t="e">
        <f t="shared" si="34"/>
        <v>#DIV/0!</v>
      </c>
      <c r="AE138" t="e">
        <f t="shared" si="35"/>
        <v>#DIV/0!</v>
      </c>
      <c r="AF138" t="e">
        <f t="shared" si="36"/>
        <v>#DIV/0!</v>
      </c>
      <c r="AG138" t="e">
        <f t="shared" si="37"/>
        <v>#DIV/0!</v>
      </c>
      <c r="AH138" t="e">
        <f t="shared" si="44"/>
        <v>#DIV/0!</v>
      </c>
      <c r="AI138" t="e">
        <f t="shared" si="38"/>
        <v>#DIV/0!</v>
      </c>
      <c r="AJ138">
        <f t="shared" si="39"/>
        <v>0</v>
      </c>
      <c r="AK138" t="e">
        <f t="shared" si="40"/>
        <v>#N/A</v>
      </c>
      <c r="AL138">
        <f t="shared" si="41"/>
        <v>0</v>
      </c>
      <c r="AM138" t="e">
        <f t="shared" si="42"/>
        <v>#N/A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8">
        <f t="shared" si="43"/>
        <v>1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1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9" cm="1">
        <f t="array" ref="X139">ABS(INDEX($F$4:$T$263,ROW(A136),MATCH($W$2,$F$3:$T$3,0))-INDEX($F$4:$T$263,ROW(A135),MATCH($W$2,$F$3:$T$3,0)))</f>
        <v>0</v>
      </c>
      <c r="Y1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9" t="e">
        <f t="shared" si="30"/>
        <v>#DIV/0!</v>
      </c>
      <c r="AA139" t="e">
        <f t="shared" si="31"/>
        <v>#DIV/0!</v>
      </c>
      <c r="AB139" t="e">
        <f t="shared" si="32"/>
        <v>#DIV/0!</v>
      </c>
      <c r="AC139" t="e">
        <f t="shared" si="33"/>
        <v>#DIV/0!</v>
      </c>
      <c r="AD139" t="e">
        <f t="shared" si="34"/>
        <v>#DIV/0!</v>
      </c>
      <c r="AE139" t="e">
        <f t="shared" si="35"/>
        <v>#DIV/0!</v>
      </c>
      <c r="AF139" t="e">
        <f t="shared" si="36"/>
        <v>#DIV/0!</v>
      </c>
      <c r="AG139" t="e">
        <f t="shared" si="37"/>
        <v>#DIV/0!</v>
      </c>
      <c r="AH139" t="e">
        <f t="shared" si="44"/>
        <v>#DIV/0!</v>
      </c>
      <c r="AI139" t="e">
        <f t="shared" si="38"/>
        <v>#DIV/0!</v>
      </c>
      <c r="AJ139">
        <f t="shared" si="39"/>
        <v>0</v>
      </c>
      <c r="AK139" t="e">
        <f t="shared" si="40"/>
        <v>#N/A</v>
      </c>
      <c r="AL139">
        <f t="shared" si="41"/>
        <v>0</v>
      </c>
      <c r="AM139" t="e">
        <f t="shared" si="42"/>
        <v>#N/A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9">
        <f t="shared" si="43"/>
        <v>1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1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0" cm="1">
        <f t="array" ref="X140">ABS(INDEX($F$4:$T$263,ROW(A137),MATCH($W$2,$F$3:$T$3,0))-INDEX($F$4:$T$263,ROW(A136),MATCH($W$2,$F$3:$T$3,0)))</f>
        <v>0</v>
      </c>
      <c r="Y1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0" t="e">
        <f t="shared" si="30"/>
        <v>#DIV/0!</v>
      </c>
      <c r="AA140" t="e">
        <f t="shared" si="31"/>
        <v>#DIV/0!</v>
      </c>
      <c r="AB140" t="e">
        <f t="shared" si="32"/>
        <v>#DIV/0!</v>
      </c>
      <c r="AC140" t="e">
        <f t="shared" si="33"/>
        <v>#DIV/0!</v>
      </c>
      <c r="AD140" t="e">
        <f t="shared" si="34"/>
        <v>#DIV/0!</v>
      </c>
      <c r="AE140" t="e">
        <f t="shared" si="35"/>
        <v>#DIV/0!</v>
      </c>
      <c r="AF140" t="e">
        <f t="shared" si="36"/>
        <v>#DIV/0!</v>
      </c>
      <c r="AG140" t="e">
        <f t="shared" si="37"/>
        <v>#DIV/0!</v>
      </c>
      <c r="AH140" t="e">
        <f t="shared" si="44"/>
        <v>#DIV/0!</v>
      </c>
      <c r="AI140" t="e">
        <f t="shared" si="38"/>
        <v>#DIV/0!</v>
      </c>
      <c r="AJ140">
        <f t="shared" si="39"/>
        <v>0</v>
      </c>
      <c r="AK140" t="e">
        <f t="shared" si="40"/>
        <v>#N/A</v>
      </c>
      <c r="AL140">
        <f t="shared" si="41"/>
        <v>0</v>
      </c>
      <c r="AM140" t="e">
        <f t="shared" si="42"/>
        <v>#N/A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0">
        <f t="shared" si="43"/>
        <v>1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1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1" cm="1">
        <f t="array" ref="X141">ABS(INDEX($F$4:$T$263,ROW(A138),MATCH($W$2,$F$3:$T$3,0))-INDEX($F$4:$T$263,ROW(A137),MATCH($W$2,$F$3:$T$3,0)))</f>
        <v>0</v>
      </c>
      <c r="Y1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1" t="e">
        <f t="shared" si="30"/>
        <v>#DIV/0!</v>
      </c>
      <c r="AA141" t="e">
        <f t="shared" si="31"/>
        <v>#DIV/0!</v>
      </c>
      <c r="AB141" t="e">
        <f t="shared" si="32"/>
        <v>#DIV/0!</v>
      </c>
      <c r="AC141" t="e">
        <f t="shared" si="33"/>
        <v>#DIV/0!</v>
      </c>
      <c r="AD141" t="e">
        <f t="shared" si="34"/>
        <v>#DIV/0!</v>
      </c>
      <c r="AE141" t="e">
        <f t="shared" si="35"/>
        <v>#DIV/0!</v>
      </c>
      <c r="AF141" t="e">
        <f t="shared" si="36"/>
        <v>#DIV/0!</v>
      </c>
      <c r="AG141" t="e">
        <f t="shared" si="37"/>
        <v>#DIV/0!</v>
      </c>
      <c r="AH141" t="e">
        <f t="shared" si="44"/>
        <v>#DIV/0!</v>
      </c>
      <c r="AI141" t="e">
        <f t="shared" si="38"/>
        <v>#DIV/0!</v>
      </c>
      <c r="AJ141">
        <f t="shared" si="39"/>
        <v>0</v>
      </c>
      <c r="AK141" t="e">
        <f t="shared" si="40"/>
        <v>#N/A</v>
      </c>
      <c r="AL141">
        <f t="shared" si="41"/>
        <v>0</v>
      </c>
      <c r="AM141" t="e">
        <f t="shared" si="42"/>
        <v>#N/A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1">
        <f t="shared" si="43"/>
        <v>1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1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2" cm="1">
        <f t="array" ref="X142">ABS(INDEX($F$4:$T$263,ROW(A139),MATCH($W$2,$F$3:$T$3,0))-INDEX($F$4:$T$263,ROW(A138),MATCH($W$2,$F$3:$T$3,0)))</f>
        <v>0</v>
      </c>
      <c r="Y1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2" t="e">
        <f t="shared" si="30"/>
        <v>#DIV/0!</v>
      </c>
      <c r="AA142" t="e">
        <f t="shared" si="31"/>
        <v>#DIV/0!</v>
      </c>
      <c r="AB142" t="e">
        <f t="shared" si="32"/>
        <v>#DIV/0!</v>
      </c>
      <c r="AC142" t="e">
        <f t="shared" si="33"/>
        <v>#DIV/0!</v>
      </c>
      <c r="AD142" t="e">
        <f t="shared" si="34"/>
        <v>#DIV/0!</v>
      </c>
      <c r="AE142" t="e">
        <f t="shared" si="35"/>
        <v>#DIV/0!</v>
      </c>
      <c r="AF142" t="e">
        <f t="shared" si="36"/>
        <v>#DIV/0!</v>
      </c>
      <c r="AG142" t="e">
        <f t="shared" si="37"/>
        <v>#DIV/0!</v>
      </c>
      <c r="AH142" t="e">
        <f t="shared" si="44"/>
        <v>#DIV/0!</v>
      </c>
      <c r="AI142" t="e">
        <f t="shared" si="38"/>
        <v>#DIV/0!</v>
      </c>
      <c r="AJ142">
        <f t="shared" si="39"/>
        <v>0</v>
      </c>
      <c r="AK142" t="e">
        <f t="shared" si="40"/>
        <v>#N/A</v>
      </c>
      <c r="AL142">
        <f t="shared" si="41"/>
        <v>0</v>
      </c>
      <c r="AM142" t="e">
        <f t="shared" si="42"/>
        <v>#N/A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2">
        <f t="shared" si="43"/>
        <v>1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1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3" cm="1">
        <f t="array" ref="X143">ABS(INDEX($F$4:$T$263,ROW(A140),MATCH($W$2,$F$3:$T$3,0))-INDEX($F$4:$T$263,ROW(A139),MATCH($W$2,$F$3:$T$3,0)))</f>
        <v>0</v>
      </c>
      <c r="Y1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3" t="e">
        <f t="shared" si="30"/>
        <v>#DIV/0!</v>
      </c>
      <c r="AA143" t="e">
        <f t="shared" si="31"/>
        <v>#DIV/0!</v>
      </c>
      <c r="AB143" t="e">
        <f t="shared" si="32"/>
        <v>#DIV/0!</v>
      </c>
      <c r="AC143" t="e">
        <f t="shared" si="33"/>
        <v>#DIV/0!</v>
      </c>
      <c r="AD143" t="e">
        <f t="shared" si="34"/>
        <v>#DIV/0!</v>
      </c>
      <c r="AE143" t="e">
        <f t="shared" si="35"/>
        <v>#DIV/0!</v>
      </c>
      <c r="AF143" t="e">
        <f t="shared" si="36"/>
        <v>#DIV/0!</v>
      </c>
      <c r="AG143" t="e">
        <f t="shared" si="37"/>
        <v>#DIV/0!</v>
      </c>
      <c r="AH143" t="e">
        <f t="shared" si="44"/>
        <v>#DIV/0!</v>
      </c>
      <c r="AI143" t="e">
        <f t="shared" si="38"/>
        <v>#DIV/0!</v>
      </c>
      <c r="AJ143">
        <f t="shared" si="39"/>
        <v>0</v>
      </c>
      <c r="AK143" t="e">
        <f t="shared" si="40"/>
        <v>#N/A</v>
      </c>
      <c r="AL143">
        <f t="shared" si="41"/>
        <v>0</v>
      </c>
      <c r="AM143" t="e">
        <f t="shared" si="42"/>
        <v>#N/A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3">
        <f t="shared" si="43"/>
        <v>1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1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4" cm="1">
        <f t="array" ref="X144">ABS(INDEX($F$4:$T$263,ROW(A141),MATCH($W$2,$F$3:$T$3,0))-INDEX($F$4:$T$263,ROW(A140),MATCH($W$2,$F$3:$T$3,0)))</f>
        <v>0</v>
      </c>
      <c r="Y1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4" t="e">
        <f t="shared" si="30"/>
        <v>#DIV/0!</v>
      </c>
      <c r="AA144" t="e">
        <f t="shared" si="31"/>
        <v>#DIV/0!</v>
      </c>
      <c r="AB144" t="e">
        <f t="shared" si="32"/>
        <v>#DIV/0!</v>
      </c>
      <c r="AC144" t="e">
        <f t="shared" si="33"/>
        <v>#DIV/0!</v>
      </c>
      <c r="AD144" t="e">
        <f t="shared" si="34"/>
        <v>#DIV/0!</v>
      </c>
      <c r="AE144" t="e">
        <f t="shared" si="35"/>
        <v>#DIV/0!</v>
      </c>
      <c r="AF144" t="e">
        <f t="shared" si="36"/>
        <v>#DIV/0!</v>
      </c>
      <c r="AG144" t="e">
        <f t="shared" si="37"/>
        <v>#DIV/0!</v>
      </c>
      <c r="AH144" t="e">
        <f t="shared" si="44"/>
        <v>#DIV/0!</v>
      </c>
      <c r="AI144" t="e">
        <f t="shared" si="38"/>
        <v>#DIV/0!</v>
      </c>
      <c r="AJ144">
        <f t="shared" si="39"/>
        <v>0</v>
      </c>
      <c r="AK144" t="e">
        <f t="shared" si="40"/>
        <v>#N/A</v>
      </c>
      <c r="AL144">
        <f t="shared" si="41"/>
        <v>0</v>
      </c>
      <c r="AM144" t="e">
        <f t="shared" si="42"/>
        <v>#N/A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4">
        <f t="shared" si="43"/>
        <v>1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1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5" cm="1">
        <f t="array" ref="X145">ABS(INDEX($F$4:$T$263,ROW(A142),MATCH($W$2,$F$3:$T$3,0))-INDEX($F$4:$T$263,ROW(A141),MATCH($W$2,$F$3:$T$3,0)))</f>
        <v>0</v>
      </c>
      <c r="Y1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5" t="e">
        <f t="shared" si="30"/>
        <v>#DIV/0!</v>
      </c>
      <c r="AA145" t="e">
        <f t="shared" si="31"/>
        <v>#DIV/0!</v>
      </c>
      <c r="AB145" t="e">
        <f t="shared" si="32"/>
        <v>#DIV/0!</v>
      </c>
      <c r="AC145" t="e">
        <f t="shared" si="33"/>
        <v>#DIV/0!</v>
      </c>
      <c r="AD145" t="e">
        <f t="shared" si="34"/>
        <v>#DIV/0!</v>
      </c>
      <c r="AE145" t="e">
        <f t="shared" si="35"/>
        <v>#DIV/0!</v>
      </c>
      <c r="AF145" t="e">
        <f t="shared" si="36"/>
        <v>#DIV/0!</v>
      </c>
      <c r="AG145" t="e">
        <f t="shared" si="37"/>
        <v>#DIV/0!</v>
      </c>
      <c r="AH145" t="e">
        <f t="shared" si="44"/>
        <v>#DIV/0!</v>
      </c>
      <c r="AI145" t="e">
        <f t="shared" si="38"/>
        <v>#DIV/0!</v>
      </c>
      <c r="AJ145">
        <f t="shared" si="39"/>
        <v>0</v>
      </c>
      <c r="AK145" t="e">
        <f t="shared" si="40"/>
        <v>#N/A</v>
      </c>
      <c r="AL145">
        <f t="shared" si="41"/>
        <v>0</v>
      </c>
      <c r="AM145" t="e">
        <f t="shared" si="42"/>
        <v>#N/A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5">
        <f t="shared" si="43"/>
        <v>1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1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6" cm="1">
        <f t="array" ref="X146">ABS(INDEX($F$4:$T$263,ROW(A143),MATCH($W$2,$F$3:$T$3,0))-INDEX($F$4:$T$263,ROW(A142),MATCH($W$2,$F$3:$T$3,0)))</f>
        <v>0</v>
      </c>
      <c r="Y1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6" t="e">
        <f t="shared" si="30"/>
        <v>#DIV/0!</v>
      </c>
      <c r="AA146" t="e">
        <f t="shared" si="31"/>
        <v>#DIV/0!</v>
      </c>
      <c r="AB146" t="e">
        <f t="shared" si="32"/>
        <v>#DIV/0!</v>
      </c>
      <c r="AC146" t="e">
        <f t="shared" si="33"/>
        <v>#DIV/0!</v>
      </c>
      <c r="AD146" t="e">
        <f t="shared" si="34"/>
        <v>#DIV/0!</v>
      </c>
      <c r="AE146" t="e">
        <f t="shared" si="35"/>
        <v>#DIV/0!</v>
      </c>
      <c r="AF146" t="e">
        <f t="shared" si="36"/>
        <v>#DIV/0!</v>
      </c>
      <c r="AG146" t="e">
        <f t="shared" si="37"/>
        <v>#DIV/0!</v>
      </c>
      <c r="AH146" t="e">
        <f t="shared" si="44"/>
        <v>#DIV/0!</v>
      </c>
      <c r="AI146" t="e">
        <f t="shared" si="38"/>
        <v>#DIV/0!</v>
      </c>
      <c r="AJ146">
        <f t="shared" si="39"/>
        <v>0</v>
      </c>
      <c r="AK146" t="e">
        <f t="shared" si="40"/>
        <v>#N/A</v>
      </c>
      <c r="AL146">
        <f t="shared" si="41"/>
        <v>0</v>
      </c>
      <c r="AM146" t="e">
        <f t="shared" si="42"/>
        <v>#N/A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6">
        <f t="shared" si="43"/>
        <v>1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1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7" cm="1">
        <f t="array" ref="X147">ABS(INDEX($F$4:$T$263,ROW(A144),MATCH($W$2,$F$3:$T$3,0))-INDEX($F$4:$T$263,ROW(A143),MATCH($W$2,$F$3:$T$3,0)))</f>
        <v>0</v>
      </c>
      <c r="Y1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7" t="e">
        <f t="shared" si="30"/>
        <v>#DIV/0!</v>
      </c>
      <c r="AA147" t="e">
        <f t="shared" si="31"/>
        <v>#DIV/0!</v>
      </c>
      <c r="AB147" t="e">
        <f t="shared" si="32"/>
        <v>#DIV/0!</v>
      </c>
      <c r="AC147" t="e">
        <f t="shared" si="33"/>
        <v>#DIV/0!</v>
      </c>
      <c r="AD147" t="e">
        <f t="shared" si="34"/>
        <v>#DIV/0!</v>
      </c>
      <c r="AE147" t="e">
        <f t="shared" si="35"/>
        <v>#DIV/0!</v>
      </c>
      <c r="AF147" t="e">
        <f t="shared" si="36"/>
        <v>#DIV/0!</v>
      </c>
      <c r="AG147" t="e">
        <f t="shared" si="37"/>
        <v>#DIV/0!</v>
      </c>
      <c r="AH147" t="e">
        <f t="shared" si="44"/>
        <v>#DIV/0!</v>
      </c>
      <c r="AI147" t="e">
        <f t="shared" si="38"/>
        <v>#DIV/0!</v>
      </c>
      <c r="AJ147">
        <f t="shared" si="39"/>
        <v>0</v>
      </c>
      <c r="AK147" t="e">
        <f t="shared" si="40"/>
        <v>#N/A</v>
      </c>
      <c r="AL147">
        <f t="shared" si="41"/>
        <v>0</v>
      </c>
      <c r="AM147" t="e">
        <f t="shared" si="42"/>
        <v>#N/A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7">
        <f t="shared" si="43"/>
        <v>1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1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8" cm="1">
        <f t="array" ref="X148">ABS(INDEX($F$4:$T$263,ROW(A145),MATCH($W$2,$F$3:$T$3,0))-INDEX($F$4:$T$263,ROW(A144),MATCH($W$2,$F$3:$T$3,0)))</f>
        <v>0</v>
      </c>
      <c r="Y1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8" t="e">
        <f t="shared" si="30"/>
        <v>#DIV/0!</v>
      </c>
      <c r="AA148" t="e">
        <f t="shared" si="31"/>
        <v>#DIV/0!</v>
      </c>
      <c r="AB148" t="e">
        <f t="shared" si="32"/>
        <v>#DIV/0!</v>
      </c>
      <c r="AC148" t="e">
        <f t="shared" si="33"/>
        <v>#DIV/0!</v>
      </c>
      <c r="AD148" t="e">
        <f t="shared" si="34"/>
        <v>#DIV/0!</v>
      </c>
      <c r="AE148" t="e">
        <f t="shared" si="35"/>
        <v>#DIV/0!</v>
      </c>
      <c r="AF148" t="e">
        <f t="shared" si="36"/>
        <v>#DIV/0!</v>
      </c>
      <c r="AG148" t="e">
        <f t="shared" si="37"/>
        <v>#DIV/0!</v>
      </c>
      <c r="AH148" t="e">
        <f t="shared" si="44"/>
        <v>#DIV/0!</v>
      </c>
      <c r="AI148" t="e">
        <f t="shared" si="38"/>
        <v>#DIV/0!</v>
      </c>
      <c r="AJ148">
        <f t="shared" si="39"/>
        <v>0</v>
      </c>
      <c r="AK148" t="e">
        <f t="shared" si="40"/>
        <v>#N/A</v>
      </c>
      <c r="AL148">
        <f t="shared" si="41"/>
        <v>0</v>
      </c>
      <c r="AM148" t="e">
        <f t="shared" si="42"/>
        <v>#N/A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8">
        <f t="shared" si="43"/>
        <v>1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1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9" cm="1">
        <f t="array" ref="X149">ABS(INDEX($F$4:$T$263,ROW(A146),MATCH($W$2,$F$3:$T$3,0))-INDEX($F$4:$T$263,ROW(A145),MATCH($W$2,$F$3:$T$3,0)))</f>
        <v>0</v>
      </c>
      <c r="Y1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9" t="e">
        <f t="shared" si="30"/>
        <v>#DIV/0!</v>
      </c>
      <c r="AA149" t="e">
        <f t="shared" si="31"/>
        <v>#DIV/0!</v>
      </c>
      <c r="AB149" t="e">
        <f t="shared" si="32"/>
        <v>#DIV/0!</v>
      </c>
      <c r="AC149" t="e">
        <f t="shared" si="33"/>
        <v>#DIV/0!</v>
      </c>
      <c r="AD149" t="e">
        <f t="shared" si="34"/>
        <v>#DIV/0!</v>
      </c>
      <c r="AE149" t="e">
        <f t="shared" si="35"/>
        <v>#DIV/0!</v>
      </c>
      <c r="AF149" t="e">
        <f t="shared" si="36"/>
        <v>#DIV/0!</v>
      </c>
      <c r="AG149" t="e">
        <f t="shared" si="37"/>
        <v>#DIV/0!</v>
      </c>
      <c r="AH149" t="e">
        <f t="shared" si="44"/>
        <v>#DIV/0!</v>
      </c>
      <c r="AI149" t="e">
        <f t="shared" si="38"/>
        <v>#DIV/0!</v>
      </c>
      <c r="AJ149">
        <f t="shared" si="39"/>
        <v>0</v>
      </c>
      <c r="AK149" t="e">
        <f t="shared" si="40"/>
        <v>#N/A</v>
      </c>
      <c r="AL149">
        <f t="shared" si="41"/>
        <v>0</v>
      </c>
      <c r="AM149" t="e">
        <f t="shared" si="42"/>
        <v>#N/A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9">
        <f t="shared" si="43"/>
        <v>1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1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0" cm="1">
        <f t="array" ref="X150">ABS(INDEX($F$4:$T$263,ROW(A147),MATCH($W$2,$F$3:$T$3,0))-INDEX($F$4:$T$263,ROW(A146),MATCH($W$2,$F$3:$T$3,0)))</f>
        <v>0</v>
      </c>
      <c r="Y1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0" t="e">
        <f t="shared" si="30"/>
        <v>#DIV/0!</v>
      </c>
      <c r="AA150" t="e">
        <f t="shared" si="31"/>
        <v>#DIV/0!</v>
      </c>
      <c r="AB150" t="e">
        <f t="shared" si="32"/>
        <v>#DIV/0!</v>
      </c>
      <c r="AC150" t="e">
        <f t="shared" si="33"/>
        <v>#DIV/0!</v>
      </c>
      <c r="AD150" t="e">
        <f t="shared" si="34"/>
        <v>#DIV/0!</v>
      </c>
      <c r="AE150" t="e">
        <f t="shared" si="35"/>
        <v>#DIV/0!</v>
      </c>
      <c r="AF150" t="e">
        <f t="shared" si="36"/>
        <v>#DIV/0!</v>
      </c>
      <c r="AG150" t="e">
        <f t="shared" si="37"/>
        <v>#DIV/0!</v>
      </c>
      <c r="AH150" t="e">
        <f t="shared" si="44"/>
        <v>#DIV/0!</v>
      </c>
      <c r="AI150" t="e">
        <f t="shared" si="38"/>
        <v>#DIV/0!</v>
      </c>
      <c r="AJ150">
        <f t="shared" si="39"/>
        <v>0</v>
      </c>
      <c r="AK150" t="e">
        <f t="shared" si="40"/>
        <v>#N/A</v>
      </c>
      <c r="AL150">
        <f t="shared" si="41"/>
        <v>0</v>
      </c>
      <c r="AM150" t="e">
        <f t="shared" si="42"/>
        <v>#N/A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0">
        <f t="shared" si="43"/>
        <v>1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1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1" cm="1">
        <f t="array" ref="X151">ABS(INDEX($F$4:$T$263,ROW(A148),MATCH($W$2,$F$3:$T$3,0))-INDEX($F$4:$T$263,ROW(A147),MATCH($W$2,$F$3:$T$3,0)))</f>
        <v>0</v>
      </c>
      <c r="Y1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1" t="e">
        <f t="shared" si="30"/>
        <v>#DIV/0!</v>
      </c>
      <c r="AA151" t="e">
        <f t="shared" si="31"/>
        <v>#DIV/0!</v>
      </c>
      <c r="AB151" t="e">
        <f t="shared" si="32"/>
        <v>#DIV/0!</v>
      </c>
      <c r="AC151" t="e">
        <f t="shared" si="33"/>
        <v>#DIV/0!</v>
      </c>
      <c r="AD151" t="e">
        <f t="shared" si="34"/>
        <v>#DIV/0!</v>
      </c>
      <c r="AE151" t="e">
        <f t="shared" si="35"/>
        <v>#DIV/0!</v>
      </c>
      <c r="AF151" t="e">
        <f t="shared" si="36"/>
        <v>#DIV/0!</v>
      </c>
      <c r="AG151" t="e">
        <f t="shared" si="37"/>
        <v>#DIV/0!</v>
      </c>
      <c r="AH151" t="e">
        <f t="shared" si="44"/>
        <v>#DIV/0!</v>
      </c>
      <c r="AI151" t="e">
        <f t="shared" si="38"/>
        <v>#DIV/0!</v>
      </c>
      <c r="AJ151">
        <f t="shared" si="39"/>
        <v>0</v>
      </c>
      <c r="AK151" t="e">
        <f t="shared" si="40"/>
        <v>#N/A</v>
      </c>
      <c r="AL151">
        <f t="shared" si="41"/>
        <v>0</v>
      </c>
      <c r="AM151" t="e">
        <f t="shared" si="42"/>
        <v>#N/A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1">
        <f t="shared" si="43"/>
        <v>1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1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2" cm="1">
        <f t="array" ref="X152">ABS(INDEX($F$4:$T$263,ROW(A149),MATCH($W$2,$F$3:$T$3,0))-INDEX($F$4:$T$263,ROW(A148),MATCH($W$2,$F$3:$T$3,0)))</f>
        <v>0</v>
      </c>
      <c r="Y1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2" t="e">
        <f t="shared" si="30"/>
        <v>#DIV/0!</v>
      </c>
      <c r="AA152" t="e">
        <f t="shared" si="31"/>
        <v>#DIV/0!</v>
      </c>
      <c r="AB152" t="e">
        <f t="shared" si="32"/>
        <v>#DIV/0!</v>
      </c>
      <c r="AC152" t="e">
        <f t="shared" si="33"/>
        <v>#DIV/0!</v>
      </c>
      <c r="AD152" t="e">
        <f t="shared" si="34"/>
        <v>#DIV/0!</v>
      </c>
      <c r="AE152" t="e">
        <f t="shared" si="35"/>
        <v>#DIV/0!</v>
      </c>
      <c r="AF152" t="e">
        <f t="shared" si="36"/>
        <v>#DIV/0!</v>
      </c>
      <c r="AG152" t="e">
        <f t="shared" si="37"/>
        <v>#DIV/0!</v>
      </c>
      <c r="AH152" t="e">
        <f t="shared" si="44"/>
        <v>#DIV/0!</v>
      </c>
      <c r="AI152" t="e">
        <f t="shared" si="38"/>
        <v>#DIV/0!</v>
      </c>
      <c r="AJ152">
        <f t="shared" si="39"/>
        <v>0</v>
      </c>
      <c r="AK152" t="e">
        <f t="shared" si="40"/>
        <v>#N/A</v>
      </c>
      <c r="AL152">
        <f t="shared" si="41"/>
        <v>0</v>
      </c>
      <c r="AM152" t="e">
        <f t="shared" si="42"/>
        <v>#N/A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2">
        <f t="shared" si="43"/>
        <v>1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1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3" cm="1">
        <f t="array" ref="X153">ABS(INDEX($F$4:$T$263,ROW(A150),MATCH($W$2,$F$3:$T$3,0))-INDEX($F$4:$T$263,ROW(A149),MATCH($W$2,$F$3:$T$3,0)))</f>
        <v>0</v>
      </c>
      <c r="Y1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3" t="e">
        <f t="shared" si="30"/>
        <v>#DIV/0!</v>
      </c>
      <c r="AA153" t="e">
        <f t="shared" si="31"/>
        <v>#DIV/0!</v>
      </c>
      <c r="AB153" t="e">
        <f t="shared" si="32"/>
        <v>#DIV/0!</v>
      </c>
      <c r="AC153" t="e">
        <f t="shared" si="33"/>
        <v>#DIV/0!</v>
      </c>
      <c r="AD153" t="e">
        <f t="shared" si="34"/>
        <v>#DIV/0!</v>
      </c>
      <c r="AE153" t="e">
        <f t="shared" si="35"/>
        <v>#DIV/0!</v>
      </c>
      <c r="AF153" t="e">
        <f t="shared" si="36"/>
        <v>#DIV/0!</v>
      </c>
      <c r="AG153" t="e">
        <f t="shared" si="37"/>
        <v>#DIV/0!</v>
      </c>
      <c r="AH153" t="e">
        <f t="shared" si="44"/>
        <v>#DIV/0!</v>
      </c>
      <c r="AI153" t="e">
        <f t="shared" si="38"/>
        <v>#DIV/0!</v>
      </c>
      <c r="AJ153">
        <f t="shared" si="39"/>
        <v>0</v>
      </c>
      <c r="AK153" t="e">
        <f t="shared" si="40"/>
        <v>#N/A</v>
      </c>
      <c r="AL153">
        <f t="shared" si="41"/>
        <v>0</v>
      </c>
      <c r="AM153" t="e">
        <f t="shared" si="42"/>
        <v>#N/A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3">
        <f t="shared" si="43"/>
        <v>1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1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4" cm="1">
        <f t="array" ref="X154">ABS(INDEX($F$4:$T$263,ROW(A151),MATCH($W$2,$F$3:$T$3,0))-INDEX($F$4:$T$263,ROW(A150),MATCH($W$2,$F$3:$T$3,0)))</f>
        <v>0</v>
      </c>
      <c r="Y1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4" t="e">
        <f t="shared" si="30"/>
        <v>#DIV/0!</v>
      </c>
      <c r="AA154" t="e">
        <f t="shared" si="31"/>
        <v>#DIV/0!</v>
      </c>
      <c r="AB154" t="e">
        <f t="shared" si="32"/>
        <v>#DIV/0!</v>
      </c>
      <c r="AC154" t="e">
        <f t="shared" si="33"/>
        <v>#DIV/0!</v>
      </c>
      <c r="AD154" t="e">
        <f t="shared" si="34"/>
        <v>#DIV/0!</v>
      </c>
      <c r="AE154" t="e">
        <f t="shared" si="35"/>
        <v>#DIV/0!</v>
      </c>
      <c r="AF154" t="e">
        <f t="shared" si="36"/>
        <v>#DIV/0!</v>
      </c>
      <c r="AG154" t="e">
        <f t="shared" si="37"/>
        <v>#DIV/0!</v>
      </c>
      <c r="AH154" t="e">
        <f t="shared" si="44"/>
        <v>#DIV/0!</v>
      </c>
      <c r="AI154" t="e">
        <f t="shared" si="38"/>
        <v>#DIV/0!</v>
      </c>
      <c r="AJ154">
        <f t="shared" si="39"/>
        <v>0</v>
      </c>
      <c r="AK154" t="e">
        <f t="shared" si="40"/>
        <v>#N/A</v>
      </c>
      <c r="AL154">
        <f t="shared" si="41"/>
        <v>0</v>
      </c>
      <c r="AM154" t="e">
        <f t="shared" si="42"/>
        <v>#N/A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4">
        <f t="shared" si="43"/>
        <v>1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1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5" cm="1">
        <f t="array" ref="X155">ABS(INDEX($F$4:$T$263,ROW(A152),MATCH($W$2,$F$3:$T$3,0))-INDEX($F$4:$T$263,ROW(A151),MATCH($W$2,$F$3:$T$3,0)))</f>
        <v>0</v>
      </c>
      <c r="Y1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5" t="e">
        <f t="shared" si="30"/>
        <v>#DIV/0!</v>
      </c>
      <c r="AA155" t="e">
        <f t="shared" si="31"/>
        <v>#DIV/0!</v>
      </c>
      <c r="AB155" t="e">
        <f t="shared" si="32"/>
        <v>#DIV/0!</v>
      </c>
      <c r="AC155" t="e">
        <f t="shared" si="33"/>
        <v>#DIV/0!</v>
      </c>
      <c r="AD155" t="e">
        <f t="shared" si="34"/>
        <v>#DIV/0!</v>
      </c>
      <c r="AE155" t="e">
        <f t="shared" si="35"/>
        <v>#DIV/0!</v>
      </c>
      <c r="AF155" t="e">
        <f t="shared" si="36"/>
        <v>#DIV/0!</v>
      </c>
      <c r="AG155" t="e">
        <f t="shared" si="37"/>
        <v>#DIV/0!</v>
      </c>
      <c r="AH155" t="e">
        <f t="shared" si="44"/>
        <v>#DIV/0!</v>
      </c>
      <c r="AI155" t="e">
        <f t="shared" si="38"/>
        <v>#DIV/0!</v>
      </c>
      <c r="AJ155">
        <f t="shared" si="39"/>
        <v>0</v>
      </c>
      <c r="AK155" t="e">
        <f t="shared" si="40"/>
        <v>#N/A</v>
      </c>
      <c r="AL155">
        <f t="shared" si="41"/>
        <v>0</v>
      </c>
      <c r="AM155" t="e">
        <f t="shared" si="42"/>
        <v>#N/A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5">
        <f t="shared" si="43"/>
        <v>1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1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6" cm="1">
        <f t="array" ref="X156">ABS(INDEX($F$4:$T$263,ROW(A153),MATCH($W$2,$F$3:$T$3,0))-INDEX($F$4:$T$263,ROW(A152),MATCH($W$2,$F$3:$T$3,0)))</f>
        <v>0</v>
      </c>
      <c r="Y1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6" t="e">
        <f t="shared" si="30"/>
        <v>#DIV/0!</v>
      </c>
      <c r="AA156" t="e">
        <f t="shared" si="31"/>
        <v>#DIV/0!</v>
      </c>
      <c r="AB156" t="e">
        <f t="shared" si="32"/>
        <v>#DIV/0!</v>
      </c>
      <c r="AC156" t="e">
        <f t="shared" si="33"/>
        <v>#DIV/0!</v>
      </c>
      <c r="AD156" t="e">
        <f t="shared" si="34"/>
        <v>#DIV/0!</v>
      </c>
      <c r="AE156" t="e">
        <f t="shared" si="35"/>
        <v>#DIV/0!</v>
      </c>
      <c r="AF156" t="e">
        <f t="shared" si="36"/>
        <v>#DIV/0!</v>
      </c>
      <c r="AG156" t="e">
        <f t="shared" si="37"/>
        <v>#DIV/0!</v>
      </c>
      <c r="AH156" t="e">
        <f t="shared" si="44"/>
        <v>#DIV/0!</v>
      </c>
      <c r="AI156" t="e">
        <f t="shared" si="38"/>
        <v>#DIV/0!</v>
      </c>
      <c r="AJ156">
        <f t="shared" si="39"/>
        <v>0</v>
      </c>
      <c r="AK156" t="e">
        <f t="shared" si="40"/>
        <v>#N/A</v>
      </c>
      <c r="AL156">
        <f t="shared" si="41"/>
        <v>0</v>
      </c>
      <c r="AM156" t="e">
        <f t="shared" si="42"/>
        <v>#N/A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6">
        <f t="shared" si="43"/>
        <v>1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1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7" cm="1">
        <f t="array" ref="X157">ABS(INDEX($F$4:$T$263,ROW(A154),MATCH($W$2,$F$3:$T$3,0))-INDEX($F$4:$T$263,ROW(A153),MATCH($W$2,$F$3:$T$3,0)))</f>
        <v>0</v>
      </c>
      <c r="Y1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7" t="e">
        <f t="shared" si="30"/>
        <v>#DIV/0!</v>
      </c>
      <c r="AA157" t="e">
        <f t="shared" si="31"/>
        <v>#DIV/0!</v>
      </c>
      <c r="AB157" t="e">
        <f t="shared" si="32"/>
        <v>#DIV/0!</v>
      </c>
      <c r="AC157" t="e">
        <f t="shared" si="33"/>
        <v>#DIV/0!</v>
      </c>
      <c r="AD157" t="e">
        <f t="shared" si="34"/>
        <v>#DIV/0!</v>
      </c>
      <c r="AE157" t="e">
        <f t="shared" si="35"/>
        <v>#DIV/0!</v>
      </c>
      <c r="AF157" t="e">
        <f t="shared" si="36"/>
        <v>#DIV/0!</v>
      </c>
      <c r="AG157" t="e">
        <f t="shared" si="37"/>
        <v>#DIV/0!</v>
      </c>
      <c r="AH157" t="e">
        <f t="shared" si="44"/>
        <v>#DIV/0!</v>
      </c>
      <c r="AI157" t="e">
        <f t="shared" si="38"/>
        <v>#DIV/0!</v>
      </c>
      <c r="AJ157">
        <f t="shared" si="39"/>
        <v>0</v>
      </c>
      <c r="AK157" t="e">
        <f t="shared" si="40"/>
        <v>#N/A</v>
      </c>
      <c r="AL157">
        <f t="shared" si="41"/>
        <v>0</v>
      </c>
      <c r="AM157" t="e">
        <f t="shared" si="42"/>
        <v>#N/A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7">
        <f t="shared" si="43"/>
        <v>1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1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8" cm="1">
        <f t="array" ref="X158">ABS(INDEX($F$4:$T$263,ROW(A155),MATCH($W$2,$F$3:$T$3,0))-INDEX($F$4:$T$263,ROW(A154),MATCH($W$2,$F$3:$T$3,0)))</f>
        <v>0</v>
      </c>
      <c r="Y1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8" t="e">
        <f t="shared" si="30"/>
        <v>#DIV/0!</v>
      </c>
      <c r="AA158" t="e">
        <f t="shared" si="31"/>
        <v>#DIV/0!</v>
      </c>
      <c r="AB158" t="e">
        <f t="shared" si="32"/>
        <v>#DIV/0!</v>
      </c>
      <c r="AC158" t="e">
        <f t="shared" si="33"/>
        <v>#DIV/0!</v>
      </c>
      <c r="AD158" t="e">
        <f t="shared" si="34"/>
        <v>#DIV/0!</v>
      </c>
      <c r="AE158" t="e">
        <f t="shared" si="35"/>
        <v>#DIV/0!</v>
      </c>
      <c r="AF158" t="e">
        <f t="shared" si="36"/>
        <v>#DIV/0!</v>
      </c>
      <c r="AG158" t="e">
        <f t="shared" si="37"/>
        <v>#DIV/0!</v>
      </c>
      <c r="AH158" t="e">
        <f t="shared" si="44"/>
        <v>#DIV/0!</v>
      </c>
      <c r="AI158" t="e">
        <f t="shared" si="38"/>
        <v>#DIV/0!</v>
      </c>
      <c r="AJ158">
        <f t="shared" si="39"/>
        <v>0</v>
      </c>
      <c r="AK158" t="e">
        <f t="shared" si="40"/>
        <v>#N/A</v>
      </c>
      <c r="AL158">
        <f t="shared" si="41"/>
        <v>0</v>
      </c>
      <c r="AM158" t="e">
        <f t="shared" si="42"/>
        <v>#N/A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8">
        <f t="shared" si="43"/>
        <v>1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1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9" cm="1">
        <f t="array" ref="X159">ABS(INDEX($F$4:$T$263,ROW(A156),MATCH($W$2,$F$3:$T$3,0))-INDEX($F$4:$T$263,ROW(A155),MATCH($W$2,$F$3:$T$3,0)))</f>
        <v>0</v>
      </c>
      <c r="Y1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9" t="e">
        <f t="shared" si="30"/>
        <v>#DIV/0!</v>
      </c>
      <c r="AA159" t="e">
        <f t="shared" si="31"/>
        <v>#DIV/0!</v>
      </c>
      <c r="AB159" t="e">
        <f t="shared" si="32"/>
        <v>#DIV/0!</v>
      </c>
      <c r="AC159" t="e">
        <f t="shared" si="33"/>
        <v>#DIV/0!</v>
      </c>
      <c r="AD159" t="e">
        <f t="shared" si="34"/>
        <v>#DIV/0!</v>
      </c>
      <c r="AE159" t="e">
        <f t="shared" si="35"/>
        <v>#DIV/0!</v>
      </c>
      <c r="AF159" t="e">
        <f t="shared" si="36"/>
        <v>#DIV/0!</v>
      </c>
      <c r="AG159" t="e">
        <f t="shared" si="37"/>
        <v>#DIV/0!</v>
      </c>
      <c r="AH159" t="e">
        <f t="shared" si="44"/>
        <v>#DIV/0!</v>
      </c>
      <c r="AI159" t="e">
        <f t="shared" si="38"/>
        <v>#DIV/0!</v>
      </c>
      <c r="AJ159">
        <f t="shared" si="39"/>
        <v>0</v>
      </c>
      <c r="AK159" t="e">
        <f t="shared" si="40"/>
        <v>#N/A</v>
      </c>
      <c r="AL159">
        <f t="shared" si="41"/>
        <v>0</v>
      </c>
      <c r="AM159" t="e">
        <f t="shared" si="42"/>
        <v>#N/A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9">
        <f t="shared" si="43"/>
        <v>1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1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0" cm="1">
        <f t="array" ref="X160">ABS(INDEX($F$4:$T$263,ROW(A157),MATCH($W$2,$F$3:$T$3,0))-INDEX($F$4:$T$263,ROW(A156),MATCH($W$2,$F$3:$T$3,0)))</f>
        <v>0</v>
      </c>
      <c r="Y1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0" t="e">
        <f t="shared" si="30"/>
        <v>#DIV/0!</v>
      </c>
      <c r="AA160" t="e">
        <f t="shared" si="31"/>
        <v>#DIV/0!</v>
      </c>
      <c r="AB160" t="e">
        <f t="shared" si="32"/>
        <v>#DIV/0!</v>
      </c>
      <c r="AC160" t="e">
        <f t="shared" si="33"/>
        <v>#DIV/0!</v>
      </c>
      <c r="AD160" t="e">
        <f t="shared" si="34"/>
        <v>#DIV/0!</v>
      </c>
      <c r="AE160" t="e">
        <f t="shared" si="35"/>
        <v>#DIV/0!</v>
      </c>
      <c r="AF160" t="e">
        <f t="shared" si="36"/>
        <v>#DIV/0!</v>
      </c>
      <c r="AG160" t="e">
        <f t="shared" si="37"/>
        <v>#DIV/0!</v>
      </c>
      <c r="AH160" t="e">
        <f t="shared" si="44"/>
        <v>#DIV/0!</v>
      </c>
      <c r="AI160" t="e">
        <f t="shared" si="38"/>
        <v>#DIV/0!</v>
      </c>
      <c r="AJ160">
        <f t="shared" si="39"/>
        <v>0</v>
      </c>
      <c r="AK160" t="e">
        <f t="shared" si="40"/>
        <v>#N/A</v>
      </c>
      <c r="AL160">
        <f t="shared" si="41"/>
        <v>0</v>
      </c>
      <c r="AM160" t="e">
        <f t="shared" si="42"/>
        <v>#N/A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0">
        <f t="shared" si="43"/>
        <v>1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1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1" cm="1">
        <f t="array" ref="X161">ABS(INDEX($F$4:$T$263,ROW(A158),MATCH($W$2,$F$3:$T$3,0))-INDEX($F$4:$T$263,ROW(A157),MATCH($W$2,$F$3:$T$3,0)))</f>
        <v>0</v>
      </c>
      <c r="Y1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1" t="e">
        <f t="shared" si="30"/>
        <v>#DIV/0!</v>
      </c>
      <c r="AA161" t="e">
        <f t="shared" si="31"/>
        <v>#DIV/0!</v>
      </c>
      <c r="AB161" t="e">
        <f t="shared" si="32"/>
        <v>#DIV/0!</v>
      </c>
      <c r="AC161" t="e">
        <f t="shared" si="33"/>
        <v>#DIV/0!</v>
      </c>
      <c r="AD161" t="e">
        <f t="shared" si="34"/>
        <v>#DIV/0!</v>
      </c>
      <c r="AE161" t="e">
        <f t="shared" si="35"/>
        <v>#DIV/0!</v>
      </c>
      <c r="AF161" t="e">
        <f t="shared" si="36"/>
        <v>#DIV/0!</v>
      </c>
      <c r="AG161" t="e">
        <f t="shared" si="37"/>
        <v>#DIV/0!</v>
      </c>
      <c r="AH161" t="e">
        <f t="shared" si="44"/>
        <v>#DIV/0!</v>
      </c>
      <c r="AI161" t="e">
        <f t="shared" si="38"/>
        <v>#DIV/0!</v>
      </c>
      <c r="AJ161">
        <f t="shared" si="39"/>
        <v>0</v>
      </c>
      <c r="AK161" t="e">
        <f t="shared" si="40"/>
        <v>#N/A</v>
      </c>
      <c r="AL161">
        <f t="shared" si="41"/>
        <v>0</v>
      </c>
      <c r="AM161" t="e">
        <f t="shared" si="42"/>
        <v>#N/A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1">
        <f t="shared" si="43"/>
        <v>1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1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2" cm="1">
        <f t="array" ref="X162">ABS(INDEX($F$4:$T$263,ROW(A159),MATCH($W$2,$F$3:$T$3,0))-INDEX($F$4:$T$263,ROW(A158),MATCH($W$2,$F$3:$T$3,0)))</f>
        <v>0</v>
      </c>
      <c r="Y1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2" t="e">
        <f t="shared" si="30"/>
        <v>#DIV/0!</v>
      </c>
      <c r="AA162" t="e">
        <f t="shared" si="31"/>
        <v>#DIV/0!</v>
      </c>
      <c r="AB162" t="e">
        <f t="shared" si="32"/>
        <v>#DIV/0!</v>
      </c>
      <c r="AC162" t="e">
        <f t="shared" si="33"/>
        <v>#DIV/0!</v>
      </c>
      <c r="AD162" t="e">
        <f t="shared" si="34"/>
        <v>#DIV/0!</v>
      </c>
      <c r="AE162" t="e">
        <f t="shared" si="35"/>
        <v>#DIV/0!</v>
      </c>
      <c r="AF162" t="e">
        <f t="shared" si="36"/>
        <v>#DIV/0!</v>
      </c>
      <c r="AG162" t="e">
        <f t="shared" si="37"/>
        <v>#DIV/0!</v>
      </c>
      <c r="AH162" t="e">
        <f t="shared" si="44"/>
        <v>#DIV/0!</v>
      </c>
      <c r="AI162" t="e">
        <f t="shared" si="38"/>
        <v>#DIV/0!</v>
      </c>
      <c r="AJ162">
        <f t="shared" si="39"/>
        <v>0</v>
      </c>
      <c r="AK162" t="e">
        <f t="shared" si="40"/>
        <v>#N/A</v>
      </c>
      <c r="AL162">
        <f t="shared" si="41"/>
        <v>0</v>
      </c>
      <c r="AM162" t="e">
        <f t="shared" si="42"/>
        <v>#N/A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2">
        <f t="shared" si="43"/>
        <v>1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1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3" cm="1">
        <f t="array" ref="X163">ABS(INDEX($F$4:$T$263,ROW(A160),MATCH($W$2,$F$3:$T$3,0))-INDEX($F$4:$T$263,ROW(A159),MATCH($W$2,$F$3:$T$3,0)))</f>
        <v>0</v>
      </c>
      <c r="Y1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3" t="e">
        <f t="shared" si="30"/>
        <v>#DIV/0!</v>
      </c>
      <c r="AA163" t="e">
        <f t="shared" si="31"/>
        <v>#DIV/0!</v>
      </c>
      <c r="AB163" t="e">
        <f t="shared" si="32"/>
        <v>#DIV/0!</v>
      </c>
      <c r="AC163" t="e">
        <f t="shared" si="33"/>
        <v>#DIV/0!</v>
      </c>
      <c r="AD163" t="e">
        <f t="shared" si="34"/>
        <v>#DIV/0!</v>
      </c>
      <c r="AE163" t="e">
        <f t="shared" si="35"/>
        <v>#DIV/0!</v>
      </c>
      <c r="AF163" t="e">
        <f t="shared" si="36"/>
        <v>#DIV/0!</v>
      </c>
      <c r="AG163" t="e">
        <f t="shared" si="37"/>
        <v>#DIV/0!</v>
      </c>
      <c r="AH163" t="e">
        <f t="shared" si="44"/>
        <v>#DIV/0!</v>
      </c>
      <c r="AI163" t="e">
        <f t="shared" si="38"/>
        <v>#DIV/0!</v>
      </c>
      <c r="AJ163">
        <f t="shared" si="39"/>
        <v>0</v>
      </c>
      <c r="AK163" t="e">
        <f t="shared" si="40"/>
        <v>#N/A</v>
      </c>
      <c r="AL163">
        <f t="shared" si="41"/>
        <v>0</v>
      </c>
      <c r="AM163" t="e">
        <f t="shared" si="42"/>
        <v>#N/A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3">
        <f t="shared" si="43"/>
        <v>1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1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4" cm="1">
        <f t="array" ref="X164">ABS(INDEX($F$4:$T$263,ROW(A161),MATCH($W$2,$F$3:$T$3,0))-INDEX($F$4:$T$263,ROW(A160),MATCH($W$2,$F$3:$T$3,0)))</f>
        <v>0</v>
      </c>
      <c r="Y1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4" t="e">
        <f t="shared" si="30"/>
        <v>#DIV/0!</v>
      </c>
      <c r="AA164" t="e">
        <f t="shared" si="31"/>
        <v>#DIV/0!</v>
      </c>
      <c r="AB164" t="e">
        <f t="shared" si="32"/>
        <v>#DIV/0!</v>
      </c>
      <c r="AC164" t="e">
        <f t="shared" si="33"/>
        <v>#DIV/0!</v>
      </c>
      <c r="AD164" t="e">
        <f t="shared" si="34"/>
        <v>#DIV/0!</v>
      </c>
      <c r="AE164" t="e">
        <f t="shared" si="35"/>
        <v>#DIV/0!</v>
      </c>
      <c r="AF164" t="e">
        <f t="shared" si="36"/>
        <v>#DIV/0!</v>
      </c>
      <c r="AG164" t="e">
        <f t="shared" si="37"/>
        <v>#DIV/0!</v>
      </c>
      <c r="AH164" t="e">
        <f t="shared" si="44"/>
        <v>#DIV/0!</v>
      </c>
      <c r="AI164" t="e">
        <f t="shared" si="38"/>
        <v>#DIV/0!</v>
      </c>
      <c r="AJ164">
        <f t="shared" si="39"/>
        <v>0</v>
      </c>
      <c r="AK164" t="e">
        <f t="shared" si="40"/>
        <v>#N/A</v>
      </c>
      <c r="AL164">
        <f t="shared" si="41"/>
        <v>0</v>
      </c>
      <c r="AM164" t="e">
        <f t="shared" si="42"/>
        <v>#N/A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4">
        <f t="shared" si="43"/>
        <v>1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1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5" cm="1">
        <f t="array" ref="X165">ABS(INDEX($F$4:$T$263,ROW(A162),MATCH($W$2,$F$3:$T$3,0))-INDEX($F$4:$T$263,ROW(A161),MATCH($W$2,$F$3:$T$3,0)))</f>
        <v>0</v>
      </c>
      <c r="Y1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5" t="e">
        <f t="shared" si="30"/>
        <v>#DIV/0!</v>
      </c>
      <c r="AA165" t="e">
        <f t="shared" si="31"/>
        <v>#DIV/0!</v>
      </c>
      <c r="AB165" t="e">
        <f t="shared" si="32"/>
        <v>#DIV/0!</v>
      </c>
      <c r="AC165" t="e">
        <f t="shared" si="33"/>
        <v>#DIV/0!</v>
      </c>
      <c r="AD165" t="e">
        <f t="shared" si="34"/>
        <v>#DIV/0!</v>
      </c>
      <c r="AE165" t="e">
        <f t="shared" si="35"/>
        <v>#DIV/0!</v>
      </c>
      <c r="AF165" t="e">
        <f t="shared" si="36"/>
        <v>#DIV/0!</v>
      </c>
      <c r="AG165" t="e">
        <f t="shared" si="37"/>
        <v>#DIV/0!</v>
      </c>
      <c r="AH165" t="e">
        <f t="shared" si="44"/>
        <v>#DIV/0!</v>
      </c>
      <c r="AI165" t="e">
        <f t="shared" si="38"/>
        <v>#DIV/0!</v>
      </c>
      <c r="AJ165">
        <f t="shared" si="39"/>
        <v>0</v>
      </c>
      <c r="AK165" t="e">
        <f t="shared" si="40"/>
        <v>#N/A</v>
      </c>
      <c r="AL165">
        <f t="shared" si="41"/>
        <v>0</v>
      </c>
      <c r="AM165" t="e">
        <f t="shared" si="42"/>
        <v>#N/A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5">
        <f t="shared" si="43"/>
        <v>1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1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6" cm="1">
        <f t="array" ref="X166">ABS(INDEX($F$4:$T$263,ROW(A163),MATCH($W$2,$F$3:$T$3,0))-INDEX($F$4:$T$263,ROW(A162),MATCH($W$2,$F$3:$T$3,0)))</f>
        <v>0</v>
      </c>
      <c r="Y1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6" t="e">
        <f t="shared" si="30"/>
        <v>#DIV/0!</v>
      </c>
      <c r="AA166" t="e">
        <f t="shared" si="31"/>
        <v>#DIV/0!</v>
      </c>
      <c r="AB166" t="e">
        <f t="shared" si="32"/>
        <v>#DIV/0!</v>
      </c>
      <c r="AC166" t="e">
        <f t="shared" si="33"/>
        <v>#DIV/0!</v>
      </c>
      <c r="AD166" t="e">
        <f t="shared" si="34"/>
        <v>#DIV/0!</v>
      </c>
      <c r="AE166" t="e">
        <f t="shared" si="35"/>
        <v>#DIV/0!</v>
      </c>
      <c r="AF166" t="e">
        <f t="shared" si="36"/>
        <v>#DIV/0!</v>
      </c>
      <c r="AG166" t="e">
        <f t="shared" si="37"/>
        <v>#DIV/0!</v>
      </c>
      <c r="AH166" t="e">
        <f t="shared" si="44"/>
        <v>#DIV/0!</v>
      </c>
      <c r="AI166" t="e">
        <f t="shared" si="38"/>
        <v>#DIV/0!</v>
      </c>
      <c r="AJ166">
        <f t="shared" si="39"/>
        <v>0</v>
      </c>
      <c r="AK166" t="e">
        <f t="shared" si="40"/>
        <v>#N/A</v>
      </c>
      <c r="AL166">
        <f t="shared" si="41"/>
        <v>0</v>
      </c>
      <c r="AM166" t="e">
        <f t="shared" si="42"/>
        <v>#N/A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6">
        <f t="shared" si="43"/>
        <v>1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1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7" cm="1">
        <f t="array" ref="X167">ABS(INDEX($F$4:$T$263,ROW(A164),MATCH($W$2,$F$3:$T$3,0))-INDEX($F$4:$T$263,ROW(A163),MATCH($W$2,$F$3:$T$3,0)))</f>
        <v>0</v>
      </c>
      <c r="Y1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7" t="e">
        <f t="shared" si="30"/>
        <v>#DIV/0!</v>
      </c>
      <c r="AA167" t="e">
        <f t="shared" si="31"/>
        <v>#DIV/0!</v>
      </c>
      <c r="AB167" t="e">
        <f t="shared" si="32"/>
        <v>#DIV/0!</v>
      </c>
      <c r="AC167" t="e">
        <f t="shared" si="33"/>
        <v>#DIV/0!</v>
      </c>
      <c r="AD167" t="e">
        <f t="shared" si="34"/>
        <v>#DIV/0!</v>
      </c>
      <c r="AE167" t="e">
        <f t="shared" si="35"/>
        <v>#DIV/0!</v>
      </c>
      <c r="AF167" t="e">
        <f t="shared" si="36"/>
        <v>#DIV/0!</v>
      </c>
      <c r="AG167" t="e">
        <f t="shared" si="37"/>
        <v>#DIV/0!</v>
      </c>
      <c r="AH167" t="e">
        <f t="shared" si="44"/>
        <v>#DIV/0!</v>
      </c>
      <c r="AI167" t="e">
        <f t="shared" si="38"/>
        <v>#DIV/0!</v>
      </c>
      <c r="AJ167">
        <f t="shared" si="39"/>
        <v>0</v>
      </c>
      <c r="AK167" t="e">
        <f t="shared" si="40"/>
        <v>#N/A</v>
      </c>
      <c r="AL167">
        <f t="shared" si="41"/>
        <v>0</v>
      </c>
      <c r="AM167" t="e">
        <f t="shared" si="42"/>
        <v>#N/A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7">
        <f t="shared" si="43"/>
        <v>1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1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8" cm="1">
        <f t="array" ref="X168">ABS(INDEX($F$4:$T$263,ROW(A165),MATCH($W$2,$F$3:$T$3,0))-INDEX($F$4:$T$263,ROW(A164),MATCH($W$2,$F$3:$T$3,0)))</f>
        <v>0</v>
      </c>
      <c r="Y1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8" t="e">
        <f t="shared" si="30"/>
        <v>#DIV/0!</v>
      </c>
      <c r="AA168" t="e">
        <f t="shared" si="31"/>
        <v>#DIV/0!</v>
      </c>
      <c r="AB168" t="e">
        <f t="shared" si="32"/>
        <v>#DIV/0!</v>
      </c>
      <c r="AC168" t="e">
        <f t="shared" si="33"/>
        <v>#DIV/0!</v>
      </c>
      <c r="AD168" t="e">
        <f t="shared" si="34"/>
        <v>#DIV/0!</v>
      </c>
      <c r="AE168" t="e">
        <f t="shared" si="35"/>
        <v>#DIV/0!</v>
      </c>
      <c r="AF168" t="e">
        <f t="shared" si="36"/>
        <v>#DIV/0!</v>
      </c>
      <c r="AG168" t="e">
        <f t="shared" si="37"/>
        <v>#DIV/0!</v>
      </c>
      <c r="AH168" t="e">
        <f t="shared" si="44"/>
        <v>#DIV/0!</v>
      </c>
      <c r="AI168" t="e">
        <f t="shared" si="38"/>
        <v>#DIV/0!</v>
      </c>
      <c r="AJ168">
        <f t="shared" si="39"/>
        <v>0</v>
      </c>
      <c r="AK168" t="e">
        <f t="shared" si="40"/>
        <v>#N/A</v>
      </c>
      <c r="AL168">
        <f t="shared" si="41"/>
        <v>0</v>
      </c>
      <c r="AM168" t="e">
        <f t="shared" si="42"/>
        <v>#N/A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8">
        <f t="shared" si="43"/>
        <v>1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1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9" cm="1">
        <f t="array" ref="X169">ABS(INDEX($F$4:$T$263,ROW(A166),MATCH($W$2,$F$3:$T$3,0))-INDEX($F$4:$T$263,ROW(A165),MATCH($W$2,$F$3:$T$3,0)))</f>
        <v>0</v>
      </c>
      <c r="Y1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9" t="e">
        <f t="shared" si="30"/>
        <v>#DIV/0!</v>
      </c>
      <c r="AA169" t="e">
        <f t="shared" si="31"/>
        <v>#DIV/0!</v>
      </c>
      <c r="AB169" t="e">
        <f t="shared" si="32"/>
        <v>#DIV/0!</v>
      </c>
      <c r="AC169" t="e">
        <f t="shared" si="33"/>
        <v>#DIV/0!</v>
      </c>
      <c r="AD169" t="e">
        <f t="shared" si="34"/>
        <v>#DIV/0!</v>
      </c>
      <c r="AE169" t="e">
        <f t="shared" si="35"/>
        <v>#DIV/0!</v>
      </c>
      <c r="AF169" t="e">
        <f t="shared" si="36"/>
        <v>#DIV/0!</v>
      </c>
      <c r="AG169" t="e">
        <f t="shared" si="37"/>
        <v>#DIV/0!</v>
      </c>
      <c r="AH169" t="e">
        <f t="shared" si="44"/>
        <v>#DIV/0!</v>
      </c>
      <c r="AI169" t="e">
        <f t="shared" si="38"/>
        <v>#DIV/0!</v>
      </c>
      <c r="AJ169">
        <f t="shared" si="39"/>
        <v>0</v>
      </c>
      <c r="AK169" t="e">
        <f t="shared" si="40"/>
        <v>#N/A</v>
      </c>
      <c r="AL169">
        <f t="shared" si="41"/>
        <v>0</v>
      </c>
      <c r="AM169" t="e">
        <f t="shared" si="42"/>
        <v>#N/A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9">
        <f t="shared" si="43"/>
        <v>1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1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0" cm="1">
        <f t="array" ref="X170">ABS(INDEX($F$4:$T$263,ROW(A167),MATCH($W$2,$F$3:$T$3,0))-INDEX($F$4:$T$263,ROW(A166),MATCH($W$2,$F$3:$T$3,0)))</f>
        <v>0</v>
      </c>
      <c r="Y1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0" t="e">
        <f t="shared" si="30"/>
        <v>#DIV/0!</v>
      </c>
      <c r="AA170" t="e">
        <f t="shared" si="31"/>
        <v>#DIV/0!</v>
      </c>
      <c r="AB170" t="e">
        <f t="shared" si="32"/>
        <v>#DIV/0!</v>
      </c>
      <c r="AC170" t="e">
        <f t="shared" si="33"/>
        <v>#DIV/0!</v>
      </c>
      <c r="AD170" t="e">
        <f t="shared" si="34"/>
        <v>#DIV/0!</v>
      </c>
      <c r="AE170" t="e">
        <f t="shared" si="35"/>
        <v>#DIV/0!</v>
      </c>
      <c r="AF170" t="e">
        <f t="shared" si="36"/>
        <v>#DIV/0!</v>
      </c>
      <c r="AG170" t="e">
        <f t="shared" si="37"/>
        <v>#DIV/0!</v>
      </c>
      <c r="AH170" t="e">
        <f t="shared" si="44"/>
        <v>#DIV/0!</v>
      </c>
      <c r="AI170" t="e">
        <f t="shared" si="38"/>
        <v>#DIV/0!</v>
      </c>
      <c r="AJ170">
        <f t="shared" si="39"/>
        <v>0</v>
      </c>
      <c r="AK170" t="e">
        <f t="shared" si="40"/>
        <v>#N/A</v>
      </c>
      <c r="AL170">
        <f t="shared" si="41"/>
        <v>0</v>
      </c>
      <c r="AM170" t="e">
        <f t="shared" si="42"/>
        <v>#N/A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0">
        <f t="shared" si="43"/>
        <v>1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1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1" cm="1">
        <f t="array" ref="X171">ABS(INDEX($F$4:$T$263,ROW(A168),MATCH($W$2,$F$3:$T$3,0))-INDEX($F$4:$T$263,ROW(A167),MATCH($W$2,$F$3:$T$3,0)))</f>
        <v>0</v>
      </c>
      <c r="Y1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1" t="e">
        <f t="shared" si="30"/>
        <v>#DIV/0!</v>
      </c>
      <c r="AA171" t="e">
        <f t="shared" si="31"/>
        <v>#DIV/0!</v>
      </c>
      <c r="AB171" t="e">
        <f t="shared" si="32"/>
        <v>#DIV/0!</v>
      </c>
      <c r="AC171" t="e">
        <f t="shared" si="33"/>
        <v>#DIV/0!</v>
      </c>
      <c r="AD171" t="e">
        <f t="shared" si="34"/>
        <v>#DIV/0!</v>
      </c>
      <c r="AE171" t="e">
        <f t="shared" si="35"/>
        <v>#DIV/0!</v>
      </c>
      <c r="AF171" t="e">
        <f t="shared" si="36"/>
        <v>#DIV/0!</v>
      </c>
      <c r="AG171" t="e">
        <f t="shared" si="37"/>
        <v>#DIV/0!</v>
      </c>
      <c r="AH171" t="e">
        <f t="shared" si="44"/>
        <v>#DIV/0!</v>
      </c>
      <c r="AI171" t="e">
        <f t="shared" si="38"/>
        <v>#DIV/0!</v>
      </c>
      <c r="AJ171">
        <f t="shared" si="39"/>
        <v>0</v>
      </c>
      <c r="AK171" t="e">
        <f t="shared" si="40"/>
        <v>#N/A</v>
      </c>
      <c r="AL171">
        <f t="shared" si="41"/>
        <v>0</v>
      </c>
      <c r="AM171" t="e">
        <f t="shared" si="42"/>
        <v>#N/A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1">
        <f t="shared" si="43"/>
        <v>1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1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2" cm="1">
        <f t="array" ref="X172">ABS(INDEX($F$4:$T$263,ROW(A169),MATCH($W$2,$F$3:$T$3,0))-INDEX($F$4:$T$263,ROW(A168),MATCH($W$2,$F$3:$T$3,0)))</f>
        <v>0</v>
      </c>
      <c r="Y1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2" t="e">
        <f t="shared" si="30"/>
        <v>#DIV/0!</v>
      </c>
      <c r="AA172" t="e">
        <f t="shared" si="31"/>
        <v>#DIV/0!</v>
      </c>
      <c r="AB172" t="e">
        <f t="shared" si="32"/>
        <v>#DIV/0!</v>
      </c>
      <c r="AC172" t="e">
        <f t="shared" si="33"/>
        <v>#DIV/0!</v>
      </c>
      <c r="AD172" t="e">
        <f t="shared" si="34"/>
        <v>#DIV/0!</v>
      </c>
      <c r="AE172" t="e">
        <f t="shared" si="35"/>
        <v>#DIV/0!</v>
      </c>
      <c r="AF172" t="e">
        <f t="shared" si="36"/>
        <v>#DIV/0!</v>
      </c>
      <c r="AG172" t="e">
        <f t="shared" si="37"/>
        <v>#DIV/0!</v>
      </c>
      <c r="AH172" t="e">
        <f t="shared" si="44"/>
        <v>#DIV/0!</v>
      </c>
      <c r="AI172" t="e">
        <f t="shared" si="38"/>
        <v>#DIV/0!</v>
      </c>
      <c r="AJ172">
        <f t="shared" si="39"/>
        <v>0</v>
      </c>
      <c r="AK172" t="e">
        <f t="shared" si="40"/>
        <v>#N/A</v>
      </c>
      <c r="AL172">
        <f t="shared" si="41"/>
        <v>0</v>
      </c>
      <c r="AM172" t="e">
        <f t="shared" si="42"/>
        <v>#N/A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2">
        <f t="shared" si="43"/>
        <v>1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1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3" cm="1">
        <f t="array" ref="X173">ABS(INDEX($F$4:$T$263,ROW(A170),MATCH($W$2,$F$3:$T$3,0))-INDEX($F$4:$T$263,ROW(A169),MATCH($W$2,$F$3:$T$3,0)))</f>
        <v>0</v>
      </c>
      <c r="Y1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3" t="e">
        <f t="shared" si="30"/>
        <v>#DIV/0!</v>
      </c>
      <c r="AA173" t="e">
        <f t="shared" si="31"/>
        <v>#DIV/0!</v>
      </c>
      <c r="AB173" t="e">
        <f t="shared" si="32"/>
        <v>#DIV/0!</v>
      </c>
      <c r="AC173" t="e">
        <f t="shared" si="33"/>
        <v>#DIV/0!</v>
      </c>
      <c r="AD173" t="e">
        <f t="shared" si="34"/>
        <v>#DIV/0!</v>
      </c>
      <c r="AE173" t="e">
        <f t="shared" si="35"/>
        <v>#DIV/0!</v>
      </c>
      <c r="AF173" t="e">
        <f t="shared" si="36"/>
        <v>#DIV/0!</v>
      </c>
      <c r="AG173" t="e">
        <f t="shared" si="37"/>
        <v>#DIV/0!</v>
      </c>
      <c r="AH173" t="e">
        <f t="shared" si="44"/>
        <v>#DIV/0!</v>
      </c>
      <c r="AI173" t="e">
        <f t="shared" si="38"/>
        <v>#DIV/0!</v>
      </c>
      <c r="AJ173">
        <f t="shared" si="39"/>
        <v>0</v>
      </c>
      <c r="AK173" t="e">
        <f t="shared" si="40"/>
        <v>#N/A</v>
      </c>
      <c r="AL173">
        <f t="shared" si="41"/>
        <v>0</v>
      </c>
      <c r="AM173" t="e">
        <f t="shared" si="42"/>
        <v>#N/A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3">
        <f t="shared" si="43"/>
        <v>1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1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4" cm="1">
        <f t="array" ref="X174">ABS(INDEX($F$4:$T$263,ROW(A171),MATCH($W$2,$F$3:$T$3,0))-INDEX($F$4:$T$263,ROW(A170),MATCH($W$2,$F$3:$T$3,0)))</f>
        <v>0</v>
      </c>
      <c r="Y1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4" t="e">
        <f t="shared" si="30"/>
        <v>#DIV/0!</v>
      </c>
      <c r="AA174" t="e">
        <f t="shared" si="31"/>
        <v>#DIV/0!</v>
      </c>
      <c r="AB174" t="e">
        <f t="shared" si="32"/>
        <v>#DIV/0!</v>
      </c>
      <c r="AC174" t="e">
        <f t="shared" si="33"/>
        <v>#DIV/0!</v>
      </c>
      <c r="AD174" t="e">
        <f t="shared" si="34"/>
        <v>#DIV/0!</v>
      </c>
      <c r="AE174" t="e">
        <f t="shared" si="35"/>
        <v>#DIV/0!</v>
      </c>
      <c r="AF174" t="e">
        <f t="shared" si="36"/>
        <v>#DIV/0!</v>
      </c>
      <c r="AG174" t="e">
        <f t="shared" si="37"/>
        <v>#DIV/0!</v>
      </c>
      <c r="AH174" t="e">
        <f t="shared" si="44"/>
        <v>#DIV/0!</v>
      </c>
      <c r="AI174" t="e">
        <f t="shared" si="38"/>
        <v>#DIV/0!</v>
      </c>
      <c r="AJ174">
        <f t="shared" si="39"/>
        <v>0</v>
      </c>
      <c r="AK174" t="e">
        <f t="shared" si="40"/>
        <v>#N/A</v>
      </c>
      <c r="AL174">
        <f t="shared" si="41"/>
        <v>0</v>
      </c>
      <c r="AM174" t="e">
        <f t="shared" si="42"/>
        <v>#N/A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4">
        <f t="shared" si="43"/>
        <v>1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1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5" cm="1">
        <f t="array" ref="X175">ABS(INDEX($F$4:$T$263,ROW(A172),MATCH($W$2,$F$3:$T$3,0))-INDEX($F$4:$T$263,ROW(A171),MATCH($W$2,$F$3:$T$3,0)))</f>
        <v>0</v>
      </c>
      <c r="Y1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5" t="e">
        <f t="shared" si="30"/>
        <v>#DIV/0!</v>
      </c>
      <c r="AA175" t="e">
        <f t="shared" si="31"/>
        <v>#DIV/0!</v>
      </c>
      <c r="AB175" t="e">
        <f t="shared" si="32"/>
        <v>#DIV/0!</v>
      </c>
      <c r="AC175" t="e">
        <f t="shared" si="33"/>
        <v>#DIV/0!</v>
      </c>
      <c r="AD175" t="e">
        <f t="shared" si="34"/>
        <v>#DIV/0!</v>
      </c>
      <c r="AE175" t="e">
        <f t="shared" si="35"/>
        <v>#DIV/0!</v>
      </c>
      <c r="AF175" t="e">
        <f t="shared" si="36"/>
        <v>#DIV/0!</v>
      </c>
      <c r="AG175" t="e">
        <f t="shared" si="37"/>
        <v>#DIV/0!</v>
      </c>
      <c r="AH175" t="e">
        <f t="shared" si="44"/>
        <v>#DIV/0!</v>
      </c>
      <c r="AI175" t="e">
        <f t="shared" si="38"/>
        <v>#DIV/0!</v>
      </c>
      <c r="AJ175">
        <f t="shared" si="39"/>
        <v>0</v>
      </c>
      <c r="AK175" t="e">
        <f t="shared" si="40"/>
        <v>#N/A</v>
      </c>
      <c r="AL175">
        <f t="shared" si="41"/>
        <v>0</v>
      </c>
      <c r="AM175" t="e">
        <f t="shared" si="42"/>
        <v>#N/A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5">
        <f t="shared" si="43"/>
        <v>1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1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6" cm="1">
        <f t="array" ref="X176">ABS(INDEX($F$4:$T$263,ROW(A173),MATCH($W$2,$F$3:$T$3,0))-INDEX($F$4:$T$263,ROW(A172),MATCH($W$2,$F$3:$T$3,0)))</f>
        <v>0</v>
      </c>
      <c r="Y1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6" t="e">
        <f t="shared" si="30"/>
        <v>#DIV/0!</v>
      </c>
      <c r="AA176" t="e">
        <f t="shared" si="31"/>
        <v>#DIV/0!</v>
      </c>
      <c r="AB176" t="e">
        <f t="shared" si="32"/>
        <v>#DIV/0!</v>
      </c>
      <c r="AC176" t="e">
        <f t="shared" si="33"/>
        <v>#DIV/0!</v>
      </c>
      <c r="AD176" t="e">
        <f t="shared" si="34"/>
        <v>#DIV/0!</v>
      </c>
      <c r="AE176" t="e">
        <f t="shared" si="35"/>
        <v>#DIV/0!</v>
      </c>
      <c r="AF176" t="e">
        <f t="shared" si="36"/>
        <v>#DIV/0!</v>
      </c>
      <c r="AG176" t="e">
        <f t="shared" si="37"/>
        <v>#DIV/0!</v>
      </c>
      <c r="AH176" t="e">
        <f t="shared" si="44"/>
        <v>#DIV/0!</v>
      </c>
      <c r="AI176" t="e">
        <f t="shared" si="38"/>
        <v>#DIV/0!</v>
      </c>
      <c r="AJ176">
        <f t="shared" si="39"/>
        <v>0</v>
      </c>
      <c r="AK176" t="e">
        <f t="shared" si="40"/>
        <v>#N/A</v>
      </c>
      <c r="AL176">
        <f t="shared" si="41"/>
        <v>0</v>
      </c>
      <c r="AM176" t="e">
        <f t="shared" si="42"/>
        <v>#N/A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6">
        <f t="shared" si="43"/>
        <v>1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1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7" cm="1">
        <f t="array" ref="X177">ABS(INDEX($F$4:$T$263,ROW(A174),MATCH($W$2,$F$3:$T$3,0))-INDEX($F$4:$T$263,ROW(A173),MATCH($W$2,$F$3:$T$3,0)))</f>
        <v>0</v>
      </c>
      <c r="Y1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7" t="e">
        <f t="shared" si="30"/>
        <v>#DIV/0!</v>
      </c>
      <c r="AA177" t="e">
        <f t="shared" si="31"/>
        <v>#DIV/0!</v>
      </c>
      <c r="AB177" t="e">
        <f t="shared" si="32"/>
        <v>#DIV/0!</v>
      </c>
      <c r="AC177" t="e">
        <f t="shared" si="33"/>
        <v>#DIV/0!</v>
      </c>
      <c r="AD177" t="e">
        <f t="shared" si="34"/>
        <v>#DIV/0!</v>
      </c>
      <c r="AE177" t="e">
        <f t="shared" si="35"/>
        <v>#DIV/0!</v>
      </c>
      <c r="AF177" t="e">
        <f t="shared" si="36"/>
        <v>#DIV/0!</v>
      </c>
      <c r="AG177" t="e">
        <f t="shared" si="37"/>
        <v>#DIV/0!</v>
      </c>
      <c r="AH177" t="e">
        <f t="shared" si="44"/>
        <v>#DIV/0!</v>
      </c>
      <c r="AI177" t="e">
        <f t="shared" si="38"/>
        <v>#DIV/0!</v>
      </c>
      <c r="AJ177">
        <f t="shared" si="39"/>
        <v>0</v>
      </c>
      <c r="AK177" t="e">
        <f t="shared" si="40"/>
        <v>#N/A</v>
      </c>
      <c r="AL177">
        <f t="shared" si="41"/>
        <v>0</v>
      </c>
      <c r="AM177" t="e">
        <f t="shared" si="42"/>
        <v>#N/A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7">
        <f t="shared" si="43"/>
        <v>1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1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8" cm="1">
        <f t="array" ref="X178">ABS(INDEX($F$4:$T$263,ROW(A175),MATCH($W$2,$F$3:$T$3,0))-INDEX($F$4:$T$263,ROW(A174),MATCH($W$2,$F$3:$T$3,0)))</f>
        <v>0</v>
      </c>
      <c r="Y1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8" t="e">
        <f t="shared" si="30"/>
        <v>#DIV/0!</v>
      </c>
      <c r="AA178" t="e">
        <f t="shared" si="31"/>
        <v>#DIV/0!</v>
      </c>
      <c r="AB178" t="e">
        <f t="shared" si="32"/>
        <v>#DIV/0!</v>
      </c>
      <c r="AC178" t="e">
        <f t="shared" si="33"/>
        <v>#DIV/0!</v>
      </c>
      <c r="AD178" t="e">
        <f t="shared" si="34"/>
        <v>#DIV/0!</v>
      </c>
      <c r="AE178" t="e">
        <f t="shared" si="35"/>
        <v>#DIV/0!</v>
      </c>
      <c r="AF178" t="e">
        <f t="shared" si="36"/>
        <v>#DIV/0!</v>
      </c>
      <c r="AG178" t="e">
        <f t="shared" si="37"/>
        <v>#DIV/0!</v>
      </c>
      <c r="AH178" t="e">
        <f t="shared" si="44"/>
        <v>#DIV/0!</v>
      </c>
      <c r="AI178" t="e">
        <f t="shared" si="38"/>
        <v>#DIV/0!</v>
      </c>
      <c r="AJ178">
        <f t="shared" si="39"/>
        <v>0</v>
      </c>
      <c r="AK178" t="e">
        <f t="shared" si="40"/>
        <v>#N/A</v>
      </c>
      <c r="AL178">
        <f t="shared" si="41"/>
        <v>0</v>
      </c>
      <c r="AM178" t="e">
        <f t="shared" si="42"/>
        <v>#N/A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8">
        <f t="shared" si="43"/>
        <v>1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1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9" cm="1">
        <f t="array" ref="X179">ABS(INDEX($F$4:$T$263,ROW(A176),MATCH($W$2,$F$3:$T$3,0))-INDEX($F$4:$T$263,ROW(A175),MATCH($W$2,$F$3:$T$3,0)))</f>
        <v>0</v>
      </c>
      <c r="Y1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9" t="e">
        <f t="shared" si="30"/>
        <v>#DIV/0!</v>
      </c>
      <c r="AA179" t="e">
        <f t="shared" si="31"/>
        <v>#DIV/0!</v>
      </c>
      <c r="AB179" t="e">
        <f t="shared" si="32"/>
        <v>#DIV/0!</v>
      </c>
      <c r="AC179" t="e">
        <f t="shared" si="33"/>
        <v>#DIV/0!</v>
      </c>
      <c r="AD179" t="e">
        <f t="shared" si="34"/>
        <v>#DIV/0!</v>
      </c>
      <c r="AE179" t="e">
        <f t="shared" si="35"/>
        <v>#DIV/0!</v>
      </c>
      <c r="AF179" t="e">
        <f t="shared" si="36"/>
        <v>#DIV/0!</v>
      </c>
      <c r="AG179" t="e">
        <f t="shared" si="37"/>
        <v>#DIV/0!</v>
      </c>
      <c r="AH179" t="e">
        <f t="shared" si="44"/>
        <v>#DIV/0!</v>
      </c>
      <c r="AI179" t="e">
        <f t="shared" si="38"/>
        <v>#DIV/0!</v>
      </c>
      <c r="AJ179">
        <f t="shared" si="39"/>
        <v>0</v>
      </c>
      <c r="AK179" t="e">
        <f t="shared" si="40"/>
        <v>#N/A</v>
      </c>
      <c r="AL179">
        <f t="shared" si="41"/>
        <v>0</v>
      </c>
      <c r="AM179" t="e">
        <f t="shared" si="42"/>
        <v>#N/A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9">
        <f t="shared" si="43"/>
        <v>1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1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0" cm="1">
        <f t="array" ref="X180">ABS(INDEX($F$4:$T$263,ROW(A177),MATCH($W$2,$F$3:$T$3,0))-INDEX($F$4:$T$263,ROW(A176),MATCH($W$2,$F$3:$T$3,0)))</f>
        <v>0</v>
      </c>
      <c r="Y1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0" t="e">
        <f t="shared" si="30"/>
        <v>#DIV/0!</v>
      </c>
      <c r="AA180" t="e">
        <f t="shared" si="31"/>
        <v>#DIV/0!</v>
      </c>
      <c r="AB180" t="e">
        <f t="shared" si="32"/>
        <v>#DIV/0!</v>
      </c>
      <c r="AC180" t="e">
        <f t="shared" si="33"/>
        <v>#DIV/0!</v>
      </c>
      <c r="AD180" t="e">
        <f t="shared" si="34"/>
        <v>#DIV/0!</v>
      </c>
      <c r="AE180" t="e">
        <f t="shared" si="35"/>
        <v>#DIV/0!</v>
      </c>
      <c r="AF180" t="e">
        <f t="shared" si="36"/>
        <v>#DIV/0!</v>
      </c>
      <c r="AG180" t="e">
        <f t="shared" si="37"/>
        <v>#DIV/0!</v>
      </c>
      <c r="AH180" t="e">
        <f t="shared" si="44"/>
        <v>#DIV/0!</v>
      </c>
      <c r="AI180" t="e">
        <f t="shared" si="38"/>
        <v>#DIV/0!</v>
      </c>
      <c r="AJ180">
        <f t="shared" si="39"/>
        <v>0</v>
      </c>
      <c r="AK180" t="e">
        <f t="shared" si="40"/>
        <v>#N/A</v>
      </c>
      <c r="AL180">
        <f t="shared" si="41"/>
        <v>0</v>
      </c>
      <c r="AM180" t="e">
        <f t="shared" si="42"/>
        <v>#N/A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0">
        <f t="shared" si="43"/>
        <v>1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1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1" cm="1">
        <f t="array" ref="X181">ABS(INDEX($F$4:$T$263,ROW(A178),MATCH($W$2,$F$3:$T$3,0))-INDEX($F$4:$T$263,ROW(A177),MATCH($W$2,$F$3:$T$3,0)))</f>
        <v>0</v>
      </c>
      <c r="Y1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1" t="e">
        <f t="shared" si="30"/>
        <v>#DIV/0!</v>
      </c>
      <c r="AA181" t="e">
        <f t="shared" si="31"/>
        <v>#DIV/0!</v>
      </c>
      <c r="AB181" t="e">
        <f t="shared" si="32"/>
        <v>#DIV/0!</v>
      </c>
      <c r="AC181" t="e">
        <f t="shared" si="33"/>
        <v>#DIV/0!</v>
      </c>
      <c r="AD181" t="e">
        <f t="shared" si="34"/>
        <v>#DIV/0!</v>
      </c>
      <c r="AE181" t="e">
        <f t="shared" si="35"/>
        <v>#DIV/0!</v>
      </c>
      <c r="AF181" t="e">
        <f t="shared" si="36"/>
        <v>#DIV/0!</v>
      </c>
      <c r="AG181" t="e">
        <f t="shared" si="37"/>
        <v>#DIV/0!</v>
      </c>
      <c r="AH181" t="e">
        <f t="shared" si="44"/>
        <v>#DIV/0!</v>
      </c>
      <c r="AI181" t="e">
        <f t="shared" si="38"/>
        <v>#DIV/0!</v>
      </c>
      <c r="AJ181">
        <f t="shared" si="39"/>
        <v>0</v>
      </c>
      <c r="AK181" t="e">
        <f t="shared" si="40"/>
        <v>#N/A</v>
      </c>
      <c r="AL181">
        <f t="shared" si="41"/>
        <v>0</v>
      </c>
      <c r="AM181" t="e">
        <f t="shared" si="42"/>
        <v>#N/A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1">
        <f t="shared" si="43"/>
        <v>1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1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2" cm="1">
        <f t="array" ref="X182">ABS(INDEX($F$4:$T$263,ROW(A179),MATCH($W$2,$F$3:$T$3,0))-INDEX($F$4:$T$263,ROW(A178),MATCH($W$2,$F$3:$T$3,0)))</f>
        <v>0</v>
      </c>
      <c r="Y1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2" t="e">
        <f t="shared" si="30"/>
        <v>#DIV/0!</v>
      </c>
      <c r="AA182" t="e">
        <f t="shared" si="31"/>
        <v>#DIV/0!</v>
      </c>
      <c r="AB182" t="e">
        <f t="shared" si="32"/>
        <v>#DIV/0!</v>
      </c>
      <c r="AC182" t="e">
        <f t="shared" si="33"/>
        <v>#DIV/0!</v>
      </c>
      <c r="AD182" t="e">
        <f t="shared" si="34"/>
        <v>#DIV/0!</v>
      </c>
      <c r="AE182" t="e">
        <f t="shared" si="35"/>
        <v>#DIV/0!</v>
      </c>
      <c r="AF182" t="e">
        <f t="shared" si="36"/>
        <v>#DIV/0!</v>
      </c>
      <c r="AG182" t="e">
        <f t="shared" si="37"/>
        <v>#DIV/0!</v>
      </c>
      <c r="AH182" t="e">
        <f t="shared" si="44"/>
        <v>#DIV/0!</v>
      </c>
      <c r="AI182" t="e">
        <f t="shared" si="38"/>
        <v>#DIV/0!</v>
      </c>
      <c r="AJ182">
        <f t="shared" si="39"/>
        <v>0</v>
      </c>
      <c r="AK182" t="e">
        <f t="shared" si="40"/>
        <v>#N/A</v>
      </c>
      <c r="AL182">
        <f t="shared" si="41"/>
        <v>0</v>
      </c>
      <c r="AM182" t="e">
        <f t="shared" si="42"/>
        <v>#N/A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2">
        <f t="shared" si="43"/>
        <v>1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1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3" cm="1">
        <f t="array" ref="X183">ABS(INDEX($F$4:$T$263,ROW(A180),MATCH($W$2,$F$3:$T$3,0))-INDEX($F$4:$T$263,ROW(A179),MATCH($W$2,$F$3:$T$3,0)))</f>
        <v>0</v>
      </c>
      <c r="Y1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3" t="e">
        <f t="shared" si="30"/>
        <v>#DIV/0!</v>
      </c>
      <c r="AA183" t="e">
        <f t="shared" si="31"/>
        <v>#DIV/0!</v>
      </c>
      <c r="AB183" t="e">
        <f t="shared" si="32"/>
        <v>#DIV/0!</v>
      </c>
      <c r="AC183" t="e">
        <f t="shared" si="33"/>
        <v>#DIV/0!</v>
      </c>
      <c r="AD183" t="e">
        <f t="shared" si="34"/>
        <v>#DIV/0!</v>
      </c>
      <c r="AE183" t="e">
        <f t="shared" si="35"/>
        <v>#DIV/0!</v>
      </c>
      <c r="AF183" t="e">
        <f t="shared" si="36"/>
        <v>#DIV/0!</v>
      </c>
      <c r="AG183" t="e">
        <f t="shared" si="37"/>
        <v>#DIV/0!</v>
      </c>
      <c r="AH183" t="e">
        <f t="shared" si="44"/>
        <v>#DIV/0!</v>
      </c>
      <c r="AI183" t="e">
        <f t="shared" si="38"/>
        <v>#DIV/0!</v>
      </c>
      <c r="AJ183">
        <f t="shared" si="39"/>
        <v>0</v>
      </c>
      <c r="AK183" t="e">
        <f t="shared" si="40"/>
        <v>#N/A</v>
      </c>
      <c r="AL183">
        <f t="shared" si="41"/>
        <v>0</v>
      </c>
      <c r="AM183" t="e">
        <f t="shared" si="42"/>
        <v>#N/A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3">
        <f t="shared" si="43"/>
        <v>1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1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4" cm="1">
        <f t="array" ref="X184">ABS(INDEX($F$4:$T$263,ROW(A181),MATCH($W$2,$F$3:$T$3,0))-INDEX($F$4:$T$263,ROW(A180),MATCH($W$2,$F$3:$T$3,0)))</f>
        <v>0</v>
      </c>
      <c r="Y1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4" t="e">
        <f t="shared" si="30"/>
        <v>#DIV/0!</v>
      </c>
      <c r="AA184" t="e">
        <f t="shared" si="31"/>
        <v>#DIV/0!</v>
      </c>
      <c r="AB184" t="e">
        <f t="shared" si="32"/>
        <v>#DIV/0!</v>
      </c>
      <c r="AC184" t="e">
        <f t="shared" si="33"/>
        <v>#DIV/0!</v>
      </c>
      <c r="AD184" t="e">
        <f t="shared" si="34"/>
        <v>#DIV/0!</v>
      </c>
      <c r="AE184" t="e">
        <f t="shared" si="35"/>
        <v>#DIV/0!</v>
      </c>
      <c r="AF184" t="e">
        <f t="shared" si="36"/>
        <v>#DIV/0!</v>
      </c>
      <c r="AG184" t="e">
        <f t="shared" si="37"/>
        <v>#DIV/0!</v>
      </c>
      <c r="AH184" t="e">
        <f t="shared" si="44"/>
        <v>#DIV/0!</v>
      </c>
      <c r="AI184" t="e">
        <f t="shared" si="38"/>
        <v>#DIV/0!</v>
      </c>
      <c r="AJ184">
        <f t="shared" si="39"/>
        <v>0</v>
      </c>
      <c r="AK184" t="e">
        <f t="shared" si="40"/>
        <v>#N/A</v>
      </c>
      <c r="AL184">
        <f t="shared" si="41"/>
        <v>0</v>
      </c>
      <c r="AM184" t="e">
        <f t="shared" si="42"/>
        <v>#N/A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4">
        <f t="shared" si="43"/>
        <v>1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1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5" cm="1">
        <f t="array" ref="X185">ABS(INDEX($F$4:$T$263,ROW(A182),MATCH($W$2,$F$3:$T$3,0))-INDEX($F$4:$T$263,ROW(A181),MATCH($W$2,$F$3:$T$3,0)))</f>
        <v>0</v>
      </c>
      <c r="Y1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5" t="e">
        <f t="shared" si="30"/>
        <v>#DIV/0!</v>
      </c>
      <c r="AA185" t="e">
        <f t="shared" si="31"/>
        <v>#DIV/0!</v>
      </c>
      <c r="AB185" t="e">
        <f t="shared" si="32"/>
        <v>#DIV/0!</v>
      </c>
      <c r="AC185" t="e">
        <f t="shared" si="33"/>
        <v>#DIV/0!</v>
      </c>
      <c r="AD185" t="e">
        <f t="shared" si="34"/>
        <v>#DIV/0!</v>
      </c>
      <c r="AE185" t="e">
        <f t="shared" si="35"/>
        <v>#DIV/0!</v>
      </c>
      <c r="AF185" t="e">
        <f t="shared" si="36"/>
        <v>#DIV/0!</v>
      </c>
      <c r="AG185" t="e">
        <f t="shared" si="37"/>
        <v>#DIV/0!</v>
      </c>
      <c r="AH185" t="e">
        <f t="shared" si="44"/>
        <v>#DIV/0!</v>
      </c>
      <c r="AI185" t="e">
        <f t="shared" si="38"/>
        <v>#DIV/0!</v>
      </c>
      <c r="AJ185">
        <f t="shared" si="39"/>
        <v>0</v>
      </c>
      <c r="AK185" t="e">
        <f t="shared" si="40"/>
        <v>#N/A</v>
      </c>
      <c r="AL185">
        <f t="shared" si="41"/>
        <v>0</v>
      </c>
      <c r="AM185" t="e">
        <f t="shared" si="42"/>
        <v>#N/A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5">
        <f t="shared" si="43"/>
        <v>1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1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6" cm="1">
        <f t="array" ref="X186">ABS(INDEX($F$4:$T$263,ROW(A183),MATCH($W$2,$F$3:$T$3,0))-INDEX($F$4:$T$263,ROW(A182),MATCH($W$2,$F$3:$T$3,0)))</f>
        <v>0</v>
      </c>
      <c r="Y1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6" t="e">
        <f t="shared" si="30"/>
        <v>#DIV/0!</v>
      </c>
      <c r="AA186" t="e">
        <f t="shared" si="31"/>
        <v>#DIV/0!</v>
      </c>
      <c r="AB186" t="e">
        <f t="shared" si="32"/>
        <v>#DIV/0!</v>
      </c>
      <c r="AC186" t="e">
        <f t="shared" si="33"/>
        <v>#DIV/0!</v>
      </c>
      <c r="AD186" t="e">
        <f t="shared" si="34"/>
        <v>#DIV/0!</v>
      </c>
      <c r="AE186" t="e">
        <f t="shared" si="35"/>
        <v>#DIV/0!</v>
      </c>
      <c r="AF186" t="e">
        <f t="shared" si="36"/>
        <v>#DIV/0!</v>
      </c>
      <c r="AG186" t="e">
        <f t="shared" si="37"/>
        <v>#DIV/0!</v>
      </c>
      <c r="AH186" t="e">
        <f t="shared" si="44"/>
        <v>#DIV/0!</v>
      </c>
      <c r="AI186" t="e">
        <f t="shared" si="38"/>
        <v>#DIV/0!</v>
      </c>
      <c r="AJ186">
        <f t="shared" si="39"/>
        <v>0</v>
      </c>
      <c r="AK186" t="e">
        <f t="shared" si="40"/>
        <v>#N/A</v>
      </c>
      <c r="AL186">
        <f t="shared" si="41"/>
        <v>0</v>
      </c>
      <c r="AM186" t="e">
        <f t="shared" si="42"/>
        <v>#N/A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6">
        <f t="shared" si="43"/>
        <v>1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1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7" cm="1">
        <f t="array" ref="X187">ABS(INDEX($F$4:$T$263,ROW(A184),MATCH($W$2,$F$3:$T$3,0))-INDEX($F$4:$T$263,ROW(A183),MATCH($W$2,$F$3:$T$3,0)))</f>
        <v>0</v>
      </c>
      <c r="Y1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7" t="e">
        <f t="shared" si="30"/>
        <v>#DIV/0!</v>
      </c>
      <c r="AA187" t="e">
        <f t="shared" si="31"/>
        <v>#DIV/0!</v>
      </c>
      <c r="AB187" t="e">
        <f t="shared" si="32"/>
        <v>#DIV/0!</v>
      </c>
      <c r="AC187" t="e">
        <f t="shared" si="33"/>
        <v>#DIV/0!</v>
      </c>
      <c r="AD187" t="e">
        <f t="shared" si="34"/>
        <v>#DIV/0!</v>
      </c>
      <c r="AE187" t="e">
        <f t="shared" si="35"/>
        <v>#DIV/0!</v>
      </c>
      <c r="AF187" t="e">
        <f t="shared" si="36"/>
        <v>#DIV/0!</v>
      </c>
      <c r="AG187" t="e">
        <f t="shared" si="37"/>
        <v>#DIV/0!</v>
      </c>
      <c r="AH187" t="e">
        <f t="shared" si="44"/>
        <v>#DIV/0!</v>
      </c>
      <c r="AI187" t="e">
        <f t="shared" si="38"/>
        <v>#DIV/0!</v>
      </c>
      <c r="AJ187">
        <f t="shared" si="39"/>
        <v>0</v>
      </c>
      <c r="AK187" t="e">
        <f t="shared" si="40"/>
        <v>#N/A</v>
      </c>
      <c r="AL187">
        <f t="shared" si="41"/>
        <v>0</v>
      </c>
      <c r="AM187" t="e">
        <f t="shared" si="42"/>
        <v>#N/A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7">
        <f t="shared" si="43"/>
        <v>1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1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8" cm="1">
        <f t="array" ref="X188">ABS(INDEX($F$4:$T$263,ROW(A185),MATCH($W$2,$F$3:$T$3,0))-INDEX($F$4:$T$263,ROW(A184),MATCH($W$2,$F$3:$T$3,0)))</f>
        <v>0</v>
      </c>
      <c r="Y1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8" t="e">
        <f t="shared" si="30"/>
        <v>#DIV/0!</v>
      </c>
      <c r="AA188" t="e">
        <f t="shared" si="31"/>
        <v>#DIV/0!</v>
      </c>
      <c r="AB188" t="e">
        <f t="shared" si="32"/>
        <v>#DIV/0!</v>
      </c>
      <c r="AC188" t="e">
        <f t="shared" si="33"/>
        <v>#DIV/0!</v>
      </c>
      <c r="AD188" t="e">
        <f t="shared" si="34"/>
        <v>#DIV/0!</v>
      </c>
      <c r="AE188" t="e">
        <f t="shared" si="35"/>
        <v>#DIV/0!</v>
      </c>
      <c r="AF188" t="e">
        <f t="shared" si="36"/>
        <v>#DIV/0!</v>
      </c>
      <c r="AG188" t="e">
        <f t="shared" si="37"/>
        <v>#DIV/0!</v>
      </c>
      <c r="AH188" t="e">
        <f t="shared" si="44"/>
        <v>#DIV/0!</v>
      </c>
      <c r="AI188" t="e">
        <f t="shared" si="38"/>
        <v>#DIV/0!</v>
      </c>
      <c r="AJ188">
        <f t="shared" si="39"/>
        <v>0</v>
      </c>
      <c r="AK188" t="e">
        <f t="shared" si="40"/>
        <v>#N/A</v>
      </c>
      <c r="AL188">
        <f t="shared" si="41"/>
        <v>0</v>
      </c>
      <c r="AM188" t="e">
        <f t="shared" si="42"/>
        <v>#N/A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8">
        <f t="shared" si="43"/>
        <v>1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1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9" cm="1">
        <f t="array" ref="X189">ABS(INDEX($F$4:$T$263,ROW(A186),MATCH($W$2,$F$3:$T$3,0))-INDEX($F$4:$T$263,ROW(A185),MATCH($W$2,$F$3:$T$3,0)))</f>
        <v>0</v>
      </c>
      <c r="Y1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9" t="e">
        <f t="shared" si="30"/>
        <v>#DIV/0!</v>
      </c>
      <c r="AA189" t="e">
        <f t="shared" si="31"/>
        <v>#DIV/0!</v>
      </c>
      <c r="AB189" t="e">
        <f t="shared" si="32"/>
        <v>#DIV/0!</v>
      </c>
      <c r="AC189" t="e">
        <f t="shared" si="33"/>
        <v>#DIV/0!</v>
      </c>
      <c r="AD189" t="e">
        <f t="shared" si="34"/>
        <v>#DIV/0!</v>
      </c>
      <c r="AE189" t="e">
        <f t="shared" si="35"/>
        <v>#DIV/0!</v>
      </c>
      <c r="AF189" t="e">
        <f t="shared" si="36"/>
        <v>#DIV/0!</v>
      </c>
      <c r="AG189" t="e">
        <f t="shared" si="37"/>
        <v>#DIV/0!</v>
      </c>
      <c r="AH189" t="e">
        <f t="shared" si="44"/>
        <v>#DIV/0!</v>
      </c>
      <c r="AI189" t="e">
        <f t="shared" si="38"/>
        <v>#DIV/0!</v>
      </c>
      <c r="AJ189">
        <f t="shared" si="39"/>
        <v>0</v>
      </c>
      <c r="AK189" t="e">
        <f t="shared" si="40"/>
        <v>#N/A</v>
      </c>
      <c r="AL189">
        <f t="shared" si="41"/>
        <v>0</v>
      </c>
      <c r="AM189" t="e">
        <f t="shared" si="42"/>
        <v>#N/A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9">
        <f t="shared" si="43"/>
        <v>1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1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0" cm="1">
        <f t="array" ref="X190">ABS(INDEX($F$4:$T$263,ROW(A187),MATCH($W$2,$F$3:$T$3,0))-INDEX($F$4:$T$263,ROW(A186),MATCH($W$2,$F$3:$T$3,0)))</f>
        <v>0</v>
      </c>
      <c r="Y1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0" t="e">
        <f t="shared" si="30"/>
        <v>#DIV/0!</v>
      </c>
      <c r="AA190" t="e">
        <f t="shared" si="31"/>
        <v>#DIV/0!</v>
      </c>
      <c r="AB190" t="e">
        <f t="shared" si="32"/>
        <v>#DIV/0!</v>
      </c>
      <c r="AC190" t="e">
        <f t="shared" si="33"/>
        <v>#DIV/0!</v>
      </c>
      <c r="AD190" t="e">
        <f t="shared" si="34"/>
        <v>#DIV/0!</v>
      </c>
      <c r="AE190" t="e">
        <f t="shared" si="35"/>
        <v>#DIV/0!</v>
      </c>
      <c r="AF190" t="e">
        <f t="shared" si="36"/>
        <v>#DIV/0!</v>
      </c>
      <c r="AG190" t="e">
        <f t="shared" si="37"/>
        <v>#DIV/0!</v>
      </c>
      <c r="AH190" t="e">
        <f t="shared" si="44"/>
        <v>#DIV/0!</v>
      </c>
      <c r="AI190" t="e">
        <f t="shared" si="38"/>
        <v>#DIV/0!</v>
      </c>
      <c r="AJ190">
        <f t="shared" si="39"/>
        <v>0</v>
      </c>
      <c r="AK190" t="e">
        <f t="shared" si="40"/>
        <v>#N/A</v>
      </c>
      <c r="AL190">
        <f t="shared" si="41"/>
        <v>0</v>
      </c>
      <c r="AM190" t="e">
        <f t="shared" si="42"/>
        <v>#N/A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0">
        <f t="shared" si="43"/>
        <v>1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1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1" cm="1">
        <f t="array" ref="X191">ABS(INDEX($F$4:$T$263,ROW(A188),MATCH($W$2,$F$3:$T$3,0))-INDEX($F$4:$T$263,ROW(A187),MATCH($W$2,$F$3:$T$3,0)))</f>
        <v>0</v>
      </c>
      <c r="Y1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1" t="e">
        <f t="shared" si="30"/>
        <v>#DIV/0!</v>
      </c>
      <c r="AA191" t="e">
        <f t="shared" si="31"/>
        <v>#DIV/0!</v>
      </c>
      <c r="AB191" t="e">
        <f t="shared" si="32"/>
        <v>#DIV/0!</v>
      </c>
      <c r="AC191" t="e">
        <f t="shared" si="33"/>
        <v>#DIV/0!</v>
      </c>
      <c r="AD191" t="e">
        <f t="shared" si="34"/>
        <v>#DIV/0!</v>
      </c>
      <c r="AE191" t="e">
        <f t="shared" si="35"/>
        <v>#DIV/0!</v>
      </c>
      <c r="AF191" t="e">
        <f t="shared" si="36"/>
        <v>#DIV/0!</v>
      </c>
      <c r="AG191" t="e">
        <f t="shared" si="37"/>
        <v>#DIV/0!</v>
      </c>
      <c r="AH191" t="e">
        <f t="shared" si="44"/>
        <v>#DIV/0!</v>
      </c>
      <c r="AI191" t="e">
        <f t="shared" si="38"/>
        <v>#DIV/0!</v>
      </c>
      <c r="AJ191">
        <f t="shared" si="39"/>
        <v>0</v>
      </c>
      <c r="AK191" t="e">
        <f t="shared" si="40"/>
        <v>#N/A</v>
      </c>
      <c r="AL191">
        <f t="shared" si="41"/>
        <v>0</v>
      </c>
      <c r="AM191" t="e">
        <f t="shared" si="42"/>
        <v>#N/A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1">
        <f t="shared" si="43"/>
        <v>1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1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2" cm="1">
        <f t="array" ref="X192">ABS(INDEX($F$4:$T$263,ROW(A189),MATCH($W$2,$F$3:$T$3,0))-INDEX($F$4:$T$263,ROW(A188),MATCH($W$2,$F$3:$T$3,0)))</f>
        <v>0</v>
      </c>
      <c r="Y1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2" t="e">
        <f t="shared" si="30"/>
        <v>#DIV/0!</v>
      </c>
      <c r="AA192" t="e">
        <f t="shared" si="31"/>
        <v>#DIV/0!</v>
      </c>
      <c r="AB192" t="e">
        <f t="shared" si="32"/>
        <v>#DIV/0!</v>
      </c>
      <c r="AC192" t="e">
        <f t="shared" si="33"/>
        <v>#DIV/0!</v>
      </c>
      <c r="AD192" t="e">
        <f t="shared" si="34"/>
        <v>#DIV/0!</v>
      </c>
      <c r="AE192" t="e">
        <f t="shared" si="35"/>
        <v>#DIV/0!</v>
      </c>
      <c r="AF192" t="e">
        <f t="shared" si="36"/>
        <v>#DIV/0!</v>
      </c>
      <c r="AG192" t="e">
        <f t="shared" si="37"/>
        <v>#DIV/0!</v>
      </c>
      <c r="AH192" t="e">
        <f t="shared" si="44"/>
        <v>#DIV/0!</v>
      </c>
      <c r="AI192" t="e">
        <f t="shared" si="38"/>
        <v>#DIV/0!</v>
      </c>
      <c r="AJ192">
        <f t="shared" si="39"/>
        <v>0</v>
      </c>
      <c r="AK192" t="e">
        <f t="shared" si="40"/>
        <v>#N/A</v>
      </c>
      <c r="AL192">
        <f t="shared" si="41"/>
        <v>0</v>
      </c>
      <c r="AM192" t="e">
        <f t="shared" si="42"/>
        <v>#N/A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2">
        <f t="shared" si="43"/>
        <v>1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1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3" cm="1">
        <f t="array" ref="X193">ABS(INDEX($F$4:$T$263,ROW(A190),MATCH($W$2,$F$3:$T$3,0))-INDEX($F$4:$T$263,ROW(A189),MATCH($W$2,$F$3:$T$3,0)))</f>
        <v>0</v>
      </c>
      <c r="Y1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3" t="e">
        <f t="shared" si="30"/>
        <v>#DIV/0!</v>
      </c>
      <c r="AA193" t="e">
        <f t="shared" si="31"/>
        <v>#DIV/0!</v>
      </c>
      <c r="AB193" t="e">
        <f t="shared" si="32"/>
        <v>#DIV/0!</v>
      </c>
      <c r="AC193" t="e">
        <f t="shared" si="33"/>
        <v>#DIV/0!</v>
      </c>
      <c r="AD193" t="e">
        <f t="shared" si="34"/>
        <v>#DIV/0!</v>
      </c>
      <c r="AE193" t="e">
        <f t="shared" si="35"/>
        <v>#DIV/0!</v>
      </c>
      <c r="AF193" t="e">
        <f t="shared" si="36"/>
        <v>#DIV/0!</v>
      </c>
      <c r="AG193" t="e">
        <f t="shared" si="37"/>
        <v>#DIV/0!</v>
      </c>
      <c r="AH193" t="e">
        <f t="shared" si="44"/>
        <v>#DIV/0!</v>
      </c>
      <c r="AI193" t="e">
        <f t="shared" si="38"/>
        <v>#DIV/0!</v>
      </c>
      <c r="AJ193">
        <f t="shared" si="39"/>
        <v>0</v>
      </c>
      <c r="AK193" t="e">
        <f t="shared" si="40"/>
        <v>#N/A</v>
      </c>
      <c r="AL193">
        <f t="shared" si="41"/>
        <v>0</v>
      </c>
      <c r="AM193" t="e">
        <f t="shared" si="42"/>
        <v>#N/A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3">
        <f t="shared" si="43"/>
        <v>1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1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4" cm="1">
        <f t="array" ref="X194">ABS(INDEX($F$4:$T$263,ROW(A191),MATCH($W$2,$F$3:$T$3,0))-INDEX($F$4:$T$263,ROW(A190),MATCH($W$2,$F$3:$T$3,0)))</f>
        <v>0</v>
      </c>
      <c r="Y1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4" t="e">
        <f t="shared" si="30"/>
        <v>#DIV/0!</v>
      </c>
      <c r="AA194" t="e">
        <f t="shared" si="31"/>
        <v>#DIV/0!</v>
      </c>
      <c r="AB194" t="e">
        <f t="shared" si="32"/>
        <v>#DIV/0!</v>
      </c>
      <c r="AC194" t="e">
        <f t="shared" si="33"/>
        <v>#DIV/0!</v>
      </c>
      <c r="AD194" t="e">
        <f t="shared" si="34"/>
        <v>#DIV/0!</v>
      </c>
      <c r="AE194" t="e">
        <f t="shared" si="35"/>
        <v>#DIV/0!</v>
      </c>
      <c r="AF194" t="e">
        <f t="shared" si="36"/>
        <v>#DIV/0!</v>
      </c>
      <c r="AG194" t="e">
        <f t="shared" si="37"/>
        <v>#DIV/0!</v>
      </c>
      <c r="AH194" t="e">
        <f t="shared" si="44"/>
        <v>#DIV/0!</v>
      </c>
      <c r="AI194" t="e">
        <f t="shared" si="38"/>
        <v>#DIV/0!</v>
      </c>
      <c r="AJ194">
        <f t="shared" si="39"/>
        <v>0</v>
      </c>
      <c r="AK194" t="e">
        <f t="shared" si="40"/>
        <v>#N/A</v>
      </c>
      <c r="AL194">
        <f t="shared" si="41"/>
        <v>0</v>
      </c>
      <c r="AM194" t="e">
        <f t="shared" si="42"/>
        <v>#N/A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4">
        <f t="shared" si="43"/>
        <v>1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1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5" cm="1">
        <f t="array" ref="X195">ABS(INDEX($F$4:$T$263,ROW(A192),MATCH($W$2,$F$3:$T$3,0))-INDEX($F$4:$T$263,ROW(A191),MATCH($W$2,$F$3:$T$3,0)))</f>
        <v>0</v>
      </c>
      <c r="Y1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5" t="e">
        <f t="shared" si="30"/>
        <v>#DIV/0!</v>
      </c>
      <c r="AA195" t="e">
        <f t="shared" si="31"/>
        <v>#DIV/0!</v>
      </c>
      <c r="AB195" t="e">
        <f t="shared" si="32"/>
        <v>#DIV/0!</v>
      </c>
      <c r="AC195" t="e">
        <f t="shared" si="33"/>
        <v>#DIV/0!</v>
      </c>
      <c r="AD195" t="e">
        <f t="shared" si="34"/>
        <v>#DIV/0!</v>
      </c>
      <c r="AE195" t="e">
        <f t="shared" si="35"/>
        <v>#DIV/0!</v>
      </c>
      <c r="AF195" t="e">
        <f t="shared" si="36"/>
        <v>#DIV/0!</v>
      </c>
      <c r="AG195" t="e">
        <f t="shared" si="37"/>
        <v>#DIV/0!</v>
      </c>
      <c r="AH195" t="e">
        <f t="shared" si="44"/>
        <v>#DIV/0!</v>
      </c>
      <c r="AI195" t="e">
        <f t="shared" si="38"/>
        <v>#DIV/0!</v>
      </c>
      <c r="AJ195">
        <f t="shared" si="39"/>
        <v>0</v>
      </c>
      <c r="AK195" t="e">
        <f t="shared" si="40"/>
        <v>#N/A</v>
      </c>
      <c r="AL195">
        <f t="shared" si="41"/>
        <v>0</v>
      </c>
      <c r="AM195" t="e">
        <f t="shared" si="42"/>
        <v>#N/A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5">
        <f t="shared" si="43"/>
        <v>1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1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6" cm="1">
        <f t="array" ref="X196">ABS(INDEX($F$4:$T$263,ROW(A193),MATCH($W$2,$F$3:$T$3,0))-INDEX($F$4:$T$263,ROW(A192),MATCH($W$2,$F$3:$T$3,0)))</f>
        <v>0</v>
      </c>
      <c r="Y1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6" t="e">
        <f t="shared" si="30"/>
        <v>#DIV/0!</v>
      </c>
      <c r="AA196" t="e">
        <f t="shared" si="31"/>
        <v>#DIV/0!</v>
      </c>
      <c r="AB196" t="e">
        <f t="shared" si="32"/>
        <v>#DIV/0!</v>
      </c>
      <c r="AC196" t="e">
        <f t="shared" si="33"/>
        <v>#DIV/0!</v>
      </c>
      <c r="AD196" t="e">
        <f t="shared" si="34"/>
        <v>#DIV/0!</v>
      </c>
      <c r="AE196" t="e">
        <f t="shared" si="35"/>
        <v>#DIV/0!</v>
      </c>
      <c r="AF196" t="e">
        <f t="shared" si="36"/>
        <v>#DIV/0!</v>
      </c>
      <c r="AG196" t="e">
        <f t="shared" si="37"/>
        <v>#DIV/0!</v>
      </c>
      <c r="AH196" t="e">
        <f t="shared" si="44"/>
        <v>#DIV/0!</v>
      </c>
      <c r="AI196" t="e">
        <f t="shared" si="38"/>
        <v>#DIV/0!</v>
      </c>
      <c r="AJ196">
        <f t="shared" si="39"/>
        <v>0</v>
      </c>
      <c r="AK196" t="e">
        <f t="shared" si="40"/>
        <v>#N/A</v>
      </c>
      <c r="AL196">
        <f t="shared" si="41"/>
        <v>0</v>
      </c>
      <c r="AM196" t="e">
        <f t="shared" si="42"/>
        <v>#N/A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6">
        <f t="shared" si="43"/>
        <v>1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1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7" cm="1">
        <f t="array" ref="X197">ABS(INDEX($F$4:$T$263,ROW(A194),MATCH($W$2,$F$3:$T$3,0))-INDEX($F$4:$T$263,ROW(A193),MATCH($W$2,$F$3:$T$3,0)))</f>
        <v>0</v>
      </c>
      <c r="Y1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7" t="e">
        <f t="shared" ref="Z197:Z260" si="45">Y197/1.128</f>
        <v>#DIV/0!</v>
      </c>
      <c r="AA197" t="e">
        <f t="shared" ref="AA197:AA260" si="46">MAX(0,W197-(3*Z197))</f>
        <v>#DIV/0!</v>
      </c>
      <c r="AB197" t="e">
        <f t="shared" ref="AB197:AB260" si="47">MAX(0,W197-(2*Z197))</f>
        <v>#DIV/0!</v>
      </c>
      <c r="AC197" t="e">
        <f t="shared" ref="AC197:AC260" si="48">MAX(0,W197-Z197)</f>
        <v>#DIV/0!</v>
      </c>
      <c r="AD197" t="e">
        <f t="shared" ref="AD197:AD260" si="49">W197+Z197</f>
        <v>#DIV/0!</v>
      </c>
      <c r="AE197" t="e">
        <f t="shared" ref="AE197:AE260" si="50">W197+(2*Z197)</f>
        <v>#DIV/0!</v>
      </c>
      <c r="AF197" t="e">
        <f t="shared" ref="AF197:AF260" si="51">W197+(3*Z197)</f>
        <v>#DIV/0!</v>
      </c>
      <c r="AG197" t="e">
        <f t="shared" ref="AG197:AG260" si="52">IF(OR(V197&gt;AF197,V197&lt;AA197),V197,NA())</f>
        <v>#DIV/0!</v>
      </c>
      <c r="AH197" t="e">
        <f t="shared" si="44"/>
        <v>#DIV/0!</v>
      </c>
      <c r="AI197" t="e">
        <f t="shared" ref="AI197:AI260" si="53">IF(ABS(SUM(AH197:AH199))&gt;=5,V197,NA())</f>
        <v>#DIV/0!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0</v>
      </c>
      <c r="AM197" t="e">
        <f t="shared" ref="AM197:AM260" si="57">IF(ABS(SUM(AL197:AL205))=9,V197,NA())</f>
        <v>#N/A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7">
        <f t="shared" ref="AP197:AP260" si="58">AO197-AN197</f>
        <v>1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1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8" cm="1">
        <f t="array" ref="X198">ABS(INDEX($F$4:$T$263,ROW(A195),MATCH($W$2,$F$3:$T$3,0))-INDEX($F$4:$T$263,ROW(A194),MATCH($W$2,$F$3:$T$3,0)))</f>
        <v>0</v>
      </c>
      <c r="Y1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8" t="e">
        <f t="shared" si="45"/>
        <v>#DIV/0!</v>
      </c>
      <c r="AA198" t="e">
        <f t="shared" si="46"/>
        <v>#DIV/0!</v>
      </c>
      <c r="AB198" t="e">
        <f t="shared" si="47"/>
        <v>#DIV/0!</v>
      </c>
      <c r="AC198" t="e">
        <f t="shared" si="48"/>
        <v>#DIV/0!</v>
      </c>
      <c r="AD198" t="e">
        <f t="shared" si="49"/>
        <v>#DIV/0!</v>
      </c>
      <c r="AE198" t="e">
        <f t="shared" si="50"/>
        <v>#DIV/0!</v>
      </c>
      <c r="AF198" t="e">
        <f t="shared" si="51"/>
        <v>#DIV/0!</v>
      </c>
      <c r="AG198" t="e">
        <f t="shared" si="52"/>
        <v>#DIV/0!</v>
      </c>
      <c r="AH198" t="e">
        <f t="shared" ref="AH198:AH261" si="59">IF(V198&gt;AE198,2,IF(V198&lt;AB198,-2,IF(V198&gt;W198,1,IF(V198&lt;W198,-1,0))))</f>
        <v>#DIV/0!</v>
      </c>
      <c r="AI198" t="e">
        <f t="shared" si="53"/>
        <v>#DIV/0!</v>
      </c>
      <c r="AJ198">
        <f t="shared" si="54"/>
        <v>0</v>
      </c>
      <c r="AK198" t="e">
        <f t="shared" si="55"/>
        <v>#N/A</v>
      </c>
      <c r="AL198">
        <f t="shared" si="56"/>
        <v>0</v>
      </c>
      <c r="AM198" t="e">
        <f t="shared" si="57"/>
        <v>#N/A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8">
        <f t="shared" si="58"/>
        <v>1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1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9" cm="1">
        <f t="array" ref="X199">ABS(INDEX($F$4:$T$263,ROW(A196),MATCH($W$2,$F$3:$T$3,0))-INDEX($F$4:$T$263,ROW(A195),MATCH($W$2,$F$3:$T$3,0)))</f>
        <v>0</v>
      </c>
      <c r="Y1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9" t="e">
        <f t="shared" si="45"/>
        <v>#DIV/0!</v>
      </c>
      <c r="AA199" t="e">
        <f t="shared" si="46"/>
        <v>#DIV/0!</v>
      </c>
      <c r="AB199" t="e">
        <f t="shared" si="47"/>
        <v>#DIV/0!</v>
      </c>
      <c r="AC199" t="e">
        <f t="shared" si="48"/>
        <v>#DIV/0!</v>
      </c>
      <c r="AD199" t="e">
        <f t="shared" si="49"/>
        <v>#DIV/0!</v>
      </c>
      <c r="AE199" t="e">
        <f t="shared" si="50"/>
        <v>#DIV/0!</v>
      </c>
      <c r="AF199" t="e">
        <f t="shared" si="51"/>
        <v>#DIV/0!</v>
      </c>
      <c r="AG199" t="e">
        <f t="shared" si="52"/>
        <v>#DIV/0!</v>
      </c>
      <c r="AH199" t="e">
        <f t="shared" si="59"/>
        <v>#DIV/0!</v>
      </c>
      <c r="AI199" t="e">
        <f t="shared" si="53"/>
        <v>#DIV/0!</v>
      </c>
      <c r="AJ199">
        <f t="shared" si="54"/>
        <v>0</v>
      </c>
      <c r="AK199" t="e">
        <f t="shared" si="55"/>
        <v>#N/A</v>
      </c>
      <c r="AL199">
        <f t="shared" si="56"/>
        <v>0</v>
      </c>
      <c r="AM199" t="e">
        <f t="shared" si="57"/>
        <v>#N/A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9">
        <f t="shared" si="58"/>
        <v>1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1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0" cm="1">
        <f t="array" ref="X200">ABS(INDEX($F$4:$T$263,ROW(A197),MATCH($W$2,$F$3:$T$3,0))-INDEX($F$4:$T$263,ROW(A196),MATCH($W$2,$F$3:$T$3,0)))</f>
        <v>0</v>
      </c>
      <c r="Y2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0" t="e">
        <f t="shared" si="45"/>
        <v>#DIV/0!</v>
      </c>
      <c r="AA200" t="e">
        <f t="shared" si="46"/>
        <v>#DIV/0!</v>
      </c>
      <c r="AB200" t="e">
        <f t="shared" si="47"/>
        <v>#DIV/0!</v>
      </c>
      <c r="AC200" t="e">
        <f t="shared" si="48"/>
        <v>#DIV/0!</v>
      </c>
      <c r="AD200" t="e">
        <f t="shared" si="49"/>
        <v>#DIV/0!</v>
      </c>
      <c r="AE200" t="e">
        <f t="shared" si="50"/>
        <v>#DIV/0!</v>
      </c>
      <c r="AF200" t="e">
        <f t="shared" si="51"/>
        <v>#DIV/0!</v>
      </c>
      <c r="AG200" t="e">
        <f t="shared" si="52"/>
        <v>#DIV/0!</v>
      </c>
      <c r="AH200" t="e">
        <f t="shared" si="59"/>
        <v>#DIV/0!</v>
      </c>
      <c r="AI200" t="e">
        <f t="shared" si="53"/>
        <v>#DIV/0!</v>
      </c>
      <c r="AJ200">
        <f t="shared" si="54"/>
        <v>0</v>
      </c>
      <c r="AK200" t="e">
        <f t="shared" si="55"/>
        <v>#N/A</v>
      </c>
      <c r="AL200">
        <f t="shared" si="56"/>
        <v>0</v>
      </c>
      <c r="AM200" t="e">
        <f t="shared" si="57"/>
        <v>#N/A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0">
        <f t="shared" si="58"/>
        <v>1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1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1" cm="1">
        <f t="array" ref="X201">ABS(INDEX($F$4:$T$263,ROW(A198),MATCH($W$2,$F$3:$T$3,0))-INDEX($F$4:$T$263,ROW(A197),MATCH($W$2,$F$3:$T$3,0)))</f>
        <v>0</v>
      </c>
      <c r="Y2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1" t="e">
        <f t="shared" si="45"/>
        <v>#DIV/0!</v>
      </c>
      <c r="AA201" t="e">
        <f t="shared" si="46"/>
        <v>#DIV/0!</v>
      </c>
      <c r="AB201" t="e">
        <f t="shared" si="47"/>
        <v>#DIV/0!</v>
      </c>
      <c r="AC201" t="e">
        <f t="shared" si="48"/>
        <v>#DIV/0!</v>
      </c>
      <c r="AD201" t="e">
        <f t="shared" si="49"/>
        <v>#DIV/0!</v>
      </c>
      <c r="AE201" t="e">
        <f t="shared" si="50"/>
        <v>#DIV/0!</v>
      </c>
      <c r="AF201" t="e">
        <f t="shared" si="51"/>
        <v>#DIV/0!</v>
      </c>
      <c r="AG201" t="e">
        <f t="shared" si="52"/>
        <v>#DIV/0!</v>
      </c>
      <c r="AH201" t="e">
        <f t="shared" si="59"/>
        <v>#DIV/0!</v>
      </c>
      <c r="AI201" t="e">
        <f t="shared" si="53"/>
        <v>#DIV/0!</v>
      </c>
      <c r="AJ201">
        <f t="shared" si="54"/>
        <v>0</v>
      </c>
      <c r="AK201" t="e">
        <f t="shared" si="55"/>
        <v>#N/A</v>
      </c>
      <c r="AL201">
        <f t="shared" si="56"/>
        <v>0</v>
      </c>
      <c r="AM201" t="e">
        <f t="shared" si="57"/>
        <v>#N/A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1">
        <f t="shared" si="58"/>
        <v>1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1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2" cm="1">
        <f t="array" ref="X202">ABS(INDEX($F$4:$T$263,ROW(A199),MATCH($W$2,$F$3:$T$3,0))-INDEX($F$4:$T$263,ROW(A198),MATCH($W$2,$F$3:$T$3,0)))</f>
        <v>0</v>
      </c>
      <c r="Y2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2" t="e">
        <f t="shared" si="45"/>
        <v>#DIV/0!</v>
      </c>
      <c r="AA202" t="e">
        <f t="shared" si="46"/>
        <v>#DIV/0!</v>
      </c>
      <c r="AB202" t="e">
        <f t="shared" si="47"/>
        <v>#DIV/0!</v>
      </c>
      <c r="AC202" t="e">
        <f t="shared" si="48"/>
        <v>#DIV/0!</v>
      </c>
      <c r="AD202" t="e">
        <f t="shared" si="49"/>
        <v>#DIV/0!</v>
      </c>
      <c r="AE202" t="e">
        <f t="shared" si="50"/>
        <v>#DIV/0!</v>
      </c>
      <c r="AF202" t="e">
        <f t="shared" si="51"/>
        <v>#DIV/0!</v>
      </c>
      <c r="AG202" t="e">
        <f t="shared" si="52"/>
        <v>#DIV/0!</v>
      </c>
      <c r="AH202" t="e">
        <f t="shared" si="59"/>
        <v>#DIV/0!</v>
      </c>
      <c r="AI202" t="e">
        <f t="shared" si="53"/>
        <v>#DIV/0!</v>
      </c>
      <c r="AJ202">
        <f t="shared" si="54"/>
        <v>0</v>
      </c>
      <c r="AK202" t="e">
        <f t="shared" si="55"/>
        <v>#N/A</v>
      </c>
      <c r="AL202">
        <f t="shared" si="56"/>
        <v>0</v>
      </c>
      <c r="AM202" t="e">
        <f t="shared" si="57"/>
        <v>#N/A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2">
        <f t="shared" si="58"/>
        <v>1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1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3" cm="1">
        <f t="array" ref="X203">ABS(INDEX($F$4:$T$263,ROW(A200),MATCH($W$2,$F$3:$T$3,0))-INDEX($F$4:$T$263,ROW(A199),MATCH($W$2,$F$3:$T$3,0)))</f>
        <v>0</v>
      </c>
      <c r="Y2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3" t="e">
        <f t="shared" si="45"/>
        <v>#DIV/0!</v>
      </c>
      <c r="AA203" t="e">
        <f t="shared" si="46"/>
        <v>#DIV/0!</v>
      </c>
      <c r="AB203" t="e">
        <f t="shared" si="47"/>
        <v>#DIV/0!</v>
      </c>
      <c r="AC203" t="e">
        <f t="shared" si="48"/>
        <v>#DIV/0!</v>
      </c>
      <c r="AD203" t="e">
        <f t="shared" si="49"/>
        <v>#DIV/0!</v>
      </c>
      <c r="AE203" t="e">
        <f t="shared" si="50"/>
        <v>#DIV/0!</v>
      </c>
      <c r="AF203" t="e">
        <f t="shared" si="51"/>
        <v>#DIV/0!</v>
      </c>
      <c r="AG203" t="e">
        <f t="shared" si="52"/>
        <v>#DIV/0!</v>
      </c>
      <c r="AH203" t="e">
        <f t="shared" si="59"/>
        <v>#DIV/0!</v>
      </c>
      <c r="AI203" t="e">
        <f t="shared" si="53"/>
        <v>#DIV/0!</v>
      </c>
      <c r="AJ203">
        <f t="shared" si="54"/>
        <v>0</v>
      </c>
      <c r="AK203" t="e">
        <f t="shared" si="55"/>
        <v>#N/A</v>
      </c>
      <c r="AL203">
        <f t="shared" si="56"/>
        <v>0</v>
      </c>
      <c r="AM203" t="e">
        <f t="shared" si="57"/>
        <v>#N/A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3">
        <f t="shared" si="58"/>
        <v>1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1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4" cm="1">
        <f t="array" ref="X204">ABS(INDEX($F$4:$T$263,ROW(A201),MATCH($W$2,$F$3:$T$3,0))-INDEX($F$4:$T$263,ROW(A200),MATCH($W$2,$F$3:$T$3,0)))</f>
        <v>0</v>
      </c>
      <c r="Y2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4" t="e">
        <f t="shared" si="45"/>
        <v>#DIV/0!</v>
      </c>
      <c r="AA204" t="e">
        <f t="shared" si="46"/>
        <v>#DIV/0!</v>
      </c>
      <c r="AB204" t="e">
        <f t="shared" si="47"/>
        <v>#DIV/0!</v>
      </c>
      <c r="AC204" t="e">
        <f t="shared" si="48"/>
        <v>#DIV/0!</v>
      </c>
      <c r="AD204" t="e">
        <f t="shared" si="49"/>
        <v>#DIV/0!</v>
      </c>
      <c r="AE204" t="e">
        <f t="shared" si="50"/>
        <v>#DIV/0!</v>
      </c>
      <c r="AF204" t="e">
        <f t="shared" si="51"/>
        <v>#DIV/0!</v>
      </c>
      <c r="AG204" t="e">
        <f t="shared" si="52"/>
        <v>#DIV/0!</v>
      </c>
      <c r="AH204" t="e">
        <f t="shared" si="59"/>
        <v>#DIV/0!</v>
      </c>
      <c r="AI204" t="e">
        <f t="shared" si="53"/>
        <v>#DIV/0!</v>
      </c>
      <c r="AJ204">
        <f t="shared" si="54"/>
        <v>0</v>
      </c>
      <c r="AK204" t="e">
        <f t="shared" si="55"/>
        <v>#N/A</v>
      </c>
      <c r="AL204">
        <f t="shared" si="56"/>
        <v>0</v>
      </c>
      <c r="AM204" t="e">
        <f t="shared" si="57"/>
        <v>#N/A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4">
        <f t="shared" si="58"/>
        <v>1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1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5" cm="1">
        <f t="array" ref="X205">ABS(INDEX($F$4:$T$263,ROW(A202),MATCH($W$2,$F$3:$T$3,0))-INDEX($F$4:$T$263,ROW(A201),MATCH($W$2,$F$3:$T$3,0)))</f>
        <v>0</v>
      </c>
      <c r="Y2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5" t="e">
        <f t="shared" si="45"/>
        <v>#DIV/0!</v>
      </c>
      <c r="AA205" t="e">
        <f t="shared" si="46"/>
        <v>#DIV/0!</v>
      </c>
      <c r="AB205" t="e">
        <f t="shared" si="47"/>
        <v>#DIV/0!</v>
      </c>
      <c r="AC205" t="e">
        <f t="shared" si="48"/>
        <v>#DIV/0!</v>
      </c>
      <c r="AD205" t="e">
        <f t="shared" si="49"/>
        <v>#DIV/0!</v>
      </c>
      <c r="AE205" t="e">
        <f t="shared" si="50"/>
        <v>#DIV/0!</v>
      </c>
      <c r="AF205" t="e">
        <f t="shared" si="51"/>
        <v>#DIV/0!</v>
      </c>
      <c r="AG205" t="e">
        <f t="shared" si="52"/>
        <v>#DIV/0!</v>
      </c>
      <c r="AH205" t="e">
        <f t="shared" si="59"/>
        <v>#DIV/0!</v>
      </c>
      <c r="AI205" t="e">
        <f t="shared" si="53"/>
        <v>#DIV/0!</v>
      </c>
      <c r="AJ205">
        <f t="shared" si="54"/>
        <v>0</v>
      </c>
      <c r="AK205" t="e">
        <f t="shared" si="55"/>
        <v>#N/A</v>
      </c>
      <c r="AL205">
        <f t="shared" si="56"/>
        <v>0</v>
      </c>
      <c r="AM205" t="e">
        <f t="shared" si="57"/>
        <v>#N/A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5">
        <f t="shared" si="58"/>
        <v>1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1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6" cm="1">
        <f t="array" ref="X206">ABS(INDEX($F$4:$T$263,ROW(A203),MATCH($W$2,$F$3:$T$3,0))-INDEX($F$4:$T$263,ROW(A202),MATCH($W$2,$F$3:$T$3,0)))</f>
        <v>0</v>
      </c>
      <c r="Y2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6" t="e">
        <f t="shared" si="45"/>
        <v>#DIV/0!</v>
      </c>
      <c r="AA206" t="e">
        <f t="shared" si="46"/>
        <v>#DIV/0!</v>
      </c>
      <c r="AB206" t="e">
        <f t="shared" si="47"/>
        <v>#DIV/0!</v>
      </c>
      <c r="AC206" t="e">
        <f t="shared" si="48"/>
        <v>#DIV/0!</v>
      </c>
      <c r="AD206" t="e">
        <f t="shared" si="49"/>
        <v>#DIV/0!</v>
      </c>
      <c r="AE206" t="e">
        <f t="shared" si="50"/>
        <v>#DIV/0!</v>
      </c>
      <c r="AF206" t="e">
        <f t="shared" si="51"/>
        <v>#DIV/0!</v>
      </c>
      <c r="AG206" t="e">
        <f t="shared" si="52"/>
        <v>#DIV/0!</v>
      </c>
      <c r="AH206" t="e">
        <f t="shared" si="59"/>
        <v>#DIV/0!</v>
      </c>
      <c r="AI206" t="e">
        <f t="shared" si="53"/>
        <v>#DIV/0!</v>
      </c>
      <c r="AJ206">
        <f t="shared" si="54"/>
        <v>0</v>
      </c>
      <c r="AK206" t="e">
        <f t="shared" si="55"/>
        <v>#N/A</v>
      </c>
      <c r="AL206">
        <f t="shared" si="56"/>
        <v>0</v>
      </c>
      <c r="AM206" t="e">
        <f t="shared" si="57"/>
        <v>#N/A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6">
        <f t="shared" si="58"/>
        <v>1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1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7" cm="1">
        <f t="array" ref="X207">ABS(INDEX($F$4:$T$263,ROW(A204),MATCH($W$2,$F$3:$T$3,0))-INDEX($F$4:$T$263,ROW(A203),MATCH($W$2,$F$3:$T$3,0)))</f>
        <v>0</v>
      </c>
      <c r="Y2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7" t="e">
        <f t="shared" si="45"/>
        <v>#DIV/0!</v>
      </c>
      <c r="AA207" t="e">
        <f t="shared" si="46"/>
        <v>#DIV/0!</v>
      </c>
      <c r="AB207" t="e">
        <f t="shared" si="47"/>
        <v>#DIV/0!</v>
      </c>
      <c r="AC207" t="e">
        <f t="shared" si="48"/>
        <v>#DIV/0!</v>
      </c>
      <c r="AD207" t="e">
        <f t="shared" si="49"/>
        <v>#DIV/0!</v>
      </c>
      <c r="AE207" t="e">
        <f t="shared" si="50"/>
        <v>#DIV/0!</v>
      </c>
      <c r="AF207" t="e">
        <f t="shared" si="51"/>
        <v>#DIV/0!</v>
      </c>
      <c r="AG207" t="e">
        <f t="shared" si="52"/>
        <v>#DIV/0!</v>
      </c>
      <c r="AH207" t="e">
        <f t="shared" si="59"/>
        <v>#DIV/0!</v>
      </c>
      <c r="AI207" t="e">
        <f t="shared" si="53"/>
        <v>#DIV/0!</v>
      </c>
      <c r="AJ207">
        <f t="shared" si="54"/>
        <v>0</v>
      </c>
      <c r="AK207" t="e">
        <f t="shared" si="55"/>
        <v>#N/A</v>
      </c>
      <c r="AL207">
        <f t="shared" si="56"/>
        <v>0</v>
      </c>
      <c r="AM207" t="e">
        <f t="shared" si="57"/>
        <v>#N/A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7">
        <f t="shared" si="58"/>
        <v>1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1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8" cm="1">
        <f t="array" ref="X208">ABS(INDEX($F$4:$T$263,ROW(A205),MATCH($W$2,$F$3:$T$3,0))-INDEX($F$4:$T$263,ROW(A204),MATCH($W$2,$F$3:$T$3,0)))</f>
        <v>0</v>
      </c>
      <c r="Y2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8" t="e">
        <f t="shared" si="45"/>
        <v>#DIV/0!</v>
      </c>
      <c r="AA208" t="e">
        <f t="shared" si="46"/>
        <v>#DIV/0!</v>
      </c>
      <c r="AB208" t="e">
        <f t="shared" si="47"/>
        <v>#DIV/0!</v>
      </c>
      <c r="AC208" t="e">
        <f t="shared" si="48"/>
        <v>#DIV/0!</v>
      </c>
      <c r="AD208" t="e">
        <f t="shared" si="49"/>
        <v>#DIV/0!</v>
      </c>
      <c r="AE208" t="e">
        <f t="shared" si="50"/>
        <v>#DIV/0!</v>
      </c>
      <c r="AF208" t="e">
        <f t="shared" si="51"/>
        <v>#DIV/0!</v>
      </c>
      <c r="AG208" t="e">
        <f t="shared" si="52"/>
        <v>#DIV/0!</v>
      </c>
      <c r="AH208" t="e">
        <f t="shared" si="59"/>
        <v>#DIV/0!</v>
      </c>
      <c r="AI208" t="e">
        <f t="shared" si="53"/>
        <v>#DIV/0!</v>
      </c>
      <c r="AJ208">
        <f t="shared" si="54"/>
        <v>0</v>
      </c>
      <c r="AK208" t="e">
        <f t="shared" si="55"/>
        <v>#N/A</v>
      </c>
      <c r="AL208">
        <f t="shared" si="56"/>
        <v>0</v>
      </c>
      <c r="AM208" t="e">
        <f t="shared" si="57"/>
        <v>#N/A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8">
        <f t="shared" si="58"/>
        <v>1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1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9" cm="1">
        <f t="array" ref="X209">ABS(INDEX($F$4:$T$263,ROW(A206),MATCH($W$2,$F$3:$T$3,0))-INDEX($F$4:$T$263,ROW(A205),MATCH($W$2,$F$3:$T$3,0)))</f>
        <v>0</v>
      </c>
      <c r="Y2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9" t="e">
        <f t="shared" si="45"/>
        <v>#DIV/0!</v>
      </c>
      <c r="AA209" t="e">
        <f t="shared" si="46"/>
        <v>#DIV/0!</v>
      </c>
      <c r="AB209" t="e">
        <f t="shared" si="47"/>
        <v>#DIV/0!</v>
      </c>
      <c r="AC209" t="e">
        <f t="shared" si="48"/>
        <v>#DIV/0!</v>
      </c>
      <c r="AD209" t="e">
        <f t="shared" si="49"/>
        <v>#DIV/0!</v>
      </c>
      <c r="AE209" t="e">
        <f t="shared" si="50"/>
        <v>#DIV/0!</v>
      </c>
      <c r="AF209" t="e">
        <f t="shared" si="51"/>
        <v>#DIV/0!</v>
      </c>
      <c r="AG209" t="e">
        <f t="shared" si="52"/>
        <v>#DIV/0!</v>
      </c>
      <c r="AH209" t="e">
        <f t="shared" si="59"/>
        <v>#DIV/0!</v>
      </c>
      <c r="AI209" t="e">
        <f t="shared" si="53"/>
        <v>#DIV/0!</v>
      </c>
      <c r="AJ209">
        <f t="shared" si="54"/>
        <v>0</v>
      </c>
      <c r="AK209" t="e">
        <f t="shared" si="55"/>
        <v>#N/A</v>
      </c>
      <c r="AL209">
        <f t="shared" si="56"/>
        <v>0</v>
      </c>
      <c r="AM209" t="e">
        <f t="shared" si="57"/>
        <v>#N/A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9">
        <f t="shared" si="58"/>
        <v>1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1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0" cm="1">
        <f t="array" ref="X210">ABS(INDEX($F$4:$T$263,ROW(A207),MATCH($W$2,$F$3:$T$3,0))-INDEX($F$4:$T$263,ROW(A206),MATCH($W$2,$F$3:$T$3,0)))</f>
        <v>0</v>
      </c>
      <c r="Y2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0" t="e">
        <f t="shared" si="45"/>
        <v>#DIV/0!</v>
      </c>
      <c r="AA210" t="e">
        <f t="shared" si="46"/>
        <v>#DIV/0!</v>
      </c>
      <c r="AB210" t="e">
        <f t="shared" si="47"/>
        <v>#DIV/0!</v>
      </c>
      <c r="AC210" t="e">
        <f t="shared" si="48"/>
        <v>#DIV/0!</v>
      </c>
      <c r="AD210" t="e">
        <f t="shared" si="49"/>
        <v>#DIV/0!</v>
      </c>
      <c r="AE210" t="e">
        <f t="shared" si="50"/>
        <v>#DIV/0!</v>
      </c>
      <c r="AF210" t="e">
        <f t="shared" si="51"/>
        <v>#DIV/0!</v>
      </c>
      <c r="AG210" t="e">
        <f t="shared" si="52"/>
        <v>#DIV/0!</v>
      </c>
      <c r="AH210" t="e">
        <f t="shared" si="59"/>
        <v>#DIV/0!</v>
      </c>
      <c r="AI210" t="e">
        <f t="shared" si="53"/>
        <v>#DIV/0!</v>
      </c>
      <c r="AJ210">
        <f t="shared" si="54"/>
        <v>0</v>
      </c>
      <c r="AK210" t="e">
        <f t="shared" si="55"/>
        <v>#N/A</v>
      </c>
      <c r="AL210">
        <f t="shared" si="56"/>
        <v>0</v>
      </c>
      <c r="AM210" t="e">
        <f t="shared" si="57"/>
        <v>#N/A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0">
        <f t="shared" si="58"/>
        <v>1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1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1" cm="1">
        <f t="array" ref="X211">ABS(INDEX($F$4:$T$263,ROW(A208),MATCH($W$2,$F$3:$T$3,0))-INDEX($F$4:$T$263,ROW(A207),MATCH($W$2,$F$3:$T$3,0)))</f>
        <v>0</v>
      </c>
      <c r="Y2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1" t="e">
        <f t="shared" si="45"/>
        <v>#DIV/0!</v>
      </c>
      <c r="AA211" t="e">
        <f t="shared" si="46"/>
        <v>#DIV/0!</v>
      </c>
      <c r="AB211" t="e">
        <f t="shared" si="47"/>
        <v>#DIV/0!</v>
      </c>
      <c r="AC211" t="e">
        <f t="shared" si="48"/>
        <v>#DIV/0!</v>
      </c>
      <c r="AD211" t="e">
        <f t="shared" si="49"/>
        <v>#DIV/0!</v>
      </c>
      <c r="AE211" t="e">
        <f t="shared" si="50"/>
        <v>#DIV/0!</v>
      </c>
      <c r="AF211" t="e">
        <f t="shared" si="51"/>
        <v>#DIV/0!</v>
      </c>
      <c r="AG211" t="e">
        <f t="shared" si="52"/>
        <v>#DIV/0!</v>
      </c>
      <c r="AH211" t="e">
        <f t="shared" si="59"/>
        <v>#DIV/0!</v>
      </c>
      <c r="AI211" t="e">
        <f t="shared" si="53"/>
        <v>#DIV/0!</v>
      </c>
      <c r="AJ211">
        <f t="shared" si="54"/>
        <v>0</v>
      </c>
      <c r="AK211" t="e">
        <f t="shared" si="55"/>
        <v>#N/A</v>
      </c>
      <c r="AL211">
        <f t="shared" si="56"/>
        <v>0</v>
      </c>
      <c r="AM211" t="e">
        <f t="shared" si="57"/>
        <v>#N/A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1">
        <f t="shared" si="58"/>
        <v>1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1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2" cm="1">
        <f t="array" ref="X212">ABS(INDEX($F$4:$T$263,ROW(A209),MATCH($W$2,$F$3:$T$3,0))-INDEX($F$4:$T$263,ROW(A208),MATCH($W$2,$F$3:$T$3,0)))</f>
        <v>0</v>
      </c>
      <c r="Y2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2" t="e">
        <f t="shared" si="45"/>
        <v>#DIV/0!</v>
      </c>
      <c r="AA212" t="e">
        <f t="shared" si="46"/>
        <v>#DIV/0!</v>
      </c>
      <c r="AB212" t="e">
        <f t="shared" si="47"/>
        <v>#DIV/0!</v>
      </c>
      <c r="AC212" t="e">
        <f t="shared" si="48"/>
        <v>#DIV/0!</v>
      </c>
      <c r="AD212" t="e">
        <f t="shared" si="49"/>
        <v>#DIV/0!</v>
      </c>
      <c r="AE212" t="e">
        <f t="shared" si="50"/>
        <v>#DIV/0!</v>
      </c>
      <c r="AF212" t="e">
        <f t="shared" si="51"/>
        <v>#DIV/0!</v>
      </c>
      <c r="AG212" t="e">
        <f t="shared" si="52"/>
        <v>#DIV/0!</v>
      </c>
      <c r="AH212" t="e">
        <f t="shared" si="59"/>
        <v>#DIV/0!</v>
      </c>
      <c r="AI212" t="e">
        <f t="shared" si="53"/>
        <v>#DIV/0!</v>
      </c>
      <c r="AJ212">
        <f t="shared" si="54"/>
        <v>0</v>
      </c>
      <c r="AK212" t="e">
        <f t="shared" si="55"/>
        <v>#N/A</v>
      </c>
      <c r="AL212">
        <f t="shared" si="56"/>
        <v>0</v>
      </c>
      <c r="AM212" t="e">
        <f t="shared" si="57"/>
        <v>#N/A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2">
        <f t="shared" si="58"/>
        <v>1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1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3" cm="1">
        <f t="array" ref="X213">ABS(INDEX($F$4:$T$263,ROW(A210),MATCH($W$2,$F$3:$T$3,0))-INDEX($F$4:$T$263,ROW(A209),MATCH($W$2,$F$3:$T$3,0)))</f>
        <v>0</v>
      </c>
      <c r="Y2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3" t="e">
        <f t="shared" si="45"/>
        <v>#DIV/0!</v>
      </c>
      <c r="AA213" t="e">
        <f t="shared" si="46"/>
        <v>#DIV/0!</v>
      </c>
      <c r="AB213" t="e">
        <f t="shared" si="47"/>
        <v>#DIV/0!</v>
      </c>
      <c r="AC213" t="e">
        <f t="shared" si="48"/>
        <v>#DIV/0!</v>
      </c>
      <c r="AD213" t="e">
        <f t="shared" si="49"/>
        <v>#DIV/0!</v>
      </c>
      <c r="AE213" t="e">
        <f t="shared" si="50"/>
        <v>#DIV/0!</v>
      </c>
      <c r="AF213" t="e">
        <f t="shared" si="51"/>
        <v>#DIV/0!</v>
      </c>
      <c r="AG213" t="e">
        <f t="shared" si="52"/>
        <v>#DIV/0!</v>
      </c>
      <c r="AH213" t="e">
        <f t="shared" si="59"/>
        <v>#DIV/0!</v>
      </c>
      <c r="AI213" t="e">
        <f t="shared" si="53"/>
        <v>#DIV/0!</v>
      </c>
      <c r="AJ213">
        <f t="shared" si="54"/>
        <v>0</v>
      </c>
      <c r="AK213" t="e">
        <f t="shared" si="55"/>
        <v>#N/A</v>
      </c>
      <c r="AL213">
        <f t="shared" si="56"/>
        <v>0</v>
      </c>
      <c r="AM213" t="e">
        <f t="shared" si="57"/>
        <v>#N/A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3">
        <f t="shared" si="58"/>
        <v>1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1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4" cm="1">
        <f t="array" ref="X214">ABS(INDEX($F$4:$T$263,ROW(A211),MATCH($W$2,$F$3:$T$3,0))-INDEX($F$4:$T$263,ROW(A210),MATCH($W$2,$F$3:$T$3,0)))</f>
        <v>0</v>
      </c>
      <c r="Y2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4" t="e">
        <f t="shared" si="45"/>
        <v>#DIV/0!</v>
      </c>
      <c r="AA214" t="e">
        <f t="shared" si="46"/>
        <v>#DIV/0!</v>
      </c>
      <c r="AB214" t="e">
        <f t="shared" si="47"/>
        <v>#DIV/0!</v>
      </c>
      <c r="AC214" t="e">
        <f t="shared" si="48"/>
        <v>#DIV/0!</v>
      </c>
      <c r="AD214" t="e">
        <f t="shared" si="49"/>
        <v>#DIV/0!</v>
      </c>
      <c r="AE214" t="e">
        <f t="shared" si="50"/>
        <v>#DIV/0!</v>
      </c>
      <c r="AF214" t="e">
        <f t="shared" si="51"/>
        <v>#DIV/0!</v>
      </c>
      <c r="AG214" t="e">
        <f t="shared" si="52"/>
        <v>#DIV/0!</v>
      </c>
      <c r="AH214" t="e">
        <f t="shared" si="59"/>
        <v>#DIV/0!</v>
      </c>
      <c r="AI214" t="e">
        <f t="shared" si="53"/>
        <v>#DIV/0!</v>
      </c>
      <c r="AJ214">
        <f t="shared" si="54"/>
        <v>0</v>
      </c>
      <c r="AK214" t="e">
        <f t="shared" si="55"/>
        <v>#N/A</v>
      </c>
      <c r="AL214">
        <f t="shared" si="56"/>
        <v>0</v>
      </c>
      <c r="AM214" t="e">
        <f t="shared" si="57"/>
        <v>#N/A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4">
        <f t="shared" si="58"/>
        <v>1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1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5" cm="1">
        <f t="array" ref="X215">ABS(INDEX($F$4:$T$263,ROW(A212),MATCH($W$2,$F$3:$T$3,0))-INDEX($F$4:$T$263,ROW(A211),MATCH($W$2,$F$3:$T$3,0)))</f>
        <v>0</v>
      </c>
      <c r="Y2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5" t="e">
        <f t="shared" si="45"/>
        <v>#DIV/0!</v>
      </c>
      <c r="AA215" t="e">
        <f t="shared" si="46"/>
        <v>#DIV/0!</v>
      </c>
      <c r="AB215" t="e">
        <f t="shared" si="47"/>
        <v>#DIV/0!</v>
      </c>
      <c r="AC215" t="e">
        <f t="shared" si="48"/>
        <v>#DIV/0!</v>
      </c>
      <c r="AD215" t="e">
        <f t="shared" si="49"/>
        <v>#DIV/0!</v>
      </c>
      <c r="AE215" t="e">
        <f t="shared" si="50"/>
        <v>#DIV/0!</v>
      </c>
      <c r="AF215" t="e">
        <f t="shared" si="51"/>
        <v>#DIV/0!</v>
      </c>
      <c r="AG215" t="e">
        <f t="shared" si="52"/>
        <v>#DIV/0!</v>
      </c>
      <c r="AH215" t="e">
        <f t="shared" si="59"/>
        <v>#DIV/0!</v>
      </c>
      <c r="AI215" t="e">
        <f t="shared" si="53"/>
        <v>#DIV/0!</v>
      </c>
      <c r="AJ215">
        <f t="shared" si="54"/>
        <v>0</v>
      </c>
      <c r="AK215" t="e">
        <f t="shared" si="55"/>
        <v>#N/A</v>
      </c>
      <c r="AL215">
        <f t="shared" si="56"/>
        <v>0</v>
      </c>
      <c r="AM215" t="e">
        <f t="shared" si="57"/>
        <v>#N/A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5">
        <f t="shared" si="58"/>
        <v>1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1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6" cm="1">
        <f t="array" ref="X216">ABS(INDEX($F$4:$T$263,ROW(A213),MATCH($W$2,$F$3:$T$3,0))-INDEX($F$4:$T$263,ROW(A212),MATCH($W$2,$F$3:$T$3,0)))</f>
        <v>0</v>
      </c>
      <c r="Y2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6" t="e">
        <f t="shared" si="45"/>
        <v>#DIV/0!</v>
      </c>
      <c r="AA216" t="e">
        <f t="shared" si="46"/>
        <v>#DIV/0!</v>
      </c>
      <c r="AB216" t="e">
        <f t="shared" si="47"/>
        <v>#DIV/0!</v>
      </c>
      <c r="AC216" t="e">
        <f t="shared" si="48"/>
        <v>#DIV/0!</v>
      </c>
      <c r="AD216" t="e">
        <f t="shared" si="49"/>
        <v>#DIV/0!</v>
      </c>
      <c r="AE216" t="e">
        <f t="shared" si="50"/>
        <v>#DIV/0!</v>
      </c>
      <c r="AF216" t="e">
        <f t="shared" si="51"/>
        <v>#DIV/0!</v>
      </c>
      <c r="AG216" t="e">
        <f t="shared" si="52"/>
        <v>#DIV/0!</v>
      </c>
      <c r="AH216" t="e">
        <f t="shared" si="59"/>
        <v>#DIV/0!</v>
      </c>
      <c r="AI216" t="e">
        <f t="shared" si="53"/>
        <v>#DIV/0!</v>
      </c>
      <c r="AJ216">
        <f t="shared" si="54"/>
        <v>0</v>
      </c>
      <c r="AK216" t="e">
        <f t="shared" si="55"/>
        <v>#N/A</v>
      </c>
      <c r="AL216">
        <f t="shared" si="56"/>
        <v>0</v>
      </c>
      <c r="AM216" t="e">
        <f t="shared" si="57"/>
        <v>#N/A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6">
        <f t="shared" si="58"/>
        <v>1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1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7" cm="1">
        <f t="array" ref="X217">ABS(INDEX($F$4:$T$263,ROW(A214),MATCH($W$2,$F$3:$T$3,0))-INDEX($F$4:$T$263,ROW(A213),MATCH($W$2,$F$3:$T$3,0)))</f>
        <v>0</v>
      </c>
      <c r="Y2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7" t="e">
        <f t="shared" si="45"/>
        <v>#DIV/0!</v>
      </c>
      <c r="AA217" t="e">
        <f t="shared" si="46"/>
        <v>#DIV/0!</v>
      </c>
      <c r="AB217" t="e">
        <f t="shared" si="47"/>
        <v>#DIV/0!</v>
      </c>
      <c r="AC217" t="e">
        <f t="shared" si="48"/>
        <v>#DIV/0!</v>
      </c>
      <c r="AD217" t="e">
        <f t="shared" si="49"/>
        <v>#DIV/0!</v>
      </c>
      <c r="AE217" t="e">
        <f t="shared" si="50"/>
        <v>#DIV/0!</v>
      </c>
      <c r="AF217" t="e">
        <f t="shared" si="51"/>
        <v>#DIV/0!</v>
      </c>
      <c r="AG217" t="e">
        <f t="shared" si="52"/>
        <v>#DIV/0!</v>
      </c>
      <c r="AH217" t="e">
        <f t="shared" si="59"/>
        <v>#DIV/0!</v>
      </c>
      <c r="AI217" t="e">
        <f t="shared" si="53"/>
        <v>#DIV/0!</v>
      </c>
      <c r="AJ217">
        <f t="shared" si="54"/>
        <v>0</v>
      </c>
      <c r="AK217" t="e">
        <f t="shared" si="55"/>
        <v>#N/A</v>
      </c>
      <c r="AL217">
        <f t="shared" si="56"/>
        <v>0</v>
      </c>
      <c r="AM217" t="e">
        <f t="shared" si="57"/>
        <v>#N/A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7">
        <f t="shared" si="58"/>
        <v>1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1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8" cm="1">
        <f t="array" ref="X218">ABS(INDEX($F$4:$T$263,ROW(A215),MATCH($W$2,$F$3:$T$3,0))-INDEX($F$4:$T$263,ROW(A214),MATCH($W$2,$F$3:$T$3,0)))</f>
        <v>0</v>
      </c>
      <c r="Y2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8" t="e">
        <f t="shared" si="45"/>
        <v>#DIV/0!</v>
      </c>
      <c r="AA218" t="e">
        <f t="shared" si="46"/>
        <v>#DIV/0!</v>
      </c>
      <c r="AB218" t="e">
        <f t="shared" si="47"/>
        <v>#DIV/0!</v>
      </c>
      <c r="AC218" t="e">
        <f t="shared" si="48"/>
        <v>#DIV/0!</v>
      </c>
      <c r="AD218" t="e">
        <f t="shared" si="49"/>
        <v>#DIV/0!</v>
      </c>
      <c r="AE218" t="e">
        <f t="shared" si="50"/>
        <v>#DIV/0!</v>
      </c>
      <c r="AF218" t="e">
        <f t="shared" si="51"/>
        <v>#DIV/0!</v>
      </c>
      <c r="AG218" t="e">
        <f t="shared" si="52"/>
        <v>#DIV/0!</v>
      </c>
      <c r="AH218" t="e">
        <f t="shared" si="59"/>
        <v>#DIV/0!</v>
      </c>
      <c r="AI218" t="e">
        <f t="shared" si="53"/>
        <v>#DIV/0!</v>
      </c>
      <c r="AJ218">
        <f t="shared" si="54"/>
        <v>0</v>
      </c>
      <c r="AK218" t="e">
        <f t="shared" si="55"/>
        <v>#N/A</v>
      </c>
      <c r="AL218">
        <f t="shared" si="56"/>
        <v>0</v>
      </c>
      <c r="AM218" t="e">
        <f t="shared" si="57"/>
        <v>#N/A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8">
        <f t="shared" si="58"/>
        <v>1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1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9" cm="1">
        <f t="array" ref="X219">ABS(INDEX($F$4:$T$263,ROW(A216),MATCH($W$2,$F$3:$T$3,0))-INDEX($F$4:$T$263,ROW(A215),MATCH($W$2,$F$3:$T$3,0)))</f>
        <v>0</v>
      </c>
      <c r="Y2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9" t="e">
        <f t="shared" si="45"/>
        <v>#DIV/0!</v>
      </c>
      <c r="AA219" t="e">
        <f t="shared" si="46"/>
        <v>#DIV/0!</v>
      </c>
      <c r="AB219" t="e">
        <f t="shared" si="47"/>
        <v>#DIV/0!</v>
      </c>
      <c r="AC219" t="e">
        <f t="shared" si="48"/>
        <v>#DIV/0!</v>
      </c>
      <c r="AD219" t="e">
        <f t="shared" si="49"/>
        <v>#DIV/0!</v>
      </c>
      <c r="AE219" t="e">
        <f t="shared" si="50"/>
        <v>#DIV/0!</v>
      </c>
      <c r="AF219" t="e">
        <f t="shared" si="51"/>
        <v>#DIV/0!</v>
      </c>
      <c r="AG219" t="e">
        <f t="shared" si="52"/>
        <v>#DIV/0!</v>
      </c>
      <c r="AH219" t="e">
        <f t="shared" si="59"/>
        <v>#DIV/0!</v>
      </c>
      <c r="AI219" t="e">
        <f t="shared" si="53"/>
        <v>#DIV/0!</v>
      </c>
      <c r="AJ219">
        <f t="shared" si="54"/>
        <v>0</v>
      </c>
      <c r="AK219" t="e">
        <f t="shared" si="55"/>
        <v>#N/A</v>
      </c>
      <c r="AL219">
        <f t="shared" si="56"/>
        <v>0</v>
      </c>
      <c r="AM219" t="e">
        <f t="shared" si="57"/>
        <v>#N/A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9">
        <f t="shared" si="58"/>
        <v>1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1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0" cm="1">
        <f t="array" ref="X220">ABS(INDEX($F$4:$T$263,ROW(A217),MATCH($W$2,$F$3:$T$3,0))-INDEX($F$4:$T$263,ROW(A216),MATCH($W$2,$F$3:$T$3,0)))</f>
        <v>0</v>
      </c>
      <c r="Y2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0" t="e">
        <f t="shared" si="45"/>
        <v>#DIV/0!</v>
      </c>
      <c r="AA220" t="e">
        <f t="shared" si="46"/>
        <v>#DIV/0!</v>
      </c>
      <c r="AB220" t="e">
        <f t="shared" si="47"/>
        <v>#DIV/0!</v>
      </c>
      <c r="AC220" t="e">
        <f t="shared" si="48"/>
        <v>#DIV/0!</v>
      </c>
      <c r="AD220" t="e">
        <f t="shared" si="49"/>
        <v>#DIV/0!</v>
      </c>
      <c r="AE220" t="e">
        <f t="shared" si="50"/>
        <v>#DIV/0!</v>
      </c>
      <c r="AF220" t="e">
        <f t="shared" si="51"/>
        <v>#DIV/0!</v>
      </c>
      <c r="AG220" t="e">
        <f t="shared" si="52"/>
        <v>#DIV/0!</v>
      </c>
      <c r="AH220" t="e">
        <f t="shared" si="59"/>
        <v>#DIV/0!</v>
      </c>
      <c r="AI220" t="e">
        <f t="shared" si="53"/>
        <v>#DIV/0!</v>
      </c>
      <c r="AJ220">
        <f t="shared" si="54"/>
        <v>0</v>
      </c>
      <c r="AK220" t="e">
        <f t="shared" si="55"/>
        <v>#N/A</v>
      </c>
      <c r="AL220">
        <f t="shared" si="56"/>
        <v>0</v>
      </c>
      <c r="AM220" t="e">
        <f t="shared" si="57"/>
        <v>#N/A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0">
        <f t="shared" si="58"/>
        <v>1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1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1" cm="1">
        <f t="array" ref="X221">ABS(INDEX($F$4:$T$263,ROW(A218),MATCH($W$2,$F$3:$T$3,0))-INDEX($F$4:$T$263,ROW(A217),MATCH($W$2,$F$3:$T$3,0)))</f>
        <v>0</v>
      </c>
      <c r="Y2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1" t="e">
        <f t="shared" si="45"/>
        <v>#DIV/0!</v>
      </c>
      <c r="AA221" t="e">
        <f t="shared" si="46"/>
        <v>#DIV/0!</v>
      </c>
      <c r="AB221" t="e">
        <f t="shared" si="47"/>
        <v>#DIV/0!</v>
      </c>
      <c r="AC221" t="e">
        <f t="shared" si="48"/>
        <v>#DIV/0!</v>
      </c>
      <c r="AD221" t="e">
        <f t="shared" si="49"/>
        <v>#DIV/0!</v>
      </c>
      <c r="AE221" t="e">
        <f t="shared" si="50"/>
        <v>#DIV/0!</v>
      </c>
      <c r="AF221" t="e">
        <f t="shared" si="51"/>
        <v>#DIV/0!</v>
      </c>
      <c r="AG221" t="e">
        <f t="shared" si="52"/>
        <v>#DIV/0!</v>
      </c>
      <c r="AH221" t="e">
        <f t="shared" si="59"/>
        <v>#DIV/0!</v>
      </c>
      <c r="AI221" t="e">
        <f t="shared" si="53"/>
        <v>#DIV/0!</v>
      </c>
      <c r="AJ221">
        <f t="shared" si="54"/>
        <v>0</v>
      </c>
      <c r="AK221" t="e">
        <f t="shared" si="55"/>
        <v>#N/A</v>
      </c>
      <c r="AL221">
        <f t="shared" si="56"/>
        <v>0</v>
      </c>
      <c r="AM221" t="e">
        <f t="shared" si="57"/>
        <v>#N/A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1">
        <f t="shared" si="58"/>
        <v>1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1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2" cm="1">
        <f t="array" ref="X222">ABS(INDEX($F$4:$T$263,ROW(A219),MATCH($W$2,$F$3:$T$3,0))-INDEX($F$4:$T$263,ROW(A218),MATCH($W$2,$F$3:$T$3,0)))</f>
        <v>0</v>
      </c>
      <c r="Y2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2" t="e">
        <f t="shared" si="45"/>
        <v>#DIV/0!</v>
      </c>
      <c r="AA222" t="e">
        <f t="shared" si="46"/>
        <v>#DIV/0!</v>
      </c>
      <c r="AB222" t="e">
        <f t="shared" si="47"/>
        <v>#DIV/0!</v>
      </c>
      <c r="AC222" t="e">
        <f t="shared" si="48"/>
        <v>#DIV/0!</v>
      </c>
      <c r="AD222" t="e">
        <f t="shared" si="49"/>
        <v>#DIV/0!</v>
      </c>
      <c r="AE222" t="e">
        <f t="shared" si="50"/>
        <v>#DIV/0!</v>
      </c>
      <c r="AF222" t="e">
        <f t="shared" si="51"/>
        <v>#DIV/0!</v>
      </c>
      <c r="AG222" t="e">
        <f t="shared" si="52"/>
        <v>#DIV/0!</v>
      </c>
      <c r="AH222" t="e">
        <f t="shared" si="59"/>
        <v>#DIV/0!</v>
      </c>
      <c r="AI222" t="e">
        <f t="shared" si="53"/>
        <v>#DIV/0!</v>
      </c>
      <c r="AJ222">
        <f t="shared" si="54"/>
        <v>0</v>
      </c>
      <c r="AK222" t="e">
        <f t="shared" si="55"/>
        <v>#N/A</v>
      </c>
      <c r="AL222">
        <f t="shared" si="56"/>
        <v>0</v>
      </c>
      <c r="AM222" t="e">
        <f t="shared" si="57"/>
        <v>#N/A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2">
        <f t="shared" si="58"/>
        <v>1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1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3" cm="1">
        <f t="array" ref="X223">ABS(INDEX($F$4:$T$263,ROW(A220),MATCH($W$2,$F$3:$T$3,0))-INDEX($F$4:$T$263,ROW(A219),MATCH($W$2,$F$3:$T$3,0)))</f>
        <v>0</v>
      </c>
      <c r="Y2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3" t="e">
        <f t="shared" si="45"/>
        <v>#DIV/0!</v>
      </c>
      <c r="AA223" t="e">
        <f t="shared" si="46"/>
        <v>#DIV/0!</v>
      </c>
      <c r="AB223" t="e">
        <f t="shared" si="47"/>
        <v>#DIV/0!</v>
      </c>
      <c r="AC223" t="e">
        <f t="shared" si="48"/>
        <v>#DIV/0!</v>
      </c>
      <c r="AD223" t="e">
        <f t="shared" si="49"/>
        <v>#DIV/0!</v>
      </c>
      <c r="AE223" t="e">
        <f t="shared" si="50"/>
        <v>#DIV/0!</v>
      </c>
      <c r="AF223" t="e">
        <f t="shared" si="51"/>
        <v>#DIV/0!</v>
      </c>
      <c r="AG223" t="e">
        <f t="shared" si="52"/>
        <v>#DIV/0!</v>
      </c>
      <c r="AH223" t="e">
        <f t="shared" si="59"/>
        <v>#DIV/0!</v>
      </c>
      <c r="AI223" t="e">
        <f t="shared" si="53"/>
        <v>#DIV/0!</v>
      </c>
      <c r="AJ223">
        <f t="shared" si="54"/>
        <v>0</v>
      </c>
      <c r="AK223" t="e">
        <f t="shared" si="55"/>
        <v>#N/A</v>
      </c>
      <c r="AL223">
        <f t="shared" si="56"/>
        <v>0</v>
      </c>
      <c r="AM223" t="e">
        <f t="shared" si="57"/>
        <v>#N/A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3">
        <f t="shared" si="58"/>
        <v>1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1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4" cm="1">
        <f t="array" ref="X224">ABS(INDEX($F$4:$T$263,ROW(A221),MATCH($W$2,$F$3:$T$3,0))-INDEX($F$4:$T$263,ROW(A220),MATCH($W$2,$F$3:$T$3,0)))</f>
        <v>0</v>
      </c>
      <c r="Y2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4" t="e">
        <f t="shared" si="45"/>
        <v>#DIV/0!</v>
      </c>
      <c r="AA224" t="e">
        <f t="shared" si="46"/>
        <v>#DIV/0!</v>
      </c>
      <c r="AB224" t="e">
        <f t="shared" si="47"/>
        <v>#DIV/0!</v>
      </c>
      <c r="AC224" t="e">
        <f t="shared" si="48"/>
        <v>#DIV/0!</v>
      </c>
      <c r="AD224" t="e">
        <f t="shared" si="49"/>
        <v>#DIV/0!</v>
      </c>
      <c r="AE224" t="e">
        <f t="shared" si="50"/>
        <v>#DIV/0!</v>
      </c>
      <c r="AF224" t="e">
        <f t="shared" si="51"/>
        <v>#DIV/0!</v>
      </c>
      <c r="AG224" t="e">
        <f t="shared" si="52"/>
        <v>#DIV/0!</v>
      </c>
      <c r="AH224" t="e">
        <f t="shared" si="59"/>
        <v>#DIV/0!</v>
      </c>
      <c r="AI224" t="e">
        <f t="shared" si="53"/>
        <v>#DIV/0!</v>
      </c>
      <c r="AJ224">
        <f t="shared" si="54"/>
        <v>0</v>
      </c>
      <c r="AK224" t="e">
        <f t="shared" si="55"/>
        <v>#N/A</v>
      </c>
      <c r="AL224">
        <f t="shared" si="56"/>
        <v>0</v>
      </c>
      <c r="AM224" t="e">
        <f t="shared" si="57"/>
        <v>#N/A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4">
        <f t="shared" si="58"/>
        <v>1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1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5" cm="1">
        <f t="array" ref="X225">ABS(INDEX($F$4:$T$263,ROW(A222),MATCH($W$2,$F$3:$T$3,0))-INDEX($F$4:$T$263,ROW(A221),MATCH($W$2,$F$3:$T$3,0)))</f>
        <v>0</v>
      </c>
      <c r="Y2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5" t="e">
        <f t="shared" si="45"/>
        <v>#DIV/0!</v>
      </c>
      <c r="AA225" t="e">
        <f t="shared" si="46"/>
        <v>#DIV/0!</v>
      </c>
      <c r="AB225" t="e">
        <f t="shared" si="47"/>
        <v>#DIV/0!</v>
      </c>
      <c r="AC225" t="e">
        <f t="shared" si="48"/>
        <v>#DIV/0!</v>
      </c>
      <c r="AD225" t="e">
        <f t="shared" si="49"/>
        <v>#DIV/0!</v>
      </c>
      <c r="AE225" t="e">
        <f t="shared" si="50"/>
        <v>#DIV/0!</v>
      </c>
      <c r="AF225" t="e">
        <f t="shared" si="51"/>
        <v>#DIV/0!</v>
      </c>
      <c r="AG225" t="e">
        <f t="shared" si="52"/>
        <v>#DIV/0!</v>
      </c>
      <c r="AH225" t="e">
        <f t="shared" si="59"/>
        <v>#DIV/0!</v>
      </c>
      <c r="AI225" t="e">
        <f t="shared" si="53"/>
        <v>#DIV/0!</v>
      </c>
      <c r="AJ225">
        <f t="shared" si="54"/>
        <v>0</v>
      </c>
      <c r="AK225" t="e">
        <f t="shared" si="55"/>
        <v>#N/A</v>
      </c>
      <c r="AL225">
        <f t="shared" si="56"/>
        <v>0</v>
      </c>
      <c r="AM225" t="e">
        <f t="shared" si="57"/>
        <v>#N/A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5">
        <f t="shared" si="58"/>
        <v>1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1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6" cm="1">
        <f t="array" ref="X226">ABS(INDEX($F$4:$T$263,ROW(A223),MATCH($W$2,$F$3:$T$3,0))-INDEX($F$4:$T$263,ROW(A222),MATCH($W$2,$F$3:$T$3,0)))</f>
        <v>0</v>
      </c>
      <c r="Y2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6" t="e">
        <f t="shared" si="45"/>
        <v>#DIV/0!</v>
      </c>
      <c r="AA226" t="e">
        <f t="shared" si="46"/>
        <v>#DIV/0!</v>
      </c>
      <c r="AB226" t="e">
        <f t="shared" si="47"/>
        <v>#DIV/0!</v>
      </c>
      <c r="AC226" t="e">
        <f t="shared" si="48"/>
        <v>#DIV/0!</v>
      </c>
      <c r="AD226" t="e">
        <f t="shared" si="49"/>
        <v>#DIV/0!</v>
      </c>
      <c r="AE226" t="e">
        <f t="shared" si="50"/>
        <v>#DIV/0!</v>
      </c>
      <c r="AF226" t="e">
        <f t="shared" si="51"/>
        <v>#DIV/0!</v>
      </c>
      <c r="AG226" t="e">
        <f t="shared" si="52"/>
        <v>#DIV/0!</v>
      </c>
      <c r="AH226" t="e">
        <f t="shared" si="59"/>
        <v>#DIV/0!</v>
      </c>
      <c r="AI226" t="e">
        <f t="shared" si="53"/>
        <v>#DIV/0!</v>
      </c>
      <c r="AJ226">
        <f t="shared" si="54"/>
        <v>0</v>
      </c>
      <c r="AK226" t="e">
        <f t="shared" si="55"/>
        <v>#N/A</v>
      </c>
      <c r="AL226">
        <f t="shared" si="56"/>
        <v>0</v>
      </c>
      <c r="AM226" t="e">
        <f t="shared" si="57"/>
        <v>#N/A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6">
        <f t="shared" si="58"/>
        <v>1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1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7" cm="1">
        <f t="array" ref="X227">ABS(INDEX($F$4:$T$263,ROW(A224),MATCH($W$2,$F$3:$T$3,0))-INDEX($F$4:$T$263,ROW(A223),MATCH($W$2,$F$3:$T$3,0)))</f>
        <v>0</v>
      </c>
      <c r="Y2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7" t="e">
        <f t="shared" si="45"/>
        <v>#DIV/0!</v>
      </c>
      <c r="AA227" t="e">
        <f t="shared" si="46"/>
        <v>#DIV/0!</v>
      </c>
      <c r="AB227" t="e">
        <f t="shared" si="47"/>
        <v>#DIV/0!</v>
      </c>
      <c r="AC227" t="e">
        <f t="shared" si="48"/>
        <v>#DIV/0!</v>
      </c>
      <c r="AD227" t="e">
        <f t="shared" si="49"/>
        <v>#DIV/0!</v>
      </c>
      <c r="AE227" t="e">
        <f t="shared" si="50"/>
        <v>#DIV/0!</v>
      </c>
      <c r="AF227" t="e">
        <f t="shared" si="51"/>
        <v>#DIV/0!</v>
      </c>
      <c r="AG227" t="e">
        <f t="shared" si="52"/>
        <v>#DIV/0!</v>
      </c>
      <c r="AH227" t="e">
        <f t="shared" si="59"/>
        <v>#DIV/0!</v>
      </c>
      <c r="AI227" t="e">
        <f t="shared" si="53"/>
        <v>#DIV/0!</v>
      </c>
      <c r="AJ227">
        <f t="shared" si="54"/>
        <v>0</v>
      </c>
      <c r="AK227" t="e">
        <f t="shared" si="55"/>
        <v>#N/A</v>
      </c>
      <c r="AL227">
        <f t="shared" si="56"/>
        <v>0</v>
      </c>
      <c r="AM227" t="e">
        <f t="shared" si="57"/>
        <v>#N/A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7">
        <f t="shared" si="58"/>
        <v>1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1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8" cm="1">
        <f t="array" ref="X228">ABS(INDEX($F$4:$T$263,ROW(A225),MATCH($W$2,$F$3:$T$3,0))-INDEX($F$4:$T$263,ROW(A224),MATCH($W$2,$F$3:$T$3,0)))</f>
        <v>0</v>
      </c>
      <c r="Y2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8" t="e">
        <f t="shared" si="45"/>
        <v>#DIV/0!</v>
      </c>
      <c r="AA228" t="e">
        <f t="shared" si="46"/>
        <v>#DIV/0!</v>
      </c>
      <c r="AB228" t="e">
        <f t="shared" si="47"/>
        <v>#DIV/0!</v>
      </c>
      <c r="AC228" t="e">
        <f t="shared" si="48"/>
        <v>#DIV/0!</v>
      </c>
      <c r="AD228" t="e">
        <f t="shared" si="49"/>
        <v>#DIV/0!</v>
      </c>
      <c r="AE228" t="e">
        <f t="shared" si="50"/>
        <v>#DIV/0!</v>
      </c>
      <c r="AF228" t="e">
        <f t="shared" si="51"/>
        <v>#DIV/0!</v>
      </c>
      <c r="AG228" t="e">
        <f t="shared" si="52"/>
        <v>#DIV/0!</v>
      </c>
      <c r="AH228" t="e">
        <f t="shared" si="59"/>
        <v>#DIV/0!</v>
      </c>
      <c r="AI228" t="e">
        <f t="shared" si="53"/>
        <v>#DIV/0!</v>
      </c>
      <c r="AJ228">
        <f t="shared" si="54"/>
        <v>0</v>
      </c>
      <c r="AK228" t="e">
        <f t="shared" si="55"/>
        <v>#N/A</v>
      </c>
      <c r="AL228">
        <f t="shared" si="56"/>
        <v>0</v>
      </c>
      <c r="AM228" t="e">
        <f t="shared" si="57"/>
        <v>#N/A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8">
        <f t="shared" si="58"/>
        <v>1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1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9" cm="1">
        <f t="array" ref="X229">ABS(INDEX($F$4:$T$263,ROW(A226),MATCH($W$2,$F$3:$T$3,0))-INDEX($F$4:$T$263,ROW(A225),MATCH($W$2,$F$3:$T$3,0)))</f>
        <v>0</v>
      </c>
      <c r="Y2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9" t="e">
        <f t="shared" si="45"/>
        <v>#DIV/0!</v>
      </c>
      <c r="AA229" t="e">
        <f t="shared" si="46"/>
        <v>#DIV/0!</v>
      </c>
      <c r="AB229" t="e">
        <f t="shared" si="47"/>
        <v>#DIV/0!</v>
      </c>
      <c r="AC229" t="e">
        <f t="shared" si="48"/>
        <v>#DIV/0!</v>
      </c>
      <c r="AD229" t="e">
        <f t="shared" si="49"/>
        <v>#DIV/0!</v>
      </c>
      <c r="AE229" t="e">
        <f t="shared" si="50"/>
        <v>#DIV/0!</v>
      </c>
      <c r="AF229" t="e">
        <f t="shared" si="51"/>
        <v>#DIV/0!</v>
      </c>
      <c r="AG229" t="e">
        <f t="shared" si="52"/>
        <v>#DIV/0!</v>
      </c>
      <c r="AH229" t="e">
        <f t="shared" si="59"/>
        <v>#DIV/0!</v>
      </c>
      <c r="AI229" t="e">
        <f t="shared" si="53"/>
        <v>#DIV/0!</v>
      </c>
      <c r="AJ229">
        <f t="shared" si="54"/>
        <v>0</v>
      </c>
      <c r="AK229" t="e">
        <f t="shared" si="55"/>
        <v>#N/A</v>
      </c>
      <c r="AL229">
        <f t="shared" si="56"/>
        <v>0</v>
      </c>
      <c r="AM229" t="e">
        <f t="shared" si="57"/>
        <v>#N/A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9">
        <f t="shared" si="58"/>
        <v>1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1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0" cm="1">
        <f t="array" ref="X230">ABS(INDEX($F$4:$T$263,ROW(A227),MATCH($W$2,$F$3:$T$3,0))-INDEX($F$4:$T$263,ROW(A226),MATCH($W$2,$F$3:$T$3,0)))</f>
        <v>0</v>
      </c>
      <c r="Y2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0" t="e">
        <f t="shared" si="45"/>
        <v>#DIV/0!</v>
      </c>
      <c r="AA230" t="e">
        <f t="shared" si="46"/>
        <v>#DIV/0!</v>
      </c>
      <c r="AB230" t="e">
        <f t="shared" si="47"/>
        <v>#DIV/0!</v>
      </c>
      <c r="AC230" t="e">
        <f t="shared" si="48"/>
        <v>#DIV/0!</v>
      </c>
      <c r="AD230" t="e">
        <f t="shared" si="49"/>
        <v>#DIV/0!</v>
      </c>
      <c r="AE230" t="e">
        <f t="shared" si="50"/>
        <v>#DIV/0!</v>
      </c>
      <c r="AF230" t="e">
        <f t="shared" si="51"/>
        <v>#DIV/0!</v>
      </c>
      <c r="AG230" t="e">
        <f t="shared" si="52"/>
        <v>#DIV/0!</v>
      </c>
      <c r="AH230" t="e">
        <f t="shared" si="59"/>
        <v>#DIV/0!</v>
      </c>
      <c r="AI230" t="e">
        <f t="shared" si="53"/>
        <v>#DIV/0!</v>
      </c>
      <c r="AJ230">
        <f t="shared" si="54"/>
        <v>0</v>
      </c>
      <c r="AK230" t="e">
        <f t="shared" si="55"/>
        <v>#N/A</v>
      </c>
      <c r="AL230">
        <f t="shared" si="56"/>
        <v>0</v>
      </c>
      <c r="AM230" t="e">
        <f t="shared" si="57"/>
        <v>#N/A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0">
        <f t="shared" si="58"/>
        <v>1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1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1" cm="1">
        <f t="array" ref="X231">ABS(INDEX($F$4:$T$263,ROW(A228),MATCH($W$2,$F$3:$T$3,0))-INDEX($F$4:$T$263,ROW(A227),MATCH($W$2,$F$3:$T$3,0)))</f>
        <v>0</v>
      </c>
      <c r="Y2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1" t="e">
        <f t="shared" si="45"/>
        <v>#DIV/0!</v>
      </c>
      <c r="AA231" t="e">
        <f t="shared" si="46"/>
        <v>#DIV/0!</v>
      </c>
      <c r="AB231" t="e">
        <f t="shared" si="47"/>
        <v>#DIV/0!</v>
      </c>
      <c r="AC231" t="e">
        <f t="shared" si="48"/>
        <v>#DIV/0!</v>
      </c>
      <c r="AD231" t="e">
        <f t="shared" si="49"/>
        <v>#DIV/0!</v>
      </c>
      <c r="AE231" t="e">
        <f t="shared" si="50"/>
        <v>#DIV/0!</v>
      </c>
      <c r="AF231" t="e">
        <f t="shared" si="51"/>
        <v>#DIV/0!</v>
      </c>
      <c r="AG231" t="e">
        <f t="shared" si="52"/>
        <v>#DIV/0!</v>
      </c>
      <c r="AH231" t="e">
        <f t="shared" si="59"/>
        <v>#DIV/0!</v>
      </c>
      <c r="AI231" t="e">
        <f t="shared" si="53"/>
        <v>#DIV/0!</v>
      </c>
      <c r="AJ231">
        <f t="shared" si="54"/>
        <v>0</v>
      </c>
      <c r="AK231" t="e">
        <f t="shared" si="55"/>
        <v>#N/A</v>
      </c>
      <c r="AL231">
        <f t="shared" si="56"/>
        <v>0</v>
      </c>
      <c r="AM231" t="e">
        <f t="shared" si="57"/>
        <v>#N/A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1">
        <f t="shared" si="58"/>
        <v>1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1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2" cm="1">
        <f t="array" ref="X232">ABS(INDEX($F$4:$T$263,ROW(A229),MATCH($W$2,$F$3:$T$3,0))-INDEX($F$4:$T$263,ROW(A228),MATCH($W$2,$F$3:$T$3,0)))</f>
        <v>0</v>
      </c>
      <c r="Y2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2" t="e">
        <f t="shared" si="45"/>
        <v>#DIV/0!</v>
      </c>
      <c r="AA232" t="e">
        <f t="shared" si="46"/>
        <v>#DIV/0!</v>
      </c>
      <c r="AB232" t="e">
        <f t="shared" si="47"/>
        <v>#DIV/0!</v>
      </c>
      <c r="AC232" t="e">
        <f t="shared" si="48"/>
        <v>#DIV/0!</v>
      </c>
      <c r="AD232" t="e">
        <f t="shared" si="49"/>
        <v>#DIV/0!</v>
      </c>
      <c r="AE232" t="e">
        <f t="shared" si="50"/>
        <v>#DIV/0!</v>
      </c>
      <c r="AF232" t="e">
        <f t="shared" si="51"/>
        <v>#DIV/0!</v>
      </c>
      <c r="AG232" t="e">
        <f t="shared" si="52"/>
        <v>#DIV/0!</v>
      </c>
      <c r="AH232" t="e">
        <f t="shared" si="59"/>
        <v>#DIV/0!</v>
      </c>
      <c r="AI232" t="e">
        <f t="shared" si="53"/>
        <v>#DIV/0!</v>
      </c>
      <c r="AJ232">
        <f t="shared" si="54"/>
        <v>0</v>
      </c>
      <c r="AK232" t="e">
        <f t="shared" si="55"/>
        <v>#N/A</v>
      </c>
      <c r="AL232">
        <f t="shared" si="56"/>
        <v>0</v>
      </c>
      <c r="AM232" t="e">
        <f t="shared" si="57"/>
        <v>#N/A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2">
        <f t="shared" si="58"/>
        <v>1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1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3" cm="1">
        <f t="array" ref="X233">ABS(INDEX($F$4:$T$263,ROW(A230),MATCH($W$2,$F$3:$T$3,0))-INDEX($F$4:$T$263,ROW(A229),MATCH($W$2,$F$3:$T$3,0)))</f>
        <v>0</v>
      </c>
      <c r="Y2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3" t="e">
        <f t="shared" si="45"/>
        <v>#DIV/0!</v>
      </c>
      <c r="AA233" t="e">
        <f t="shared" si="46"/>
        <v>#DIV/0!</v>
      </c>
      <c r="AB233" t="e">
        <f t="shared" si="47"/>
        <v>#DIV/0!</v>
      </c>
      <c r="AC233" t="e">
        <f t="shared" si="48"/>
        <v>#DIV/0!</v>
      </c>
      <c r="AD233" t="e">
        <f t="shared" si="49"/>
        <v>#DIV/0!</v>
      </c>
      <c r="AE233" t="e">
        <f t="shared" si="50"/>
        <v>#DIV/0!</v>
      </c>
      <c r="AF233" t="e">
        <f t="shared" si="51"/>
        <v>#DIV/0!</v>
      </c>
      <c r="AG233" t="e">
        <f t="shared" si="52"/>
        <v>#DIV/0!</v>
      </c>
      <c r="AH233" t="e">
        <f t="shared" si="59"/>
        <v>#DIV/0!</v>
      </c>
      <c r="AI233" t="e">
        <f t="shared" si="53"/>
        <v>#DIV/0!</v>
      </c>
      <c r="AJ233">
        <f t="shared" si="54"/>
        <v>0</v>
      </c>
      <c r="AK233" t="e">
        <f t="shared" si="55"/>
        <v>#N/A</v>
      </c>
      <c r="AL233">
        <f t="shared" si="56"/>
        <v>0</v>
      </c>
      <c r="AM233" t="e">
        <f t="shared" si="57"/>
        <v>#N/A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3">
        <f t="shared" si="58"/>
        <v>1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1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4" cm="1">
        <f t="array" ref="X234">ABS(INDEX($F$4:$T$263,ROW(A231),MATCH($W$2,$F$3:$T$3,0))-INDEX($F$4:$T$263,ROW(A230),MATCH($W$2,$F$3:$T$3,0)))</f>
        <v>0</v>
      </c>
      <c r="Y2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4" t="e">
        <f t="shared" si="45"/>
        <v>#DIV/0!</v>
      </c>
      <c r="AA234" t="e">
        <f t="shared" si="46"/>
        <v>#DIV/0!</v>
      </c>
      <c r="AB234" t="e">
        <f t="shared" si="47"/>
        <v>#DIV/0!</v>
      </c>
      <c r="AC234" t="e">
        <f t="shared" si="48"/>
        <v>#DIV/0!</v>
      </c>
      <c r="AD234" t="e">
        <f t="shared" si="49"/>
        <v>#DIV/0!</v>
      </c>
      <c r="AE234" t="e">
        <f t="shared" si="50"/>
        <v>#DIV/0!</v>
      </c>
      <c r="AF234" t="e">
        <f t="shared" si="51"/>
        <v>#DIV/0!</v>
      </c>
      <c r="AG234" t="e">
        <f t="shared" si="52"/>
        <v>#DIV/0!</v>
      </c>
      <c r="AH234" t="e">
        <f t="shared" si="59"/>
        <v>#DIV/0!</v>
      </c>
      <c r="AI234" t="e">
        <f t="shared" si="53"/>
        <v>#DIV/0!</v>
      </c>
      <c r="AJ234">
        <f t="shared" si="54"/>
        <v>0</v>
      </c>
      <c r="AK234" t="e">
        <f t="shared" si="55"/>
        <v>#N/A</v>
      </c>
      <c r="AL234">
        <f t="shared" si="56"/>
        <v>0</v>
      </c>
      <c r="AM234" t="e">
        <f t="shared" si="57"/>
        <v>#N/A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4">
        <f t="shared" si="58"/>
        <v>1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1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5" cm="1">
        <f t="array" ref="X235">ABS(INDEX($F$4:$T$263,ROW(A232),MATCH($W$2,$F$3:$T$3,0))-INDEX($F$4:$T$263,ROW(A231),MATCH($W$2,$F$3:$T$3,0)))</f>
        <v>0</v>
      </c>
      <c r="Y2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5" t="e">
        <f t="shared" si="45"/>
        <v>#DIV/0!</v>
      </c>
      <c r="AA235" t="e">
        <f t="shared" si="46"/>
        <v>#DIV/0!</v>
      </c>
      <c r="AB235" t="e">
        <f t="shared" si="47"/>
        <v>#DIV/0!</v>
      </c>
      <c r="AC235" t="e">
        <f t="shared" si="48"/>
        <v>#DIV/0!</v>
      </c>
      <c r="AD235" t="e">
        <f t="shared" si="49"/>
        <v>#DIV/0!</v>
      </c>
      <c r="AE235" t="e">
        <f t="shared" si="50"/>
        <v>#DIV/0!</v>
      </c>
      <c r="AF235" t="e">
        <f t="shared" si="51"/>
        <v>#DIV/0!</v>
      </c>
      <c r="AG235" t="e">
        <f t="shared" si="52"/>
        <v>#DIV/0!</v>
      </c>
      <c r="AH235" t="e">
        <f t="shared" si="59"/>
        <v>#DIV/0!</v>
      </c>
      <c r="AI235" t="e">
        <f t="shared" si="53"/>
        <v>#DIV/0!</v>
      </c>
      <c r="AJ235">
        <f t="shared" si="54"/>
        <v>0</v>
      </c>
      <c r="AK235" t="e">
        <f t="shared" si="55"/>
        <v>#N/A</v>
      </c>
      <c r="AL235">
        <f t="shared" si="56"/>
        <v>0</v>
      </c>
      <c r="AM235" t="e">
        <f t="shared" si="57"/>
        <v>#N/A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5">
        <f t="shared" si="58"/>
        <v>1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1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6" cm="1">
        <f t="array" ref="X236">ABS(INDEX($F$4:$T$263,ROW(A233),MATCH($W$2,$F$3:$T$3,0))-INDEX($F$4:$T$263,ROW(A232),MATCH($W$2,$F$3:$T$3,0)))</f>
        <v>0</v>
      </c>
      <c r="Y2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6" t="e">
        <f t="shared" si="45"/>
        <v>#DIV/0!</v>
      </c>
      <c r="AA236" t="e">
        <f t="shared" si="46"/>
        <v>#DIV/0!</v>
      </c>
      <c r="AB236" t="e">
        <f t="shared" si="47"/>
        <v>#DIV/0!</v>
      </c>
      <c r="AC236" t="e">
        <f t="shared" si="48"/>
        <v>#DIV/0!</v>
      </c>
      <c r="AD236" t="e">
        <f t="shared" si="49"/>
        <v>#DIV/0!</v>
      </c>
      <c r="AE236" t="e">
        <f t="shared" si="50"/>
        <v>#DIV/0!</v>
      </c>
      <c r="AF236" t="e">
        <f t="shared" si="51"/>
        <v>#DIV/0!</v>
      </c>
      <c r="AG236" t="e">
        <f t="shared" si="52"/>
        <v>#DIV/0!</v>
      </c>
      <c r="AH236" t="e">
        <f t="shared" si="59"/>
        <v>#DIV/0!</v>
      </c>
      <c r="AI236" t="e">
        <f t="shared" si="53"/>
        <v>#DIV/0!</v>
      </c>
      <c r="AJ236">
        <f t="shared" si="54"/>
        <v>0</v>
      </c>
      <c r="AK236" t="e">
        <f t="shared" si="55"/>
        <v>#N/A</v>
      </c>
      <c r="AL236">
        <f t="shared" si="56"/>
        <v>0</v>
      </c>
      <c r="AM236" t="e">
        <f t="shared" si="57"/>
        <v>#N/A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6">
        <f t="shared" si="58"/>
        <v>1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1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7" cm="1">
        <f t="array" ref="X237">ABS(INDEX($F$4:$T$263,ROW(A234),MATCH($W$2,$F$3:$T$3,0))-INDEX($F$4:$T$263,ROW(A233),MATCH($W$2,$F$3:$T$3,0)))</f>
        <v>0</v>
      </c>
      <c r="Y2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7" t="e">
        <f t="shared" si="45"/>
        <v>#DIV/0!</v>
      </c>
      <c r="AA237" t="e">
        <f t="shared" si="46"/>
        <v>#DIV/0!</v>
      </c>
      <c r="AB237" t="e">
        <f t="shared" si="47"/>
        <v>#DIV/0!</v>
      </c>
      <c r="AC237" t="e">
        <f t="shared" si="48"/>
        <v>#DIV/0!</v>
      </c>
      <c r="AD237" t="e">
        <f t="shared" si="49"/>
        <v>#DIV/0!</v>
      </c>
      <c r="AE237" t="e">
        <f t="shared" si="50"/>
        <v>#DIV/0!</v>
      </c>
      <c r="AF237" t="e">
        <f t="shared" si="51"/>
        <v>#DIV/0!</v>
      </c>
      <c r="AG237" t="e">
        <f t="shared" si="52"/>
        <v>#DIV/0!</v>
      </c>
      <c r="AH237" t="e">
        <f t="shared" si="59"/>
        <v>#DIV/0!</v>
      </c>
      <c r="AI237" t="e">
        <f t="shared" si="53"/>
        <v>#DIV/0!</v>
      </c>
      <c r="AJ237">
        <f t="shared" si="54"/>
        <v>0</v>
      </c>
      <c r="AK237" t="e">
        <f t="shared" si="55"/>
        <v>#N/A</v>
      </c>
      <c r="AL237">
        <f t="shared" si="56"/>
        <v>0</v>
      </c>
      <c r="AM237" t="e">
        <f t="shared" si="57"/>
        <v>#N/A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7">
        <f t="shared" si="58"/>
        <v>1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1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8" cm="1">
        <f t="array" ref="X238">ABS(INDEX($F$4:$T$263,ROW(A235),MATCH($W$2,$F$3:$T$3,0))-INDEX($F$4:$T$263,ROW(A234),MATCH($W$2,$F$3:$T$3,0)))</f>
        <v>0</v>
      </c>
      <c r="Y2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8" t="e">
        <f t="shared" si="45"/>
        <v>#DIV/0!</v>
      </c>
      <c r="AA238" t="e">
        <f t="shared" si="46"/>
        <v>#DIV/0!</v>
      </c>
      <c r="AB238" t="e">
        <f t="shared" si="47"/>
        <v>#DIV/0!</v>
      </c>
      <c r="AC238" t="e">
        <f t="shared" si="48"/>
        <v>#DIV/0!</v>
      </c>
      <c r="AD238" t="e">
        <f t="shared" si="49"/>
        <v>#DIV/0!</v>
      </c>
      <c r="AE238" t="e">
        <f t="shared" si="50"/>
        <v>#DIV/0!</v>
      </c>
      <c r="AF238" t="e">
        <f t="shared" si="51"/>
        <v>#DIV/0!</v>
      </c>
      <c r="AG238" t="e">
        <f t="shared" si="52"/>
        <v>#DIV/0!</v>
      </c>
      <c r="AH238" t="e">
        <f t="shared" si="59"/>
        <v>#DIV/0!</v>
      </c>
      <c r="AI238" t="e">
        <f t="shared" si="53"/>
        <v>#DIV/0!</v>
      </c>
      <c r="AJ238">
        <f t="shared" si="54"/>
        <v>0</v>
      </c>
      <c r="AK238" t="e">
        <f t="shared" si="55"/>
        <v>#N/A</v>
      </c>
      <c r="AL238">
        <f t="shared" si="56"/>
        <v>0</v>
      </c>
      <c r="AM238" t="e">
        <f t="shared" si="57"/>
        <v>#N/A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8">
        <f t="shared" si="58"/>
        <v>1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1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9" cm="1">
        <f t="array" ref="X239">ABS(INDEX($F$4:$T$263,ROW(A236),MATCH($W$2,$F$3:$T$3,0))-INDEX($F$4:$T$263,ROW(A235),MATCH($W$2,$F$3:$T$3,0)))</f>
        <v>0</v>
      </c>
      <c r="Y2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9" t="e">
        <f t="shared" si="45"/>
        <v>#DIV/0!</v>
      </c>
      <c r="AA239" t="e">
        <f t="shared" si="46"/>
        <v>#DIV/0!</v>
      </c>
      <c r="AB239" t="e">
        <f t="shared" si="47"/>
        <v>#DIV/0!</v>
      </c>
      <c r="AC239" t="e">
        <f t="shared" si="48"/>
        <v>#DIV/0!</v>
      </c>
      <c r="AD239" t="e">
        <f t="shared" si="49"/>
        <v>#DIV/0!</v>
      </c>
      <c r="AE239" t="e">
        <f t="shared" si="50"/>
        <v>#DIV/0!</v>
      </c>
      <c r="AF239" t="e">
        <f t="shared" si="51"/>
        <v>#DIV/0!</v>
      </c>
      <c r="AG239" t="e">
        <f t="shared" si="52"/>
        <v>#DIV/0!</v>
      </c>
      <c r="AH239" t="e">
        <f t="shared" si="59"/>
        <v>#DIV/0!</v>
      </c>
      <c r="AI239" t="e">
        <f t="shared" si="53"/>
        <v>#DIV/0!</v>
      </c>
      <c r="AJ239">
        <f t="shared" si="54"/>
        <v>0</v>
      </c>
      <c r="AK239" t="e">
        <f t="shared" si="55"/>
        <v>#N/A</v>
      </c>
      <c r="AL239">
        <f t="shared" si="56"/>
        <v>0</v>
      </c>
      <c r="AM239" t="e">
        <f t="shared" si="57"/>
        <v>#N/A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9">
        <f t="shared" si="58"/>
        <v>1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1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0" cm="1">
        <f t="array" ref="X240">ABS(INDEX($F$4:$T$263,ROW(A237),MATCH($W$2,$F$3:$T$3,0))-INDEX($F$4:$T$263,ROW(A236),MATCH($W$2,$F$3:$T$3,0)))</f>
        <v>0</v>
      </c>
      <c r="Y2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0" t="e">
        <f t="shared" si="45"/>
        <v>#DIV/0!</v>
      </c>
      <c r="AA240" t="e">
        <f t="shared" si="46"/>
        <v>#DIV/0!</v>
      </c>
      <c r="AB240" t="e">
        <f t="shared" si="47"/>
        <v>#DIV/0!</v>
      </c>
      <c r="AC240" t="e">
        <f t="shared" si="48"/>
        <v>#DIV/0!</v>
      </c>
      <c r="AD240" t="e">
        <f t="shared" si="49"/>
        <v>#DIV/0!</v>
      </c>
      <c r="AE240" t="e">
        <f t="shared" si="50"/>
        <v>#DIV/0!</v>
      </c>
      <c r="AF240" t="e">
        <f t="shared" si="51"/>
        <v>#DIV/0!</v>
      </c>
      <c r="AG240" t="e">
        <f t="shared" si="52"/>
        <v>#DIV/0!</v>
      </c>
      <c r="AH240" t="e">
        <f t="shared" si="59"/>
        <v>#DIV/0!</v>
      </c>
      <c r="AI240" t="e">
        <f t="shared" si="53"/>
        <v>#DIV/0!</v>
      </c>
      <c r="AJ240">
        <f t="shared" si="54"/>
        <v>0</v>
      </c>
      <c r="AK240" t="e">
        <f t="shared" si="55"/>
        <v>#N/A</v>
      </c>
      <c r="AL240">
        <f t="shared" si="56"/>
        <v>0</v>
      </c>
      <c r="AM240" t="e">
        <f t="shared" si="57"/>
        <v>#N/A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0">
        <f t="shared" si="58"/>
        <v>1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1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1" cm="1">
        <f t="array" ref="X241">ABS(INDEX($F$4:$T$263,ROW(A238),MATCH($W$2,$F$3:$T$3,0))-INDEX($F$4:$T$263,ROW(A237),MATCH($W$2,$F$3:$T$3,0)))</f>
        <v>0</v>
      </c>
      <c r="Y2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1" t="e">
        <f t="shared" si="45"/>
        <v>#DIV/0!</v>
      </c>
      <c r="AA241" t="e">
        <f t="shared" si="46"/>
        <v>#DIV/0!</v>
      </c>
      <c r="AB241" t="e">
        <f t="shared" si="47"/>
        <v>#DIV/0!</v>
      </c>
      <c r="AC241" t="e">
        <f t="shared" si="48"/>
        <v>#DIV/0!</v>
      </c>
      <c r="AD241" t="e">
        <f t="shared" si="49"/>
        <v>#DIV/0!</v>
      </c>
      <c r="AE241" t="e">
        <f t="shared" si="50"/>
        <v>#DIV/0!</v>
      </c>
      <c r="AF241" t="e">
        <f t="shared" si="51"/>
        <v>#DIV/0!</v>
      </c>
      <c r="AG241" t="e">
        <f t="shared" si="52"/>
        <v>#DIV/0!</v>
      </c>
      <c r="AH241" t="e">
        <f t="shared" si="59"/>
        <v>#DIV/0!</v>
      </c>
      <c r="AI241" t="e">
        <f t="shared" si="53"/>
        <v>#DIV/0!</v>
      </c>
      <c r="AJ241">
        <f t="shared" si="54"/>
        <v>0</v>
      </c>
      <c r="AK241" t="e">
        <f t="shared" si="55"/>
        <v>#N/A</v>
      </c>
      <c r="AL241">
        <f t="shared" si="56"/>
        <v>0</v>
      </c>
      <c r="AM241" t="e">
        <f t="shared" si="57"/>
        <v>#N/A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1">
        <f t="shared" si="58"/>
        <v>1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1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2" cm="1">
        <f t="array" ref="X242">ABS(INDEX($F$4:$T$263,ROW(A239),MATCH($W$2,$F$3:$T$3,0))-INDEX($F$4:$T$263,ROW(A238),MATCH($W$2,$F$3:$T$3,0)))</f>
        <v>0</v>
      </c>
      <c r="Y2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2" t="e">
        <f t="shared" si="45"/>
        <v>#DIV/0!</v>
      </c>
      <c r="AA242" t="e">
        <f t="shared" si="46"/>
        <v>#DIV/0!</v>
      </c>
      <c r="AB242" t="e">
        <f t="shared" si="47"/>
        <v>#DIV/0!</v>
      </c>
      <c r="AC242" t="e">
        <f t="shared" si="48"/>
        <v>#DIV/0!</v>
      </c>
      <c r="AD242" t="e">
        <f t="shared" si="49"/>
        <v>#DIV/0!</v>
      </c>
      <c r="AE242" t="e">
        <f t="shared" si="50"/>
        <v>#DIV/0!</v>
      </c>
      <c r="AF242" t="e">
        <f t="shared" si="51"/>
        <v>#DIV/0!</v>
      </c>
      <c r="AG242" t="e">
        <f t="shared" si="52"/>
        <v>#DIV/0!</v>
      </c>
      <c r="AH242" t="e">
        <f t="shared" si="59"/>
        <v>#DIV/0!</v>
      </c>
      <c r="AI242" t="e">
        <f t="shared" si="53"/>
        <v>#DIV/0!</v>
      </c>
      <c r="AJ242">
        <f t="shared" si="54"/>
        <v>0</v>
      </c>
      <c r="AK242" t="e">
        <f t="shared" si="55"/>
        <v>#N/A</v>
      </c>
      <c r="AL242">
        <f t="shared" si="56"/>
        <v>0</v>
      </c>
      <c r="AM242" t="e">
        <f t="shared" si="57"/>
        <v>#N/A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2">
        <f t="shared" si="58"/>
        <v>1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1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3" cm="1">
        <f t="array" ref="X243">ABS(INDEX($F$4:$T$263,ROW(A240),MATCH($W$2,$F$3:$T$3,0))-INDEX($F$4:$T$263,ROW(A239),MATCH($W$2,$F$3:$T$3,0)))</f>
        <v>0</v>
      </c>
      <c r="Y2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3" t="e">
        <f t="shared" si="45"/>
        <v>#DIV/0!</v>
      </c>
      <c r="AA243" t="e">
        <f t="shared" si="46"/>
        <v>#DIV/0!</v>
      </c>
      <c r="AB243" t="e">
        <f t="shared" si="47"/>
        <v>#DIV/0!</v>
      </c>
      <c r="AC243" t="e">
        <f t="shared" si="48"/>
        <v>#DIV/0!</v>
      </c>
      <c r="AD243" t="e">
        <f t="shared" si="49"/>
        <v>#DIV/0!</v>
      </c>
      <c r="AE243" t="e">
        <f t="shared" si="50"/>
        <v>#DIV/0!</v>
      </c>
      <c r="AF243" t="e">
        <f t="shared" si="51"/>
        <v>#DIV/0!</v>
      </c>
      <c r="AG243" t="e">
        <f t="shared" si="52"/>
        <v>#DIV/0!</v>
      </c>
      <c r="AH243" t="e">
        <f t="shared" si="59"/>
        <v>#DIV/0!</v>
      </c>
      <c r="AI243" t="e">
        <f t="shared" si="53"/>
        <v>#DIV/0!</v>
      </c>
      <c r="AJ243">
        <f t="shared" si="54"/>
        <v>0</v>
      </c>
      <c r="AK243" t="e">
        <f t="shared" si="55"/>
        <v>#N/A</v>
      </c>
      <c r="AL243">
        <f t="shared" si="56"/>
        <v>0</v>
      </c>
      <c r="AM243" t="e">
        <f t="shared" si="57"/>
        <v>#N/A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3">
        <f t="shared" si="58"/>
        <v>1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1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4" cm="1">
        <f t="array" ref="X244">ABS(INDEX($F$4:$T$263,ROW(A241),MATCH($W$2,$F$3:$T$3,0))-INDEX($F$4:$T$263,ROW(A240),MATCH($W$2,$F$3:$T$3,0)))</f>
        <v>0</v>
      </c>
      <c r="Y2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4" t="e">
        <f t="shared" si="45"/>
        <v>#DIV/0!</v>
      </c>
      <c r="AA244" t="e">
        <f t="shared" si="46"/>
        <v>#DIV/0!</v>
      </c>
      <c r="AB244" t="e">
        <f t="shared" si="47"/>
        <v>#DIV/0!</v>
      </c>
      <c r="AC244" t="e">
        <f t="shared" si="48"/>
        <v>#DIV/0!</v>
      </c>
      <c r="AD244" t="e">
        <f t="shared" si="49"/>
        <v>#DIV/0!</v>
      </c>
      <c r="AE244" t="e">
        <f t="shared" si="50"/>
        <v>#DIV/0!</v>
      </c>
      <c r="AF244" t="e">
        <f t="shared" si="51"/>
        <v>#DIV/0!</v>
      </c>
      <c r="AG244" t="e">
        <f t="shared" si="52"/>
        <v>#DIV/0!</v>
      </c>
      <c r="AH244" t="e">
        <f t="shared" si="59"/>
        <v>#DIV/0!</v>
      </c>
      <c r="AI244" t="e">
        <f t="shared" si="53"/>
        <v>#DIV/0!</v>
      </c>
      <c r="AJ244">
        <f t="shared" si="54"/>
        <v>0</v>
      </c>
      <c r="AK244" t="e">
        <f t="shared" si="55"/>
        <v>#N/A</v>
      </c>
      <c r="AL244">
        <f t="shared" si="56"/>
        <v>0</v>
      </c>
      <c r="AM244" t="e">
        <f t="shared" si="57"/>
        <v>#N/A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4">
        <f t="shared" si="58"/>
        <v>1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1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5" cm="1">
        <f t="array" ref="X245">ABS(INDEX($F$4:$T$263,ROW(A242),MATCH($W$2,$F$3:$T$3,0))-INDEX($F$4:$T$263,ROW(A241),MATCH($W$2,$F$3:$T$3,0)))</f>
        <v>0</v>
      </c>
      <c r="Y2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5" t="e">
        <f t="shared" si="45"/>
        <v>#DIV/0!</v>
      </c>
      <c r="AA245" t="e">
        <f t="shared" si="46"/>
        <v>#DIV/0!</v>
      </c>
      <c r="AB245" t="e">
        <f t="shared" si="47"/>
        <v>#DIV/0!</v>
      </c>
      <c r="AC245" t="e">
        <f t="shared" si="48"/>
        <v>#DIV/0!</v>
      </c>
      <c r="AD245" t="e">
        <f t="shared" si="49"/>
        <v>#DIV/0!</v>
      </c>
      <c r="AE245" t="e">
        <f t="shared" si="50"/>
        <v>#DIV/0!</v>
      </c>
      <c r="AF245" t="e">
        <f t="shared" si="51"/>
        <v>#DIV/0!</v>
      </c>
      <c r="AG245" t="e">
        <f t="shared" si="52"/>
        <v>#DIV/0!</v>
      </c>
      <c r="AH245" t="e">
        <f t="shared" si="59"/>
        <v>#DIV/0!</v>
      </c>
      <c r="AI245" t="e">
        <f t="shared" si="53"/>
        <v>#DIV/0!</v>
      </c>
      <c r="AJ245">
        <f t="shared" si="54"/>
        <v>0</v>
      </c>
      <c r="AK245" t="e">
        <f t="shared" si="55"/>
        <v>#N/A</v>
      </c>
      <c r="AL245">
        <f t="shared" si="56"/>
        <v>0</v>
      </c>
      <c r="AM245" t="e">
        <f t="shared" si="57"/>
        <v>#N/A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5">
        <f t="shared" si="58"/>
        <v>1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1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6" cm="1">
        <f t="array" ref="X246">ABS(INDEX($F$4:$T$263,ROW(A243),MATCH($W$2,$F$3:$T$3,0))-INDEX($F$4:$T$263,ROW(A242),MATCH($W$2,$F$3:$T$3,0)))</f>
        <v>0</v>
      </c>
      <c r="Y2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6" t="e">
        <f t="shared" si="45"/>
        <v>#DIV/0!</v>
      </c>
      <c r="AA246" t="e">
        <f t="shared" si="46"/>
        <v>#DIV/0!</v>
      </c>
      <c r="AB246" t="e">
        <f t="shared" si="47"/>
        <v>#DIV/0!</v>
      </c>
      <c r="AC246" t="e">
        <f t="shared" si="48"/>
        <v>#DIV/0!</v>
      </c>
      <c r="AD246" t="e">
        <f t="shared" si="49"/>
        <v>#DIV/0!</v>
      </c>
      <c r="AE246" t="e">
        <f t="shared" si="50"/>
        <v>#DIV/0!</v>
      </c>
      <c r="AF246" t="e">
        <f t="shared" si="51"/>
        <v>#DIV/0!</v>
      </c>
      <c r="AG246" t="e">
        <f t="shared" si="52"/>
        <v>#DIV/0!</v>
      </c>
      <c r="AH246" t="e">
        <f t="shared" si="59"/>
        <v>#DIV/0!</v>
      </c>
      <c r="AI246" t="e">
        <f t="shared" si="53"/>
        <v>#DIV/0!</v>
      </c>
      <c r="AJ246">
        <f t="shared" si="54"/>
        <v>0</v>
      </c>
      <c r="AK246" t="e">
        <f t="shared" si="55"/>
        <v>#N/A</v>
      </c>
      <c r="AL246">
        <f t="shared" si="56"/>
        <v>0</v>
      </c>
      <c r="AM246" t="e">
        <f t="shared" si="57"/>
        <v>#N/A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6">
        <f t="shared" si="58"/>
        <v>1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1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7" cm="1">
        <f t="array" ref="X247">ABS(INDEX($F$4:$T$263,ROW(A244),MATCH($W$2,$F$3:$T$3,0))-INDEX($F$4:$T$263,ROW(A243),MATCH($W$2,$F$3:$T$3,0)))</f>
        <v>0</v>
      </c>
      <c r="Y2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7" t="e">
        <f t="shared" si="45"/>
        <v>#DIV/0!</v>
      </c>
      <c r="AA247" t="e">
        <f t="shared" si="46"/>
        <v>#DIV/0!</v>
      </c>
      <c r="AB247" t="e">
        <f t="shared" si="47"/>
        <v>#DIV/0!</v>
      </c>
      <c r="AC247" t="e">
        <f t="shared" si="48"/>
        <v>#DIV/0!</v>
      </c>
      <c r="AD247" t="e">
        <f t="shared" si="49"/>
        <v>#DIV/0!</v>
      </c>
      <c r="AE247" t="e">
        <f t="shared" si="50"/>
        <v>#DIV/0!</v>
      </c>
      <c r="AF247" t="e">
        <f t="shared" si="51"/>
        <v>#DIV/0!</v>
      </c>
      <c r="AG247" t="e">
        <f t="shared" si="52"/>
        <v>#DIV/0!</v>
      </c>
      <c r="AH247" t="e">
        <f t="shared" si="59"/>
        <v>#DIV/0!</v>
      </c>
      <c r="AI247" t="e">
        <f t="shared" si="53"/>
        <v>#DIV/0!</v>
      </c>
      <c r="AJ247">
        <f t="shared" si="54"/>
        <v>0</v>
      </c>
      <c r="AK247" t="e">
        <f t="shared" si="55"/>
        <v>#N/A</v>
      </c>
      <c r="AL247">
        <f t="shared" si="56"/>
        <v>0</v>
      </c>
      <c r="AM247" t="e">
        <f t="shared" si="57"/>
        <v>#N/A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7">
        <f t="shared" si="58"/>
        <v>1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1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8" cm="1">
        <f t="array" ref="X248">ABS(INDEX($F$4:$T$263,ROW(A245),MATCH($W$2,$F$3:$T$3,0))-INDEX($F$4:$T$263,ROW(A244),MATCH($W$2,$F$3:$T$3,0)))</f>
        <v>0</v>
      </c>
      <c r="Y2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8" t="e">
        <f t="shared" si="45"/>
        <v>#DIV/0!</v>
      </c>
      <c r="AA248" t="e">
        <f t="shared" si="46"/>
        <v>#DIV/0!</v>
      </c>
      <c r="AB248" t="e">
        <f t="shared" si="47"/>
        <v>#DIV/0!</v>
      </c>
      <c r="AC248" t="e">
        <f t="shared" si="48"/>
        <v>#DIV/0!</v>
      </c>
      <c r="AD248" t="e">
        <f t="shared" si="49"/>
        <v>#DIV/0!</v>
      </c>
      <c r="AE248" t="e">
        <f t="shared" si="50"/>
        <v>#DIV/0!</v>
      </c>
      <c r="AF248" t="e">
        <f t="shared" si="51"/>
        <v>#DIV/0!</v>
      </c>
      <c r="AG248" t="e">
        <f t="shared" si="52"/>
        <v>#DIV/0!</v>
      </c>
      <c r="AH248" t="e">
        <f t="shared" si="59"/>
        <v>#DIV/0!</v>
      </c>
      <c r="AI248" t="e">
        <f t="shared" si="53"/>
        <v>#DIV/0!</v>
      </c>
      <c r="AJ248">
        <f t="shared" si="54"/>
        <v>0</v>
      </c>
      <c r="AK248" t="e">
        <f t="shared" si="55"/>
        <v>#N/A</v>
      </c>
      <c r="AL248">
        <f t="shared" si="56"/>
        <v>0</v>
      </c>
      <c r="AM248" t="e">
        <f t="shared" si="57"/>
        <v>#N/A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8">
        <f t="shared" si="58"/>
        <v>1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1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9" cm="1">
        <f t="array" ref="X249">ABS(INDEX($F$4:$T$263,ROW(A246),MATCH($W$2,$F$3:$T$3,0))-INDEX($F$4:$T$263,ROW(A245),MATCH($W$2,$F$3:$T$3,0)))</f>
        <v>0</v>
      </c>
      <c r="Y2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9" t="e">
        <f t="shared" si="45"/>
        <v>#DIV/0!</v>
      </c>
      <c r="AA249" t="e">
        <f t="shared" si="46"/>
        <v>#DIV/0!</v>
      </c>
      <c r="AB249" t="e">
        <f t="shared" si="47"/>
        <v>#DIV/0!</v>
      </c>
      <c r="AC249" t="e">
        <f t="shared" si="48"/>
        <v>#DIV/0!</v>
      </c>
      <c r="AD249" t="e">
        <f t="shared" si="49"/>
        <v>#DIV/0!</v>
      </c>
      <c r="AE249" t="e">
        <f t="shared" si="50"/>
        <v>#DIV/0!</v>
      </c>
      <c r="AF249" t="e">
        <f t="shared" si="51"/>
        <v>#DIV/0!</v>
      </c>
      <c r="AG249" t="e">
        <f t="shared" si="52"/>
        <v>#DIV/0!</v>
      </c>
      <c r="AH249" t="e">
        <f t="shared" si="59"/>
        <v>#DIV/0!</v>
      </c>
      <c r="AI249" t="e">
        <f t="shared" si="53"/>
        <v>#DIV/0!</v>
      </c>
      <c r="AJ249">
        <f t="shared" si="54"/>
        <v>0</v>
      </c>
      <c r="AK249" t="e">
        <f t="shared" si="55"/>
        <v>#N/A</v>
      </c>
      <c r="AL249">
        <f t="shared" si="56"/>
        <v>0</v>
      </c>
      <c r="AM249" t="e">
        <f t="shared" si="57"/>
        <v>#N/A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9">
        <f t="shared" si="58"/>
        <v>1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1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0" cm="1">
        <f t="array" ref="X250">ABS(INDEX($F$4:$T$263,ROW(A247),MATCH($W$2,$F$3:$T$3,0))-INDEX($F$4:$T$263,ROW(A246),MATCH($W$2,$F$3:$T$3,0)))</f>
        <v>0</v>
      </c>
      <c r="Y2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0" t="e">
        <f t="shared" si="45"/>
        <v>#DIV/0!</v>
      </c>
      <c r="AA250" t="e">
        <f t="shared" si="46"/>
        <v>#DIV/0!</v>
      </c>
      <c r="AB250" t="e">
        <f t="shared" si="47"/>
        <v>#DIV/0!</v>
      </c>
      <c r="AC250" t="e">
        <f t="shared" si="48"/>
        <v>#DIV/0!</v>
      </c>
      <c r="AD250" t="e">
        <f t="shared" si="49"/>
        <v>#DIV/0!</v>
      </c>
      <c r="AE250" t="e">
        <f t="shared" si="50"/>
        <v>#DIV/0!</v>
      </c>
      <c r="AF250" t="e">
        <f t="shared" si="51"/>
        <v>#DIV/0!</v>
      </c>
      <c r="AG250" t="e">
        <f t="shared" si="52"/>
        <v>#DIV/0!</v>
      </c>
      <c r="AH250" t="e">
        <f t="shared" si="59"/>
        <v>#DIV/0!</v>
      </c>
      <c r="AI250" t="e">
        <f t="shared" si="53"/>
        <v>#DIV/0!</v>
      </c>
      <c r="AJ250">
        <f t="shared" si="54"/>
        <v>0</v>
      </c>
      <c r="AK250" t="e">
        <f t="shared" si="55"/>
        <v>#N/A</v>
      </c>
      <c r="AL250">
        <f t="shared" si="56"/>
        <v>0</v>
      </c>
      <c r="AM250" t="e">
        <f t="shared" si="57"/>
        <v>#N/A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0">
        <f t="shared" si="58"/>
        <v>1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1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1" cm="1">
        <f t="array" ref="X251">ABS(INDEX($F$4:$T$263,ROW(A248),MATCH($W$2,$F$3:$T$3,0))-INDEX($F$4:$T$263,ROW(A247),MATCH($W$2,$F$3:$T$3,0)))</f>
        <v>0</v>
      </c>
      <c r="Y2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1" t="e">
        <f t="shared" si="45"/>
        <v>#DIV/0!</v>
      </c>
      <c r="AA251" t="e">
        <f t="shared" si="46"/>
        <v>#DIV/0!</v>
      </c>
      <c r="AB251" t="e">
        <f t="shared" si="47"/>
        <v>#DIV/0!</v>
      </c>
      <c r="AC251" t="e">
        <f t="shared" si="48"/>
        <v>#DIV/0!</v>
      </c>
      <c r="AD251" t="e">
        <f t="shared" si="49"/>
        <v>#DIV/0!</v>
      </c>
      <c r="AE251" t="e">
        <f t="shared" si="50"/>
        <v>#DIV/0!</v>
      </c>
      <c r="AF251" t="e">
        <f t="shared" si="51"/>
        <v>#DIV/0!</v>
      </c>
      <c r="AG251" t="e">
        <f t="shared" si="52"/>
        <v>#DIV/0!</v>
      </c>
      <c r="AH251" t="e">
        <f t="shared" si="59"/>
        <v>#DIV/0!</v>
      </c>
      <c r="AI251" t="e">
        <f t="shared" si="53"/>
        <v>#DIV/0!</v>
      </c>
      <c r="AJ251">
        <f t="shared" si="54"/>
        <v>0</v>
      </c>
      <c r="AK251" t="e">
        <f t="shared" si="55"/>
        <v>#N/A</v>
      </c>
      <c r="AL251">
        <f t="shared" si="56"/>
        <v>0</v>
      </c>
      <c r="AM251" t="e">
        <f t="shared" si="57"/>
        <v>#N/A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1">
        <f t="shared" si="58"/>
        <v>1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1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2" cm="1">
        <f t="array" ref="X252">ABS(INDEX($F$4:$T$263,ROW(A249),MATCH($W$2,$F$3:$T$3,0))-INDEX($F$4:$T$263,ROW(A248),MATCH($W$2,$F$3:$T$3,0)))</f>
        <v>0</v>
      </c>
      <c r="Y2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2" t="e">
        <f t="shared" si="45"/>
        <v>#DIV/0!</v>
      </c>
      <c r="AA252" t="e">
        <f t="shared" si="46"/>
        <v>#DIV/0!</v>
      </c>
      <c r="AB252" t="e">
        <f t="shared" si="47"/>
        <v>#DIV/0!</v>
      </c>
      <c r="AC252" t="e">
        <f t="shared" si="48"/>
        <v>#DIV/0!</v>
      </c>
      <c r="AD252" t="e">
        <f t="shared" si="49"/>
        <v>#DIV/0!</v>
      </c>
      <c r="AE252" t="e">
        <f t="shared" si="50"/>
        <v>#DIV/0!</v>
      </c>
      <c r="AF252" t="e">
        <f t="shared" si="51"/>
        <v>#DIV/0!</v>
      </c>
      <c r="AG252" t="e">
        <f t="shared" si="52"/>
        <v>#DIV/0!</v>
      </c>
      <c r="AH252" t="e">
        <f t="shared" si="59"/>
        <v>#DIV/0!</v>
      </c>
      <c r="AI252" t="e">
        <f t="shared" si="53"/>
        <v>#DIV/0!</v>
      </c>
      <c r="AJ252">
        <f t="shared" si="54"/>
        <v>0</v>
      </c>
      <c r="AK252" t="e">
        <f t="shared" si="55"/>
        <v>#N/A</v>
      </c>
      <c r="AL252">
        <f t="shared" si="56"/>
        <v>0</v>
      </c>
      <c r="AM252" t="e">
        <f t="shared" si="57"/>
        <v>#N/A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2">
        <f t="shared" si="58"/>
        <v>1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1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3" cm="1">
        <f t="array" ref="X253">ABS(INDEX($F$4:$T$263,ROW(A250),MATCH($W$2,$F$3:$T$3,0))-INDEX($F$4:$T$263,ROW(A249),MATCH($W$2,$F$3:$T$3,0)))</f>
        <v>0</v>
      </c>
      <c r="Y2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3" t="e">
        <f t="shared" si="45"/>
        <v>#DIV/0!</v>
      </c>
      <c r="AA253" t="e">
        <f t="shared" si="46"/>
        <v>#DIV/0!</v>
      </c>
      <c r="AB253" t="e">
        <f t="shared" si="47"/>
        <v>#DIV/0!</v>
      </c>
      <c r="AC253" t="e">
        <f t="shared" si="48"/>
        <v>#DIV/0!</v>
      </c>
      <c r="AD253" t="e">
        <f t="shared" si="49"/>
        <v>#DIV/0!</v>
      </c>
      <c r="AE253" t="e">
        <f t="shared" si="50"/>
        <v>#DIV/0!</v>
      </c>
      <c r="AF253" t="e">
        <f t="shared" si="51"/>
        <v>#DIV/0!</v>
      </c>
      <c r="AG253" t="e">
        <f t="shared" si="52"/>
        <v>#DIV/0!</v>
      </c>
      <c r="AH253" t="e">
        <f t="shared" si="59"/>
        <v>#DIV/0!</v>
      </c>
      <c r="AI253" t="e">
        <f t="shared" si="53"/>
        <v>#DIV/0!</v>
      </c>
      <c r="AJ253">
        <f t="shared" si="54"/>
        <v>0</v>
      </c>
      <c r="AK253" t="e">
        <f t="shared" si="55"/>
        <v>#N/A</v>
      </c>
      <c r="AL253">
        <f t="shared" si="56"/>
        <v>0</v>
      </c>
      <c r="AM253" t="e">
        <f t="shared" si="57"/>
        <v>#N/A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3">
        <f t="shared" si="58"/>
        <v>1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1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4" cm="1">
        <f t="array" ref="X254">ABS(INDEX($F$4:$T$263,ROW(A251),MATCH($W$2,$F$3:$T$3,0))-INDEX($F$4:$T$263,ROW(A250),MATCH($W$2,$F$3:$T$3,0)))</f>
        <v>0</v>
      </c>
      <c r="Y2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4" t="e">
        <f t="shared" si="45"/>
        <v>#DIV/0!</v>
      </c>
      <c r="AA254" t="e">
        <f t="shared" si="46"/>
        <v>#DIV/0!</v>
      </c>
      <c r="AB254" t="e">
        <f t="shared" si="47"/>
        <v>#DIV/0!</v>
      </c>
      <c r="AC254" t="e">
        <f t="shared" si="48"/>
        <v>#DIV/0!</v>
      </c>
      <c r="AD254" t="e">
        <f t="shared" si="49"/>
        <v>#DIV/0!</v>
      </c>
      <c r="AE254" t="e">
        <f t="shared" si="50"/>
        <v>#DIV/0!</v>
      </c>
      <c r="AF254" t="e">
        <f t="shared" si="51"/>
        <v>#DIV/0!</v>
      </c>
      <c r="AG254" t="e">
        <f t="shared" si="52"/>
        <v>#DIV/0!</v>
      </c>
      <c r="AH254" t="e">
        <f t="shared" si="59"/>
        <v>#DIV/0!</v>
      </c>
      <c r="AI254" t="e">
        <f t="shared" si="53"/>
        <v>#DIV/0!</v>
      </c>
      <c r="AJ254">
        <f t="shared" si="54"/>
        <v>0</v>
      </c>
      <c r="AK254" t="e">
        <f t="shared" si="55"/>
        <v>#N/A</v>
      </c>
      <c r="AL254">
        <f t="shared" si="56"/>
        <v>0</v>
      </c>
      <c r="AM254" t="e">
        <f t="shared" si="57"/>
        <v>#N/A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4">
        <f t="shared" si="58"/>
        <v>1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1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5" cm="1">
        <f t="array" ref="X255">ABS(INDEX($F$4:$T$263,ROW(A252),MATCH($W$2,$F$3:$T$3,0))-INDEX($F$4:$T$263,ROW(A251),MATCH($W$2,$F$3:$T$3,0)))</f>
        <v>0</v>
      </c>
      <c r="Y2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5" t="e">
        <f t="shared" si="45"/>
        <v>#DIV/0!</v>
      </c>
      <c r="AA255" t="e">
        <f t="shared" si="46"/>
        <v>#DIV/0!</v>
      </c>
      <c r="AB255" t="e">
        <f t="shared" si="47"/>
        <v>#DIV/0!</v>
      </c>
      <c r="AC255" t="e">
        <f t="shared" si="48"/>
        <v>#DIV/0!</v>
      </c>
      <c r="AD255" t="e">
        <f t="shared" si="49"/>
        <v>#DIV/0!</v>
      </c>
      <c r="AE255" t="e">
        <f t="shared" si="50"/>
        <v>#DIV/0!</v>
      </c>
      <c r="AF255" t="e">
        <f t="shared" si="51"/>
        <v>#DIV/0!</v>
      </c>
      <c r="AG255" t="e">
        <f t="shared" si="52"/>
        <v>#DIV/0!</v>
      </c>
      <c r="AH255" t="e">
        <f t="shared" si="59"/>
        <v>#DIV/0!</v>
      </c>
      <c r="AI255" t="e">
        <f t="shared" si="53"/>
        <v>#DIV/0!</v>
      </c>
      <c r="AJ255">
        <f t="shared" si="54"/>
        <v>0</v>
      </c>
      <c r="AK255" t="e">
        <f t="shared" si="55"/>
        <v>#N/A</v>
      </c>
      <c r="AL255">
        <f t="shared" si="56"/>
        <v>0</v>
      </c>
      <c r="AM255" t="e">
        <f t="shared" si="57"/>
        <v>#N/A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5">
        <f t="shared" si="58"/>
        <v>1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1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6" cm="1">
        <f t="array" ref="X256">ABS(INDEX($F$4:$T$263,ROW(A253),MATCH($W$2,$F$3:$T$3,0))-INDEX($F$4:$T$263,ROW(A252),MATCH($W$2,$F$3:$T$3,0)))</f>
        <v>0</v>
      </c>
      <c r="Y2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6" t="e">
        <f t="shared" si="45"/>
        <v>#DIV/0!</v>
      </c>
      <c r="AA256" t="e">
        <f t="shared" si="46"/>
        <v>#DIV/0!</v>
      </c>
      <c r="AB256" t="e">
        <f t="shared" si="47"/>
        <v>#DIV/0!</v>
      </c>
      <c r="AC256" t="e">
        <f t="shared" si="48"/>
        <v>#DIV/0!</v>
      </c>
      <c r="AD256" t="e">
        <f t="shared" si="49"/>
        <v>#DIV/0!</v>
      </c>
      <c r="AE256" t="e">
        <f t="shared" si="50"/>
        <v>#DIV/0!</v>
      </c>
      <c r="AF256" t="e">
        <f t="shared" si="51"/>
        <v>#DIV/0!</v>
      </c>
      <c r="AG256" t="e">
        <f t="shared" si="52"/>
        <v>#DIV/0!</v>
      </c>
      <c r="AH256" t="e">
        <f t="shared" si="59"/>
        <v>#DIV/0!</v>
      </c>
      <c r="AI256" t="e">
        <f t="shared" si="53"/>
        <v>#DIV/0!</v>
      </c>
      <c r="AJ256">
        <f t="shared" si="54"/>
        <v>0</v>
      </c>
      <c r="AK256" t="e">
        <f t="shared" si="55"/>
        <v>#N/A</v>
      </c>
      <c r="AL256">
        <f t="shared" si="56"/>
        <v>0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6">
        <f t="shared" si="58"/>
        <v>1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1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7" cm="1">
        <f t="array" ref="X257">ABS(INDEX($F$4:$T$263,ROW(A254),MATCH($W$2,$F$3:$T$3,0))-INDEX($F$4:$T$263,ROW(A253),MATCH($W$2,$F$3:$T$3,0)))</f>
        <v>0</v>
      </c>
      <c r="Y2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7" t="e">
        <f t="shared" si="45"/>
        <v>#DIV/0!</v>
      </c>
      <c r="AA257" t="e">
        <f t="shared" si="46"/>
        <v>#DIV/0!</v>
      </c>
      <c r="AB257" t="e">
        <f t="shared" si="47"/>
        <v>#DIV/0!</v>
      </c>
      <c r="AC257" t="e">
        <f t="shared" si="48"/>
        <v>#DIV/0!</v>
      </c>
      <c r="AD257" t="e">
        <f t="shared" si="49"/>
        <v>#DIV/0!</v>
      </c>
      <c r="AE257" t="e">
        <f t="shared" si="50"/>
        <v>#DIV/0!</v>
      </c>
      <c r="AF257" t="e">
        <f t="shared" si="51"/>
        <v>#DIV/0!</v>
      </c>
      <c r="AG257" t="e">
        <f t="shared" si="52"/>
        <v>#DIV/0!</v>
      </c>
      <c r="AH257" t="e">
        <f t="shared" si="59"/>
        <v>#DIV/0!</v>
      </c>
      <c r="AI257" t="e">
        <f t="shared" si="53"/>
        <v>#DIV/0!</v>
      </c>
      <c r="AJ257">
        <f t="shared" si="54"/>
        <v>0</v>
      </c>
      <c r="AK257" t="e">
        <f t="shared" si="55"/>
        <v>#N/A</v>
      </c>
      <c r="AL257">
        <f t="shared" si="56"/>
        <v>0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7">
        <f t="shared" si="58"/>
        <v>1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1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8" cm="1">
        <f t="array" ref="X258">ABS(INDEX($F$4:$T$263,ROW(A255),MATCH($W$2,$F$3:$T$3,0))-INDEX($F$4:$T$263,ROW(A254),MATCH($W$2,$F$3:$T$3,0)))</f>
        <v>0</v>
      </c>
      <c r="Y2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8" t="e">
        <f t="shared" si="45"/>
        <v>#DIV/0!</v>
      </c>
      <c r="AA258" t="e">
        <f t="shared" si="46"/>
        <v>#DIV/0!</v>
      </c>
      <c r="AB258" t="e">
        <f t="shared" si="47"/>
        <v>#DIV/0!</v>
      </c>
      <c r="AC258" t="e">
        <f t="shared" si="48"/>
        <v>#DIV/0!</v>
      </c>
      <c r="AD258" t="e">
        <f t="shared" si="49"/>
        <v>#DIV/0!</v>
      </c>
      <c r="AE258" t="e">
        <f t="shared" si="50"/>
        <v>#DIV/0!</v>
      </c>
      <c r="AF258" t="e">
        <f t="shared" si="51"/>
        <v>#DIV/0!</v>
      </c>
      <c r="AG258" t="e">
        <f t="shared" si="52"/>
        <v>#DIV/0!</v>
      </c>
      <c r="AH258" t="e">
        <f t="shared" si="59"/>
        <v>#DIV/0!</v>
      </c>
      <c r="AI258" t="e">
        <f t="shared" si="53"/>
        <v>#DIV/0!</v>
      </c>
      <c r="AJ258">
        <f t="shared" si="54"/>
        <v>0</v>
      </c>
      <c r="AK258" t="e">
        <f t="shared" si="55"/>
        <v>#N/A</v>
      </c>
      <c r="AL258">
        <f t="shared" si="56"/>
        <v>0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8">
        <f t="shared" si="58"/>
        <v>1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1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9" cm="1">
        <f t="array" ref="X259">ABS(INDEX($F$4:$T$263,ROW(A256),MATCH($W$2,$F$3:$T$3,0))-INDEX($F$4:$T$263,ROW(A255),MATCH($W$2,$F$3:$T$3,0)))</f>
        <v>0</v>
      </c>
      <c r="Y2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9" t="e">
        <f t="shared" si="45"/>
        <v>#DIV/0!</v>
      </c>
      <c r="AA259" t="e">
        <f t="shared" si="46"/>
        <v>#DIV/0!</v>
      </c>
      <c r="AB259" t="e">
        <f t="shared" si="47"/>
        <v>#DIV/0!</v>
      </c>
      <c r="AC259" t="e">
        <f t="shared" si="48"/>
        <v>#DIV/0!</v>
      </c>
      <c r="AD259" t="e">
        <f t="shared" si="49"/>
        <v>#DIV/0!</v>
      </c>
      <c r="AE259" t="e">
        <f t="shared" si="50"/>
        <v>#DIV/0!</v>
      </c>
      <c r="AF259" t="e">
        <f t="shared" si="51"/>
        <v>#DIV/0!</v>
      </c>
      <c r="AG259" t="e">
        <f t="shared" si="52"/>
        <v>#DIV/0!</v>
      </c>
      <c r="AH259" t="e">
        <f t="shared" si="59"/>
        <v>#DIV/0!</v>
      </c>
      <c r="AI259" t="e">
        <f t="shared" si="53"/>
        <v>#DIV/0!</v>
      </c>
      <c r="AJ259">
        <f t="shared" si="54"/>
        <v>0</v>
      </c>
      <c r="AK259" t="e">
        <f t="shared" si="55"/>
        <v>#N/A</v>
      </c>
      <c r="AL259">
        <f t="shared" si="56"/>
        <v>0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9">
        <f t="shared" si="58"/>
        <v>1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1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0" cm="1">
        <f t="array" ref="X260">ABS(INDEX($F$4:$T$263,ROW(A257),MATCH($W$2,$F$3:$T$3,0))-INDEX($F$4:$T$263,ROW(A256),MATCH($W$2,$F$3:$T$3,0)))</f>
        <v>0</v>
      </c>
      <c r="Y2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0" t="e">
        <f t="shared" si="45"/>
        <v>#DIV/0!</v>
      </c>
      <c r="AA260" t="e">
        <f t="shared" si="46"/>
        <v>#DIV/0!</v>
      </c>
      <c r="AB260" t="e">
        <f t="shared" si="47"/>
        <v>#DIV/0!</v>
      </c>
      <c r="AC260" t="e">
        <f t="shared" si="48"/>
        <v>#DIV/0!</v>
      </c>
      <c r="AD260" t="e">
        <f t="shared" si="49"/>
        <v>#DIV/0!</v>
      </c>
      <c r="AE260" t="e">
        <f t="shared" si="50"/>
        <v>#DIV/0!</v>
      </c>
      <c r="AF260" t="e">
        <f t="shared" si="51"/>
        <v>#DIV/0!</v>
      </c>
      <c r="AG260" t="e">
        <f t="shared" si="52"/>
        <v>#DIV/0!</v>
      </c>
      <c r="AH260" t="e">
        <f t="shared" si="59"/>
        <v>#DIV/0!</v>
      </c>
      <c r="AI260" t="e">
        <f t="shared" si="53"/>
        <v>#DIV/0!</v>
      </c>
      <c r="AJ260">
        <f t="shared" si="54"/>
        <v>0</v>
      </c>
      <c r="AK260" t="e">
        <f t="shared" si="55"/>
        <v>#N/A</v>
      </c>
      <c r="AL260">
        <f t="shared" si="56"/>
        <v>0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0">
        <f t="shared" si="58"/>
        <v>1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1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1" cm="1">
        <f t="array" ref="X261">ABS(INDEX($F$4:$T$263,ROW(A258),MATCH($W$2,$F$3:$T$3,0))-INDEX($F$4:$T$263,ROW(A257),MATCH($W$2,$F$3:$T$3,0)))</f>
        <v>0</v>
      </c>
      <c r="Y2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1" t="e">
        <f>Y261/1.128</f>
        <v>#DIV/0!</v>
      </c>
      <c r="AA261" t="e">
        <f>MAX(0,W261-(3*Z261))</f>
        <v>#DIV/0!</v>
      </c>
      <c r="AB261" t="e">
        <f>MAX(0,W261-(2*Z261))</f>
        <v>#DIV/0!</v>
      </c>
      <c r="AC261" t="e">
        <f>MAX(0,W261-Z261)</f>
        <v>#DIV/0!</v>
      </c>
      <c r="AD261" t="e">
        <f>W261+Z261</f>
        <v>#DIV/0!</v>
      </c>
      <c r="AE261" t="e">
        <f>W261+(2*Z261)</f>
        <v>#DIV/0!</v>
      </c>
      <c r="AF261" t="e">
        <f>W261+(3*Z261)</f>
        <v>#DIV/0!</v>
      </c>
      <c r="AG261" t="e">
        <f>IF(OR(V261&gt;AF261,V261&lt;AA261),V261,NA())</f>
        <v>#DIV/0!</v>
      </c>
      <c r="AH261" t="e">
        <f t="shared" si="59"/>
        <v>#DIV/0!</v>
      </c>
      <c r="AI261" t="e">
        <f>IF(ABS(SUM(AH261:AH263))&gt;=5,V261,NA())</f>
        <v>#DIV/0!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0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1">
        <f>AO261-AN261</f>
        <v>1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1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2" cm="1">
        <f t="array" ref="X262">ABS(INDEX($F$4:$T$263,ROW(A259),MATCH($W$2,$F$3:$T$3,0))-INDEX($F$4:$T$263,ROW(A258),MATCH($W$2,$F$3:$T$3,0)))</f>
        <v>0</v>
      </c>
      <c r="Y2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2" t="e">
        <f>Y262/1.128</f>
        <v>#DIV/0!</v>
      </c>
      <c r="AA262" t="e">
        <f>MAX(0,W262-(3*Z262))</f>
        <v>#DIV/0!</v>
      </c>
      <c r="AB262" t="e">
        <f>MAX(0,W262-(2*Z262))</f>
        <v>#DIV/0!</v>
      </c>
      <c r="AC262" t="e">
        <f>MAX(0,W262-Z262)</f>
        <v>#DIV/0!</v>
      </c>
      <c r="AD262" t="e">
        <f>W262+Z262</f>
        <v>#DIV/0!</v>
      </c>
      <c r="AE262" t="e">
        <f>W262+(2*Z262)</f>
        <v>#DIV/0!</v>
      </c>
      <c r="AF262" t="e">
        <f>W262+(3*Z262)</f>
        <v>#DIV/0!</v>
      </c>
      <c r="AG262" t="e">
        <f>IF(OR(V262&gt;AF262,V262&lt;AA262),V262,NA())</f>
        <v>#DIV/0!</v>
      </c>
      <c r="AH262" t="e">
        <f>IF(V262&gt;AE262,2,IF(V262&lt;AB262,-2,IF(V262&gt;W262,1,IF(V262&lt;W262,-1,0))))</f>
        <v>#DIV/0!</v>
      </c>
      <c r="AI262" t="e">
        <f>IF(ABS(SUM(AH262:AH264))&gt;=5,V262,NA())</f>
        <v>#DIV/0!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0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2">
        <f>AO262-AN262</f>
        <v>1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1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3" cm="1">
        <f t="array" ref="X263">ABS(INDEX($F$4:$T$263,ROW(A260),MATCH($W$2,$F$3:$T$3,0))-INDEX($F$4:$T$263,ROW(A259),MATCH($W$2,$F$3:$T$3,0)))</f>
        <v>0</v>
      </c>
      <c r="Y2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3" t="e">
        <f>Y263/1.128</f>
        <v>#DIV/0!</v>
      </c>
      <c r="AA263" t="e">
        <f>MAX(0,W263-(3*Z263))</f>
        <v>#DIV/0!</v>
      </c>
      <c r="AB263" t="e">
        <f>MAX(0,W263-(2*Z263))</f>
        <v>#DIV/0!</v>
      </c>
      <c r="AC263" t="e">
        <f>MAX(0,W263-Z263)</f>
        <v>#DIV/0!</v>
      </c>
      <c r="AD263" t="e">
        <f>W263+Z263</f>
        <v>#DIV/0!</v>
      </c>
      <c r="AE263" t="e">
        <f>W263+(2*Z263)</f>
        <v>#DIV/0!</v>
      </c>
      <c r="AF263" t="e">
        <f>W263+(3*Z263)</f>
        <v>#DIV/0!</v>
      </c>
      <c r="AG263" t="e">
        <f>IF(OR(V263&gt;AF263,V263&lt;AA263),V263,NA())</f>
        <v>#DIV/0!</v>
      </c>
      <c r="AH263" t="e">
        <f>IF(V263&gt;AE263,2,IF(V263&lt;AB263,-2,IF(V263&gt;W263,1,IF(V263&lt;W263,-1,0))))</f>
        <v>#DIV/0!</v>
      </c>
      <c r="AI263" t="e">
        <f>IF(ABS(SUM(AH263:AH265))&gt;=5,V263,NA())</f>
        <v>#DIV/0!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0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3">
        <f>AO263-AN263</f>
        <v>1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L20"/>
  <sheetViews>
    <sheetView showGridLines="0" workbookViewId="0">
      <selection activeCell="F23" sqref="F23"/>
    </sheetView>
  </sheetViews>
  <sheetFormatPr defaultRowHeight="14.5" x14ac:dyDescent="0.35"/>
  <cols>
    <col min="2" max="2" width="20.90625" customWidth="1"/>
    <col min="3" max="3" width="13.81640625" bestFit="1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12" ht="23.5" x14ac:dyDescent="0.55000000000000004">
      <c r="A1" s="28" t="s">
        <v>170</v>
      </c>
    </row>
    <row r="3" spans="1:12" ht="15" thickBot="1" x14ac:dyDescent="0.4"/>
    <row r="4" spans="1:12" ht="29.5" thickBot="1" x14ac:dyDescent="0.4">
      <c r="B4" s="118" t="str">
        <f>Setup!B15</f>
        <v>Caseload</v>
      </c>
      <c r="C4" s="118" t="s">
        <v>164</v>
      </c>
      <c r="D4" s="119" t="s">
        <v>184</v>
      </c>
      <c r="E4" s="118" t="s">
        <v>165</v>
      </c>
      <c r="F4" s="118" t="s">
        <v>166</v>
      </c>
      <c r="G4" s="118" t="s">
        <v>91</v>
      </c>
      <c r="H4" s="118" t="s">
        <v>171</v>
      </c>
      <c r="I4" s="118" t="s">
        <v>182</v>
      </c>
    </row>
    <row r="5" spans="1:12" x14ac:dyDescent="0.35">
      <c r="B5" s="41" t="str">
        <f>Setup!A20</f>
        <v>Caseload 1</v>
      </c>
      <c r="C5" s="102">
        <f>AVERAGE(INDEX('SPC Backing (Hide)'!$F$4:$T$263,MATCH(SPC!$B$13,IF(Setup!$B$11="Weekly",'SPC Backing (Hide)'!$B$4:$B$263,'SPC Backing (Hide)'!$E$4:$E$263),0),MATCH(B5,'SPC Backing (Hide)'!$F$3:$T$3,0)):INDEX('SPC Backing (Hide)'!$F$4:$T$263,MATCH(SPC!$B$14,IF(Setup!$B$11="Weekly",'SPC Backing (Hide)'!$B$4:$B$263,'SPC Backing (Hide)'!$E$4:$E$263),0),MATCH(B5,'SPC Backing (Hide)'!$F$3:$T$3,0)))</f>
        <v>0</v>
      </c>
      <c r="D5" s="120"/>
      <c r="E5" s="96"/>
      <c r="F5" s="96"/>
      <c r="G5" s="11"/>
      <c r="H5" s="99">
        <f t="shared" ref="H5:H20" si="0">IF(G5="Weeks",C5*((E5*7)+(F5*7-E5*7)/2),C5*(E5+(F5-E5)/2))</f>
        <v>0</v>
      </c>
      <c r="I5" s="99" t="str">
        <f t="shared" ref="I5:I6" si="1">IF(H5&lt;&gt;0,TEXT(H5-(H5/100*5),"#.0")&amp;" - "&amp;TEXT(H5+(H5/100*5),"#.0"),"")</f>
        <v/>
      </c>
      <c r="J5" s="27">
        <f>H5-(H5/100*5)</f>
        <v>0</v>
      </c>
      <c r="K5" s="27">
        <f>H5+(H5/100*5)</f>
        <v>0</v>
      </c>
      <c r="L5" s="27">
        <f>K5-J5</f>
        <v>0</v>
      </c>
    </row>
    <row r="6" spans="1:12" x14ac:dyDescent="0.35">
      <c r="B6" s="52" t="str">
        <f>Setup!A21</f>
        <v>Caseload 2</v>
      </c>
      <c r="C6" s="103">
        <f>AVERAGE(INDEX('SPC Backing (Hide)'!$F$4:$T$263,MATCH(SPC!$B$13,IF(Setup!$B$11="Weekly",'SPC Backing (Hide)'!$B$4:$B$263,'SPC Backing (Hide)'!$E$4:$E$263),0),MATCH(B6,'SPC Backing (Hide)'!$F$3:$T$3,0)):INDEX('SPC Backing (Hide)'!$F$4:$T$263,MATCH(SPC!$B$14,IF(Setup!$B$11="Weekly",'SPC Backing (Hide)'!$B$4:$B$263,'SPC Backing (Hide)'!$E$4:$E$263),0),MATCH(B6,'SPC Backing (Hide)'!$F$3:$T$3,0)))</f>
        <v>0</v>
      </c>
      <c r="D6" s="121"/>
      <c r="E6" s="97"/>
      <c r="F6" s="97"/>
      <c r="G6" s="39"/>
      <c r="H6" s="100">
        <f t="shared" si="0"/>
        <v>0</v>
      </c>
      <c r="I6" s="100" t="str">
        <f t="shared" si="1"/>
        <v/>
      </c>
      <c r="J6" s="27">
        <f t="shared" ref="J6:J19" si="2">H6-(H6/100*5)</f>
        <v>0</v>
      </c>
      <c r="K6" s="27">
        <f t="shared" ref="K6:K19" si="3">H6+(H6/100*5)</f>
        <v>0</v>
      </c>
      <c r="L6" s="27">
        <f t="shared" ref="L6:L19" si="4">K6-J6</f>
        <v>0</v>
      </c>
    </row>
    <row r="7" spans="1:12" x14ac:dyDescent="0.35">
      <c r="B7" s="52" t="str">
        <f>Setup!A22</f>
        <v>Caseload 3</v>
      </c>
      <c r="C7" s="103">
        <f>AVERAGE(INDEX('SPC Backing (Hide)'!$F$4:$T$263,MATCH(SPC!$B$13,IF(Setup!$B$11="Weekly",'SPC Backing (Hide)'!$B$4:$B$263,'SPC Backing (Hide)'!$E$4:$E$263),0),MATCH(B7,'SPC Backing (Hide)'!$F$3:$T$3,0)):INDEX('SPC Backing (Hide)'!$F$4:$T$263,MATCH(SPC!$B$14,IF(Setup!$B$11="Weekly",'SPC Backing (Hide)'!$B$4:$B$263,'SPC Backing (Hide)'!$E$4:$E$263),0),MATCH(B7,'SPC Backing (Hide)'!$F$3:$T$3,0)))</f>
        <v>0</v>
      </c>
      <c r="D7" s="121"/>
      <c r="E7" s="97"/>
      <c r="F7" s="97"/>
      <c r="G7" s="39"/>
      <c r="H7" s="100">
        <f t="shared" si="0"/>
        <v>0</v>
      </c>
      <c r="I7" s="100" t="str">
        <f>IF(H7&lt;&gt;0,TEXT(H7-(H7/100*5),"#.0")&amp;" - "&amp;TEXT(H7+(H7/100*5),"#.0"),"")</f>
        <v/>
      </c>
      <c r="J7" s="27">
        <f t="shared" si="2"/>
        <v>0</v>
      </c>
      <c r="K7" s="27">
        <f t="shared" si="3"/>
        <v>0</v>
      </c>
      <c r="L7" s="27">
        <f t="shared" si="4"/>
        <v>0</v>
      </c>
    </row>
    <row r="8" spans="1:12" x14ac:dyDescent="0.35">
      <c r="B8" s="52" t="str">
        <f>Setup!A23</f>
        <v>Caseload 4</v>
      </c>
      <c r="C8" s="103">
        <f>AVERAGE(INDEX('SPC Backing (Hide)'!$F$4:$T$263,MATCH(SPC!$B$13,IF(Setup!$B$11="Weekly",'SPC Backing (Hide)'!$B$4:$B$263,'SPC Backing (Hide)'!$E$4:$E$263),0),MATCH(B8,'SPC Backing (Hide)'!$F$3:$T$3,0)):INDEX('SPC Backing (Hide)'!$F$4:$T$263,MATCH(SPC!$B$14,IF(Setup!$B$11="Weekly",'SPC Backing (Hide)'!$B$4:$B$263,'SPC Backing (Hide)'!$E$4:$E$263),0),MATCH(B8,'SPC Backing (Hide)'!$F$3:$T$3,0)))</f>
        <v>0</v>
      </c>
      <c r="D8" s="121"/>
      <c r="E8" s="97"/>
      <c r="F8" s="97"/>
      <c r="G8" s="39"/>
      <c r="H8" s="100">
        <f t="shared" si="0"/>
        <v>0</v>
      </c>
      <c r="I8" s="100" t="str">
        <f t="shared" ref="I8:I19" si="5">IF(H8&lt;&gt;0,TEXT(H8-(H8/100*5),"#.0")&amp;" - "&amp;TEXT(H8+(H8/100*5),"#.0"),"")</f>
        <v/>
      </c>
      <c r="J8" s="27">
        <f t="shared" si="2"/>
        <v>0</v>
      </c>
      <c r="K8" s="27">
        <f t="shared" si="3"/>
        <v>0</v>
      </c>
      <c r="L8" s="27">
        <f t="shared" si="4"/>
        <v>0</v>
      </c>
    </row>
    <row r="9" spans="1:12" x14ac:dyDescent="0.35">
      <c r="B9" s="52" t="str">
        <f>Setup!A24</f>
        <v>Caseload 5</v>
      </c>
      <c r="C9" s="103">
        <f>AVERAGE(INDEX('SPC Backing (Hide)'!$F$4:$T$263,MATCH(SPC!$B$13,IF(Setup!$B$11="Weekly",'SPC Backing (Hide)'!$B$4:$B$263,'SPC Backing (Hide)'!$E$4:$E$263),0),MATCH(B9,'SPC Backing (Hide)'!$F$3:$T$3,0)):INDEX('SPC Backing (Hide)'!$F$4:$T$263,MATCH(SPC!$B$14,IF(Setup!$B$11="Weekly",'SPC Backing (Hide)'!$B$4:$B$263,'SPC Backing (Hide)'!$E$4:$E$263),0),MATCH(B9,'SPC Backing (Hide)'!$F$3:$T$3,0)))</f>
        <v>0</v>
      </c>
      <c r="D9" s="121"/>
      <c r="E9" s="97"/>
      <c r="F9" s="97"/>
      <c r="G9" s="39"/>
      <c r="H9" s="100">
        <f t="shared" si="0"/>
        <v>0</v>
      </c>
      <c r="I9" s="100" t="str">
        <f t="shared" si="5"/>
        <v/>
      </c>
      <c r="J9" s="27">
        <f t="shared" si="2"/>
        <v>0</v>
      </c>
      <c r="K9" s="27">
        <f t="shared" si="3"/>
        <v>0</v>
      </c>
      <c r="L9" s="27">
        <f t="shared" si="4"/>
        <v>0</v>
      </c>
    </row>
    <row r="10" spans="1:12" x14ac:dyDescent="0.35">
      <c r="B10" s="52" t="str">
        <f>Setup!A25</f>
        <v>Caseload 6</v>
      </c>
      <c r="C10" s="103">
        <f>AVERAGE(INDEX('SPC Backing (Hide)'!$F$4:$T$263,MATCH(SPC!$B$13,IF(Setup!$B$11="Weekly",'SPC Backing (Hide)'!$B$4:$B$263,'SPC Backing (Hide)'!$E$4:$E$263),0),MATCH(B10,'SPC Backing (Hide)'!$F$3:$T$3,0)):INDEX('SPC Backing (Hide)'!$F$4:$T$263,MATCH(SPC!$B$14,IF(Setup!$B$11="Weekly",'SPC Backing (Hide)'!$B$4:$B$263,'SPC Backing (Hide)'!$E$4:$E$263),0),MATCH(B10,'SPC Backing (Hide)'!$F$3:$T$3,0)))</f>
        <v>0</v>
      </c>
      <c r="D10" s="121"/>
      <c r="E10" s="97"/>
      <c r="F10" s="97"/>
      <c r="G10" s="39"/>
      <c r="H10" s="100">
        <f t="shared" si="0"/>
        <v>0</v>
      </c>
      <c r="I10" s="100" t="str">
        <f t="shared" si="5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</row>
    <row r="11" spans="1:12" x14ac:dyDescent="0.35">
      <c r="B11" s="52" t="str">
        <f>Setup!A26</f>
        <v>Caseload 7</v>
      </c>
      <c r="C11" s="103">
        <f>AVERAGE(INDEX('SPC Backing (Hide)'!$F$4:$T$263,MATCH(SPC!$B$13,IF(Setup!$B$11="Weekly",'SPC Backing (Hide)'!$B$4:$B$263,'SPC Backing (Hide)'!$E$4:$E$263),0),MATCH(B11,'SPC Backing (Hide)'!$F$3:$T$3,0)):INDEX('SPC Backing (Hide)'!$F$4:$T$263,MATCH(SPC!$B$14,IF(Setup!$B$11="Weekly",'SPC Backing (Hide)'!$B$4:$B$263,'SPC Backing (Hide)'!$E$4:$E$263),0),MATCH(B11,'SPC Backing (Hide)'!$F$3:$T$3,0)))</f>
        <v>0</v>
      </c>
      <c r="D11" s="121"/>
      <c r="E11" s="97"/>
      <c r="F11" s="97"/>
      <c r="G11" s="39"/>
      <c r="H11" s="100">
        <f t="shared" si="0"/>
        <v>0</v>
      </c>
      <c r="I11" s="100" t="str">
        <f t="shared" si="5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</row>
    <row r="12" spans="1:12" x14ac:dyDescent="0.35">
      <c r="B12" s="52" t="str">
        <f>Setup!A27</f>
        <v>Caseload 8</v>
      </c>
      <c r="C12" s="103">
        <f>AVERAGE(INDEX('SPC Backing (Hide)'!$F$4:$T$263,MATCH(SPC!$B$13,IF(Setup!$B$11="Weekly",'SPC Backing (Hide)'!$B$4:$B$263,'SPC Backing (Hide)'!$E$4:$E$263),0),MATCH(B12,'SPC Backing (Hide)'!$F$3:$T$3,0)):INDEX('SPC Backing (Hide)'!$F$4:$T$263,MATCH(SPC!$B$14,IF(Setup!$B$11="Weekly",'SPC Backing (Hide)'!$B$4:$B$263,'SPC Backing (Hide)'!$E$4:$E$263),0),MATCH(B12,'SPC Backing (Hide)'!$F$3:$T$3,0)))</f>
        <v>0</v>
      </c>
      <c r="D12" s="121"/>
      <c r="E12" s="97"/>
      <c r="F12" s="97"/>
      <c r="G12" s="39"/>
      <c r="H12" s="100">
        <f t="shared" si="0"/>
        <v>0</v>
      </c>
      <c r="I12" s="100" t="str">
        <f t="shared" si="5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</row>
    <row r="13" spans="1:12" x14ac:dyDescent="0.35">
      <c r="B13" s="52" t="str">
        <f>Setup!A28</f>
        <v>Caseload 9</v>
      </c>
      <c r="C13" s="103">
        <f>AVERAGE(INDEX('SPC Backing (Hide)'!$F$4:$T$263,MATCH(SPC!$B$13,IF(Setup!$B$11="Weekly",'SPC Backing (Hide)'!$B$4:$B$263,'SPC Backing (Hide)'!$E$4:$E$263),0),MATCH(B13,'SPC Backing (Hide)'!$F$3:$T$3,0)):INDEX('SPC Backing (Hide)'!$F$4:$T$263,MATCH(SPC!$B$14,IF(Setup!$B$11="Weekly",'SPC Backing (Hide)'!$B$4:$B$263,'SPC Backing (Hide)'!$E$4:$E$263),0),MATCH(B13,'SPC Backing (Hide)'!$F$3:$T$3,0)))</f>
        <v>0</v>
      </c>
      <c r="D13" s="121"/>
      <c r="E13" s="97"/>
      <c r="F13" s="97"/>
      <c r="G13" s="39"/>
      <c r="H13" s="100">
        <f t="shared" si="0"/>
        <v>0</v>
      </c>
      <c r="I13" s="100" t="str">
        <f t="shared" si="5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</row>
    <row r="14" spans="1:12" x14ac:dyDescent="0.35">
      <c r="B14" s="52" t="str">
        <f>Setup!A29</f>
        <v>Caseload 10</v>
      </c>
      <c r="C14" s="103">
        <f>AVERAGE(INDEX('SPC Backing (Hide)'!$F$4:$T$263,MATCH(SPC!$B$13,IF(Setup!$B$11="Weekly",'SPC Backing (Hide)'!$B$4:$B$263,'SPC Backing (Hide)'!$E$4:$E$263),0),MATCH(B14,'SPC Backing (Hide)'!$F$3:$T$3,0)):INDEX('SPC Backing (Hide)'!$F$4:$T$263,MATCH(SPC!$B$14,IF(Setup!$B$11="Weekly",'SPC Backing (Hide)'!$B$4:$B$263,'SPC Backing (Hide)'!$E$4:$E$263),0),MATCH(B14,'SPC Backing (Hide)'!$F$3:$T$3,0)))</f>
        <v>0</v>
      </c>
      <c r="D14" s="121"/>
      <c r="E14" s="97"/>
      <c r="F14" s="97"/>
      <c r="G14" s="39"/>
      <c r="H14" s="100">
        <f t="shared" si="0"/>
        <v>0</v>
      </c>
      <c r="I14" s="100" t="str">
        <f t="shared" si="5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</row>
    <row r="15" spans="1:12" x14ac:dyDescent="0.35">
      <c r="B15" s="52" t="str">
        <f>Setup!A30</f>
        <v>Caseload 11</v>
      </c>
      <c r="C15" s="103">
        <f>AVERAGE(INDEX('SPC Backing (Hide)'!$F$4:$T$263,MATCH(SPC!$B$13,IF(Setup!$B$11="Weekly",'SPC Backing (Hide)'!$B$4:$B$263,'SPC Backing (Hide)'!$E$4:$E$263),0),MATCH(B15,'SPC Backing (Hide)'!$F$3:$T$3,0)):INDEX('SPC Backing (Hide)'!$F$4:$T$263,MATCH(SPC!$B$14,IF(Setup!$B$11="Weekly",'SPC Backing (Hide)'!$B$4:$B$263,'SPC Backing (Hide)'!$E$4:$E$263),0),MATCH(B15,'SPC Backing (Hide)'!$F$3:$T$3,0)))</f>
        <v>0</v>
      </c>
      <c r="D15" s="121"/>
      <c r="E15" s="97"/>
      <c r="F15" s="97"/>
      <c r="G15" s="39"/>
      <c r="H15" s="100">
        <f t="shared" si="0"/>
        <v>0</v>
      </c>
      <c r="I15" s="100" t="str">
        <f t="shared" si="5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</row>
    <row r="16" spans="1:12" x14ac:dyDescent="0.35">
      <c r="B16" s="52" t="str">
        <f>Setup!A31</f>
        <v>Caseload 12</v>
      </c>
      <c r="C16" s="103">
        <f>AVERAGE(INDEX('SPC Backing (Hide)'!$F$4:$T$263,MATCH(SPC!$B$13,IF(Setup!$B$11="Weekly",'SPC Backing (Hide)'!$B$4:$B$263,'SPC Backing (Hide)'!$E$4:$E$263),0),MATCH(B16,'SPC Backing (Hide)'!$F$3:$T$3,0)):INDEX('SPC Backing (Hide)'!$F$4:$T$263,MATCH(SPC!$B$14,IF(Setup!$B$11="Weekly",'SPC Backing (Hide)'!$B$4:$B$263,'SPC Backing (Hide)'!$E$4:$E$263),0),MATCH(B16,'SPC Backing (Hide)'!$F$3:$T$3,0)))</f>
        <v>0</v>
      </c>
      <c r="D16" s="121"/>
      <c r="E16" s="97"/>
      <c r="F16" s="97"/>
      <c r="G16" s="39"/>
      <c r="H16" s="100">
        <f t="shared" si="0"/>
        <v>0</v>
      </c>
      <c r="I16" s="100" t="str">
        <f t="shared" si="5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</row>
    <row r="17" spans="2:12" x14ac:dyDescent="0.35">
      <c r="B17" s="52" t="str">
        <f>Setup!A32</f>
        <v>Caseload 13</v>
      </c>
      <c r="C17" s="103">
        <f>AVERAGE(INDEX('SPC Backing (Hide)'!$F$4:$T$263,MATCH(SPC!$B$13,IF(Setup!$B$11="Weekly",'SPC Backing (Hide)'!$B$4:$B$263,'SPC Backing (Hide)'!$E$4:$E$263),0),MATCH(B17,'SPC Backing (Hide)'!$F$3:$T$3,0)):INDEX('SPC Backing (Hide)'!$F$4:$T$263,MATCH(SPC!$B$14,IF(Setup!$B$11="Weekly",'SPC Backing (Hide)'!$B$4:$B$263,'SPC Backing (Hide)'!$E$4:$E$263),0),MATCH(B17,'SPC Backing (Hide)'!$F$3:$T$3,0)))</f>
        <v>0</v>
      </c>
      <c r="D17" s="121"/>
      <c r="E17" s="97"/>
      <c r="F17" s="97"/>
      <c r="G17" s="39"/>
      <c r="H17" s="100">
        <f t="shared" si="0"/>
        <v>0</v>
      </c>
      <c r="I17" s="100" t="str">
        <f t="shared" si="5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</row>
    <row r="18" spans="2:12" x14ac:dyDescent="0.35">
      <c r="B18" s="52" t="str">
        <f>Setup!A33</f>
        <v>Caseload 14</v>
      </c>
      <c r="C18" s="103">
        <f>AVERAGE(INDEX('SPC Backing (Hide)'!$F$4:$T$263,MATCH(SPC!$B$13,IF(Setup!$B$11="Weekly",'SPC Backing (Hide)'!$B$4:$B$263,'SPC Backing (Hide)'!$E$4:$E$263),0),MATCH(B18,'SPC Backing (Hide)'!$F$3:$T$3,0)):INDEX('SPC Backing (Hide)'!$F$4:$T$263,MATCH(SPC!$B$14,IF(Setup!$B$11="Weekly",'SPC Backing (Hide)'!$B$4:$B$263,'SPC Backing (Hide)'!$E$4:$E$263),0),MATCH(B18,'SPC Backing (Hide)'!$F$3:$T$3,0)))</f>
        <v>0</v>
      </c>
      <c r="D18" s="121"/>
      <c r="E18" s="97"/>
      <c r="F18" s="97"/>
      <c r="G18" s="39"/>
      <c r="H18" s="100">
        <f t="shared" si="0"/>
        <v>0</v>
      </c>
      <c r="I18" s="100" t="str">
        <f t="shared" si="5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</row>
    <row r="19" spans="2:12" ht="15" thickBot="1" x14ac:dyDescent="0.4">
      <c r="B19" s="53" t="str">
        <f>Setup!A34</f>
        <v>Caseload 15</v>
      </c>
      <c r="C19" s="104">
        <f>AVERAGE(INDEX('SPC Backing (Hide)'!$F$4:$T$263,MATCH(SPC!$B$13,IF(Setup!$B$11="Weekly",'SPC Backing (Hide)'!$B$4:$B$263,'SPC Backing (Hide)'!$E$4:$E$263),0),MATCH(B19,'SPC Backing (Hide)'!$F$3:$T$3,0)):INDEX('SPC Backing (Hide)'!$F$4:$T$263,MATCH(SPC!$B$14,IF(Setup!$B$11="Weekly",'SPC Backing (Hide)'!$B$4:$B$263,'SPC Backing (Hide)'!$E$4:$E$263),0),MATCH(B19,'SPC Backing (Hide)'!$F$3:$T$3,0)))</f>
        <v>0</v>
      </c>
      <c r="D19" s="142"/>
      <c r="E19" s="98"/>
      <c r="F19" s="98"/>
      <c r="G19" s="40"/>
      <c r="H19" s="101">
        <f t="shared" si="0"/>
        <v>0</v>
      </c>
      <c r="I19" s="101" t="str">
        <f t="shared" si="5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</row>
    <row r="20" spans="2:12" ht="15" thickBot="1" x14ac:dyDescent="0.4">
      <c r="B20" s="123" t="s">
        <v>186</v>
      </c>
      <c r="C20" s="38"/>
      <c r="D20" s="38"/>
      <c r="E20" s="38"/>
      <c r="F20" s="38"/>
      <c r="G20" s="17"/>
      <c r="H20" s="122">
        <f t="shared" si="0"/>
        <v>0</v>
      </c>
      <c r="I20" s="122" t="str">
        <f t="shared" ref="I20" si="6">IF(H20&lt;&gt;0,TEXT(H20-(H20/100*5),"#.0")&amp;" - "&amp;TEXT(H20+(H20/100*5),"#.0"),"")</f>
        <v/>
      </c>
      <c r="J20" s="27">
        <f t="shared" ref="J20" si="7">H20-(H20/100*5)</f>
        <v>0</v>
      </c>
      <c r="K20" s="27">
        <f t="shared" ref="K20" si="8">H20+(H20/100*5)</f>
        <v>0</v>
      </c>
      <c r="L20" s="27">
        <f t="shared" ref="L20" si="9">K20-J20</f>
        <v>0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G5:G19 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E6" sqref="E6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138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46</v>
      </c>
      <c r="D3" s="56" t="s">
        <v>163</v>
      </c>
      <c r="E3" s="56" t="s">
        <v>47</v>
      </c>
      <c r="F3" s="56" t="s">
        <v>50</v>
      </c>
      <c r="G3" s="56" t="s">
        <v>48</v>
      </c>
      <c r="H3" s="56" t="s">
        <v>49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26" t="str" cm="1">
        <f t="array" ref="B4">INDEX('Data Validation (Hide)'!$B$2:$B$16,ROUNDUP(ROW(A1)/5,0),1)</f>
        <v>Caseload 1</v>
      </c>
      <c r="C4" s="3"/>
      <c r="D4" s="18"/>
      <c r="E4" s="18"/>
      <c r="F4" s="15"/>
      <c r="G4" s="4" t="e">
        <f>INDEX('Data Validation (Hide)'!$K$2:$L$9,MATCH(Service!F4,'Data Validation (Hide)'!$K$2:$K$8,0),2)</f>
        <v>#N/A</v>
      </c>
      <c r="H4" s="85" t="str">
        <f>IFERROR((G4*D4)/E4,"")</f>
        <v/>
      </c>
      <c r="I4" s="136">
        <f>SUMIF($E$4:$E$8,1,$H$4:$H$8)</f>
        <v>0</v>
      </c>
      <c r="J4" s="139">
        <f>SUMIF($E$4:$E$8,"&gt;"&amp;1,$H$4:$H$8)</f>
        <v>0</v>
      </c>
    </row>
    <row r="5" spans="1:10" x14ac:dyDescent="0.35">
      <c r="B5" s="127" t="str" cm="1">
        <f t="array" ref="B5">INDEX('Data Validation (Hide)'!$B$2:$B$16,ROUNDUP(ROW(A2)/5,0),1)</f>
        <v>Caseload 1</v>
      </c>
      <c r="C5" s="7"/>
      <c r="D5" s="20"/>
      <c r="E5" s="20"/>
      <c r="F5" s="6"/>
      <c r="G5" s="19" t="e">
        <f>INDEX('Data Validation (Hide)'!$K$2:$L$9,MATCH(Service!F5,'Data Validation (Hide)'!$K$2:$K$8,0),2)</f>
        <v>#N/A</v>
      </c>
      <c r="H5" s="86" t="str">
        <f t="shared" ref="H5:H35" si="0">IFERROR((G5*D5)/E5,"")</f>
        <v/>
      </c>
      <c r="I5" s="137"/>
      <c r="J5" s="140"/>
    </row>
    <row r="6" spans="1:10" x14ac:dyDescent="0.35">
      <c r="B6" s="125" t="str" cm="1">
        <f t="array" ref="B6">INDEX('Data Validation (Hide)'!$B$2:$B$16,ROUNDUP(ROW(A3)/5,0),1)</f>
        <v>Caseload 1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37"/>
      <c r="J6" s="140"/>
    </row>
    <row r="7" spans="1:10" x14ac:dyDescent="0.35">
      <c r="B7" s="127" t="str" cm="1">
        <f t="array" ref="B7">INDEX('Data Validation (Hide)'!$B$2:$B$16,ROUNDUP(ROW(A4)/5,0),1)</f>
        <v>Caseload 1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37"/>
      <c r="J7" s="140"/>
    </row>
    <row r="8" spans="1:10" ht="15" thickBot="1" x14ac:dyDescent="0.4">
      <c r="B8" s="128" t="str" cm="1">
        <f t="array" ref="B8">INDEX('Data Validation (Hide)'!$B$2:$B$16,ROUNDUP(ROW(A5)/5,0),1)</f>
        <v>Caseload 1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38"/>
      <c r="J8" s="141"/>
    </row>
    <row r="9" spans="1:10" x14ac:dyDescent="0.35">
      <c r="B9" s="126" t="str" cm="1">
        <f t="array" ref="B9">INDEX('Data Validation (Hide)'!$B$2:$B$16,ROUNDUP(ROW(A6)/5,0),1)</f>
        <v>Caseload 2</v>
      </c>
      <c r="C9" s="3"/>
      <c r="D9" s="18"/>
      <c r="E9" s="18"/>
      <c r="F9" s="15"/>
      <c r="G9" s="4" t="e">
        <f>INDEX('Data Validation (Hide)'!$K$2:$L$9,MATCH(Service!F9,'Data Validation (Hide)'!$K$2:$K$8,0),2)</f>
        <v>#N/A</v>
      </c>
      <c r="H9" s="85" t="str">
        <f t="shared" si="0"/>
        <v/>
      </c>
      <c r="I9" s="136">
        <f>SUMIF($E$9:$E$13,1,$H$9:$H$13)</f>
        <v>0</v>
      </c>
      <c r="J9" s="136">
        <f>SUMIF($E$9:$E$13,"&gt;"&amp;1,$H$9:$H$13)</f>
        <v>0</v>
      </c>
    </row>
    <row r="10" spans="1:10" x14ac:dyDescent="0.35">
      <c r="B10" s="127" t="str" cm="1">
        <f t="array" ref="B10">INDEX('Data Validation (Hide)'!$B$2:$B$16,ROUNDUP(ROW(A7)/5,0),1)</f>
        <v>Caseload 2</v>
      </c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86" t="str">
        <f t="shared" si="0"/>
        <v/>
      </c>
      <c r="I10" s="137"/>
      <c r="J10" s="137"/>
    </row>
    <row r="11" spans="1:10" x14ac:dyDescent="0.35">
      <c r="B11" s="125" t="str" cm="1">
        <f t="array" ref="B11">INDEX('Data Validation (Hide)'!$B$2:$B$16,ROUNDUP(ROW(A8)/5,0),1)</f>
        <v>Caseload 2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37"/>
      <c r="J11" s="137"/>
    </row>
    <row r="12" spans="1:10" x14ac:dyDescent="0.35">
      <c r="B12" s="127" t="str" cm="1">
        <f t="array" ref="B12">INDEX('Data Validation (Hide)'!$B$2:$B$16,ROUNDUP(ROW(A9)/5,0),1)</f>
        <v>Caseload 2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37"/>
      <c r="J12" s="137"/>
    </row>
    <row r="13" spans="1:10" ht="15" thickBot="1" x14ac:dyDescent="0.4">
      <c r="B13" s="128" t="str" cm="1">
        <f t="array" ref="B13">INDEX('Data Validation (Hide)'!$B$2:$B$16,ROUNDUP(ROW(A10)/5,0),1)</f>
        <v>Caseload 2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38"/>
      <c r="J13" s="138"/>
    </row>
    <row r="14" spans="1:10" x14ac:dyDescent="0.35">
      <c r="B14" s="126" t="str" cm="1">
        <f t="array" ref="B14">INDEX('Data Validation (Hide)'!$B$2:$B$16,ROUNDUP(ROW(A11)/5,0),1)</f>
        <v>Caseload 3</v>
      </c>
      <c r="C14" s="3"/>
      <c r="D14" s="18"/>
      <c r="E14" s="18"/>
      <c r="F14" s="15"/>
      <c r="G14" s="4" t="e">
        <f>INDEX('Data Validation (Hide)'!$K$2:$L$9,MATCH(Service!F14,'Data Validation (Hide)'!$K$2:$K$8,0),2)</f>
        <v>#N/A</v>
      </c>
      <c r="H14" s="85" t="str">
        <f t="shared" si="0"/>
        <v/>
      </c>
      <c r="I14" s="136">
        <f>SUMIF($E$14:$E$18,1,$H$14:$H$18)</f>
        <v>0</v>
      </c>
      <c r="J14" s="136">
        <f>SUMIF($E$14:$E$18,"&gt;"&amp;1,$H$14:$H$18)</f>
        <v>0</v>
      </c>
    </row>
    <row r="15" spans="1:10" x14ac:dyDescent="0.35">
      <c r="B15" s="127" t="str" cm="1">
        <f t="array" ref="B15">INDEX('Data Validation (Hide)'!$B$2:$B$16,ROUNDUP(ROW(A12)/5,0),1)</f>
        <v>Caseload 3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37"/>
      <c r="J15" s="137"/>
    </row>
    <row r="16" spans="1:10" x14ac:dyDescent="0.35">
      <c r="B16" s="125" t="str" cm="1">
        <f t="array" ref="B16">INDEX('Data Validation (Hide)'!$B$2:$B$16,ROUNDUP(ROW(A13)/5,0),1)</f>
        <v>Caseload 3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37"/>
      <c r="J16" s="137"/>
    </row>
    <row r="17" spans="2:10" x14ac:dyDescent="0.35">
      <c r="B17" s="127" t="str" cm="1">
        <f t="array" ref="B17">INDEX('Data Validation (Hide)'!$B$2:$B$16,ROUNDUP(ROW(A14)/5,0),1)</f>
        <v>Caseload 3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37"/>
      <c r="J17" s="137"/>
    </row>
    <row r="18" spans="2:10" ht="15" thickBot="1" x14ac:dyDescent="0.4">
      <c r="B18" s="128" t="str" cm="1">
        <f t="array" ref="B18">INDEX('Data Validation (Hide)'!$B$2:$B$16,ROUNDUP(ROW(A15)/5,0),1)</f>
        <v>Caseload 3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38"/>
      <c r="J18" s="138"/>
    </row>
    <row r="19" spans="2:10" x14ac:dyDescent="0.35">
      <c r="B19" s="126" t="str" cm="1">
        <f t="array" ref="B19">INDEX('Data Validation (Hide)'!$B$2:$B$16,ROUNDUP(ROW(A16)/5,0),1)</f>
        <v>Caseload 4</v>
      </c>
      <c r="C19" s="3"/>
      <c r="D19" s="18"/>
      <c r="E19" s="18"/>
      <c r="F19" s="15"/>
      <c r="G19" s="4" t="e">
        <f>INDEX('Data Validation (Hide)'!$K$2:$L$9,MATCH(Service!F19,'Data Validation (Hide)'!$K$2:$K$8,0),2)</f>
        <v>#N/A</v>
      </c>
      <c r="H19" s="85" t="str">
        <f t="shared" si="0"/>
        <v/>
      </c>
      <c r="I19" s="136">
        <f>SUMIF($E$19:$E$23,1,$H$19:$H$23)</f>
        <v>0</v>
      </c>
      <c r="J19" s="136">
        <f>SUMIF($E$19:$E$23,"&gt;"&amp;1,$H$19:$H$23)</f>
        <v>0</v>
      </c>
    </row>
    <row r="20" spans="2:10" x14ac:dyDescent="0.35">
      <c r="B20" s="127" t="str" cm="1">
        <f t="array" ref="B20">INDEX('Data Validation (Hide)'!$B$2:$B$16,ROUNDUP(ROW(A17)/5,0),1)</f>
        <v>Caseload 4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37"/>
      <c r="J20" s="137"/>
    </row>
    <row r="21" spans="2:10" x14ac:dyDescent="0.35">
      <c r="B21" s="125" t="str" cm="1">
        <f t="array" ref="B21">INDEX('Data Validation (Hide)'!$B$2:$B$16,ROUNDUP(ROW(A18)/5,0),1)</f>
        <v>Caseload 4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37"/>
      <c r="J21" s="137"/>
    </row>
    <row r="22" spans="2:10" x14ac:dyDescent="0.35">
      <c r="B22" s="127" t="str" cm="1">
        <f t="array" ref="B22">INDEX('Data Validation (Hide)'!$B$2:$B$16,ROUNDUP(ROW(A19)/5,0),1)</f>
        <v>Caseload 4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37"/>
      <c r="J22" s="137"/>
    </row>
    <row r="23" spans="2:10" ht="15" thickBot="1" x14ac:dyDescent="0.4">
      <c r="B23" s="128" t="str" cm="1">
        <f t="array" ref="B23">INDEX('Data Validation (Hide)'!$B$2:$B$16,ROUNDUP(ROW(A20)/5,0),1)</f>
        <v>Caseload 4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38"/>
      <c r="J23" s="138"/>
    </row>
    <row r="24" spans="2:10" x14ac:dyDescent="0.35">
      <c r="B24" s="126" t="str" cm="1">
        <f t="array" ref="B24">INDEX('Data Validation (Hide)'!$B$2:$B$16,ROUNDUP(ROW(A21)/5,0),1)</f>
        <v>Caseload 5</v>
      </c>
      <c r="C24" s="3"/>
      <c r="D24" s="18"/>
      <c r="E24" s="18"/>
      <c r="F24" s="15"/>
      <c r="G24" s="4" t="e">
        <f>INDEX('Data Validation (Hide)'!$K$2:$L$9,MATCH(Service!F24,'Data Validation (Hide)'!$K$2:$K$8,0),2)</f>
        <v>#N/A</v>
      </c>
      <c r="H24" s="85" t="str">
        <f t="shared" si="0"/>
        <v/>
      </c>
      <c r="I24" s="136">
        <f>SUMIF($E$24:$E$28,1,$H$24:$H$28)</f>
        <v>0</v>
      </c>
      <c r="J24" s="136">
        <f>SUMIF($E$24:$E$28,"&gt;"&amp;1,$H$24:$H$28)</f>
        <v>0</v>
      </c>
    </row>
    <row r="25" spans="2:10" x14ac:dyDescent="0.35">
      <c r="B25" s="127" t="str" cm="1">
        <f t="array" ref="B25">INDEX('Data Validation (Hide)'!$B$2:$B$16,ROUNDUP(ROW(A22)/5,0),1)</f>
        <v>Caseload 5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37"/>
      <c r="J25" s="137"/>
    </row>
    <row r="26" spans="2:10" x14ac:dyDescent="0.35">
      <c r="B26" s="125" t="str" cm="1">
        <f t="array" ref="B26">INDEX('Data Validation (Hide)'!$B$2:$B$16,ROUNDUP(ROW(A23)/5,0),1)</f>
        <v>Caseload 5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37"/>
      <c r="J26" s="137"/>
    </row>
    <row r="27" spans="2:10" x14ac:dyDescent="0.35">
      <c r="B27" s="127" t="str" cm="1">
        <f t="array" ref="B27">INDEX('Data Validation (Hide)'!$B$2:$B$16,ROUNDUP(ROW(A24)/5,0),1)</f>
        <v>Caseload 5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37"/>
      <c r="J27" s="137"/>
    </row>
    <row r="28" spans="2:10" ht="15" thickBot="1" x14ac:dyDescent="0.4">
      <c r="B28" s="128" t="str" cm="1">
        <f t="array" ref="B28">INDEX('Data Validation (Hide)'!$B$2:$B$16,ROUNDUP(ROW(A25)/5,0),1)</f>
        <v>Caseload 5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38"/>
      <c r="J28" s="138"/>
    </row>
    <row r="29" spans="2:10" x14ac:dyDescent="0.35">
      <c r="B29" s="126" t="str" cm="1">
        <f t="array" ref="B29">INDEX('Data Validation (Hide)'!$B$2:$B$16,ROUNDUP(ROW(A26)/5,0),1)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33">
        <f>SUMIF($E$29:$E$33,1,$H$29:$H$33)</f>
        <v>0</v>
      </c>
      <c r="J29" s="133">
        <f>SUMIF($E$29:$E$33,"&gt;"&amp;1,$H$29:$H$33)</f>
        <v>0</v>
      </c>
    </row>
    <row r="30" spans="2:10" x14ac:dyDescent="0.35">
      <c r="B30" s="127" t="str" cm="1">
        <f t="array" ref="B30">INDEX('Data Validation (Hide)'!$B$2:$B$16,ROUNDUP(ROW(A27)/5,0),1)</f>
        <v>Caseload 6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34"/>
      <c r="J30" s="134"/>
    </row>
    <row r="31" spans="2:10" x14ac:dyDescent="0.35">
      <c r="B31" s="125" t="str" cm="1">
        <f t="array" ref="B31">INDEX('Data Validation (Hide)'!$B$2:$B$16,ROUNDUP(ROW(A28)/5,0),1)</f>
        <v>Caseload 6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34"/>
      <c r="J31" s="134"/>
    </row>
    <row r="32" spans="2:10" x14ac:dyDescent="0.35">
      <c r="B32" s="127" t="str" cm="1">
        <f t="array" ref="B32">INDEX('Data Validation (Hide)'!$B$2:$B$16,ROUNDUP(ROW(A29)/5,0),1)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34"/>
      <c r="J32" s="134"/>
    </row>
    <row r="33" spans="2:10" ht="15" thickBot="1" x14ac:dyDescent="0.4">
      <c r="B33" s="128" t="str" cm="1">
        <f t="array" ref="B33">INDEX('Data Validation (Hide)'!$B$2:$B$16,ROUNDUP(ROW(A30)/5,0),1)</f>
        <v>Caseload 6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35"/>
      <c r="J33" s="135"/>
    </row>
    <row r="34" spans="2:10" x14ac:dyDescent="0.35">
      <c r="B34" s="126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33">
        <f>SUMIF($E$34:$E$38,1,$H$34:$H$38)</f>
        <v>0</v>
      </c>
      <c r="J34" s="133">
        <f>SUMIF($E$34:$E$38,"&gt;"&amp;1,$H$34:$H$38)</f>
        <v>0</v>
      </c>
    </row>
    <row r="35" spans="2:10" x14ac:dyDescent="0.35">
      <c r="B35" s="127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34"/>
      <c r="J35" s="134"/>
    </row>
    <row r="36" spans="2:10" x14ac:dyDescent="0.35">
      <c r="B36" s="125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34"/>
      <c r="J36" s="134"/>
    </row>
    <row r="37" spans="2:10" x14ac:dyDescent="0.35">
      <c r="B37" s="127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34"/>
      <c r="J37" s="134"/>
    </row>
    <row r="38" spans="2:10" ht="15" thickBot="1" x14ac:dyDescent="0.4">
      <c r="B38" s="128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35"/>
      <c r="J38" s="135"/>
    </row>
    <row r="39" spans="2:10" x14ac:dyDescent="0.35">
      <c r="B39" s="126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33">
        <f>SUMIF($E$39:$E$43,1,$H$39:$H$43)</f>
        <v>0</v>
      </c>
      <c r="J39" s="133">
        <f>SUMIF($E$39:$E$43,"&gt;"&amp;1,$H$39:$H$43)</f>
        <v>0</v>
      </c>
    </row>
    <row r="40" spans="2:10" x14ac:dyDescent="0.35">
      <c r="B40" s="127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34"/>
      <c r="J40" s="134"/>
    </row>
    <row r="41" spans="2:10" x14ac:dyDescent="0.35">
      <c r="B41" s="125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34"/>
      <c r="J41" s="134"/>
    </row>
    <row r="42" spans="2:10" x14ac:dyDescent="0.35">
      <c r="B42" s="127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34"/>
      <c r="J42" s="134"/>
    </row>
    <row r="43" spans="2:10" ht="15" thickBot="1" x14ac:dyDescent="0.4">
      <c r="B43" s="128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35"/>
      <c r="J43" s="135"/>
    </row>
    <row r="44" spans="2:10" x14ac:dyDescent="0.35">
      <c r="B44" s="126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33">
        <f>SUMIF($E$44:$E$48,1,$H$44:$H$48)</f>
        <v>0</v>
      </c>
      <c r="J44" s="133">
        <f>SUMIF($E$44:$E$48,"&gt;"&amp;1,$H$44:$H$48)</f>
        <v>0</v>
      </c>
    </row>
    <row r="45" spans="2:10" x14ac:dyDescent="0.35">
      <c r="B45" s="127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34"/>
      <c r="J45" s="134"/>
    </row>
    <row r="46" spans="2:10" x14ac:dyDescent="0.35">
      <c r="B46" s="125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34"/>
      <c r="J46" s="134"/>
    </row>
    <row r="47" spans="2:10" x14ac:dyDescent="0.35">
      <c r="B47" s="127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34"/>
      <c r="J47" s="134"/>
    </row>
    <row r="48" spans="2:10" ht="15" thickBot="1" x14ac:dyDescent="0.4">
      <c r="B48" s="128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35"/>
      <c r="J48" s="135"/>
    </row>
    <row r="49" spans="2:10" x14ac:dyDescent="0.35">
      <c r="B49" s="126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33">
        <f>SUMIF($E$49:$E$53,1,$H$49:$H$53)</f>
        <v>0</v>
      </c>
      <c r="J49" s="133">
        <f>SUMIF($E$49:$E$53,"&gt;"&amp;1,$H$49:$H$53)</f>
        <v>0</v>
      </c>
    </row>
    <row r="50" spans="2:10" x14ac:dyDescent="0.35">
      <c r="B50" s="127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34"/>
      <c r="J50" s="134"/>
    </row>
    <row r="51" spans="2:10" x14ac:dyDescent="0.35">
      <c r="B51" s="125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34"/>
      <c r="J51" s="134"/>
    </row>
    <row r="52" spans="2:10" x14ac:dyDescent="0.35">
      <c r="B52" s="127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34"/>
      <c r="J52" s="134"/>
    </row>
    <row r="53" spans="2:10" ht="15" thickBot="1" x14ac:dyDescent="0.4">
      <c r="B53" s="128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35"/>
      <c r="J53" s="135"/>
    </row>
    <row r="54" spans="2:10" x14ac:dyDescent="0.35">
      <c r="B54" s="126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33">
        <f>SUMIF($E$54:$E$58,1,$H$54:$H$58)</f>
        <v>0</v>
      </c>
      <c r="J54" s="133">
        <f>SUMIF($E$54:$E$58,"&gt;"&amp;1,$H$54:$H$58)</f>
        <v>0</v>
      </c>
    </row>
    <row r="55" spans="2:10" x14ac:dyDescent="0.35">
      <c r="B55" s="127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34"/>
      <c r="J55" s="134"/>
    </row>
    <row r="56" spans="2:10" x14ac:dyDescent="0.35">
      <c r="B56" s="125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34"/>
      <c r="J56" s="134"/>
    </row>
    <row r="57" spans="2:10" x14ac:dyDescent="0.35">
      <c r="B57" s="127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34"/>
      <c r="J57" s="134"/>
    </row>
    <row r="58" spans="2:10" ht="15" thickBot="1" x14ac:dyDescent="0.4">
      <c r="B58" s="128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35"/>
      <c r="J58" s="135"/>
    </row>
    <row r="59" spans="2:10" x14ac:dyDescent="0.35">
      <c r="B59" s="126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33">
        <f>SUMIF($E$59:$E$63,1,$H$59:$H$63)</f>
        <v>0</v>
      </c>
      <c r="J59" s="133">
        <f>SUMIF($E$59:$E$63,"&gt;"&amp;1,$H$59:$H$63)</f>
        <v>0</v>
      </c>
    </row>
    <row r="60" spans="2:10" x14ac:dyDescent="0.35">
      <c r="B60" s="127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34"/>
      <c r="J60" s="134"/>
    </row>
    <row r="61" spans="2:10" x14ac:dyDescent="0.35">
      <c r="B61" s="125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34"/>
      <c r="J61" s="134"/>
    </row>
    <row r="62" spans="2:10" x14ac:dyDescent="0.35">
      <c r="B62" s="127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34"/>
      <c r="J62" s="134"/>
    </row>
    <row r="63" spans="2:10" ht="15" thickBot="1" x14ac:dyDescent="0.4">
      <c r="B63" s="128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35"/>
      <c r="J63" s="135"/>
    </row>
    <row r="64" spans="2:10" x14ac:dyDescent="0.35">
      <c r="B64" s="126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33">
        <f>SUMIF($E$64:$E$68,1,$H$64:$H$68)</f>
        <v>0</v>
      </c>
      <c r="J64" s="133">
        <f>SUMIF($E$64:$E$68,"&gt;"&amp;1,$H$64:$H$68)</f>
        <v>0</v>
      </c>
    </row>
    <row r="65" spans="2:10" x14ac:dyDescent="0.35">
      <c r="B65" s="127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34"/>
      <c r="J65" s="134"/>
    </row>
    <row r="66" spans="2:10" x14ac:dyDescent="0.35">
      <c r="B66" s="125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34"/>
      <c r="J66" s="134"/>
    </row>
    <row r="67" spans="2:10" x14ac:dyDescent="0.35">
      <c r="B67" s="127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34"/>
      <c r="J67" s="134"/>
    </row>
    <row r="68" spans="2:10" ht="15" thickBot="1" x14ac:dyDescent="0.4">
      <c r="B68" s="128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35"/>
      <c r="J68" s="135"/>
    </row>
    <row r="69" spans="2:10" x14ac:dyDescent="0.35">
      <c r="B69" s="126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33">
        <f>SUMIF($E$69:$E$73,1,$H$69:$H$73)</f>
        <v>0</v>
      </c>
      <c r="J69" s="133">
        <f>SUMIF($E$69:$E$73,"&gt;"&amp;1,$H$69:$H$73)</f>
        <v>0</v>
      </c>
    </row>
    <row r="70" spans="2:10" x14ac:dyDescent="0.35">
      <c r="B70" s="127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34"/>
      <c r="J70" s="134"/>
    </row>
    <row r="71" spans="2:10" x14ac:dyDescent="0.35">
      <c r="B71" s="125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34"/>
      <c r="J71" s="134"/>
    </row>
    <row r="72" spans="2:10" x14ac:dyDescent="0.35">
      <c r="B72" s="127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34"/>
      <c r="J72" s="134"/>
    </row>
    <row r="73" spans="2:10" ht="15" thickBot="1" x14ac:dyDescent="0.4">
      <c r="B73" s="128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35"/>
      <c r="J73" s="135"/>
    </row>
    <row r="74" spans="2:10" x14ac:dyDescent="0.35">
      <c r="B74" s="126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33">
        <f>SUMIF($E$74:$E$78,1,$H$74:$H$78)</f>
        <v>0</v>
      </c>
      <c r="J74" s="133">
        <f>SUMIF($E$74:$E$78,"&gt;"&amp;1,$H$74:$H$78)</f>
        <v>0</v>
      </c>
    </row>
    <row r="75" spans="2:10" x14ac:dyDescent="0.35">
      <c r="B75" s="127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34"/>
      <c r="J75" s="134"/>
    </row>
    <row r="76" spans="2:10" x14ac:dyDescent="0.35">
      <c r="B76" s="125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34"/>
      <c r="J76" s="134"/>
    </row>
    <row r="77" spans="2:10" x14ac:dyDescent="0.35">
      <c r="B77" s="127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34"/>
      <c r="J77" s="134"/>
    </row>
    <row r="78" spans="2:10" ht="15" thickBot="1" x14ac:dyDescent="0.4">
      <c r="B78" s="128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35"/>
      <c r="J78" s="135"/>
    </row>
    <row r="79" spans="2:10" x14ac:dyDescent="0.35">
      <c r="E79" s="32"/>
      <c r="H79" s="32"/>
      <c r="I79" s="32"/>
      <c r="J79" s="32"/>
    </row>
  </sheetData>
  <mergeCells count="30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I29:I33"/>
    <mergeCell ref="I34:I38"/>
    <mergeCell ref="I4:I8"/>
    <mergeCell ref="I9:I13"/>
    <mergeCell ref="I14:I18"/>
    <mergeCell ref="I19:I23"/>
    <mergeCell ref="I24:I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I1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54</v>
      </c>
      <c r="E1" s="3" t="s">
        <v>57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Caseload 2</v>
      </c>
      <c r="M1" s="15" t="str" cm="1">
        <f t="array" ref="M1">INDEX($A$5:$A$19,ROUNDUP(COLUMN(H1)/6,0),1)</f>
        <v>Caseload 2</v>
      </c>
      <c r="N1" s="3" t="str" cm="1">
        <f t="array" ref="N1">INDEX($A$5:$A$19,ROUNDUP(COLUMN(I1)/6,0),1)</f>
        <v>Caseload 2</v>
      </c>
      <c r="O1" s="15" t="str" cm="1">
        <f t="array" ref="O1">INDEX($A$5:$A$19,ROUNDUP(COLUMN(J1)/6,0),1)</f>
        <v>Caseload 2</v>
      </c>
      <c r="P1" s="4" t="str" cm="1">
        <f t="array" ref="P1">INDEX($A$5:$A$19,ROUNDUP(COLUMN(K1)/6,0),1)</f>
        <v>Caseload 2</v>
      </c>
      <c r="Q1" s="15" t="str" cm="1">
        <f t="array" ref="Q1">INDEX($A$5:$A$19,ROUNDUP(COLUMN(L1)/6,0),1)</f>
        <v>Caseload 2</v>
      </c>
      <c r="R1" s="3" t="str" cm="1">
        <f t="array" ref="R1">INDEX($A$5:$A$19,ROUNDUP(COLUMN(M1)/6,0),1)</f>
        <v>Caseload 3</v>
      </c>
      <c r="S1" s="15" t="str" cm="1">
        <f t="array" ref="S1">INDEX($A$5:$A$19,ROUNDUP(COLUMN(N1)/6,0),1)</f>
        <v>Caseload 3</v>
      </c>
      <c r="T1" s="3" t="str" cm="1">
        <f t="array" ref="T1">INDEX($A$5:$A$19,ROUNDUP(COLUMN(O1)/6,0),1)</f>
        <v>Caseload 3</v>
      </c>
      <c r="U1" s="15" t="str" cm="1">
        <f t="array" ref="U1">INDEX($A$5:$A$19,ROUNDUP(COLUMN(P1)/6,0),1)</f>
        <v>Caseload 3</v>
      </c>
      <c r="V1" s="4" t="str" cm="1">
        <f t="array" ref="V1">INDEX($A$5:$A$19,ROUNDUP(COLUMN(Q1)/6,0),1)</f>
        <v>Caseload 3</v>
      </c>
      <c r="W1" s="15" t="str" cm="1">
        <f t="array" ref="W1">INDEX($A$5:$A$19,ROUNDUP(COLUMN(R1)/6,0),1)</f>
        <v>Caseload 3</v>
      </c>
      <c r="X1" s="3" t="str" cm="1">
        <f t="array" ref="X1">INDEX($A$5:$A$19,ROUNDUP(COLUMN(S1)/6,0),1)</f>
        <v>Caseload 4</v>
      </c>
      <c r="Y1" s="15" t="str" cm="1">
        <f t="array" ref="Y1">INDEX($A$5:$A$19,ROUNDUP(COLUMN(T1)/6,0),1)</f>
        <v>Caseload 4</v>
      </c>
      <c r="Z1" s="3" t="str" cm="1">
        <f t="array" ref="Z1">INDEX($A$5:$A$19,ROUNDUP(COLUMN(U1)/6,0),1)</f>
        <v>Caseload 4</v>
      </c>
      <c r="AA1" s="15" t="str" cm="1">
        <f t="array" ref="AA1">INDEX($A$5:$A$19,ROUNDUP(COLUMN(V1)/6,0),1)</f>
        <v>Caseload 4</v>
      </c>
      <c r="AB1" s="4" t="str" cm="1">
        <f t="array" ref="AB1">INDEX($A$5:$A$19,ROUNDUP(COLUMN(W1)/6,0),1)</f>
        <v>Caseload 4</v>
      </c>
      <c r="AC1" s="15" t="str" cm="1">
        <f t="array" ref="AC1">INDEX($A$5:$A$19,ROUNDUP(COLUMN(X1)/6,0),1)</f>
        <v>Caseload 4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143</v>
      </c>
      <c r="CS1" s="3" t="s">
        <v>143</v>
      </c>
      <c r="CT1" s="3" t="s">
        <v>143</v>
      </c>
      <c r="CU1" s="3" t="s">
        <v>143</v>
      </c>
      <c r="CV1" s="3" t="s">
        <v>143</v>
      </c>
      <c r="CW1" s="3" t="s">
        <v>143</v>
      </c>
      <c r="CY1" s="3" t="s">
        <v>65</v>
      </c>
      <c r="CZ1" s="4"/>
      <c r="DA1" s="15"/>
    </row>
    <row r="2" spans="1:105" ht="15" thickBot="1" x14ac:dyDescent="0.4">
      <c r="E2" s="7"/>
      <c r="F2" s="7" t="s">
        <v>59</v>
      </c>
      <c r="G2" s="6" t="s">
        <v>59</v>
      </c>
      <c r="H2" s="7" t="s">
        <v>51</v>
      </c>
      <c r="I2" s="6" t="s">
        <v>51</v>
      </c>
      <c r="J2" s="19" t="s">
        <v>64</v>
      </c>
      <c r="K2" s="23" t="s">
        <v>64</v>
      </c>
      <c r="L2" s="7" t="s">
        <v>59</v>
      </c>
      <c r="M2" s="6" t="s">
        <v>59</v>
      </c>
      <c r="N2" s="7" t="s">
        <v>51</v>
      </c>
      <c r="O2" s="6" t="s">
        <v>51</v>
      </c>
      <c r="P2" s="19" t="s">
        <v>64</v>
      </c>
      <c r="Q2" s="23" t="s">
        <v>64</v>
      </c>
      <c r="R2" s="7" t="s">
        <v>59</v>
      </c>
      <c r="S2" s="6" t="s">
        <v>59</v>
      </c>
      <c r="T2" s="7" t="s">
        <v>51</v>
      </c>
      <c r="U2" s="6" t="s">
        <v>51</v>
      </c>
      <c r="V2" s="19" t="s">
        <v>64</v>
      </c>
      <c r="W2" s="23" t="s">
        <v>64</v>
      </c>
      <c r="X2" s="7" t="s">
        <v>59</v>
      </c>
      <c r="Y2" s="6" t="s">
        <v>59</v>
      </c>
      <c r="Z2" s="7" t="s">
        <v>51</v>
      </c>
      <c r="AA2" s="6" t="s">
        <v>51</v>
      </c>
      <c r="AB2" s="19" t="s">
        <v>64</v>
      </c>
      <c r="AC2" s="23" t="s">
        <v>64</v>
      </c>
      <c r="AD2" s="7" t="s">
        <v>59</v>
      </c>
      <c r="AE2" s="6" t="s">
        <v>59</v>
      </c>
      <c r="AF2" s="7" t="s">
        <v>51</v>
      </c>
      <c r="AG2" s="6" t="s">
        <v>51</v>
      </c>
      <c r="AH2" s="19" t="s">
        <v>64</v>
      </c>
      <c r="AI2" s="23" t="s">
        <v>64</v>
      </c>
      <c r="AJ2" s="7" t="s">
        <v>59</v>
      </c>
      <c r="AK2" s="6" t="s">
        <v>59</v>
      </c>
      <c r="AL2" s="7" t="s">
        <v>51</v>
      </c>
      <c r="AM2" s="6" t="s">
        <v>51</v>
      </c>
      <c r="AN2" s="19" t="s">
        <v>64</v>
      </c>
      <c r="AO2" s="23" t="s">
        <v>64</v>
      </c>
      <c r="AP2" s="7" t="s">
        <v>59</v>
      </c>
      <c r="AQ2" s="6" t="s">
        <v>59</v>
      </c>
      <c r="AR2" s="7" t="s">
        <v>51</v>
      </c>
      <c r="AS2" s="6" t="s">
        <v>51</v>
      </c>
      <c r="AT2" s="19" t="s">
        <v>64</v>
      </c>
      <c r="AU2" s="23" t="s">
        <v>64</v>
      </c>
      <c r="AV2" s="7" t="s">
        <v>59</v>
      </c>
      <c r="AW2" s="6" t="s">
        <v>59</v>
      </c>
      <c r="AX2" s="7" t="s">
        <v>51</v>
      </c>
      <c r="AY2" s="6" t="s">
        <v>51</v>
      </c>
      <c r="AZ2" s="19" t="s">
        <v>64</v>
      </c>
      <c r="BA2" s="23" t="s">
        <v>64</v>
      </c>
      <c r="BB2" s="7" t="s">
        <v>59</v>
      </c>
      <c r="BC2" s="6" t="s">
        <v>59</v>
      </c>
      <c r="BD2" s="7" t="s">
        <v>51</v>
      </c>
      <c r="BE2" s="6" t="s">
        <v>51</v>
      </c>
      <c r="BF2" s="19" t="s">
        <v>64</v>
      </c>
      <c r="BG2" s="23" t="s">
        <v>64</v>
      </c>
      <c r="BH2" s="7" t="s">
        <v>59</v>
      </c>
      <c r="BI2" s="6" t="s">
        <v>59</v>
      </c>
      <c r="BJ2" s="7" t="s">
        <v>51</v>
      </c>
      <c r="BK2" s="6" t="s">
        <v>51</v>
      </c>
      <c r="BL2" s="19" t="s">
        <v>64</v>
      </c>
      <c r="BM2" s="23" t="s">
        <v>64</v>
      </c>
      <c r="BN2" s="7" t="s">
        <v>59</v>
      </c>
      <c r="BO2" s="6" t="s">
        <v>59</v>
      </c>
      <c r="BP2" s="7" t="s">
        <v>51</v>
      </c>
      <c r="BQ2" s="6" t="s">
        <v>51</v>
      </c>
      <c r="BR2" s="19" t="s">
        <v>64</v>
      </c>
      <c r="BS2" s="23" t="s">
        <v>64</v>
      </c>
      <c r="BT2" s="7" t="s">
        <v>59</v>
      </c>
      <c r="BU2" s="6" t="s">
        <v>59</v>
      </c>
      <c r="BV2" s="7" t="s">
        <v>51</v>
      </c>
      <c r="BW2" s="6" t="s">
        <v>51</v>
      </c>
      <c r="BX2" s="19" t="s">
        <v>64</v>
      </c>
      <c r="BY2" s="23" t="s">
        <v>64</v>
      </c>
      <c r="BZ2" s="7" t="s">
        <v>59</v>
      </c>
      <c r="CA2" s="6" t="s">
        <v>59</v>
      </c>
      <c r="CB2" s="7" t="s">
        <v>51</v>
      </c>
      <c r="CC2" s="6" t="s">
        <v>51</v>
      </c>
      <c r="CD2" s="19" t="s">
        <v>64</v>
      </c>
      <c r="CE2" s="23" t="s">
        <v>64</v>
      </c>
      <c r="CF2" s="7" t="s">
        <v>59</v>
      </c>
      <c r="CG2" s="6" t="s">
        <v>59</v>
      </c>
      <c r="CH2" s="7" t="s">
        <v>51</v>
      </c>
      <c r="CI2" s="6" t="s">
        <v>51</v>
      </c>
      <c r="CJ2" s="19" t="s">
        <v>64</v>
      </c>
      <c r="CK2" s="23" t="s">
        <v>64</v>
      </c>
      <c r="CL2" s="7" t="s">
        <v>59</v>
      </c>
      <c r="CM2" s="6" t="s">
        <v>59</v>
      </c>
      <c r="CN2" s="7" t="s">
        <v>51</v>
      </c>
      <c r="CO2" s="6" t="s">
        <v>51</v>
      </c>
      <c r="CP2" s="19" t="s">
        <v>64</v>
      </c>
      <c r="CQ2" s="23" t="s">
        <v>64</v>
      </c>
      <c r="CR2" s="7" t="s">
        <v>59</v>
      </c>
      <c r="CS2" s="6" t="s">
        <v>59</v>
      </c>
      <c r="CT2" s="7" t="s">
        <v>51</v>
      </c>
      <c r="CU2" s="6" t="s">
        <v>51</v>
      </c>
      <c r="CV2" s="19" t="s">
        <v>64</v>
      </c>
      <c r="CW2" s="23" t="s">
        <v>64</v>
      </c>
      <c r="CY2" s="7"/>
      <c r="CZ2" s="5"/>
      <c r="DA2" s="6"/>
    </row>
    <row r="3" spans="1:105" ht="15" thickBot="1" x14ac:dyDescent="0.4">
      <c r="B3" s="5" t="s">
        <v>118</v>
      </c>
      <c r="E3" s="7"/>
      <c r="F3" s="29">
        <f>INDEX(Service!$I$4:$J$78,MATCH('Required Capacity (Hide)'!F$1,Service!$B$4:$B$78,0),1)/IF(Summary!$B$7="Minutes",1,60)</f>
        <v>0</v>
      </c>
      <c r="G3" s="31"/>
      <c r="H3" s="29">
        <f>INDEX(Service!$I$4:$J$78,MATCH('Required Capacity (Hide)'!F$1,Service!$B$4:$B$78,0),2)/IF(Summary!$B$7="Minutes",1,60)</f>
        <v>0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</v>
      </c>
      <c r="U3" s="31"/>
      <c r="V3" s="30"/>
      <c r="W3" s="31"/>
      <c r="X3" s="29">
        <f>INDEX(Service!$I$4:$J$78,MATCH('Required Capacity (Hide)'!X$1,Service!$B$4:$B$78,0),1)/IF(Summary!$B$7="Minutes",1,60)</f>
        <v>0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0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14</v>
      </c>
      <c r="B4" s="36" t="s">
        <v>55</v>
      </c>
      <c r="C4" s="31" t="s">
        <v>56</v>
      </c>
      <c r="E4" s="17" t="s">
        <v>58</v>
      </c>
      <c r="F4" s="24" t="s">
        <v>60</v>
      </c>
      <c r="G4" s="26" t="s">
        <v>61</v>
      </c>
      <c r="H4" s="24" t="s">
        <v>60</v>
      </c>
      <c r="I4" s="26" t="s">
        <v>61</v>
      </c>
      <c r="J4" s="25" t="s">
        <v>52</v>
      </c>
      <c r="K4" s="26" t="s">
        <v>61</v>
      </c>
      <c r="L4" s="24" t="s">
        <v>60</v>
      </c>
      <c r="M4" s="26" t="s">
        <v>61</v>
      </c>
      <c r="N4" s="24" t="s">
        <v>60</v>
      </c>
      <c r="O4" s="26" t="s">
        <v>61</v>
      </c>
      <c r="P4" s="25" t="s">
        <v>52</v>
      </c>
      <c r="Q4" s="26" t="s">
        <v>61</v>
      </c>
      <c r="R4" s="24" t="s">
        <v>60</v>
      </c>
      <c r="S4" s="26" t="s">
        <v>61</v>
      </c>
      <c r="T4" s="24" t="s">
        <v>60</v>
      </c>
      <c r="U4" s="26" t="s">
        <v>61</v>
      </c>
      <c r="V4" s="25" t="s">
        <v>52</v>
      </c>
      <c r="W4" s="26" t="s">
        <v>61</v>
      </c>
      <c r="X4" s="24" t="s">
        <v>60</v>
      </c>
      <c r="Y4" s="26" t="s">
        <v>61</v>
      </c>
      <c r="Z4" s="24" t="s">
        <v>60</v>
      </c>
      <c r="AA4" s="26" t="s">
        <v>61</v>
      </c>
      <c r="AB4" s="25" t="s">
        <v>52</v>
      </c>
      <c r="AC4" s="26" t="s">
        <v>61</v>
      </c>
      <c r="AD4" s="24" t="s">
        <v>60</v>
      </c>
      <c r="AE4" s="26" t="s">
        <v>61</v>
      </c>
      <c r="AF4" s="24" t="s">
        <v>60</v>
      </c>
      <c r="AG4" s="26" t="s">
        <v>61</v>
      </c>
      <c r="AH4" s="25" t="s">
        <v>52</v>
      </c>
      <c r="AI4" s="26" t="s">
        <v>61</v>
      </c>
      <c r="AJ4" s="24" t="s">
        <v>60</v>
      </c>
      <c r="AK4" s="26" t="s">
        <v>61</v>
      </c>
      <c r="AL4" s="24" t="s">
        <v>60</v>
      </c>
      <c r="AM4" s="26" t="s">
        <v>61</v>
      </c>
      <c r="AN4" s="25" t="s">
        <v>52</v>
      </c>
      <c r="AO4" s="26" t="s">
        <v>61</v>
      </c>
      <c r="AP4" s="24" t="s">
        <v>60</v>
      </c>
      <c r="AQ4" s="26" t="s">
        <v>61</v>
      </c>
      <c r="AR4" s="24" t="s">
        <v>60</v>
      </c>
      <c r="AS4" s="26" t="s">
        <v>61</v>
      </c>
      <c r="AT4" s="25" t="s">
        <v>52</v>
      </c>
      <c r="AU4" s="26" t="s">
        <v>61</v>
      </c>
      <c r="AV4" s="24" t="s">
        <v>60</v>
      </c>
      <c r="AW4" s="26" t="s">
        <v>61</v>
      </c>
      <c r="AX4" s="24" t="s">
        <v>60</v>
      </c>
      <c r="AY4" s="26" t="s">
        <v>61</v>
      </c>
      <c r="AZ4" s="25" t="s">
        <v>52</v>
      </c>
      <c r="BA4" s="26" t="s">
        <v>61</v>
      </c>
      <c r="BB4" s="24" t="s">
        <v>60</v>
      </c>
      <c r="BC4" s="26" t="s">
        <v>61</v>
      </c>
      <c r="BD4" s="24" t="s">
        <v>60</v>
      </c>
      <c r="BE4" s="26" t="s">
        <v>61</v>
      </c>
      <c r="BF4" s="25" t="s">
        <v>52</v>
      </c>
      <c r="BG4" s="26" t="s">
        <v>61</v>
      </c>
      <c r="BH4" s="24" t="s">
        <v>60</v>
      </c>
      <c r="BI4" s="26" t="s">
        <v>61</v>
      </c>
      <c r="BJ4" s="24" t="s">
        <v>60</v>
      </c>
      <c r="BK4" s="26" t="s">
        <v>61</v>
      </c>
      <c r="BL4" s="25" t="s">
        <v>52</v>
      </c>
      <c r="BM4" s="26" t="s">
        <v>61</v>
      </c>
      <c r="BN4" s="24" t="s">
        <v>60</v>
      </c>
      <c r="BO4" s="26" t="s">
        <v>61</v>
      </c>
      <c r="BP4" s="24" t="s">
        <v>60</v>
      </c>
      <c r="BQ4" s="26" t="s">
        <v>61</v>
      </c>
      <c r="BR4" s="25" t="s">
        <v>52</v>
      </c>
      <c r="BS4" s="26" t="s">
        <v>61</v>
      </c>
      <c r="BT4" s="24" t="s">
        <v>60</v>
      </c>
      <c r="BU4" s="26" t="s">
        <v>61</v>
      </c>
      <c r="BV4" s="24" t="s">
        <v>60</v>
      </c>
      <c r="BW4" s="26" t="s">
        <v>61</v>
      </c>
      <c r="BX4" s="25" t="s">
        <v>52</v>
      </c>
      <c r="BY4" s="26" t="s">
        <v>61</v>
      </c>
      <c r="BZ4" s="24" t="s">
        <v>60</v>
      </c>
      <c r="CA4" s="26" t="s">
        <v>61</v>
      </c>
      <c r="CB4" s="24" t="s">
        <v>60</v>
      </c>
      <c r="CC4" s="26" t="s">
        <v>61</v>
      </c>
      <c r="CD4" s="25" t="s">
        <v>52</v>
      </c>
      <c r="CE4" s="26" t="s">
        <v>61</v>
      </c>
      <c r="CF4" s="24" t="s">
        <v>60</v>
      </c>
      <c r="CG4" s="26" t="s">
        <v>61</v>
      </c>
      <c r="CH4" s="24" t="s">
        <v>60</v>
      </c>
      <c r="CI4" s="26" t="s">
        <v>61</v>
      </c>
      <c r="CJ4" s="25" t="s">
        <v>52</v>
      </c>
      <c r="CK4" s="26" t="s">
        <v>61</v>
      </c>
      <c r="CL4" s="24" t="s">
        <v>60</v>
      </c>
      <c r="CM4" s="26" t="s">
        <v>61</v>
      </c>
      <c r="CN4" s="24" t="s">
        <v>60</v>
      </c>
      <c r="CO4" s="26" t="s">
        <v>61</v>
      </c>
      <c r="CP4" s="25" t="s">
        <v>52</v>
      </c>
      <c r="CQ4" s="26" t="s">
        <v>61</v>
      </c>
      <c r="CR4" s="24" t="s">
        <v>52</v>
      </c>
      <c r="CS4" s="26" t="s">
        <v>61</v>
      </c>
      <c r="CT4" s="24" t="s">
        <v>52</v>
      </c>
      <c r="CU4" s="26" t="s">
        <v>61</v>
      </c>
      <c r="CV4" s="25" t="s">
        <v>52</v>
      </c>
      <c r="CW4" s="26" t="s">
        <v>61</v>
      </c>
      <c r="CY4" s="29" t="s">
        <v>60</v>
      </c>
      <c r="CZ4" s="30" t="s">
        <v>61</v>
      </c>
      <c r="DA4" s="31" t="s">
        <v>44</v>
      </c>
    </row>
    <row r="5" spans="1:105" x14ac:dyDescent="0.35">
      <c r="A5" s="7" t="str">
        <f>'Data Validation (Hide)'!B2</f>
        <v>Caseload 1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0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1</v>
      </c>
      <c r="E5" s="12" t="e" cm="1" vm="1">
        <f t="array" aca="1" ref="E5" ca="1">IF(Setup!B11="Weekly",INDEX(Demand!$C$9:$C$268,Demand!$A$8,1)+7,EOMONTH(_xlfn.NUMBERVALUE(INDEX('SPC Backing (Hide)'!$E$4:$E$263,Demand!A8)),0)+1)</f>
        <v>#VALUE!</v>
      </c>
      <c r="F5" s="7">
        <f>INDEX($B$5:$C$19,MATCH(F$1,$A$5:$A$19,0),1)*F$3</f>
        <v>0</v>
      </c>
      <c r="G5" s="6">
        <f>INDEX($B$5:$C$19,MATCH(F$1,$A$5:$A$19,0),2)*F$3</f>
        <v>0</v>
      </c>
      <c r="H5" s="7">
        <f>INDEX($B$5:$C$19,MATCH(F$1,$A$5:$A$19,0),1)*H$3</f>
        <v>0</v>
      </c>
      <c r="I5" s="6">
        <f>INDEX($B$5:$C$19,MATCH(F$1,$A$5:$A$19,0),2)*H$3</f>
        <v>0</v>
      </c>
      <c r="J5" s="5">
        <f>SUMIF(F$4:I$4,J$4,F5:I5)</f>
        <v>0</v>
      </c>
      <c r="K5" s="6">
        <f>SUMIF(F$4:I$4,K$4,F5:I5)</f>
        <v>0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0</v>
      </c>
      <c r="O5" s="6">
        <f>INDEX($B$5:$C$19,MATCH(L$1,$A$5:$A$19,0),2)*N$3</f>
        <v>0</v>
      </c>
      <c r="P5" s="5">
        <f>SUMIF(L$4:O$4,P$4,L5:O5)</f>
        <v>0</v>
      </c>
      <c r="Q5" s="6">
        <f>SUMIF(L$4:O$4,Q$4,L5:O5)</f>
        <v>0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0</v>
      </c>
      <c r="U5" s="6">
        <f>INDEX($B$5:$C$19,MATCH(R$1,$A$5:$A$19,0),2)*T$3</f>
        <v>0</v>
      </c>
      <c r="V5" s="5">
        <f>SUMIF(R$4:U$4,V$4,R5:U5)</f>
        <v>0</v>
      </c>
      <c r="W5" s="6">
        <f>SUMIF(R$4:U$4,W$4,R5:U5)</f>
        <v>0</v>
      </c>
      <c r="X5" s="7">
        <f>INDEX($B$5:$C$19,MATCH(X$1,$A$5:$A$19,0),1)*X$3</f>
        <v>0</v>
      </c>
      <c r="Y5" s="6">
        <f>INDEX($B$5:$C$19,MATCH(X$1,$A$5:$A$19,0),2)*X$3</f>
        <v>0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0</v>
      </c>
      <c r="AC5" s="6">
        <f>SUMIF(X$4:AA$4,AC$4,X5:AA5)</f>
        <v>0</v>
      </c>
      <c r="AD5" s="7">
        <f>INDEX($B$5:$C$19,MATCH(AD$1,$A$5:$A$19,0),1)*AD$3</f>
        <v>0</v>
      </c>
      <c r="AE5" s="6">
        <f>INDEX($B$5:$C$19,MATCH(AD$1,$A$5:$A$19,0),2)*AD$3</f>
        <v>0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0</v>
      </c>
      <c r="AI5" s="6">
        <f>SUMIF(AD$4:AG$4,AI$4,AD5:AG5)</f>
        <v>0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0</v>
      </c>
      <c r="CS5" s="7">
        <f>SUMIFS($F5:$CQ5,$F$2:$CQ$2,CS$2,$F$4:$CQ$4,CS$4)</f>
        <v>0</v>
      </c>
      <c r="CT5" s="7">
        <f>SUMIFS($F5:$CQ5,$F$2:$CQ$2,CT$2,$F$4:$CQ$4,CT$4)</f>
        <v>0</v>
      </c>
      <c r="CU5" s="7">
        <f>SUMIFS($F5:$CQ5,$F$2:$CQ$2,CU$2,$F$4:$CQ$4,CU$4)</f>
        <v>0</v>
      </c>
      <c r="CV5" s="5">
        <f>SUM(CR5,CT5)</f>
        <v>0</v>
      </c>
      <c r="CW5" s="6">
        <f>SUM(CS5,CU5)</f>
        <v>0</v>
      </c>
      <c r="CY5" s="7">
        <f t="array" ref="CY5:CY56">Summary_LowerBound</f>
        <v>0</v>
      </c>
      <c r="CZ5" s="5">
        <f t="array" ref="CZ5">Summary_UpperBound</f>
        <v>0</v>
      </c>
      <c r="DA5" s="6">
        <f>CZ5-CY5</f>
        <v>0</v>
      </c>
    </row>
    <row r="6" spans="1:105" x14ac:dyDescent="0.35">
      <c r="A6" s="7" t="str">
        <f>'Data Validation (Hide)'!B3</f>
        <v>Caseload 2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0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1</v>
      </c>
      <c r="E6" s="12" t="e" vm="2">
        <f ca="1">E5+7</f>
        <v>#VALUE!</v>
      </c>
      <c r="F6" s="7">
        <f t="shared" ref="F6:F56" si="0">INDEX($B$5:$C$19,MATCH(F$1,$A$5:$A$19,0),1)*F$3</f>
        <v>0</v>
      </c>
      <c r="G6" s="6">
        <f t="shared" ref="G6:G56" si="1">INDEX($B$5:$C$19,MATCH(F$1,$A$5:$A$19,0),2)*F$3</f>
        <v>0</v>
      </c>
      <c r="H6" s="7">
        <f t="shared" ref="H6:H56" si="2">INDEX($B$5:$C$19,MATCH(F$1,$A$5:$A$19,0),1)*H$3</f>
        <v>0</v>
      </c>
      <c r="I6" s="6">
        <f t="shared" ref="I6:I56" si="3">INDEX($B$5:$C$19,MATCH(F$1,$A$5:$A$19,0),2)*H$3</f>
        <v>0</v>
      </c>
      <c r="J6" s="5">
        <f t="shared" ref="J6:J56" si="4">SUMIF(F$4:I$4,J$4,F6:I6)</f>
        <v>0</v>
      </c>
      <c r="K6" s="6">
        <f t="shared" ref="K6:K56" si="5">SUMIF(F$4:I$4,K$4,F6:I6)</f>
        <v>0</v>
      </c>
      <c r="L6" s="7">
        <f t="shared" ref="L6:L56" si="6">INDEX($B$5:$C$19,MATCH(L$1,$A$5:$A$19,0),1)*L$3</f>
        <v>0</v>
      </c>
      <c r="M6" s="6">
        <f t="shared" ref="M6:M56" si="7">INDEX($B$5:$C$19,MATCH(L$1,$A$5:$A$19,0),2)*L$3</f>
        <v>0</v>
      </c>
      <c r="N6" s="7">
        <f t="shared" ref="N6:N56" si="8">INDEX($B$5:$C$19,MATCH(L$1,$A$5:$A$19,0),1)*N$3</f>
        <v>0</v>
      </c>
      <c r="O6" s="6">
        <f t="shared" ref="O6:O56" si="9">INDEX($B$5:$C$19,MATCH(L$1,$A$5:$A$19,0),2)*N$3</f>
        <v>0</v>
      </c>
      <c r="P6" s="5">
        <f t="shared" ref="P6:P56" si="10">SUMIF(L$4:O$4,P$4,L6:O6)</f>
        <v>0</v>
      </c>
      <c r="Q6" s="6">
        <f t="shared" ref="Q6:Q56" si="11">SUMIF(L$4:O$4,Q$4,L6:O6)</f>
        <v>0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0</v>
      </c>
      <c r="U6" s="6">
        <f t="shared" ref="U6:U56" si="15">INDEX($B$5:$C$19,MATCH(R$1,$A$5:$A$19,0),2)*T$3</f>
        <v>0</v>
      </c>
      <c r="V6" s="5">
        <f t="shared" ref="V6:V56" si="16">SUMIF(R$4:U$4,V$4,R6:U6)</f>
        <v>0</v>
      </c>
      <c r="W6" s="6">
        <f t="shared" ref="W6:W56" si="17">SUMIF(R$4:U$4,W$4,R6:U6)</f>
        <v>0</v>
      </c>
      <c r="X6" s="7">
        <f t="shared" ref="X6:X56" si="18">INDEX($B$5:$C$19,MATCH(X$1,$A$5:$A$19,0),1)*X$3</f>
        <v>0</v>
      </c>
      <c r="Y6" s="6">
        <f t="shared" ref="Y6:Y56" si="19">INDEX($B$5:$C$19,MATCH(X$1,$A$5:$A$19,0),2)*X$3</f>
        <v>0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0</v>
      </c>
      <c r="AC6" s="6">
        <f t="shared" ref="AC6:AC56" si="23">SUMIF(X$4:AA$4,AC$4,X6:AA6)</f>
        <v>0</v>
      </c>
      <c r="AD6" s="7">
        <f t="shared" ref="AD6:AD56" si="24">INDEX($B$5:$C$19,MATCH(AD$1,$A$5:$A$19,0),1)*AD$3</f>
        <v>0</v>
      </c>
      <c r="AE6" s="6">
        <f t="shared" ref="AE6:AE56" si="25">INDEX($B$5:$C$19,MATCH(AD$1,$A$5:$A$19,0),2)*AD$3</f>
        <v>0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0</v>
      </c>
      <c r="AI6" s="6">
        <f t="shared" ref="AI6:AI56" si="29">SUMIF(AD$4:AG$4,AI$4,AD6:AG6)</f>
        <v>0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0</v>
      </c>
      <c r="CS6" s="7">
        <f t="shared" si="90"/>
        <v>0</v>
      </c>
      <c r="CT6" s="7">
        <f t="shared" si="90"/>
        <v>0</v>
      </c>
      <c r="CU6" s="7">
        <f t="shared" si="90"/>
        <v>0</v>
      </c>
      <c r="CV6" s="5">
        <f t="shared" ref="CV6:CV56" si="91">SUM(CR6,CT6)</f>
        <v>0</v>
      </c>
      <c r="CW6" s="6">
        <f t="shared" ref="CW6:CW56" si="92">SUM(CS6,CU6)</f>
        <v>0</v>
      </c>
      <c r="CY6" s="7">
        <v>0</v>
      </c>
      <c r="CZ6" s="5">
        <f t="array" ref="CZ6">Summary_UpperBound</f>
        <v>0</v>
      </c>
      <c r="DA6" s="6">
        <f t="shared" ref="DA6:DA56" si="93">CZ6-CY6</f>
        <v>0</v>
      </c>
    </row>
    <row r="7" spans="1:105" x14ac:dyDescent="0.35">
      <c r="A7" s="7" t="str">
        <f>'Data Validation (Hide)'!B4</f>
        <v>Caseload 3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0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</v>
      </c>
      <c r="E7" s="12" t="e" vm="2">
        <f t="shared" ref="E7:E56" ca="1" si="94">E6+7</f>
        <v>#VALUE!</v>
      </c>
      <c r="F7" s="7">
        <f t="shared" si="0"/>
        <v>0</v>
      </c>
      <c r="G7" s="6">
        <f t="shared" si="1"/>
        <v>0</v>
      </c>
      <c r="H7" s="7">
        <f t="shared" si="2"/>
        <v>0</v>
      </c>
      <c r="I7" s="6">
        <f t="shared" si="3"/>
        <v>0</v>
      </c>
      <c r="J7" s="5">
        <f t="shared" si="4"/>
        <v>0</v>
      </c>
      <c r="K7" s="6">
        <f t="shared" si="5"/>
        <v>0</v>
      </c>
      <c r="L7" s="7">
        <f t="shared" si="6"/>
        <v>0</v>
      </c>
      <c r="M7" s="6">
        <f t="shared" si="7"/>
        <v>0</v>
      </c>
      <c r="N7" s="7">
        <f t="shared" si="8"/>
        <v>0</v>
      </c>
      <c r="O7" s="6">
        <f t="shared" si="9"/>
        <v>0</v>
      </c>
      <c r="P7" s="5">
        <f t="shared" si="10"/>
        <v>0</v>
      </c>
      <c r="Q7" s="6">
        <f t="shared" si="11"/>
        <v>0</v>
      </c>
      <c r="R7" s="7">
        <f t="shared" si="12"/>
        <v>0</v>
      </c>
      <c r="S7" s="6">
        <f t="shared" si="13"/>
        <v>0</v>
      </c>
      <c r="T7" s="7">
        <f t="shared" si="14"/>
        <v>0</v>
      </c>
      <c r="U7" s="6">
        <f t="shared" si="15"/>
        <v>0</v>
      </c>
      <c r="V7" s="5">
        <f t="shared" si="16"/>
        <v>0</v>
      </c>
      <c r="W7" s="6">
        <f t="shared" si="17"/>
        <v>0</v>
      </c>
      <c r="X7" s="7">
        <f t="shared" si="18"/>
        <v>0</v>
      </c>
      <c r="Y7" s="6">
        <f t="shared" si="19"/>
        <v>0</v>
      </c>
      <c r="Z7" s="7">
        <f t="shared" si="20"/>
        <v>0</v>
      </c>
      <c r="AA7" s="6">
        <f t="shared" si="21"/>
        <v>0</v>
      </c>
      <c r="AB7" s="5">
        <f t="shared" si="22"/>
        <v>0</v>
      </c>
      <c r="AC7" s="6">
        <f t="shared" si="23"/>
        <v>0</v>
      </c>
      <c r="AD7" s="7">
        <f t="shared" si="24"/>
        <v>0</v>
      </c>
      <c r="AE7" s="6">
        <f t="shared" si="25"/>
        <v>0</v>
      </c>
      <c r="AF7" s="7">
        <f t="shared" si="26"/>
        <v>0</v>
      </c>
      <c r="AG7" s="6">
        <f t="shared" si="27"/>
        <v>0</v>
      </c>
      <c r="AH7" s="5">
        <f t="shared" si="28"/>
        <v>0</v>
      </c>
      <c r="AI7" s="6">
        <f t="shared" si="29"/>
        <v>0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0</v>
      </c>
      <c r="CS7" s="7">
        <f t="shared" si="90"/>
        <v>0</v>
      </c>
      <c r="CT7" s="7">
        <f t="shared" si="90"/>
        <v>0</v>
      </c>
      <c r="CU7" s="7">
        <f t="shared" si="90"/>
        <v>0</v>
      </c>
      <c r="CV7" s="5">
        <f t="shared" si="91"/>
        <v>0</v>
      </c>
      <c r="CW7" s="6">
        <f t="shared" si="92"/>
        <v>0</v>
      </c>
      <c r="CY7" s="7">
        <v>0</v>
      </c>
      <c r="CZ7" s="5">
        <f t="array" ref="CZ7">Summary_UpperBound</f>
        <v>0</v>
      </c>
      <c r="DA7" s="6">
        <f t="shared" si="93"/>
        <v>0</v>
      </c>
    </row>
    <row r="8" spans="1:105" x14ac:dyDescent="0.35">
      <c r="A8" s="7" t="str">
        <f>'Data Validation (Hide)'!B5</f>
        <v>Caseload 4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1</v>
      </c>
      <c r="E8" s="12" t="e" vm="2">
        <f t="shared" ca="1" si="94"/>
        <v>#VALUE!</v>
      </c>
      <c r="F8" s="7">
        <f t="shared" si="0"/>
        <v>0</v>
      </c>
      <c r="G8" s="6">
        <f t="shared" si="1"/>
        <v>0</v>
      </c>
      <c r="H8" s="7">
        <f t="shared" si="2"/>
        <v>0</v>
      </c>
      <c r="I8" s="6">
        <f t="shared" si="3"/>
        <v>0</v>
      </c>
      <c r="J8" s="5">
        <f t="shared" si="4"/>
        <v>0</v>
      </c>
      <c r="K8" s="6">
        <f t="shared" si="5"/>
        <v>0</v>
      </c>
      <c r="L8" s="7">
        <f t="shared" si="6"/>
        <v>0</v>
      </c>
      <c r="M8" s="6">
        <f t="shared" si="7"/>
        <v>0</v>
      </c>
      <c r="N8" s="7">
        <f t="shared" si="8"/>
        <v>0</v>
      </c>
      <c r="O8" s="6">
        <f t="shared" si="9"/>
        <v>0</v>
      </c>
      <c r="P8" s="5">
        <f t="shared" si="10"/>
        <v>0</v>
      </c>
      <c r="Q8" s="6">
        <f t="shared" si="11"/>
        <v>0</v>
      </c>
      <c r="R8" s="7">
        <f t="shared" si="12"/>
        <v>0</v>
      </c>
      <c r="S8" s="6">
        <f t="shared" si="13"/>
        <v>0</v>
      </c>
      <c r="T8" s="7">
        <f t="shared" si="14"/>
        <v>0</v>
      </c>
      <c r="U8" s="6">
        <f t="shared" si="15"/>
        <v>0</v>
      </c>
      <c r="V8" s="5">
        <f t="shared" si="16"/>
        <v>0</v>
      </c>
      <c r="W8" s="6">
        <f t="shared" si="17"/>
        <v>0</v>
      </c>
      <c r="X8" s="7">
        <f t="shared" si="18"/>
        <v>0</v>
      </c>
      <c r="Y8" s="6">
        <f t="shared" si="19"/>
        <v>0</v>
      </c>
      <c r="Z8" s="7">
        <f t="shared" si="20"/>
        <v>0</v>
      </c>
      <c r="AA8" s="6">
        <f t="shared" si="21"/>
        <v>0</v>
      </c>
      <c r="AB8" s="5">
        <f t="shared" si="22"/>
        <v>0</v>
      </c>
      <c r="AC8" s="6">
        <f t="shared" si="23"/>
        <v>0</v>
      </c>
      <c r="AD8" s="7">
        <f t="shared" si="24"/>
        <v>0</v>
      </c>
      <c r="AE8" s="6">
        <f t="shared" si="25"/>
        <v>0</v>
      </c>
      <c r="AF8" s="7">
        <f t="shared" si="26"/>
        <v>0</v>
      </c>
      <c r="AG8" s="6">
        <f t="shared" si="27"/>
        <v>0</v>
      </c>
      <c r="AH8" s="5">
        <f t="shared" si="28"/>
        <v>0</v>
      </c>
      <c r="AI8" s="6">
        <f t="shared" si="29"/>
        <v>0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0</v>
      </c>
      <c r="CS8" s="7">
        <f t="shared" si="90"/>
        <v>0</v>
      </c>
      <c r="CT8" s="7">
        <f t="shared" si="90"/>
        <v>0</v>
      </c>
      <c r="CU8" s="7">
        <f t="shared" si="90"/>
        <v>0</v>
      </c>
      <c r="CV8" s="5">
        <f t="shared" si="91"/>
        <v>0</v>
      </c>
      <c r="CW8" s="6">
        <f t="shared" si="92"/>
        <v>0</v>
      </c>
      <c r="CY8" s="7">
        <v>0</v>
      </c>
      <c r="CZ8" s="5">
        <f t="array" ref="CZ8">Summary_UpperBound</f>
        <v>0</v>
      </c>
      <c r="DA8" s="6">
        <f t="shared" si="93"/>
        <v>0</v>
      </c>
    </row>
    <row r="9" spans="1:105" x14ac:dyDescent="0.35">
      <c r="A9" s="7" t="str">
        <f>'Data Validation (Hide)'!B6</f>
        <v>Caseload 5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1</v>
      </c>
      <c r="E9" s="12" t="e" vm="2">
        <f t="shared" ca="1" si="94"/>
        <v>#VALUE!</v>
      </c>
      <c r="F9" s="7">
        <f t="shared" si="0"/>
        <v>0</v>
      </c>
      <c r="G9" s="6">
        <f t="shared" si="1"/>
        <v>0</v>
      </c>
      <c r="H9" s="7">
        <f t="shared" si="2"/>
        <v>0</v>
      </c>
      <c r="I9" s="6">
        <f t="shared" si="3"/>
        <v>0</v>
      </c>
      <c r="J9" s="5">
        <f t="shared" si="4"/>
        <v>0</v>
      </c>
      <c r="K9" s="6">
        <f t="shared" si="5"/>
        <v>0</v>
      </c>
      <c r="L9" s="7">
        <f t="shared" si="6"/>
        <v>0</v>
      </c>
      <c r="M9" s="6">
        <f t="shared" si="7"/>
        <v>0</v>
      </c>
      <c r="N9" s="7">
        <f t="shared" si="8"/>
        <v>0</v>
      </c>
      <c r="O9" s="6">
        <f t="shared" si="9"/>
        <v>0</v>
      </c>
      <c r="P9" s="5">
        <f t="shared" si="10"/>
        <v>0</v>
      </c>
      <c r="Q9" s="6">
        <f t="shared" si="11"/>
        <v>0</v>
      </c>
      <c r="R9" s="7">
        <f t="shared" si="12"/>
        <v>0</v>
      </c>
      <c r="S9" s="6">
        <f t="shared" si="13"/>
        <v>0</v>
      </c>
      <c r="T9" s="7">
        <f t="shared" si="14"/>
        <v>0</v>
      </c>
      <c r="U9" s="6">
        <f t="shared" si="15"/>
        <v>0</v>
      </c>
      <c r="V9" s="5">
        <f t="shared" si="16"/>
        <v>0</v>
      </c>
      <c r="W9" s="6">
        <f t="shared" si="17"/>
        <v>0</v>
      </c>
      <c r="X9" s="7">
        <f t="shared" si="18"/>
        <v>0</v>
      </c>
      <c r="Y9" s="6">
        <f t="shared" si="19"/>
        <v>0</v>
      </c>
      <c r="Z9" s="7">
        <f t="shared" si="20"/>
        <v>0</v>
      </c>
      <c r="AA9" s="6">
        <f t="shared" si="21"/>
        <v>0</v>
      </c>
      <c r="AB9" s="5">
        <f t="shared" si="22"/>
        <v>0</v>
      </c>
      <c r="AC9" s="6">
        <f t="shared" si="23"/>
        <v>0</v>
      </c>
      <c r="AD9" s="7">
        <f t="shared" si="24"/>
        <v>0</v>
      </c>
      <c r="AE9" s="6">
        <f t="shared" si="25"/>
        <v>0</v>
      </c>
      <c r="AF9" s="7">
        <f t="shared" si="26"/>
        <v>0</v>
      </c>
      <c r="AG9" s="6">
        <f t="shared" si="27"/>
        <v>0</v>
      </c>
      <c r="AH9" s="5">
        <f t="shared" si="28"/>
        <v>0</v>
      </c>
      <c r="AI9" s="6">
        <f t="shared" si="29"/>
        <v>0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0</v>
      </c>
      <c r="CS9" s="7">
        <f t="shared" si="90"/>
        <v>0</v>
      </c>
      <c r="CT9" s="7">
        <f t="shared" si="90"/>
        <v>0</v>
      </c>
      <c r="CU9" s="7">
        <f t="shared" si="90"/>
        <v>0</v>
      </c>
      <c r="CV9" s="5">
        <f t="shared" si="91"/>
        <v>0</v>
      </c>
      <c r="CW9" s="6">
        <f t="shared" si="92"/>
        <v>0</v>
      </c>
      <c r="CY9" s="7">
        <v>0</v>
      </c>
      <c r="CZ9" s="5">
        <f t="array" ref="CZ9">Summary_UpperBound</f>
        <v>0</v>
      </c>
      <c r="DA9" s="6">
        <f t="shared" si="93"/>
        <v>0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 t="e" vm="2">
        <f t="shared" ca="1" si="94"/>
        <v>#VALUE!</v>
      </c>
      <c r="F10" s="7">
        <f t="shared" si="0"/>
        <v>0</v>
      </c>
      <c r="G10" s="6">
        <f t="shared" si="1"/>
        <v>0</v>
      </c>
      <c r="H10" s="7">
        <f t="shared" si="2"/>
        <v>0</v>
      </c>
      <c r="I10" s="6">
        <f t="shared" si="3"/>
        <v>0</v>
      </c>
      <c r="J10" s="5">
        <f t="shared" si="4"/>
        <v>0</v>
      </c>
      <c r="K10" s="6">
        <f t="shared" si="5"/>
        <v>0</v>
      </c>
      <c r="L10" s="7">
        <f t="shared" si="6"/>
        <v>0</v>
      </c>
      <c r="M10" s="6">
        <f t="shared" si="7"/>
        <v>0</v>
      </c>
      <c r="N10" s="7">
        <f t="shared" si="8"/>
        <v>0</v>
      </c>
      <c r="O10" s="6">
        <f t="shared" si="9"/>
        <v>0</v>
      </c>
      <c r="P10" s="5">
        <f t="shared" si="10"/>
        <v>0</v>
      </c>
      <c r="Q10" s="6">
        <f t="shared" si="11"/>
        <v>0</v>
      </c>
      <c r="R10" s="7">
        <f t="shared" si="12"/>
        <v>0</v>
      </c>
      <c r="S10" s="6">
        <f t="shared" si="13"/>
        <v>0</v>
      </c>
      <c r="T10" s="7">
        <f t="shared" si="14"/>
        <v>0</v>
      </c>
      <c r="U10" s="6">
        <f t="shared" si="15"/>
        <v>0</v>
      </c>
      <c r="V10" s="5">
        <f t="shared" si="16"/>
        <v>0</v>
      </c>
      <c r="W10" s="6">
        <f t="shared" si="17"/>
        <v>0</v>
      </c>
      <c r="X10" s="7">
        <f t="shared" si="18"/>
        <v>0</v>
      </c>
      <c r="Y10" s="6">
        <f t="shared" si="19"/>
        <v>0</v>
      </c>
      <c r="Z10" s="7">
        <f t="shared" si="20"/>
        <v>0</v>
      </c>
      <c r="AA10" s="6">
        <f t="shared" si="21"/>
        <v>0</v>
      </c>
      <c r="AB10" s="5">
        <f t="shared" si="22"/>
        <v>0</v>
      </c>
      <c r="AC10" s="6">
        <f t="shared" si="23"/>
        <v>0</v>
      </c>
      <c r="AD10" s="7">
        <f t="shared" si="24"/>
        <v>0</v>
      </c>
      <c r="AE10" s="6">
        <f t="shared" si="25"/>
        <v>0</v>
      </c>
      <c r="AF10" s="7">
        <f t="shared" si="26"/>
        <v>0</v>
      </c>
      <c r="AG10" s="6">
        <f t="shared" si="27"/>
        <v>0</v>
      </c>
      <c r="AH10" s="5">
        <f t="shared" si="28"/>
        <v>0</v>
      </c>
      <c r="AI10" s="6">
        <f t="shared" si="29"/>
        <v>0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0</v>
      </c>
      <c r="CS10" s="7">
        <f t="shared" si="90"/>
        <v>0</v>
      </c>
      <c r="CT10" s="7">
        <f t="shared" si="90"/>
        <v>0</v>
      </c>
      <c r="CU10" s="7">
        <f t="shared" si="90"/>
        <v>0</v>
      </c>
      <c r="CV10" s="5">
        <f t="shared" si="91"/>
        <v>0</v>
      </c>
      <c r="CW10" s="6">
        <f t="shared" si="92"/>
        <v>0</v>
      </c>
      <c r="CY10" s="7">
        <v>0</v>
      </c>
      <c r="CZ10" s="5">
        <f t="array" ref="CZ10">Summary_UpperBound</f>
        <v>0</v>
      </c>
      <c r="DA10" s="6">
        <f t="shared" si="93"/>
        <v>0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 t="e" vm="2">
        <f t="shared" ca="1" si="94"/>
        <v>#VALUE!</v>
      </c>
      <c r="F11" s="7">
        <f t="shared" si="0"/>
        <v>0</v>
      </c>
      <c r="G11" s="6">
        <f t="shared" si="1"/>
        <v>0</v>
      </c>
      <c r="H11" s="7">
        <f t="shared" si="2"/>
        <v>0</v>
      </c>
      <c r="I11" s="6">
        <f t="shared" si="3"/>
        <v>0</v>
      </c>
      <c r="J11" s="5">
        <f t="shared" si="4"/>
        <v>0</v>
      </c>
      <c r="K11" s="6">
        <f t="shared" si="5"/>
        <v>0</v>
      </c>
      <c r="L11" s="7">
        <f t="shared" si="6"/>
        <v>0</v>
      </c>
      <c r="M11" s="6">
        <f t="shared" si="7"/>
        <v>0</v>
      </c>
      <c r="N11" s="7">
        <f t="shared" si="8"/>
        <v>0</v>
      </c>
      <c r="O11" s="6">
        <f t="shared" si="9"/>
        <v>0</v>
      </c>
      <c r="P11" s="5">
        <f t="shared" si="10"/>
        <v>0</v>
      </c>
      <c r="Q11" s="6">
        <f t="shared" si="11"/>
        <v>0</v>
      </c>
      <c r="R11" s="7">
        <f t="shared" si="12"/>
        <v>0</v>
      </c>
      <c r="S11" s="6">
        <f t="shared" si="13"/>
        <v>0</v>
      </c>
      <c r="T11" s="7">
        <f t="shared" si="14"/>
        <v>0</v>
      </c>
      <c r="U11" s="6">
        <f t="shared" si="15"/>
        <v>0</v>
      </c>
      <c r="V11" s="5">
        <f t="shared" si="16"/>
        <v>0</v>
      </c>
      <c r="W11" s="6">
        <f t="shared" si="17"/>
        <v>0</v>
      </c>
      <c r="X11" s="7">
        <f t="shared" si="18"/>
        <v>0</v>
      </c>
      <c r="Y11" s="6">
        <f t="shared" si="19"/>
        <v>0</v>
      </c>
      <c r="Z11" s="7">
        <f t="shared" si="20"/>
        <v>0</v>
      </c>
      <c r="AA11" s="6">
        <f t="shared" si="21"/>
        <v>0</v>
      </c>
      <c r="AB11" s="5">
        <f t="shared" si="22"/>
        <v>0</v>
      </c>
      <c r="AC11" s="6">
        <f t="shared" si="23"/>
        <v>0</v>
      </c>
      <c r="AD11" s="7">
        <f t="shared" si="24"/>
        <v>0</v>
      </c>
      <c r="AE11" s="6">
        <f t="shared" si="25"/>
        <v>0</v>
      </c>
      <c r="AF11" s="7">
        <f t="shared" si="26"/>
        <v>0</v>
      </c>
      <c r="AG11" s="6">
        <f t="shared" si="27"/>
        <v>0</v>
      </c>
      <c r="AH11" s="5">
        <f t="shared" si="28"/>
        <v>0</v>
      </c>
      <c r="AI11" s="6">
        <f t="shared" si="29"/>
        <v>0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0</v>
      </c>
      <c r="CS11" s="7">
        <f t="shared" si="90"/>
        <v>0</v>
      </c>
      <c r="CT11" s="7">
        <f t="shared" si="90"/>
        <v>0</v>
      </c>
      <c r="CU11" s="7">
        <f t="shared" si="90"/>
        <v>0</v>
      </c>
      <c r="CV11" s="5">
        <f t="shared" si="91"/>
        <v>0</v>
      </c>
      <c r="CW11" s="6">
        <f t="shared" si="92"/>
        <v>0</v>
      </c>
      <c r="CY11" s="7">
        <v>0</v>
      </c>
      <c r="CZ11" s="5">
        <f t="array" ref="CZ11">Summary_UpperBound</f>
        <v>0</v>
      </c>
      <c r="DA11" s="6">
        <f t="shared" si="93"/>
        <v>0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 t="e" vm="2">
        <f t="shared" ca="1" si="94"/>
        <v>#VALUE!</v>
      </c>
      <c r="F12" s="7">
        <f t="shared" si="0"/>
        <v>0</v>
      </c>
      <c r="G12" s="6">
        <f t="shared" si="1"/>
        <v>0</v>
      </c>
      <c r="H12" s="7">
        <f t="shared" si="2"/>
        <v>0</v>
      </c>
      <c r="I12" s="6">
        <f t="shared" si="3"/>
        <v>0</v>
      </c>
      <c r="J12" s="5">
        <f t="shared" si="4"/>
        <v>0</v>
      </c>
      <c r="K12" s="6">
        <f t="shared" si="5"/>
        <v>0</v>
      </c>
      <c r="L12" s="7">
        <f t="shared" si="6"/>
        <v>0</v>
      </c>
      <c r="M12" s="6">
        <f t="shared" si="7"/>
        <v>0</v>
      </c>
      <c r="N12" s="7">
        <f t="shared" si="8"/>
        <v>0</v>
      </c>
      <c r="O12" s="6">
        <f t="shared" si="9"/>
        <v>0</v>
      </c>
      <c r="P12" s="5">
        <f t="shared" si="10"/>
        <v>0</v>
      </c>
      <c r="Q12" s="6">
        <f t="shared" si="11"/>
        <v>0</v>
      </c>
      <c r="R12" s="7">
        <f t="shared" si="12"/>
        <v>0</v>
      </c>
      <c r="S12" s="6">
        <f t="shared" si="13"/>
        <v>0</v>
      </c>
      <c r="T12" s="7">
        <f t="shared" si="14"/>
        <v>0</v>
      </c>
      <c r="U12" s="6">
        <f t="shared" si="15"/>
        <v>0</v>
      </c>
      <c r="V12" s="5">
        <f t="shared" si="16"/>
        <v>0</v>
      </c>
      <c r="W12" s="6">
        <f t="shared" si="17"/>
        <v>0</v>
      </c>
      <c r="X12" s="7">
        <f t="shared" si="18"/>
        <v>0</v>
      </c>
      <c r="Y12" s="6">
        <f t="shared" si="19"/>
        <v>0</v>
      </c>
      <c r="Z12" s="7">
        <f t="shared" si="20"/>
        <v>0</v>
      </c>
      <c r="AA12" s="6">
        <f t="shared" si="21"/>
        <v>0</v>
      </c>
      <c r="AB12" s="5">
        <f t="shared" si="22"/>
        <v>0</v>
      </c>
      <c r="AC12" s="6">
        <f t="shared" si="23"/>
        <v>0</v>
      </c>
      <c r="AD12" s="7">
        <f t="shared" si="24"/>
        <v>0</v>
      </c>
      <c r="AE12" s="6">
        <f t="shared" si="25"/>
        <v>0</v>
      </c>
      <c r="AF12" s="7">
        <f t="shared" si="26"/>
        <v>0</v>
      </c>
      <c r="AG12" s="6">
        <f t="shared" si="27"/>
        <v>0</v>
      </c>
      <c r="AH12" s="5">
        <f t="shared" si="28"/>
        <v>0</v>
      </c>
      <c r="AI12" s="6">
        <f t="shared" si="29"/>
        <v>0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0</v>
      </c>
      <c r="CS12" s="7">
        <f t="shared" si="90"/>
        <v>0</v>
      </c>
      <c r="CT12" s="7">
        <f t="shared" si="90"/>
        <v>0</v>
      </c>
      <c r="CU12" s="7">
        <f t="shared" si="90"/>
        <v>0</v>
      </c>
      <c r="CV12" s="5">
        <f t="shared" si="91"/>
        <v>0</v>
      </c>
      <c r="CW12" s="6">
        <f t="shared" si="92"/>
        <v>0</v>
      </c>
      <c r="CY12" s="7">
        <v>0</v>
      </c>
      <c r="CZ12" s="5">
        <f t="array" ref="CZ12">Summary_UpperBound</f>
        <v>0</v>
      </c>
      <c r="DA12" s="6">
        <f t="shared" si="93"/>
        <v>0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 t="e" vm="2">
        <f t="shared" ca="1" si="94"/>
        <v>#VALUE!</v>
      </c>
      <c r="F13" s="7">
        <f t="shared" si="0"/>
        <v>0</v>
      </c>
      <c r="G13" s="6">
        <f t="shared" si="1"/>
        <v>0</v>
      </c>
      <c r="H13" s="7">
        <f t="shared" si="2"/>
        <v>0</v>
      </c>
      <c r="I13" s="6">
        <f t="shared" si="3"/>
        <v>0</v>
      </c>
      <c r="J13" s="5">
        <f t="shared" si="4"/>
        <v>0</v>
      </c>
      <c r="K13" s="6">
        <f t="shared" si="5"/>
        <v>0</v>
      </c>
      <c r="L13" s="7">
        <f t="shared" si="6"/>
        <v>0</v>
      </c>
      <c r="M13" s="6">
        <f t="shared" si="7"/>
        <v>0</v>
      </c>
      <c r="N13" s="7">
        <f t="shared" si="8"/>
        <v>0</v>
      </c>
      <c r="O13" s="6">
        <f t="shared" si="9"/>
        <v>0</v>
      </c>
      <c r="P13" s="5">
        <f t="shared" si="10"/>
        <v>0</v>
      </c>
      <c r="Q13" s="6">
        <f t="shared" si="11"/>
        <v>0</v>
      </c>
      <c r="R13" s="7">
        <f t="shared" si="12"/>
        <v>0</v>
      </c>
      <c r="S13" s="6">
        <f t="shared" si="13"/>
        <v>0</v>
      </c>
      <c r="T13" s="7">
        <f t="shared" si="14"/>
        <v>0</v>
      </c>
      <c r="U13" s="6">
        <f t="shared" si="15"/>
        <v>0</v>
      </c>
      <c r="V13" s="5">
        <f t="shared" si="16"/>
        <v>0</v>
      </c>
      <c r="W13" s="6">
        <f t="shared" si="17"/>
        <v>0</v>
      </c>
      <c r="X13" s="7">
        <f t="shared" si="18"/>
        <v>0</v>
      </c>
      <c r="Y13" s="6">
        <f t="shared" si="19"/>
        <v>0</v>
      </c>
      <c r="Z13" s="7">
        <f t="shared" si="20"/>
        <v>0</v>
      </c>
      <c r="AA13" s="6">
        <f t="shared" si="21"/>
        <v>0</v>
      </c>
      <c r="AB13" s="5">
        <f t="shared" si="22"/>
        <v>0</v>
      </c>
      <c r="AC13" s="6">
        <f t="shared" si="23"/>
        <v>0</v>
      </c>
      <c r="AD13" s="7">
        <f t="shared" si="24"/>
        <v>0</v>
      </c>
      <c r="AE13" s="6">
        <f t="shared" si="25"/>
        <v>0</v>
      </c>
      <c r="AF13" s="7">
        <f t="shared" si="26"/>
        <v>0</v>
      </c>
      <c r="AG13" s="6">
        <f t="shared" si="27"/>
        <v>0</v>
      </c>
      <c r="AH13" s="5">
        <f t="shared" si="28"/>
        <v>0</v>
      </c>
      <c r="AI13" s="6">
        <f t="shared" si="29"/>
        <v>0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0</v>
      </c>
      <c r="CS13" s="7">
        <f t="shared" si="90"/>
        <v>0</v>
      </c>
      <c r="CT13" s="7">
        <f t="shared" si="90"/>
        <v>0</v>
      </c>
      <c r="CU13" s="7">
        <f t="shared" si="90"/>
        <v>0</v>
      </c>
      <c r="CV13" s="5">
        <f t="shared" si="91"/>
        <v>0</v>
      </c>
      <c r="CW13" s="6">
        <f t="shared" si="92"/>
        <v>0</v>
      </c>
      <c r="CY13" s="7">
        <v>0</v>
      </c>
      <c r="CZ13" s="5">
        <f t="array" ref="CZ13">Summary_UpperBound</f>
        <v>0</v>
      </c>
      <c r="DA13" s="6">
        <f t="shared" si="93"/>
        <v>0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 t="e" vm="2">
        <f t="shared" ca="1" si="94"/>
        <v>#VALUE!</v>
      </c>
      <c r="F14" s="7">
        <f t="shared" si="0"/>
        <v>0</v>
      </c>
      <c r="G14" s="6">
        <f t="shared" si="1"/>
        <v>0</v>
      </c>
      <c r="H14" s="7">
        <f t="shared" si="2"/>
        <v>0</v>
      </c>
      <c r="I14" s="6">
        <f t="shared" si="3"/>
        <v>0</v>
      </c>
      <c r="J14" s="5">
        <f t="shared" si="4"/>
        <v>0</v>
      </c>
      <c r="K14" s="6">
        <f t="shared" si="5"/>
        <v>0</v>
      </c>
      <c r="L14" s="7">
        <f t="shared" si="6"/>
        <v>0</v>
      </c>
      <c r="M14" s="6">
        <f t="shared" si="7"/>
        <v>0</v>
      </c>
      <c r="N14" s="7">
        <f t="shared" si="8"/>
        <v>0</v>
      </c>
      <c r="O14" s="6">
        <f t="shared" si="9"/>
        <v>0</v>
      </c>
      <c r="P14" s="5">
        <f t="shared" si="10"/>
        <v>0</v>
      </c>
      <c r="Q14" s="6">
        <f t="shared" si="11"/>
        <v>0</v>
      </c>
      <c r="R14" s="7">
        <f t="shared" si="12"/>
        <v>0</v>
      </c>
      <c r="S14" s="6">
        <f t="shared" si="13"/>
        <v>0</v>
      </c>
      <c r="T14" s="7">
        <f t="shared" si="14"/>
        <v>0</v>
      </c>
      <c r="U14" s="6">
        <f t="shared" si="15"/>
        <v>0</v>
      </c>
      <c r="V14" s="5">
        <f t="shared" si="16"/>
        <v>0</v>
      </c>
      <c r="W14" s="6">
        <f t="shared" si="17"/>
        <v>0</v>
      </c>
      <c r="X14" s="7">
        <f t="shared" si="18"/>
        <v>0</v>
      </c>
      <c r="Y14" s="6">
        <f t="shared" si="19"/>
        <v>0</v>
      </c>
      <c r="Z14" s="7">
        <f t="shared" si="20"/>
        <v>0</v>
      </c>
      <c r="AA14" s="6">
        <f t="shared" si="21"/>
        <v>0</v>
      </c>
      <c r="AB14" s="5">
        <f t="shared" si="22"/>
        <v>0</v>
      </c>
      <c r="AC14" s="6">
        <f t="shared" si="23"/>
        <v>0</v>
      </c>
      <c r="AD14" s="7">
        <f t="shared" si="24"/>
        <v>0</v>
      </c>
      <c r="AE14" s="6">
        <f t="shared" si="25"/>
        <v>0</v>
      </c>
      <c r="AF14" s="7">
        <f t="shared" si="26"/>
        <v>0</v>
      </c>
      <c r="AG14" s="6">
        <f t="shared" si="27"/>
        <v>0</v>
      </c>
      <c r="AH14" s="5">
        <f t="shared" si="28"/>
        <v>0</v>
      </c>
      <c r="AI14" s="6">
        <f t="shared" si="29"/>
        <v>0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0</v>
      </c>
      <c r="CS14" s="7">
        <f t="shared" si="90"/>
        <v>0</v>
      </c>
      <c r="CT14" s="7">
        <f t="shared" si="90"/>
        <v>0</v>
      </c>
      <c r="CU14" s="7">
        <f t="shared" si="90"/>
        <v>0</v>
      </c>
      <c r="CV14" s="5">
        <f t="shared" si="91"/>
        <v>0</v>
      </c>
      <c r="CW14" s="6">
        <f t="shared" si="92"/>
        <v>0</v>
      </c>
      <c r="CY14" s="7">
        <v>0</v>
      </c>
      <c r="CZ14" s="5">
        <f t="array" ref="CZ14">Summary_UpperBound</f>
        <v>0</v>
      </c>
      <c r="DA14" s="6">
        <f t="shared" si="93"/>
        <v>0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 t="e" vm="2">
        <f t="shared" ca="1" si="94"/>
        <v>#VALUE!</v>
      </c>
      <c r="F15" s="7">
        <f t="shared" si="0"/>
        <v>0</v>
      </c>
      <c r="G15" s="6">
        <f t="shared" si="1"/>
        <v>0</v>
      </c>
      <c r="H15" s="7">
        <f t="shared" si="2"/>
        <v>0</v>
      </c>
      <c r="I15" s="6">
        <f t="shared" si="3"/>
        <v>0</v>
      </c>
      <c r="J15" s="5">
        <f t="shared" si="4"/>
        <v>0</v>
      </c>
      <c r="K15" s="6">
        <f t="shared" si="5"/>
        <v>0</v>
      </c>
      <c r="L15" s="7">
        <f t="shared" si="6"/>
        <v>0</v>
      </c>
      <c r="M15" s="6">
        <f t="shared" si="7"/>
        <v>0</v>
      </c>
      <c r="N15" s="7">
        <f t="shared" si="8"/>
        <v>0</v>
      </c>
      <c r="O15" s="6">
        <f t="shared" si="9"/>
        <v>0</v>
      </c>
      <c r="P15" s="5">
        <f t="shared" si="10"/>
        <v>0</v>
      </c>
      <c r="Q15" s="6">
        <f t="shared" si="11"/>
        <v>0</v>
      </c>
      <c r="R15" s="7">
        <f t="shared" si="12"/>
        <v>0</v>
      </c>
      <c r="S15" s="6">
        <f t="shared" si="13"/>
        <v>0</v>
      </c>
      <c r="T15" s="7">
        <f t="shared" si="14"/>
        <v>0</v>
      </c>
      <c r="U15" s="6">
        <f t="shared" si="15"/>
        <v>0</v>
      </c>
      <c r="V15" s="5">
        <f t="shared" si="16"/>
        <v>0</v>
      </c>
      <c r="W15" s="6">
        <f t="shared" si="17"/>
        <v>0</v>
      </c>
      <c r="X15" s="7">
        <f t="shared" si="18"/>
        <v>0</v>
      </c>
      <c r="Y15" s="6">
        <f t="shared" si="19"/>
        <v>0</v>
      </c>
      <c r="Z15" s="7">
        <f t="shared" si="20"/>
        <v>0</v>
      </c>
      <c r="AA15" s="6">
        <f t="shared" si="21"/>
        <v>0</v>
      </c>
      <c r="AB15" s="5">
        <f t="shared" si="22"/>
        <v>0</v>
      </c>
      <c r="AC15" s="6">
        <f t="shared" si="23"/>
        <v>0</v>
      </c>
      <c r="AD15" s="7">
        <f t="shared" si="24"/>
        <v>0</v>
      </c>
      <c r="AE15" s="6">
        <f t="shared" si="25"/>
        <v>0</v>
      </c>
      <c r="AF15" s="7">
        <f t="shared" si="26"/>
        <v>0</v>
      </c>
      <c r="AG15" s="6">
        <f t="shared" si="27"/>
        <v>0</v>
      </c>
      <c r="AH15" s="5">
        <f t="shared" si="28"/>
        <v>0</v>
      </c>
      <c r="AI15" s="6">
        <f t="shared" si="29"/>
        <v>0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0</v>
      </c>
      <c r="CS15" s="7">
        <f t="shared" si="90"/>
        <v>0</v>
      </c>
      <c r="CT15" s="7">
        <f t="shared" si="90"/>
        <v>0</v>
      </c>
      <c r="CU15" s="7">
        <f t="shared" si="90"/>
        <v>0</v>
      </c>
      <c r="CV15" s="5">
        <f t="shared" si="91"/>
        <v>0</v>
      </c>
      <c r="CW15" s="6">
        <f t="shared" si="92"/>
        <v>0</v>
      </c>
      <c r="CY15" s="7">
        <v>0</v>
      </c>
      <c r="CZ15" s="5">
        <f t="array" ref="CZ15">Summary_UpperBound</f>
        <v>0</v>
      </c>
      <c r="DA15" s="6">
        <f t="shared" si="93"/>
        <v>0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 t="e" vm="2">
        <f t="shared" ca="1" si="94"/>
        <v>#VALUE!</v>
      </c>
      <c r="F16" s="7">
        <f t="shared" si="0"/>
        <v>0</v>
      </c>
      <c r="G16" s="6">
        <f t="shared" si="1"/>
        <v>0</v>
      </c>
      <c r="H16" s="7">
        <f t="shared" si="2"/>
        <v>0</v>
      </c>
      <c r="I16" s="6">
        <f t="shared" si="3"/>
        <v>0</v>
      </c>
      <c r="J16" s="5">
        <f t="shared" si="4"/>
        <v>0</v>
      </c>
      <c r="K16" s="6">
        <f t="shared" si="5"/>
        <v>0</v>
      </c>
      <c r="L16" s="7">
        <f t="shared" si="6"/>
        <v>0</v>
      </c>
      <c r="M16" s="6">
        <f t="shared" si="7"/>
        <v>0</v>
      </c>
      <c r="N16" s="7">
        <f t="shared" si="8"/>
        <v>0</v>
      </c>
      <c r="O16" s="6">
        <f t="shared" si="9"/>
        <v>0</v>
      </c>
      <c r="P16" s="5">
        <f t="shared" si="10"/>
        <v>0</v>
      </c>
      <c r="Q16" s="6">
        <f t="shared" si="11"/>
        <v>0</v>
      </c>
      <c r="R16" s="7">
        <f t="shared" si="12"/>
        <v>0</v>
      </c>
      <c r="S16" s="6">
        <f t="shared" si="13"/>
        <v>0</v>
      </c>
      <c r="T16" s="7">
        <f t="shared" si="14"/>
        <v>0</v>
      </c>
      <c r="U16" s="6">
        <f t="shared" si="15"/>
        <v>0</v>
      </c>
      <c r="V16" s="5">
        <f t="shared" si="16"/>
        <v>0</v>
      </c>
      <c r="W16" s="6">
        <f t="shared" si="17"/>
        <v>0</v>
      </c>
      <c r="X16" s="7">
        <f t="shared" si="18"/>
        <v>0</v>
      </c>
      <c r="Y16" s="6">
        <f t="shared" si="19"/>
        <v>0</v>
      </c>
      <c r="Z16" s="7">
        <f t="shared" si="20"/>
        <v>0</v>
      </c>
      <c r="AA16" s="6">
        <f t="shared" si="21"/>
        <v>0</v>
      </c>
      <c r="AB16" s="5">
        <f t="shared" si="22"/>
        <v>0</v>
      </c>
      <c r="AC16" s="6">
        <f t="shared" si="23"/>
        <v>0</v>
      </c>
      <c r="AD16" s="7">
        <f t="shared" si="24"/>
        <v>0</v>
      </c>
      <c r="AE16" s="6">
        <f t="shared" si="25"/>
        <v>0</v>
      </c>
      <c r="AF16" s="7">
        <f t="shared" si="26"/>
        <v>0</v>
      </c>
      <c r="AG16" s="6">
        <f t="shared" si="27"/>
        <v>0</v>
      </c>
      <c r="AH16" s="5">
        <f t="shared" si="28"/>
        <v>0</v>
      </c>
      <c r="AI16" s="6">
        <f t="shared" si="29"/>
        <v>0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0</v>
      </c>
      <c r="CS16" s="7">
        <f t="shared" si="90"/>
        <v>0</v>
      </c>
      <c r="CT16" s="7">
        <f t="shared" si="90"/>
        <v>0</v>
      </c>
      <c r="CU16" s="7">
        <f t="shared" si="90"/>
        <v>0</v>
      </c>
      <c r="CV16" s="5">
        <f t="shared" si="91"/>
        <v>0</v>
      </c>
      <c r="CW16" s="6">
        <f t="shared" si="92"/>
        <v>0</v>
      </c>
      <c r="CY16" s="7">
        <v>0</v>
      </c>
      <c r="CZ16" s="5">
        <f t="array" ref="CZ16">Summary_UpperBound</f>
        <v>0</v>
      </c>
      <c r="DA16" s="6">
        <f t="shared" si="93"/>
        <v>0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 t="e" vm="2">
        <f t="shared" ca="1" si="94"/>
        <v>#VALUE!</v>
      </c>
      <c r="F17" s="7">
        <f t="shared" si="0"/>
        <v>0</v>
      </c>
      <c r="G17" s="6">
        <f t="shared" si="1"/>
        <v>0</v>
      </c>
      <c r="H17" s="7">
        <f t="shared" si="2"/>
        <v>0</v>
      </c>
      <c r="I17" s="6">
        <f t="shared" si="3"/>
        <v>0</v>
      </c>
      <c r="J17" s="5">
        <f t="shared" si="4"/>
        <v>0</v>
      </c>
      <c r="K17" s="6">
        <f t="shared" si="5"/>
        <v>0</v>
      </c>
      <c r="L17" s="7">
        <f t="shared" si="6"/>
        <v>0</v>
      </c>
      <c r="M17" s="6">
        <f t="shared" si="7"/>
        <v>0</v>
      </c>
      <c r="N17" s="7">
        <f t="shared" si="8"/>
        <v>0</v>
      </c>
      <c r="O17" s="6">
        <f t="shared" si="9"/>
        <v>0</v>
      </c>
      <c r="P17" s="5">
        <f t="shared" si="10"/>
        <v>0</v>
      </c>
      <c r="Q17" s="6">
        <f t="shared" si="11"/>
        <v>0</v>
      </c>
      <c r="R17" s="7">
        <f t="shared" si="12"/>
        <v>0</v>
      </c>
      <c r="S17" s="6">
        <f t="shared" si="13"/>
        <v>0</v>
      </c>
      <c r="T17" s="7">
        <f t="shared" si="14"/>
        <v>0</v>
      </c>
      <c r="U17" s="6">
        <f t="shared" si="15"/>
        <v>0</v>
      </c>
      <c r="V17" s="5">
        <f t="shared" si="16"/>
        <v>0</v>
      </c>
      <c r="W17" s="6">
        <f t="shared" si="17"/>
        <v>0</v>
      </c>
      <c r="X17" s="7">
        <f t="shared" si="18"/>
        <v>0</v>
      </c>
      <c r="Y17" s="6">
        <f t="shared" si="19"/>
        <v>0</v>
      </c>
      <c r="Z17" s="7">
        <f t="shared" si="20"/>
        <v>0</v>
      </c>
      <c r="AA17" s="6">
        <f t="shared" si="21"/>
        <v>0</v>
      </c>
      <c r="AB17" s="5">
        <f t="shared" si="22"/>
        <v>0</v>
      </c>
      <c r="AC17" s="6">
        <f t="shared" si="23"/>
        <v>0</v>
      </c>
      <c r="AD17" s="7">
        <f t="shared" si="24"/>
        <v>0</v>
      </c>
      <c r="AE17" s="6">
        <f t="shared" si="25"/>
        <v>0</v>
      </c>
      <c r="AF17" s="7">
        <f t="shared" si="26"/>
        <v>0</v>
      </c>
      <c r="AG17" s="6">
        <f t="shared" si="27"/>
        <v>0</v>
      </c>
      <c r="AH17" s="5">
        <f t="shared" si="28"/>
        <v>0</v>
      </c>
      <c r="AI17" s="6">
        <f t="shared" si="29"/>
        <v>0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0</v>
      </c>
      <c r="CS17" s="7">
        <f t="shared" si="90"/>
        <v>0</v>
      </c>
      <c r="CT17" s="7">
        <f t="shared" si="90"/>
        <v>0</v>
      </c>
      <c r="CU17" s="7">
        <f t="shared" si="90"/>
        <v>0</v>
      </c>
      <c r="CV17" s="5">
        <f t="shared" si="91"/>
        <v>0</v>
      </c>
      <c r="CW17" s="6">
        <f t="shared" si="92"/>
        <v>0</v>
      </c>
      <c r="CY17" s="7">
        <v>0</v>
      </c>
      <c r="CZ17" s="5">
        <f t="array" ref="CZ17">Summary_UpperBound</f>
        <v>0</v>
      </c>
      <c r="DA17" s="6">
        <f t="shared" si="93"/>
        <v>0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 t="e" vm="2">
        <f t="shared" ca="1" si="94"/>
        <v>#VALUE!</v>
      </c>
      <c r="F18" s="7">
        <f t="shared" si="0"/>
        <v>0</v>
      </c>
      <c r="G18" s="6">
        <f t="shared" si="1"/>
        <v>0</v>
      </c>
      <c r="H18" s="7">
        <f t="shared" si="2"/>
        <v>0</v>
      </c>
      <c r="I18" s="6">
        <f t="shared" si="3"/>
        <v>0</v>
      </c>
      <c r="J18" s="5">
        <f t="shared" si="4"/>
        <v>0</v>
      </c>
      <c r="K18" s="6">
        <f t="shared" si="5"/>
        <v>0</v>
      </c>
      <c r="L18" s="7">
        <f t="shared" si="6"/>
        <v>0</v>
      </c>
      <c r="M18" s="6">
        <f t="shared" si="7"/>
        <v>0</v>
      </c>
      <c r="N18" s="7">
        <f t="shared" si="8"/>
        <v>0</v>
      </c>
      <c r="O18" s="6">
        <f t="shared" si="9"/>
        <v>0</v>
      </c>
      <c r="P18" s="5">
        <f t="shared" si="10"/>
        <v>0</v>
      </c>
      <c r="Q18" s="6">
        <f t="shared" si="11"/>
        <v>0</v>
      </c>
      <c r="R18" s="7">
        <f t="shared" si="12"/>
        <v>0</v>
      </c>
      <c r="S18" s="6">
        <f t="shared" si="13"/>
        <v>0</v>
      </c>
      <c r="T18" s="7">
        <f t="shared" si="14"/>
        <v>0</v>
      </c>
      <c r="U18" s="6">
        <f t="shared" si="15"/>
        <v>0</v>
      </c>
      <c r="V18" s="5">
        <f t="shared" si="16"/>
        <v>0</v>
      </c>
      <c r="W18" s="6">
        <f t="shared" si="17"/>
        <v>0</v>
      </c>
      <c r="X18" s="7">
        <f t="shared" si="18"/>
        <v>0</v>
      </c>
      <c r="Y18" s="6">
        <f t="shared" si="19"/>
        <v>0</v>
      </c>
      <c r="Z18" s="7">
        <f t="shared" si="20"/>
        <v>0</v>
      </c>
      <c r="AA18" s="6">
        <f t="shared" si="21"/>
        <v>0</v>
      </c>
      <c r="AB18" s="5">
        <f t="shared" si="22"/>
        <v>0</v>
      </c>
      <c r="AC18" s="6">
        <f t="shared" si="23"/>
        <v>0</v>
      </c>
      <c r="AD18" s="7">
        <f t="shared" si="24"/>
        <v>0</v>
      </c>
      <c r="AE18" s="6">
        <f t="shared" si="25"/>
        <v>0</v>
      </c>
      <c r="AF18" s="7">
        <f t="shared" si="26"/>
        <v>0</v>
      </c>
      <c r="AG18" s="6">
        <f t="shared" si="27"/>
        <v>0</v>
      </c>
      <c r="AH18" s="5">
        <f t="shared" si="28"/>
        <v>0</v>
      </c>
      <c r="AI18" s="6">
        <f t="shared" si="29"/>
        <v>0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0</v>
      </c>
      <c r="CS18" s="7">
        <f t="shared" si="90"/>
        <v>0</v>
      </c>
      <c r="CT18" s="7">
        <f t="shared" si="90"/>
        <v>0</v>
      </c>
      <c r="CU18" s="7">
        <f t="shared" si="90"/>
        <v>0</v>
      </c>
      <c r="CV18" s="5">
        <f t="shared" si="91"/>
        <v>0</v>
      </c>
      <c r="CW18" s="6">
        <f t="shared" si="92"/>
        <v>0</v>
      </c>
      <c r="CY18" s="7">
        <v>0</v>
      </c>
      <c r="CZ18" s="5">
        <f t="array" ref="CZ18">Summary_UpperBound</f>
        <v>0</v>
      </c>
      <c r="DA18" s="6">
        <f t="shared" si="93"/>
        <v>0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 t="e" vm="2">
        <f t="shared" ca="1" si="94"/>
        <v>#VALUE!</v>
      </c>
      <c r="F19" s="7">
        <f t="shared" si="0"/>
        <v>0</v>
      </c>
      <c r="G19" s="6">
        <f t="shared" si="1"/>
        <v>0</v>
      </c>
      <c r="H19" s="7">
        <f t="shared" si="2"/>
        <v>0</v>
      </c>
      <c r="I19" s="6">
        <f t="shared" si="3"/>
        <v>0</v>
      </c>
      <c r="J19" s="5">
        <f t="shared" si="4"/>
        <v>0</v>
      </c>
      <c r="K19" s="6">
        <f t="shared" si="5"/>
        <v>0</v>
      </c>
      <c r="L19" s="7">
        <f t="shared" si="6"/>
        <v>0</v>
      </c>
      <c r="M19" s="6">
        <f t="shared" si="7"/>
        <v>0</v>
      </c>
      <c r="N19" s="7">
        <f t="shared" si="8"/>
        <v>0</v>
      </c>
      <c r="O19" s="6">
        <f t="shared" si="9"/>
        <v>0</v>
      </c>
      <c r="P19" s="5">
        <f t="shared" si="10"/>
        <v>0</v>
      </c>
      <c r="Q19" s="6">
        <f t="shared" si="11"/>
        <v>0</v>
      </c>
      <c r="R19" s="7">
        <f t="shared" si="12"/>
        <v>0</v>
      </c>
      <c r="S19" s="6">
        <f t="shared" si="13"/>
        <v>0</v>
      </c>
      <c r="T19" s="7">
        <f t="shared" si="14"/>
        <v>0</v>
      </c>
      <c r="U19" s="6">
        <f t="shared" si="15"/>
        <v>0</v>
      </c>
      <c r="V19" s="5">
        <f t="shared" si="16"/>
        <v>0</v>
      </c>
      <c r="W19" s="6">
        <f t="shared" si="17"/>
        <v>0</v>
      </c>
      <c r="X19" s="7">
        <f t="shared" si="18"/>
        <v>0</v>
      </c>
      <c r="Y19" s="6">
        <f t="shared" si="19"/>
        <v>0</v>
      </c>
      <c r="Z19" s="7">
        <f t="shared" si="20"/>
        <v>0</v>
      </c>
      <c r="AA19" s="6">
        <f t="shared" si="21"/>
        <v>0</v>
      </c>
      <c r="AB19" s="5">
        <f t="shared" si="22"/>
        <v>0</v>
      </c>
      <c r="AC19" s="6">
        <f t="shared" si="23"/>
        <v>0</v>
      </c>
      <c r="AD19" s="7">
        <f t="shared" si="24"/>
        <v>0</v>
      </c>
      <c r="AE19" s="6">
        <f t="shared" si="25"/>
        <v>0</v>
      </c>
      <c r="AF19" s="7">
        <f t="shared" si="26"/>
        <v>0</v>
      </c>
      <c r="AG19" s="6">
        <f t="shared" si="27"/>
        <v>0</v>
      </c>
      <c r="AH19" s="5">
        <f t="shared" si="28"/>
        <v>0</v>
      </c>
      <c r="AI19" s="6">
        <f t="shared" si="29"/>
        <v>0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0</v>
      </c>
      <c r="CS19" s="7">
        <f t="shared" si="90"/>
        <v>0</v>
      </c>
      <c r="CT19" s="7">
        <f t="shared" si="90"/>
        <v>0</v>
      </c>
      <c r="CU19" s="7">
        <f t="shared" si="90"/>
        <v>0</v>
      </c>
      <c r="CV19" s="5">
        <f t="shared" si="91"/>
        <v>0</v>
      </c>
      <c r="CW19" s="6">
        <f t="shared" si="92"/>
        <v>0</v>
      </c>
      <c r="CY19" s="7">
        <v>0</v>
      </c>
      <c r="CZ19" s="5">
        <f t="array" ref="CZ19">Summary_UpperBound</f>
        <v>0</v>
      </c>
      <c r="DA19" s="6">
        <f t="shared" si="93"/>
        <v>0</v>
      </c>
    </row>
    <row r="20" spans="1:105" x14ac:dyDescent="0.35">
      <c r="B20" s="14"/>
      <c r="E20" s="12" t="e" vm="2">
        <f t="shared" ca="1" si="94"/>
        <v>#VALUE!</v>
      </c>
      <c r="F20" s="7">
        <f t="shared" si="0"/>
        <v>0</v>
      </c>
      <c r="G20" s="6">
        <f t="shared" si="1"/>
        <v>0</v>
      </c>
      <c r="H20" s="7">
        <f t="shared" si="2"/>
        <v>0</v>
      </c>
      <c r="I20" s="6">
        <f t="shared" si="3"/>
        <v>0</v>
      </c>
      <c r="J20" s="5">
        <f t="shared" si="4"/>
        <v>0</v>
      </c>
      <c r="K20" s="6">
        <f t="shared" si="5"/>
        <v>0</v>
      </c>
      <c r="L20" s="7">
        <f t="shared" si="6"/>
        <v>0</v>
      </c>
      <c r="M20" s="6">
        <f t="shared" si="7"/>
        <v>0</v>
      </c>
      <c r="N20" s="7">
        <f t="shared" si="8"/>
        <v>0</v>
      </c>
      <c r="O20" s="6">
        <f t="shared" si="9"/>
        <v>0</v>
      </c>
      <c r="P20" s="5">
        <f t="shared" si="10"/>
        <v>0</v>
      </c>
      <c r="Q20" s="6">
        <f t="shared" si="11"/>
        <v>0</v>
      </c>
      <c r="R20" s="7">
        <f t="shared" si="12"/>
        <v>0</v>
      </c>
      <c r="S20" s="6">
        <f t="shared" si="13"/>
        <v>0</v>
      </c>
      <c r="T20" s="7">
        <f t="shared" si="14"/>
        <v>0</v>
      </c>
      <c r="U20" s="6">
        <f t="shared" si="15"/>
        <v>0</v>
      </c>
      <c r="V20" s="5">
        <f t="shared" si="16"/>
        <v>0</v>
      </c>
      <c r="W20" s="6">
        <f t="shared" si="17"/>
        <v>0</v>
      </c>
      <c r="X20" s="7">
        <f t="shared" si="18"/>
        <v>0</v>
      </c>
      <c r="Y20" s="6">
        <f t="shared" si="19"/>
        <v>0</v>
      </c>
      <c r="Z20" s="7">
        <f t="shared" si="20"/>
        <v>0</v>
      </c>
      <c r="AA20" s="6">
        <f t="shared" si="21"/>
        <v>0</v>
      </c>
      <c r="AB20" s="5">
        <f t="shared" si="22"/>
        <v>0</v>
      </c>
      <c r="AC20" s="6">
        <f t="shared" si="23"/>
        <v>0</v>
      </c>
      <c r="AD20" s="7">
        <f t="shared" si="24"/>
        <v>0</v>
      </c>
      <c r="AE20" s="6">
        <f t="shared" si="25"/>
        <v>0</v>
      </c>
      <c r="AF20" s="7">
        <f t="shared" si="26"/>
        <v>0</v>
      </c>
      <c r="AG20" s="6">
        <f t="shared" si="27"/>
        <v>0</v>
      </c>
      <c r="AH20" s="5">
        <f t="shared" si="28"/>
        <v>0</v>
      </c>
      <c r="AI20" s="6">
        <f t="shared" si="29"/>
        <v>0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0</v>
      </c>
      <c r="CS20" s="7">
        <f t="shared" si="90"/>
        <v>0</v>
      </c>
      <c r="CT20" s="7">
        <f t="shared" si="90"/>
        <v>0</v>
      </c>
      <c r="CU20" s="7">
        <f t="shared" si="90"/>
        <v>0</v>
      </c>
      <c r="CV20" s="5">
        <f t="shared" si="91"/>
        <v>0</v>
      </c>
      <c r="CW20" s="6">
        <f t="shared" si="92"/>
        <v>0</v>
      </c>
      <c r="CY20" s="7">
        <v>0</v>
      </c>
      <c r="CZ20" s="5">
        <f t="array" ref="CZ20">Summary_UpperBound</f>
        <v>0</v>
      </c>
      <c r="DA20" s="6">
        <f t="shared" si="93"/>
        <v>0</v>
      </c>
    </row>
    <row r="21" spans="1:105" x14ac:dyDescent="0.35">
      <c r="B21" s="14"/>
      <c r="E21" s="12" t="e" vm="2">
        <f t="shared" ca="1" si="94"/>
        <v>#VALUE!</v>
      </c>
      <c r="F21" s="7">
        <f t="shared" si="0"/>
        <v>0</v>
      </c>
      <c r="G21" s="6">
        <f t="shared" si="1"/>
        <v>0</v>
      </c>
      <c r="H21" s="7">
        <f t="shared" si="2"/>
        <v>0</v>
      </c>
      <c r="I21" s="6">
        <f t="shared" si="3"/>
        <v>0</v>
      </c>
      <c r="J21" s="5">
        <f t="shared" si="4"/>
        <v>0</v>
      </c>
      <c r="K21" s="6">
        <f t="shared" si="5"/>
        <v>0</v>
      </c>
      <c r="L21" s="7">
        <f t="shared" si="6"/>
        <v>0</v>
      </c>
      <c r="M21" s="6">
        <f t="shared" si="7"/>
        <v>0</v>
      </c>
      <c r="N21" s="7">
        <f t="shared" si="8"/>
        <v>0</v>
      </c>
      <c r="O21" s="6">
        <f t="shared" si="9"/>
        <v>0</v>
      </c>
      <c r="P21" s="5">
        <f t="shared" si="10"/>
        <v>0</v>
      </c>
      <c r="Q21" s="6">
        <f t="shared" si="11"/>
        <v>0</v>
      </c>
      <c r="R21" s="7">
        <f t="shared" si="12"/>
        <v>0</v>
      </c>
      <c r="S21" s="6">
        <f t="shared" si="13"/>
        <v>0</v>
      </c>
      <c r="T21" s="7">
        <f t="shared" si="14"/>
        <v>0</v>
      </c>
      <c r="U21" s="6">
        <f t="shared" si="15"/>
        <v>0</v>
      </c>
      <c r="V21" s="5">
        <f t="shared" si="16"/>
        <v>0</v>
      </c>
      <c r="W21" s="6">
        <f t="shared" si="17"/>
        <v>0</v>
      </c>
      <c r="X21" s="7">
        <f t="shared" si="18"/>
        <v>0</v>
      </c>
      <c r="Y21" s="6">
        <f t="shared" si="19"/>
        <v>0</v>
      </c>
      <c r="Z21" s="7">
        <f t="shared" si="20"/>
        <v>0</v>
      </c>
      <c r="AA21" s="6">
        <f t="shared" si="21"/>
        <v>0</v>
      </c>
      <c r="AB21" s="5">
        <f t="shared" si="22"/>
        <v>0</v>
      </c>
      <c r="AC21" s="6">
        <f t="shared" si="23"/>
        <v>0</v>
      </c>
      <c r="AD21" s="7">
        <f t="shared" si="24"/>
        <v>0</v>
      </c>
      <c r="AE21" s="6">
        <f t="shared" si="25"/>
        <v>0</v>
      </c>
      <c r="AF21" s="7">
        <f t="shared" si="26"/>
        <v>0</v>
      </c>
      <c r="AG21" s="6">
        <f t="shared" si="27"/>
        <v>0</v>
      </c>
      <c r="AH21" s="5">
        <f t="shared" si="28"/>
        <v>0</v>
      </c>
      <c r="AI21" s="6">
        <f t="shared" si="29"/>
        <v>0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0</v>
      </c>
      <c r="CS21" s="7">
        <f t="shared" si="90"/>
        <v>0</v>
      </c>
      <c r="CT21" s="7">
        <f t="shared" si="90"/>
        <v>0</v>
      </c>
      <c r="CU21" s="7">
        <f t="shared" si="90"/>
        <v>0</v>
      </c>
      <c r="CV21" s="5">
        <f t="shared" si="91"/>
        <v>0</v>
      </c>
      <c r="CW21" s="6">
        <f t="shared" si="92"/>
        <v>0</v>
      </c>
      <c r="CY21" s="7">
        <v>0</v>
      </c>
      <c r="CZ21" s="5">
        <f t="array" ref="CZ21">Summary_UpperBound</f>
        <v>0</v>
      </c>
      <c r="DA21" s="6">
        <f t="shared" si="93"/>
        <v>0</v>
      </c>
    </row>
    <row r="22" spans="1:105" x14ac:dyDescent="0.35">
      <c r="B22" s="14"/>
      <c r="E22" s="12" t="e" vm="2">
        <f t="shared" ca="1" si="94"/>
        <v>#VALUE!</v>
      </c>
      <c r="F22" s="7">
        <f t="shared" si="0"/>
        <v>0</v>
      </c>
      <c r="G22" s="6">
        <f t="shared" si="1"/>
        <v>0</v>
      </c>
      <c r="H22" s="7">
        <f t="shared" si="2"/>
        <v>0</v>
      </c>
      <c r="I22" s="6">
        <f t="shared" si="3"/>
        <v>0</v>
      </c>
      <c r="J22" s="5">
        <f t="shared" si="4"/>
        <v>0</v>
      </c>
      <c r="K22" s="6">
        <f t="shared" si="5"/>
        <v>0</v>
      </c>
      <c r="L22" s="7">
        <f t="shared" si="6"/>
        <v>0</v>
      </c>
      <c r="M22" s="6">
        <f t="shared" si="7"/>
        <v>0</v>
      </c>
      <c r="N22" s="7">
        <f t="shared" si="8"/>
        <v>0</v>
      </c>
      <c r="O22" s="6">
        <f t="shared" si="9"/>
        <v>0</v>
      </c>
      <c r="P22" s="5">
        <f t="shared" si="10"/>
        <v>0</v>
      </c>
      <c r="Q22" s="6">
        <f t="shared" si="11"/>
        <v>0</v>
      </c>
      <c r="R22" s="7">
        <f t="shared" si="12"/>
        <v>0</v>
      </c>
      <c r="S22" s="6">
        <f t="shared" si="13"/>
        <v>0</v>
      </c>
      <c r="T22" s="7">
        <f t="shared" si="14"/>
        <v>0</v>
      </c>
      <c r="U22" s="6">
        <f t="shared" si="15"/>
        <v>0</v>
      </c>
      <c r="V22" s="5">
        <f t="shared" si="16"/>
        <v>0</v>
      </c>
      <c r="W22" s="6">
        <f t="shared" si="17"/>
        <v>0</v>
      </c>
      <c r="X22" s="7">
        <f t="shared" si="18"/>
        <v>0</v>
      </c>
      <c r="Y22" s="6">
        <f t="shared" si="19"/>
        <v>0</v>
      </c>
      <c r="Z22" s="7">
        <f t="shared" si="20"/>
        <v>0</v>
      </c>
      <c r="AA22" s="6">
        <f t="shared" si="21"/>
        <v>0</v>
      </c>
      <c r="AB22" s="5">
        <f t="shared" si="22"/>
        <v>0</v>
      </c>
      <c r="AC22" s="6">
        <f t="shared" si="23"/>
        <v>0</v>
      </c>
      <c r="AD22" s="7">
        <f t="shared" si="24"/>
        <v>0</v>
      </c>
      <c r="AE22" s="6">
        <f t="shared" si="25"/>
        <v>0</v>
      </c>
      <c r="AF22" s="7">
        <f t="shared" si="26"/>
        <v>0</v>
      </c>
      <c r="AG22" s="6">
        <f t="shared" si="27"/>
        <v>0</v>
      </c>
      <c r="AH22" s="5">
        <f t="shared" si="28"/>
        <v>0</v>
      </c>
      <c r="AI22" s="6">
        <f t="shared" si="29"/>
        <v>0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0</v>
      </c>
      <c r="CS22" s="7">
        <f t="shared" si="90"/>
        <v>0</v>
      </c>
      <c r="CT22" s="7">
        <f t="shared" si="90"/>
        <v>0</v>
      </c>
      <c r="CU22" s="7">
        <f t="shared" si="90"/>
        <v>0</v>
      </c>
      <c r="CV22" s="5">
        <f t="shared" si="91"/>
        <v>0</v>
      </c>
      <c r="CW22" s="6">
        <f t="shared" si="92"/>
        <v>0</v>
      </c>
      <c r="CY22" s="7">
        <v>0</v>
      </c>
      <c r="CZ22" s="5">
        <f t="array" ref="CZ22">Summary_UpperBound</f>
        <v>0</v>
      </c>
      <c r="DA22" s="6">
        <f t="shared" si="93"/>
        <v>0</v>
      </c>
    </row>
    <row r="23" spans="1:105" x14ac:dyDescent="0.35">
      <c r="B23" s="14"/>
      <c r="E23" s="12" t="e" vm="2">
        <f t="shared" ca="1" si="94"/>
        <v>#VALUE!</v>
      </c>
      <c r="F23" s="7">
        <f t="shared" si="0"/>
        <v>0</v>
      </c>
      <c r="G23" s="6">
        <f t="shared" si="1"/>
        <v>0</v>
      </c>
      <c r="H23" s="7">
        <f t="shared" si="2"/>
        <v>0</v>
      </c>
      <c r="I23" s="6">
        <f t="shared" si="3"/>
        <v>0</v>
      </c>
      <c r="J23" s="5">
        <f t="shared" si="4"/>
        <v>0</v>
      </c>
      <c r="K23" s="6">
        <f t="shared" si="5"/>
        <v>0</v>
      </c>
      <c r="L23" s="7">
        <f t="shared" si="6"/>
        <v>0</v>
      </c>
      <c r="M23" s="6">
        <f t="shared" si="7"/>
        <v>0</v>
      </c>
      <c r="N23" s="7">
        <f t="shared" si="8"/>
        <v>0</v>
      </c>
      <c r="O23" s="6">
        <f t="shared" si="9"/>
        <v>0</v>
      </c>
      <c r="P23" s="5">
        <f t="shared" si="10"/>
        <v>0</v>
      </c>
      <c r="Q23" s="6">
        <f t="shared" si="11"/>
        <v>0</v>
      </c>
      <c r="R23" s="7">
        <f t="shared" si="12"/>
        <v>0</v>
      </c>
      <c r="S23" s="6">
        <f t="shared" si="13"/>
        <v>0</v>
      </c>
      <c r="T23" s="7">
        <f t="shared" si="14"/>
        <v>0</v>
      </c>
      <c r="U23" s="6">
        <f t="shared" si="15"/>
        <v>0</v>
      </c>
      <c r="V23" s="5">
        <f t="shared" si="16"/>
        <v>0</v>
      </c>
      <c r="W23" s="6">
        <f t="shared" si="17"/>
        <v>0</v>
      </c>
      <c r="X23" s="7">
        <f t="shared" si="18"/>
        <v>0</v>
      </c>
      <c r="Y23" s="6">
        <f t="shared" si="19"/>
        <v>0</v>
      </c>
      <c r="Z23" s="7">
        <f t="shared" si="20"/>
        <v>0</v>
      </c>
      <c r="AA23" s="6">
        <f t="shared" si="21"/>
        <v>0</v>
      </c>
      <c r="AB23" s="5">
        <f t="shared" si="22"/>
        <v>0</v>
      </c>
      <c r="AC23" s="6">
        <f t="shared" si="23"/>
        <v>0</v>
      </c>
      <c r="AD23" s="7">
        <f t="shared" si="24"/>
        <v>0</v>
      </c>
      <c r="AE23" s="6">
        <f t="shared" si="25"/>
        <v>0</v>
      </c>
      <c r="AF23" s="7">
        <f t="shared" si="26"/>
        <v>0</v>
      </c>
      <c r="AG23" s="6">
        <f t="shared" si="27"/>
        <v>0</v>
      </c>
      <c r="AH23" s="5">
        <f t="shared" si="28"/>
        <v>0</v>
      </c>
      <c r="AI23" s="6">
        <f t="shared" si="29"/>
        <v>0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0</v>
      </c>
      <c r="CS23" s="7">
        <f t="shared" si="90"/>
        <v>0</v>
      </c>
      <c r="CT23" s="7">
        <f t="shared" si="90"/>
        <v>0</v>
      </c>
      <c r="CU23" s="7">
        <f t="shared" si="90"/>
        <v>0</v>
      </c>
      <c r="CV23" s="5">
        <f t="shared" si="91"/>
        <v>0</v>
      </c>
      <c r="CW23" s="6">
        <f t="shared" si="92"/>
        <v>0</v>
      </c>
      <c r="CY23" s="7">
        <v>0</v>
      </c>
      <c r="CZ23" s="5">
        <f t="array" ref="CZ23">Summary_UpperBound</f>
        <v>0</v>
      </c>
      <c r="DA23" s="6">
        <f t="shared" si="93"/>
        <v>0</v>
      </c>
    </row>
    <row r="24" spans="1:105" x14ac:dyDescent="0.35">
      <c r="B24" s="14"/>
      <c r="E24" s="12" t="e" vm="2">
        <f t="shared" ca="1" si="94"/>
        <v>#VALUE!</v>
      </c>
      <c r="F24" s="7">
        <f t="shared" si="0"/>
        <v>0</v>
      </c>
      <c r="G24" s="6">
        <f t="shared" si="1"/>
        <v>0</v>
      </c>
      <c r="H24" s="7">
        <f t="shared" si="2"/>
        <v>0</v>
      </c>
      <c r="I24" s="6">
        <f t="shared" si="3"/>
        <v>0</v>
      </c>
      <c r="J24" s="5">
        <f t="shared" si="4"/>
        <v>0</v>
      </c>
      <c r="K24" s="6">
        <f t="shared" si="5"/>
        <v>0</v>
      </c>
      <c r="L24" s="7">
        <f t="shared" si="6"/>
        <v>0</v>
      </c>
      <c r="M24" s="6">
        <f t="shared" si="7"/>
        <v>0</v>
      </c>
      <c r="N24" s="7">
        <f t="shared" si="8"/>
        <v>0</v>
      </c>
      <c r="O24" s="6">
        <f t="shared" si="9"/>
        <v>0</v>
      </c>
      <c r="P24" s="5">
        <f t="shared" si="10"/>
        <v>0</v>
      </c>
      <c r="Q24" s="6">
        <f t="shared" si="11"/>
        <v>0</v>
      </c>
      <c r="R24" s="7">
        <f t="shared" si="12"/>
        <v>0</v>
      </c>
      <c r="S24" s="6">
        <f t="shared" si="13"/>
        <v>0</v>
      </c>
      <c r="T24" s="7">
        <f t="shared" si="14"/>
        <v>0</v>
      </c>
      <c r="U24" s="6">
        <f t="shared" si="15"/>
        <v>0</v>
      </c>
      <c r="V24" s="5">
        <f t="shared" si="16"/>
        <v>0</v>
      </c>
      <c r="W24" s="6">
        <f t="shared" si="17"/>
        <v>0</v>
      </c>
      <c r="X24" s="7">
        <f t="shared" si="18"/>
        <v>0</v>
      </c>
      <c r="Y24" s="6">
        <f t="shared" si="19"/>
        <v>0</v>
      </c>
      <c r="Z24" s="7">
        <f t="shared" si="20"/>
        <v>0</v>
      </c>
      <c r="AA24" s="6">
        <f t="shared" si="21"/>
        <v>0</v>
      </c>
      <c r="AB24" s="5">
        <f t="shared" si="22"/>
        <v>0</v>
      </c>
      <c r="AC24" s="6">
        <f t="shared" si="23"/>
        <v>0</v>
      </c>
      <c r="AD24" s="7">
        <f t="shared" si="24"/>
        <v>0</v>
      </c>
      <c r="AE24" s="6">
        <f t="shared" si="25"/>
        <v>0</v>
      </c>
      <c r="AF24" s="7">
        <f t="shared" si="26"/>
        <v>0</v>
      </c>
      <c r="AG24" s="6">
        <f t="shared" si="27"/>
        <v>0</v>
      </c>
      <c r="AH24" s="5">
        <f t="shared" si="28"/>
        <v>0</v>
      </c>
      <c r="AI24" s="6">
        <f t="shared" si="29"/>
        <v>0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0</v>
      </c>
      <c r="CS24" s="7">
        <f t="shared" si="90"/>
        <v>0</v>
      </c>
      <c r="CT24" s="7">
        <f t="shared" si="90"/>
        <v>0</v>
      </c>
      <c r="CU24" s="7">
        <f t="shared" si="90"/>
        <v>0</v>
      </c>
      <c r="CV24" s="5">
        <f t="shared" si="91"/>
        <v>0</v>
      </c>
      <c r="CW24" s="6">
        <f t="shared" si="92"/>
        <v>0</v>
      </c>
      <c r="CY24" s="7">
        <v>0</v>
      </c>
      <c r="CZ24" s="5">
        <f t="array" ref="CZ24">Summary_UpperBound</f>
        <v>0</v>
      </c>
      <c r="DA24" s="6">
        <f t="shared" si="93"/>
        <v>0</v>
      </c>
    </row>
    <row r="25" spans="1:105" x14ac:dyDescent="0.35">
      <c r="B25" s="14"/>
      <c r="E25" s="12" t="e" vm="2">
        <f t="shared" ca="1" si="94"/>
        <v>#VALUE!</v>
      </c>
      <c r="F25" s="7">
        <f t="shared" si="0"/>
        <v>0</v>
      </c>
      <c r="G25" s="6">
        <f t="shared" si="1"/>
        <v>0</v>
      </c>
      <c r="H25" s="7">
        <f t="shared" si="2"/>
        <v>0</v>
      </c>
      <c r="I25" s="6">
        <f t="shared" si="3"/>
        <v>0</v>
      </c>
      <c r="J25" s="5">
        <f t="shared" si="4"/>
        <v>0</v>
      </c>
      <c r="K25" s="6">
        <f t="shared" si="5"/>
        <v>0</v>
      </c>
      <c r="L25" s="7">
        <f t="shared" si="6"/>
        <v>0</v>
      </c>
      <c r="M25" s="6">
        <f t="shared" si="7"/>
        <v>0</v>
      </c>
      <c r="N25" s="7">
        <f t="shared" si="8"/>
        <v>0</v>
      </c>
      <c r="O25" s="6">
        <f t="shared" si="9"/>
        <v>0</v>
      </c>
      <c r="P25" s="5">
        <f t="shared" si="10"/>
        <v>0</v>
      </c>
      <c r="Q25" s="6">
        <f t="shared" si="11"/>
        <v>0</v>
      </c>
      <c r="R25" s="7">
        <f t="shared" si="12"/>
        <v>0</v>
      </c>
      <c r="S25" s="6">
        <f t="shared" si="13"/>
        <v>0</v>
      </c>
      <c r="T25" s="7">
        <f t="shared" si="14"/>
        <v>0</v>
      </c>
      <c r="U25" s="6">
        <f t="shared" si="15"/>
        <v>0</v>
      </c>
      <c r="V25" s="5">
        <f t="shared" si="16"/>
        <v>0</v>
      </c>
      <c r="W25" s="6">
        <f t="shared" si="17"/>
        <v>0</v>
      </c>
      <c r="X25" s="7">
        <f t="shared" si="18"/>
        <v>0</v>
      </c>
      <c r="Y25" s="6">
        <f t="shared" si="19"/>
        <v>0</v>
      </c>
      <c r="Z25" s="7">
        <f t="shared" si="20"/>
        <v>0</v>
      </c>
      <c r="AA25" s="6">
        <f t="shared" si="21"/>
        <v>0</v>
      </c>
      <c r="AB25" s="5">
        <f t="shared" si="22"/>
        <v>0</v>
      </c>
      <c r="AC25" s="6">
        <f t="shared" si="23"/>
        <v>0</v>
      </c>
      <c r="AD25" s="7">
        <f t="shared" si="24"/>
        <v>0</v>
      </c>
      <c r="AE25" s="6">
        <f t="shared" si="25"/>
        <v>0</v>
      </c>
      <c r="AF25" s="7">
        <f t="shared" si="26"/>
        <v>0</v>
      </c>
      <c r="AG25" s="6">
        <f t="shared" si="27"/>
        <v>0</v>
      </c>
      <c r="AH25" s="5">
        <f t="shared" si="28"/>
        <v>0</v>
      </c>
      <c r="AI25" s="6">
        <f t="shared" si="29"/>
        <v>0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0</v>
      </c>
      <c r="CS25" s="7">
        <f t="shared" si="90"/>
        <v>0</v>
      </c>
      <c r="CT25" s="7">
        <f t="shared" si="90"/>
        <v>0</v>
      </c>
      <c r="CU25" s="7">
        <f t="shared" si="90"/>
        <v>0</v>
      </c>
      <c r="CV25" s="5">
        <f t="shared" si="91"/>
        <v>0</v>
      </c>
      <c r="CW25" s="6">
        <f t="shared" si="92"/>
        <v>0</v>
      </c>
      <c r="CY25" s="7">
        <v>0</v>
      </c>
      <c r="CZ25" s="5">
        <f t="array" ref="CZ25">Summary_UpperBound</f>
        <v>0</v>
      </c>
      <c r="DA25" s="6">
        <f t="shared" si="93"/>
        <v>0</v>
      </c>
    </row>
    <row r="26" spans="1:105" x14ac:dyDescent="0.35">
      <c r="B26" s="14"/>
      <c r="E26" s="12" t="e" vm="2">
        <f t="shared" ca="1" si="94"/>
        <v>#VALUE!</v>
      </c>
      <c r="F26" s="7">
        <f t="shared" si="0"/>
        <v>0</v>
      </c>
      <c r="G26" s="6">
        <f t="shared" si="1"/>
        <v>0</v>
      </c>
      <c r="H26" s="7">
        <f t="shared" si="2"/>
        <v>0</v>
      </c>
      <c r="I26" s="6">
        <f t="shared" si="3"/>
        <v>0</v>
      </c>
      <c r="J26" s="5">
        <f t="shared" si="4"/>
        <v>0</v>
      </c>
      <c r="K26" s="6">
        <f t="shared" si="5"/>
        <v>0</v>
      </c>
      <c r="L26" s="7">
        <f t="shared" si="6"/>
        <v>0</v>
      </c>
      <c r="M26" s="6">
        <f t="shared" si="7"/>
        <v>0</v>
      </c>
      <c r="N26" s="7">
        <f t="shared" si="8"/>
        <v>0</v>
      </c>
      <c r="O26" s="6">
        <f t="shared" si="9"/>
        <v>0</v>
      </c>
      <c r="P26" s="5">
        <f t="shared" si="10"/>
        <v>0</v>
      </c>
      <c r="Q26" s="6">
        <f t="shared" si="11"/>
        <v>0</v>
      </c>
      <c r="R26" s="7">
        <f t="shared" si="12"/>
        <v>0</v>
      </c>
      <c r="S26" s="6">
        <f t="shared" si="13"/>
        <v>0</v>
      </c>
      <c r="T26" s="7">
        <f t="shared" si="14"/>
        <v>0</v>
      </c>
      <c r="U26" s="6">
        <f t="shared" si="15"/>
        <v>0</v>
      </c>
      <c r="V26" s="5">
        <f t="shared" si="16"/>
        <v>0</v>
      </c>
      <c r="W26" s="6">
        <f t="shared" si="17"/>
        <v>0</v>
      </c>
      <c r="X26" s="7">
        <f t="shared" si="18"/>
        <v>0</v>
      </c>
      <c r="Y26" s="6">
        <f t="shared" si="19"/>
        <v>0</v>
      </c>
      <c r="Z26" s="7">
        <f t="shared" si="20"/>
        <v>0</v>
      </c>
      <c r="AA26" s="6">
        <f t="shared" si="21"/>
        <v>0</v>
      </c>
      <c r="AB26" s="5">
        <f t="shared" si="22"/>
        <v>0</v>
      </c>
      <c r="AC26" s="6">
        <f t="shared" si="23"/>
        <v>0</v>
      </c>
      <c r="AD26" s="7">
        <f t="shared" si="24"/>
        <v>0</v>
      </c>
      <c r="AE26" s="6">
        <f t="shared" si="25"/>
        <v>0</v>
      </c>
      <c r="AF26" s="7">
        <f t="shared" si="26"/>
        <v>0</v>
      </c>
      <c r="AG26" s="6">
        <f t="shared" si="27"/>
        <v>0</v>
      </c>
      <c r="AH26" s="5">
        <f t="shared" si="28"/>
        <v>0</v>
      </c>
      <c r="AI26" s="6">
        <f t="shared" si="29"/>
        <v>0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0</v>
      </c>
      <c r="CS26" s="7">
        <f t="shared" si="90"/>
        <v>0</v>
      </c>
      <c r="CT26" s="7">
        <f t="shared" si="90"/>
        <v>0</v>
      </c>
      <c r="CU26" s="7">
        <f t="shared" si="90"/>
        <v>0</v>
      </c>
      <c r="CV26" s="5">
        <f t="shared" si="91"/>
        <v>0</v>
      </c>
      <c r="CW26" s="6">
        <f t="shared" si="92"/>
        <v>0</v>
      </c>
      <c r="CY26" s="7">
        <v>0</v>
      </c>
      <c r="CZ26" s="5">
        <f t="array" ref="CZ26">Summary_UpperBound</f>
        <v>0</v>
      </c>
      <c r="DA26" s="6">
        <f t="shared" si="93"/>
        <v>0</v>
      </c>
    </row>
    <row r="27" spans="1:105" x14ac:dyDescent="0.35">
      <c r="B27" s="14"/>
      <c r="E27" s="12" t="e" vm="2">
        <f t="shared" ca="1" si="94"/>
        <v>#VALUE!</v>
      </c>
      <c r="F27" s="7">
        <f t="shared" si="0"/>
        <v>0</v>
      </c>
      <c r="G27" s="6">
        <f t="shared" si="1"/>
        <v>0</v>
      </c>
      <c r="H27" s="7">
        <f t="shared" si="2"/>
        <v>0</v>
      </c>
      <c r="I27" s="6">
        <f t="shared" si="3"/>
        <v>0</v>
      </c>
      <c r="J27" s="5">
        <f t="shared" si="4"/>
        <v>0</v>
      </c>
      <c r="K27" s="6">
        <f t="shared" si="5"/>
        <v>0</v>
      </c>
      <c r="L27" s="7">
        <f t="shared" si="6"/>
        <v>0</v>
      </c>
      <c r="M27" s="6">
        <f t="shared" si="7"/>
        <v>0</v>
      </c>
      <c r="N27" s="7">
        <f t="shared" si="8"/>
        <v>0</v>
      </c>
      <c r="O27" s="6">
        <f t="shared" si="9"/>
        <v>0</v>
      </c>
      <c r="P27" s="5">
        <f t="shared" si="10"/>
        <v>0</v>
      </c>
      <c r="Q27" s="6">
        <f t="shared" si="11"/>
        <v>0</v>
      </c>
      <c r="R27" s="7">
        <f t="shared" si="12"/>
        <v>0</v>
      </c>
      <c r="S27" s="6">
        <f t="shared" si="13"/>
        <v>0</v>
      </c>
      <c r="T27" s="7">
        <f t="shared" si="14"/>
        <v>0</v>
      </c>
      <c r="U27" s="6">
        <f t="shared" si="15"/>
        <v>0</v>
      </c>
      <c r="V27" s="5">
        <f t="shared" si="16"/>
        <v>0</v>
      </c>
      <c r="W27" s="6">
        <f t="shared" si="17"/>
        <v>0</v>
      </c>
      <c r="X27" s="7">
        <f t="shared" si="18"/>
        <v>0</v>
      </c>
      <c r="Y27" s="6">
        <f t="shared" si="19"/>
        <v>0</v>
      </c>
      <c r="Z27" s="7">
        <f t="shared" si="20"/>
        <v>0</v>
      </c>
      <c r="AA27" s="6">
        <f t="shared" si="21"/>
        <v>0</v>
      </c>
      <c r="AB27" s="5">
        <f t="shared" si="22"/>
        <v>0</v>
      </c>
      <c r="AC27" s="6">
        <f t="shared" si="23"/>
        <v>0</v>
      </c>
      <c r="AD27" s="7">
        <f t="shared" si="24"/>
        <v>0</v>
      </c>
      <c r="AE27" s="6">
        <f t="shared" si="25"/>
        <v>0</v>
      </c>
      <c r="AF27" s="7">
        <f t="shared" si="26"/>
        <v>0</v>
      </c>
      <c r="AG27" s="6">
        <f t="shared" si="27"/>
        <v>0</v>
      </c>
      <c r="AH27" s="5">
        <f t="shared" si="28"/>
        <v>0</v>
      </c>
      <c r="AI27" s="6">
        <f t="shared" si="29"/>
        <v>0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0</v>
      </c>
      <c r="CS27" s="7">
        <f t="shared" si="90"/>
        <v>0</v>
      </c>
      <c r="CT27" s="7">
        <f t="shared" si="90"/>
        <v>0</v>
      </c>
      <c r="CU27" s="7">
        <f t="shared" si="90"/>
        <v>0</v>
      </c>
      <c r="CV27" s="5">
        <f t="shared" si="91"/>
        <v>0</v>
      </c>
      <c r="CW27" s="6">
        <f t="shared" si="92"/>
        <v>0</v>
      </c>
      <c r="CY27" s="7">
        <v>0</v>
      </c>
      <c r="CZ27" s="5">
        <f t="array" ref="CZ27">Summary_UpperBound</f>
        <v>0</v>
      </c>
      <c r="DA27" s="6">
        <f t="shared" si="93"/>
        <v>0</v>
      </c>
    </row>
    <row r="28" spans="1:105" x14ac:dyDescent="0.35">
      <c r="B28" s="14"/>
      <c r="E28" s="12" t="e" vm="2">
        <f t="shared" ca="1" si="94"/>
        <v>#VALUE!</v>
      </c>
      <c r="F28" s="7">
        <f t="shared" si="0"/>
        <v>0</v>
      </c>
      <c r="G28" s="6">
        <f t="shared" si="1"/>
        <v>0</v>
      </c>
      <c r="H28" s="7">
        <f t="shared" si="2"/>
        <v>0</v>
      </c>
      <c r="I28" s="6">
        <f t="shared" si="3"/>
        <v>0</v>
      </c>
      <c r="J28" s="5">
        <f t="shared" si="4"/>
        <v>0</v>
      </c>
      <c r="K28" s="6">
        <f t="shared" si="5"/>
        <v>0</v>
      </c>
      <c r="L28" s="7">
        <f t="shared" si="6"/>
        <v>0</v>
      </c>
      <c r="M28" s="6">
        <f t="shared" si="7"/>
        <v>0</v>
      </c>
      <c r="N28" s="7">
        <f t="shared" si="8"/>
        <v>0</v>
      </c>
      <c r="O28" s="6">
        <f t="shared" si="9"/>
        <v>0</v>
      </c>
      <c r="P28" s="5">
        <f t="shared" si="10"/>
        <v>0</v>
      </c>
      <c r="Q28" s="6">
        <f t="shared" si="11"/>
        <v>0</v>
      </c>
      <c r="R28" s="7">
        <f t="shared" si="12"/>
        <v>0</v>
      </c>
      <c r="S28" s="6">
        <f t="shared" si="13"/>
        <v>0</v>
      </c>
      <c r="T28" s="7">
        <f t="shared" si="14"/>
        <v>0</v>
      </c>
      <c r="U28" s="6">
        <f t="shared" si="15"/>
        <v>0</v>
      </c>
      <c r="V28" s="5">
        <f t="shared" si="16"/>
        <v>0</v>
      </c>
      <c r="W28" s="6">
        <f t="shared" si="17"/>
        <v>0</v>
      </c>
      <c r="X28" s="7">
        <f t="shared" si="18"/>
        <v>0</v>
      </c>
      <c r="Y28" s="6">
        <f t="shared" si="19"/>
        <v>0</v>
      </c>
      <c r="Z28" s="7">
        <f t="shared" si="20"/>
        <v>0</v>
      </c>
      <c r="AA28" s="6">
        <f t="shared" si="21"/>
        <v>0</v>
      </c>
      <c r="AB28" s="5">
        <f t="shared" si="22"/>
        <v>0</v>
      </c>
      <c r="AC28" s="6">
        <f t="shared" si="23"/>
        <v>0</v>
      </c>
      <c r="AD28" s="7">
        <f t="shared" si="24"/>
        <v>0</v>
      </c>
      <c r="AE28" s="6">
        <f t="shared" si="25"/>
        <v>0</v>
      </c>
      <c r="AF28" s="7">
        <f t="shared" si="26"/>
        <v>0</v>
      </c>
      <c r="AG28" s="6">
        <f t="shared" si="27"/>
        <v>0</v>
      </c>
      <c r="AH28" s="5">
        <f t="shared" si="28"/>
        <v>0</v>
      </c>
      <c r="AI28" s="6">
        <f t="shared" si="29"/>
        <v>0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0</v>
      </c>
      <c r="CS28" s="7">
        <f t="shared" si="90"/>
        <v>0</v>
      </c>
      <c r="CT28" s="7">
        <f t="shared" si="90"/>
        <v>0</v>
      </c>
      <c r="CU28" s="7">
        <f t="shared" si="90"/>
        <v>0</v>
      </c>
      <c r="CV28" s="5">
        <f t="shared" si="91"/>
        <v>0</v>
      </c>
      <c r="CW28" s="6">
        <f t="shared" si="92"/>
        <v>0</v>
      </c>
      <c r="CY28" s="7">
        <v>0</v>
      </c>
      <c r="CZ28" s="5">
        <f t="array" ref="CZ28">Summary_UpperBound</f>
        <v>0</v>
      </c>
      <c r="DA28" s="6">
        <f t="shared" si="93"/>
        <v>0</v>
      </c>
    </row>
    <row r="29" spans="1:105" x14ac:dyDescent="0.35">
      <c r="B29" s="14"/>
      <c r="E29" s="12" t="e" vm="2">
        <f t="shared" ca="1" si="94"/>
        <v>#VALUE!</v>
      </c>
      <c r="F29" s="7">
        <f t="shared" si="0"/>
        <v>0</v>
      </c>
      <c r="G29" s="6">
        <f t="shared" si="1"/>
        <v>0</v>
      </c>
      <c r="H29" s="7">
        <f t="shared" si="2"/>
        <v>0</v>
      </c>
      <c r="I29" s="6">
        <f t="shared" si="3"/>
        <v>0</v>
      </c>
      <c r="J29" s="5">
        <f t="shared" si="4"/>
        <v>0</v>
      </c>
      <c r="K29" s="6">
        <f t="shared" si="5"/>
        <v>0</v>
      </c>
      <c r="L29" s="7">
        <f t="shared" si="6"/>
        <v>0</v>
      </c>
      <c r="M29" s="6">
        <f t="shared" si="7"/>
        <v>0</v>
      </c>
      <c r="N29" s="7">
        <f t="shared" si="8"/>
        <v>0</v>
      </c>
      <c r="O29" s="6">
        <f t="shared" si="9"/>
        <v>0</v>
      </c>
      <c r="P29" s="5">
        <f t="shared" si="10"/>
        <v>0</v>
      </c>
      <c r="Q29" s="6">
        <f t="shared" si="11"/>
        <v>0</v>
      </c>
      <c r="R29" s="7">
        <f t="shared" si="12"/>
        <v>0</v>
      </c>
      <c r="S29" s="6">
        <f t="shared" si="13"/>
        <v>0</v>
      </c>
      <c r="T29" s="7">
        <f t="shared" si="14"/>
        <v>0</v>
      </c>
      <c r="U29" s="6">
        <f t="shared" si="15"/>
        <v>0</v>
      </c>
      <c r="V29" s="5">
        <f t="shared" si="16"/>
        <v>0</v>
      </c>
      <c r="W29" s="6">
        <f t="shared" si="17"/>
        <v>0</v>
      </c>
      <c r="X29" s="7">
        <f t="shared" si="18"/>
        <v>0</v>
      </c>
      <c r="Y29" s="6">
        <f t="shared" si="19"/>
        <v>0</v>
      </c>
      <c r="Z29" s="7">
        <f t="shared" si="20"/>
        <v>0</v>
      </c>
      <c r="AA29" s="6">
        <f t="shared" si="21"/>
        <v>0</v>
      </c>
      <c r="AB29" s="5">
        <f t="shared" si="22"/>
        <v>0</v>
      </c>
      <c r="AC29" s="6">
        <f t="shared" si="23"/>
        <v>0</v>
      </c>
      <c r="AD29" s="7">
        <f t="shared" si="24"/>
        <v>0</v>
      </c>
      <c r="AE29" s="6">
        <f t="shared" si="25"/>
        <v>0</v>
      </c>
      <c r="AF29" s="7">
        <f t="shared" si="26"/>
        <v>0</v>
      </c>
      <c r="AG29" s="6">
        <f t="shared" si="27"/>
        <v>0</v>
      </c>
      <c r="AH29" s="5">
        <f t="shared" si="28"/>
        <v>0</v>
      </c>
      <c r="AI29" s="6">
        <f t="shared" si="29"/>
        <v>0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0</v>
      </c>
      <c r="CS29" s="7">
        <f t="shared" si="90"/>
        <v>0</v>
      </c>
      <c r="CT29" s="7">
        <f t="shared" si="90"/>
        <v>0</v>
      </c>
      <c r="CU29" s="7">
        <f t="shared" si="90"/>
        <v>0</v>
      </c>
      <c r="CV29" s="5">
        <f t="shared" si="91"/>
        <v>0</v>
      </c>
      <c r="CW29" s="6">
        <f t="shared" si="92"/>
        <v>0</v>
      </c>
      <c r="CY29" s="7">
        <v>0</v>
      </c>
      <c r="CZ29" s="5">
        <f t="array" ref="CZ29">Summary_UpperBound</f>
        <v>0</v>
      </c>
      <c r="DA29" s="6">
        <f t="shared" si="93"/>
        <v>0</v>
      </c>
    </row>
    <row r="30" spans="1:105" x14ac:dyDescent="0.35">
      <c r="B30" s="14"/>
      <c r="E30" s="12" t="e" vm="2">
        <f t="shared" ca="1" si="94"/>
        <v>#VALUE!</v>
      </c>
      <c r="F30" s="7">
        <f t="shared" si="0"/>
        <v>0</v>
      </c>
      <c r="G30" s="6">
        <f t="shared" si="1"/>
        <v>0</v>
      </c>
      <c r="H30" s="7">
        <f t="shared" si="2"/>
        <v>0</v>
      </c>
      <c r="I30" s="6">
        <f t="shared" si="3"/>
        <v>0</v>
      </c>
      <c r="J30" s="5">
        <f t="shared" si="4"/>
        <v>0</v>
      </c>
      <c r="K30" s="6">
        <f t="shared" si="5"/>
        <v>0</v>
      </c>
      <c r="L30" s="7">
        <f t="shared" si="6"/>
        <v>0</v>
      </c>
      <c r="M30" s="6">
        <f t="shared" si="7"/>
        <v>0</v>
      </c>
      <c r="N30" s="7">
        <f t="shared" si="8"/>
        <v>0</v>
      </c>
      <c r="O30" s="6">
        <f t="shared" si="9"/>
        <v>0</v>
      </c>
      <c r="P30" s="5">
        <f t="shared" si="10"/>
        <v>0</v>
      </c>
      <c r="Q30" s="6">
        <f t="shared" si="11"/>
        <v>0</v>
      </c>
      <c r="R30" s="7">
        <f t="shared" si="12"/>
        <v>0</v>
      </c>
      <c r="S30" s="6">
        <f t="shared" si="13"/>
        <v>0</v>
      </c>
      <c r="T30" s="7">
        <f t="shared" si="14"/>
        <v>0</v>
      </c>
      <c r="U30" s="6">
        <f t="shared" si="15"/>
        <v>0</v>
      </c>
      <c r="V30" s="5">
        <f t="shared" si="16"/>
        <v>0</v>
      </c>
      <c r="W30" s="6">
        <f t="shared" si="17"/>
        <v>0</v>
      </c>
      <c r="X30" s="7">
        <f t="shared" si="18"/>
        <v>0</v>
      </c>
      <c r="Y30" s="6">
        <f t="shared" si="19"/>
        <v>0</v>
      </c>
      <c r="Z30" s="7">
        <f t="shared" si="20"/>
        <v>0</v>
      </c>
      <c r="AA30" s="6">
        <f t="shared" si="21"/>
        <v>0</v>
      </c>
      <c r="AB30" s="5">
        <f t="shared" si="22"/>
        <v>0</v>
      </c>
      <c r="AC30" s="6">
        <f t="shared" si="23"/>
        <v>0</v>
      </c>
      <c r="AD30" s="7">
        <f t="shared" si="24"/>
        <v>0</v>
      </c>
      <c r="AE30" s="6">
        <f t="shared" si="25"/>
        <v>0</v>
      </c>
      <c r="AF30" s="7">
        <f t="shared" si="26"/>
        <v>0</v>
      </c>
      <c r="AG30" s="6">
        <f t="shared" si="27"/>
        <v>0</v>
      </c>
      <c r="AH30" s="5">
        <f t="shared" si="28"/>
        <v>0</v>
      </c>
      <c r="AI30" s="6">
        <f t="shared" si="29"/>
        <v>0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0</v>
      </c>
      <c r="CS30" s="7">
        <f t="shared" si="90"/>
        <v>0</v>
      </c>
      <c r="CT30" s="7">
        <f t="shared" si="90"/>
        <v>0</v>
      </c>
      <c r="CU30" s="7">
        <f t="shared" si="90"/>
        <v>0</v>
      </c>
      <c r="CV30" s="5">
        <f t="shared" si="91"/>
        <v>0</v>
      </c>
      <c r="CW30" s="6">
        <f t="shared" si="92"/>
        <v>0</v>
      </c>
      <c r="CY30" s="7">
        <v>0</v>
      </c>
      <c r="CZ30" s="5">
        <f t="array" ref="CZ30">Summary_UpperBound</f>
        <v>0</v>
      </c>
      <c r="DA30" s="6">
        <f t="shared" si="93"/>
        <v>0</v>
      </c>
    </row>
    <row r="31" spans="1:105" x14ac:dyDescent="0.35">
      <c r="B31" s="14"/>
      <c r="E31" s="12" t="e" vm="2">
        <f t="shared" ca="1" si="94"/>
        <v>#VALUE!</v>
      </c>
      <c r="F31" s="7">
        <f t="shared" si="0"/>
        <v>0</v>
      </c>
      <c r="G31" s="6">
        <f t="shared" si="1"/>
        <v>0</v>
      </c>
      <c r="H31" s="7">
        <f t="shared" si="2"/>
        <v>0</v>
      </c>
      <c r="I31" s="6">
        <f t="shared" si="3"/>
        <v>0</v>
      </c>
      <c r="J31" s="5">
        <f t="shared" si="4"/>
        <v>0</v>
      </c>
      <c r="K31" s="6">
        <f t="shared" si="5"/>
        <v>0</v>
      </c>
      <c r="L31" s="7">
        <f t="shared" si="6"/>
        <v>0</v>
      </c>
      <c r="M31" s="6">
        <f t="shared" si="7"/>
        <v>0</v>
      </c>
      <c r="N31" s="7">
        <f t="shared" si="8"/>
        <v>0</v>
      </c>
      <c r="O31" s="6">
        <f t="shared" si="9"/>
        <v>0</v>
      </c>
      <c r="P31" s="5">
        <f t="shared" si="10"/>
        <v>0</v>
      </c>
      <c r="Q31" s="6">
        <f t="shared" si="11"/>
        <v>0</v>
      </c>
      <c r="R31" s="7">
        <f t="shared" si="12"/>
        <v>0</v>
      </c>
      <c r="S31" s="6">
        <f t="shared" si="13"/>
        <v>0</v>
      </c>
      <c r="T31" s="7">
        <f t="shared" si="14"/>
        <v>0</v>
      </c>
      <c r="U31" s="6">
        <f t="shared" si="15"/>
        <v>0</v>
      </c>
      <c r="V31" s="5">
        <f t="shared" si="16"/>
        <v>0</v>
      </c>
      <c r="W31" s="6">
        <f t="shared" si="17"/>
        <v>0</v>
      </c>
      <c r="X31" s="7">
        <f t="shared" si="18"/>
        <v>0</v>
      </c>
      <c r="Y31" s="6">
        <f t="shared" si="19"/>
        <v>0</v>
      </c>
      <c r="Z31" s="7">
        <f t="shared" si="20"/>
        <v>0</v>
      </c>
      <c r="AA31" s="6">
        <f t="shared" si="21"/>
        <v>0</v>
      </c>
      <c r="AB31" s="5">
        <f t="shared" si="22"/>
        <v>0</v>
      </c>
      <c r="AC31" s="6">
        <f t="shared" si="23"/>
        <v>0</v>
      </c>
      <c r="AD31" s="7">
        <f t="shared" si="24"/>
        <v>0</v>
      </c>
      <c r="AE31" s="6">
        <f t="shared" si="25"/>
        <v>0</v>
      </c>
      <c r="AF31" s="7">
        <f t="shared" si="26"/>
        <v>0</v>
      </c>
      <c r="AG31" s="6">
        <f t="shared" si="27"/>
        <v>0</v>
      </c>
      <c r="AH31" s="5">
        <f t="shared" si="28"/>
        <v>0</v>
      </c>
      <c r="AI31" s="6">
        <f t="shared" si="29"/>
        <v>0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0</v>
      </c>
      <c r="CS31" s="7">
        <f t="shared" si="90"/>
        <v>0</v>
      </c>
      <c r="CT31" s="7">
        <f t="shared" si="90"/>
        <v>0</v>
      </c>
      <c r="CU31" s="7">
        <f t="shared" si="90"/>
        <v>0</v>
      </c>
      <c r="CV31" s="5">
        <f t="shared" si="91"/>
        <v>0</v>
      </c>
      <c r="CW31" s="6">
        <f t="shared" si="92"/>
        <v>0</v>
      </c>
      <c r="CY31" s="7">
        <v>0</v>
      </c>
      <c r="CZ31" s="5">
        <f t="array" ref="CZ31">Summary_UpperBound</f>
        <v>0</v>
      </c>
      <c r="DA31" s="6">
        <f t="shared" si="93"/>
        <v>0</v>
      </c>
    </row>
    <row r="32" spans="1:105" x14ac:dyDescent="0.35">
      <c r="B32" s="14"/>
      <c r="E32" s="12" t="e" vm="2">
        <f t="shared" ca="1" si="94"/>
        <v>#VALUE!</v>
      </c>
      <c r="F32" s="7">
        <f t="shared" si="0"/>
        <v>0</v>
      </c>
      <c r="G32" s="6">
        <f t="shared" si="1"/>
        <v>0</v>
      </c>
      <c r="H32" s="7">
        <f t="shared" si="2"/>
        <v>0</v>
      </c>
      <c r="I32" s="6">
        <f t="shared" si="3"/>
        <v>0</v>
      </c>
      <c r="J32" s="5">
        <f t="shared" si="4"/>
        <v>0</v>
      </c>
      <c r="K32" s="6">
        <f t="shared" si="5"/>
        <v>0</v>
      </c>
      <c r="L32" s="7">
        <f t="shared" si="6"/>
        <v>0</v>
      </c>
      <c r="M32" s="6">
        <f t="shared" si="7"/>
        <v>0</v>
      </c>
      <c r="N32" s="7">
        <f t="shared" si="8"/>
        <v>0</v>
      </c>
      <c r="O32" s="6">
        <f t="shared" si="9"/>
        <v>0</v>
      </c>
      <c r="P32" s="5">
        <f t="shared" si="10"/>
        <v>0</v>
      </c>
      <c r="Q32" s="6">
        <f t="shared" si="11"/>
        <v>0</v>
      </c>
      <c r="R32" s="7">
        <f t="shared" si="12"/>
        <v>0</v>
      </c>
      <c r="S32" s="6">
        <f t="shared" si="13"/>
        <v>0</v>
      </c>
      <c r="T32" s="7">
        <f t="shared" si="14"/>
        <v>0</v>
      </c>
      <c r="U32" s="6">
        <f t="shared" si="15"/>
        <v>0</v>
      </c>
      <c r="V32" s="5">
        <f t="shared" si="16"/>
        <v>0</v>
      </c>
      <c r="W32" s="6">
        <f t="shared" si="17"/>
        <v>0</v>
      </c>
      <c r="X32" s="7">
        <f t="shared" si="18"/>
        <v>0</v>
      </c>
      <c r="Y32" s="6">
        <f t="shared" si="19"/>
        <v>0</v>
      </c>
      <c r="Z32" s="7">
        <f t="shared" si="20"/>
        <v>0</v>
      </c>
      <c r="AA32" s="6">
        <f t="shared" si="21"/>
        <v>0</v>
      </c>
      <c r="AB32" s="5">
        <f t="shared" si="22"/>
        <v>0</v>
      </c>
      <c r="AC32" s="6">
        <f t="shared" si="23"/>
        <v>0</v>
      </c>
      <c r="AD32" s="7">
        <f t="shared" si="24"/>
        <v>0</v>
      </c>
      <c r="AE32" s="6">
        <f t="shared" si="25"/>
        <v>0</v>
      </c>
      <c r="AF32" s="7">
        <f t="shared" si="26"/>
        <v>0</v>
      </c>
      <c r="AG32" s="6">
        <f t="shared" si="27"/>
        <v>0</v>
      </c>
      <c r="AH32" s="5">
        <f t="shared" si="28"/>
        <v>0</v>
      </c>
      <c r="AI32" s="6">
        <f t="shared" si="29"/>
        <v>0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0</v>
      </c>
      <c r="CS32" s="7">
        <f t="shared" si="90"/>
        <v>0</v>
      </c>
      <c r="CT32" s="7">
        <f t="shared" si="90"/>
        <v>0</v>
      </c>
      <c r="CU32" s="7">
        <f t="shared" si="90"/>
        <v>0</v>
      </c>
      <c r="CV32" s="5">
        <f t="shared" si="91"/>
        <v>0</v>
      </c>
      <c r="CW32" s="6">
        <f t="shared" si="92"/>
        <v>0</v>
      </c>
      <c r="CY32" s="7">
        <v>0</v>
      </c>
      <c r="CZ32" s="5">
        <f t="array" ref="CZ32">Summary_UpperBound</f>
        <v>0</v>
      </c>
      <c r="DA32" s="6">
        <f t="shared" si="93"/>
        <v>0</v>
      </c>
    </row>
    <row r="33" spans="2:105" x14ac:dyDescent="0.35">
      <c r="B33" s="14"/>
      <c r="E33" s="12" t="e" vm="2">
        <f t="shared" ca="1" si="94"/>
        <v>#VALUE!</v>
      </c>
      <c r="F33" s="7">
        <f t="shared" si="0"/>
        <v>0</v>
      </c>
      <c r="G33" s="6">
        <f t="shared" si="1"/>
        <v>0</v>
      </c>
      <c r="H33" s="7">
        <f t="shared" si="2"/>
        <v>0</v>
      </c>
      <c r="I33" s="6">
        <f t="shared" si="3"/>
        <v>0</v>
      </c>
      <c r="J33" s="5">
        <f t="shared" si="4"/>
        <v>0</v>
      </c>
      <c r="K33" s="6">
        <f t="shared" si="5"/>
        <v>0</v>
      </c>
      <c r="L33" s="7">
        <f t="shared" si="6"/>
        <v>0</v>
      </c>
      <c r="M33" s="6">
        <f t="shared" si="7"/>
        <v>0</v>
      </c>
      <c r="N33" s="7">
        <f t="shared" si="8"/>
        <v>0</v>
      </c>
      <c r="O33" s="6">
        <f t="shared" si="9"/>
        <v>0</v>
      </c>
      <c r="P33" s="5">
        <f t="shared" si="10"/>
        <v>0</v>
      </c>
      <c r="Q33" s="6">
        <f t="shared" si="11"/>
        <v>0</v>
      </c>
      <c r="R33" s="7">
        <f t="shared" si="12"/>
        <v>0</v>
      </c>
      <c r="S33" s="6">
        <f t="shared" si="13"/>
        <v>0</v>
      </c>
      <c r="T33" s="7">
        <f t="shared" si="14"/>
        <v>0</v>
      </c>
      <c r="U33" s="6">
        <f t="shared" si="15"/>
        <v>0</v>
      </c>
      <c r="V33" s="5">
        <f t="shared" si="16"/>
        <v>0</v>
      </c>
      <c r="W33" s="6">
        <f t="shared" si="17"/>
        <v>0</v>
      </c>
      <c r="X33" s="7">
        <f t="shared" si="18"/>
        <v>0</v>
      </c>
      <c r="Y33" s="6">
        <f t="shared" si="19"/>
        <v>0</v>
      </c>
      <c r="Z33" s="7">
        <f t="shared" si="20"/>
        <v>0</v>
      </c>
      <c r="AA33" s="6">
        <f t="shared" si="21"/>
        <v>0</v>
      </c>
      <c r="AB33" s="5">
        <f t="shared" si="22"/>
        <v>0</v>
      </c>
      <c r="AC33" s="6">
        <f t="shared" si="23"/>
        <v>0</v>
      </c>
      <c r="AD33" s="7">
        <f t="shared" si="24"/>
        <v>0</v>
      </c>
      <c r="AE33" s="6">
        <f t="shared" si="25"/>
        <v>0</v>
      </c>
      <c r="AF33" s="7">
        <f t="shared" si="26"/>
        <v>0</v>
      </c>
      <c r="AG33" s="6">
        <f t="shared" si="27"/>
        <v>0</v>
      </c>
      <c r="AH33" s="5">
        <f t="shared" si="28"/>
        <v>0</v>
      </c>
      <c r="AI33" s="6">
        <f t="shared" si="29"/>
        <v>0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0</v>
      </c>
      <c r="CS33" s="7">
        <f t="shared" si="90"/>
        <v>0</v>
      </c>
      <c r="CT33" s="7">
        <f t="shared" si="90"/>
        <v>0</v>
      </c>
      <c r="CU33" s="7">
        <f t="shared" si="90"/>
        <v>0</v>
      </c>
      <c r="CV33" s="5">
        <f t="shared" si="91"/>
        <v>0</v>
      </c>
      <c r="CW33" s="6">
        <f t="shared" si="92"/>
        <v>0</v>
      </c>
      <c r="CY33" s="7">
        <v>0</v>
      </c>
      <c r="CZ33" s="5">
        <f t="array" ref="CZ33">Summary_UpperBound</f>
        <v>0</v>
      </c>
      <c r="DA33" s="6">
        <f t="shared" si="93"/>
        <v>0</v>
      </c>
    </row>
    <row r="34" spans="2:105" x14ac:dyDescent="0.35">
      <c r="B34" s="14"/>
      <c r="E34" s="12" t="e" vm="2">
        <f t="shared" ca="1" si="94"/>
        <v>#VALUE!</v>
      </c>
      <c r="F34" s="7">
        <f t="shared" si="0"/>
        <v>0</v>
      </c>
      <c r="G34" s="6">
        <f t="shared" si="1"/>
        <v>0</v>
      </c>
      <c r="H34" s="7">
        <f t="shared" si="2"/>
        <v>0</v>
      </c>
      <c r="I34" s="6">
        <f t="shared" si="3"/>
        <v>0</v>
      </c>
      <c r="J34" s="5">
        <f t="shared" si="4"/>
        <v>0</v>
      </c>
      <c r="K34" s="6">
        <f t="shared" si="5"/>
        <v>0</v>
      </c>
      <c r="L34" s="7">
        <f t="shared" si="6"/>
        <v>0</v>
      </c>
      <c r="M34" s="6">
        <f t="shared" si="7"/>
        <v>0</v>
      </c>
      <c r="N34" s="7">
        <f t="shared" si="8"/>
        <v>0</v>
      </c>
      <c r="O34" s="6">
        <f t="shared" si="9"/>
        <v>0</v>
      </c>
      <c r="P34" s="5">
        <f t="shared" si="10"/>
        <v>0</v>
      </c>
      <c r="Q34" s="6">
        <f t="shared" si="11"/>
        <v>0</v>
      </c>
      <c r="R34" s="7">
        <f t="shared" si="12"/>
        <v>0</v>
      </c>
      <c r="S34" s="6">
        <f t="shared" si="13"/>
        <v>0</v>
      </c>
      <c r="T34" s="7">
        <f t="shared" si="14"/>
        <v>0</v>
      </c>
      <c r="U34" s="6">
        <f t="shared" si="15"/>
        <v>0</v>
      </c>
      <c r="V34" s="5">
        <f t="shared" si="16"/>
        <v>0</v>
      </c>
      <c r="W34" s="6">
        <f t="shared" si="17"/>
        <v>0</v>
      </c>
      <c r="X34" s="7">
        <f t="shared" si="18"/>
        <v>0</v>
      </c>
      <c r="Y34" s="6">
        <f t="shared" si="19"/>
        <v>0</v>
      </c>
      <c r="Z34" s="7">
        <f t="shared" si="20"/>
        <v>0</v>
      </c>
      <c r="AA34" s="6">
        <f t="shared" si="21"/>
        <v>0</v>
      </c>
      <c r="AB34" s="5">
        <f t="shared" si="22"/>
        <v>0</v>
      </c>
      <c r="AC34" s="6">
        <f t="shared" si="23"/>
        <v>0</v>
      </c>
      <c r="AD34" s="7">
        <f t="shared" si="24"/>
        <v>0</v>
      </c>
      <c r="AE34" s="6">
        <f t="shared" si="25"/>
        <v>0</v>
      </c>
      <c r="AF34" s="7">
        <f t="shared" si="26"/>
        <v>0</v>
      </c>
      <c r="AG34" s="6">
        <f t="shared" si="27"/>
        <v>0</v>
      </c>
      <c r="AH34" s="5">
        <f t="shared" si="28"/>
        <v>0</v>
      </c>
      <c r="AI34" s="6">
        <f t="shared" si="29"/>
        <v>0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0</v>
      </c>
      <c r="CS34" s="7">
        <f t="shared" si="90"/>
        <v>0</v>
      </c>
      <c r="CT34" s="7">
        <f t="shared" si="90"/>
        <v>0</v>
      </c>
      <c r="CU34" s="7">
        <f t="shared" si="90"/>
        <v>0</v>
      </c>
      <c r="CV34" s="5">
        <f t="shared" si="91"/>
        <v>0</v>
      </c>
      <c r="CW34" s="6">
        <f t="shared" si="92"/>
        <v>0</v>
      </c>
      <c r="CY34" s="7">
        <v>0</v>
      </c>
      <c r="CZ34" s="5">
        <f t="array" ref="CZ34">Summary_UpperBound</f>
        <v>0</v>
      </c>
      <c r="DA34" s="6">
        <f t="shared" si="93"/>
        <v>0</v>
      </c>
    </row>
    <row r="35" spans="2:105" x14ac:dyDescent="0.35">
      <c r="B35" s="14"/>
      <c r="E35" s="12" t="e" vm="2">
        <f t="shared" ca="1" si="94"/>
        <v>#VALUE!</v>
      </c>
      <c r="F35" s="7">
        <f t="shared" si="0"/>
        <v>0</v>
      </c>
      <c r="G35" s="6">
        <f t="shared" si="1"/>
        <v>0</v>
      </c>
      <c r="H35" s="7">
        <f t="shared" si="2"/>
        <v>0</v>
      </c>
      <c r="I35" s="6">
        <f t="shared" si="3"/>
        <v>0</v>
      </c>
      <c r="J35" s="5">
        <f t="shared" si="4"/>
        <v>0</v>
      </c>
      <c r="K35" s="6">
        <f t="shared" si="5"/>
        <v>0</v>
      </c>
      <c r="L35" s="7">
        <f t="shared" si="6"/>
        <v>0</v>
      </c>
      <c r="M35" s="6">
        <f t="shared" si="7"/>
        <v>0</v>
      </c>
      <c r="N35" s="7">
        <f t="shared" si="8"/>
        <v>0</v>
      </c>
      <c r="O35" s="6">
        <f t="shared" si="9"/>
        <v>0</v>
      </c>
      <c r="P35" s="5">
        <f t="shared" si="10"/>
        <v>0</v>
      </c>
      <c r="Q35" s="6">
        <f t="shared" si="11"/>
        <v>0</v>
      </c>
      <c r="R35" s="7">
        <f t="shared" si="12"/>
        <v>0</v>
      </c>
      <c r="S35" s="6">
        <f t="shared" si="13"/>
        <v>0</v>
      </c>
      <c r="T35" s="7">
        <f t="shared" si="14"/>
        <v>0</v>
      </c>
      <c r="U35" s="6">
        <f t="shared" si="15"/>
        <v>0</v>
      </c>
      <c r="V35" s="5">
        <f t="shared" si="16"/>
        <v>0</v>
      </c>
      <c r="W35" s="6">
        <f t="shared" si="17"/>
        <v>0</v>
      </c>
      <c r="X35" s="7">
        <f t="shared" si="18"/>
        <v>0</v>
      </c>
      <c r="Y35" s="6">
        <f t="shared" si="19"/>
        <v>0</v>
      </c>
      <c r="Z35" s="7">
        <f t="shared" si="20"/>
        <v>0</v>
      </c>
      <c r="AA35" s="6">
        <f t="shared" si="21"/>
        <v>0</v>
      </c>
      <c r="AB35" s="5">
        <f t="shared" si="22"/>
        <v>0</v>
      </c>
      <c r="AC35" s="6">
        <f t="shared" si="23"/>
        <v>0</v>
      </c>
      <c r="AD35" s="7">
        <f t="shared" si="24"/>
        <v>0</v>
      </c>
      <c r="AE35" s="6">
        <f t="shared" si="25"/>
        <v>0</v>
      </c>
      <c r="AF35" s="7">
        <f t="shared" si="26"/>
        <v>0</v>
      </c>
      <c r="AG35" s="6">
        <f t="shared" si="27"/>
        <v>0</v>
      </c>
      <c r="AH35" s="5">
        <f t="shared" si="28"/>
        <v>0</v>
      </c>
      <c r="AI35" s="6">
        <f t="shared" si="29"/>
        <v>0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0</v>
      </c>
      <c r="CS35" s="7">
        <f t="shared" si="90"/>
        <v>0</v>
      </c>
      <c r="CT35" s="7">
        <f t="shared" si="90"/>
        <v>0</v>
      </c>
      <c r="CU35" s="7">
        <f t="shared" si="90"/>
        <v>0</v>
      </c>
      <c r="CV35" s="5">
        <f t="shared" si="91"/>
        <v>0</v>
      </c>
      <c r="CW35" s="6">
        <f t="shared" si="92"/>
        <v>0</v>
      </c>
      <c r="CY35" s="7">
        <v>0</v>
      </c>
      <c r="CZ35" s="5">
        <f t="array" ref="CZ35">Summary_UpperBound</f>
        <v>0</v>
      </c>
      <c r="DA35" s="6">
        <f t="shared" si="93"/>
        <v>0</v>
      </c>
    </row>
    <row r="36" spans="2:105" x14ac:dyDescent="0.35">
      <c r="B36" s="14"/>
      <c r="E36" s="12" t="e" vm="2">
        <f t="shared" ca="1" si="94"/>
        <v>#VALUE!</v>
      </c>
      <c r="F36" s="7">
        <f t="shared" si="0"/>
        <v>0</v>
      </c>
      <c r="G36" s="6">
        <f t="shared" si="1"/>
        <v>0</v>
      </c>
      <c r="H36" s="7">
        <f t="shared" si="2"/>
        <v>0</v>
      </c>
      <c r="I36" s="6">
        <f t="shared" si="3"/>
        <v>0</v>
      </c>
      <c r="J36" s="5">
        <f t="shared" si="4"/>
        <v>0</v>
      </c>
      <c r="K36" s="6">
        <f t="shared" si="5"/>
        <v>0</v>
      </c>
      <c r="L36" s="7">
        <f t="shared" si="6"/>
        <v>0</v>
      </c>
      <c r="M36" s="6">
        <f t="shared" si="7"/>
        <v>0</v>
      </c>
      <c r="N36" s="7">
        <f t="shared" si="8"/>
        <v>0</v>
      </c>
      <c r="O36" s="6">
        <f t="shared" si="9"/>
        <v>0</v>
      </c>
      <c r="P36" s="5">
        <f t="shared" si="10"/>
        <v>0</v>
      </c>
      <c r="Q36" s="6">
        <f t="shared" si="11"/>
        <v>0</v>
      </c>
      <c r="R36" s="7">
        <f t="shared" si="12"/>
        <v>0</v>
      </c>
      <c r="S36" s="6">
        <f t="shared" si="13"/>
        <v>0</v>
      </c>
      <c r="T36" s="7">
        <f t="shared" si="14"/>
        <v>0</v>
      </c>
      <c r="U36" s="6">
        <f t="shared" si="15"/>
        <v>0</v>
      </c>
      <c r="V36" s="5">
        <f t="shared" si="16"/>
        <v>0</v>
      </c>
      <c r="W36" s="6">
        <f t="shared" si="17"/>
        <v>0</v>
      </c>
      <c r="X36" s="7">
        <f t="shared" si="18"/>
        <v>0</v>
      </c>
      <c r="Y36" s="6">
        <f t="shared" si="19"/>
        <v>0</v>
      </c>
      <c r="Z36" s="7">
        <f t="shared" si="20"/>
        <v>0</v>
      </c>
      <c r="AA36" s="6">
        <f t="shared" si="21"/>
        <v>0</v>
      </c>
      <c r="AB36" s="5">
        <f t="shared" si="22"/>
        <v>0</v>
      </c>
      <c r="AC36" s="6">
        <f t="shared" si="23"/>
        <v>0</v>
      </c>
      <c r="AD36" s="7">
        <f t="shared" si="24"/>
        <v>0</v>
      </c>
      <c r="AE36" s="6">
        <f t="shared" si="25"/>
        <v>0</v>
      </c>
      <c r="AF36" s="7">
        <f t="shared" si="26"/>
        <v>0</v>
      </c>
      <c r="AG36" s="6">
        <f t="shared" si="27"/>
        <v>0</v>
      </c>
      <c r="AH36" s="5">
        <f t="shared" si="28"/>
        <v>0</v>
      </c>
      <c r="AI36" s="6">
        <f t="shared" si="29"/>
        <v>0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0</v>
      </c>
      <c r="CS36" s="7">
        <f t="shared" si="90"/>
        <v>0</v>
      </c>
      <c r="CT36" s="7">
        <f t="shared" si="90"/>
        <v>0</v>
      </c>
      <c r="CU36" s="7">
        <f t="shared" si="90"/>
        <v>0</v>
      </c>
      <c r="CV36" s="5">
        <f t="shared" si="91"/>
        <v>0</v>
      </c>
      <c r="CW36" s="6">
        <f t="shared" si="92"/>
        <v>0</v>
      </c>
      <c r="CY36" s="7">
        <v>0</v>
      </c>
      <c r="CZ36" s="5">
        <f t="array" ref="CZ36">Summary_UpperBound</f>
        <v>0</v>
      </c>
      <c r="DA36" s="6">
        <f t="shared" si="93"/>
        <v>0</v>
      </c>
    </row>
    <row r="37" spans="2:105" x14ac:dyDescent="0.35">
      <c r="B37" s="14"/>
      <c r="E37" s="12" t="e" vm="2">
        <f t="shared" ca="1" si="94"/>
        <v>#VALUE!</v>
      </c>
      <c r="F37" s="7">
        <f t="shared" si="0"/>
        <v>0</v>
      </c>
      <c r="G37" s="6">
        <f t="shared" si="1"/>
        <v>0</v>
      </c>
      <c r="H37" s="7">
        <f t="shared" si="2"/>
        <v>0</v>
      </c>
      <c r="I37" s="6">
        <f t="shared" si="3"/>
        <v>0</v>
      </c>
      <c r="J37" s="5">
        <f t="shared" si="4"/>
        <v>0</v>
      </c>
      <c r="K37" s="6">
        <f t="shared" si="5"/>
        <v>0</v>
      </c>
      <c r="L37" s="7">
        <f t="shared" si="6"/>
        <v>0</v>
      </c>
      <c r="M37" s="6">
        <f t="shared" si="7"/>
        <v>0</v>
      </c>
      <c r="N37" s="7">
        <f t="shared" si="8"/>
        <v>0</v>
      </c>
      <c r="O37" s="6">
        <f t="shared" si="9"/>
        <v>0</v>
      </c>
      <c r="P37" s="5">
        <f t="shared" si="10"/>
        <v>0</v>
      </c>
      <c r="Q37" s="6">
        <f t="shared" si="11"/>
        <v>0</v>
      </c>
      <c r="R37" s="7">
        <f t="shared" si="12"/>
        <v>0</v>
      </c>
      <c r="S37" s="6">
        <f t="shared" si="13"/>
        <v>0</v>
      </c>
      <c r="T37" s="7">
        <f t="shared" si="14"/>
        <v>0</v>
      </c>
      <c r="U37" s="6">
        <f t="shared" si="15"/>
        <v>0</v>
      </c>
      <c r="V37" s="5">
        <f t="shared" si="16"/>
        <v>0</v>
      </c>
      <c r="W37" s="6">
        <f t="shared" si="17"/>
        <v>0</v>
      </c>
      <c r="X37" s="7">
        <f t="shared" si="18"/>
        <v>0</v>
      </c>
      <c r="Y37" s="6">
        <f t="shared" si="19"/>
        <v>0</v>
      </c>
      <c r="Z37" s="7">
        <f t="shared" si="20"/>
        <v>0</v>
      </c>
      <c r="AA37" s="6">
        <f t="shared" si="21"/>
        <v>0</v>
      </c>
      <c r="AB37" s="5">
        <f t="shared" si="22"/>
        <v>0</v>
      </c>
      <c r="AC37" s="6">
        <f t="shared" si="23"/>
        <v>0</v>
      </c>
      <c r="AD37" s="7">
        <f t="shared" si="24"/>
        <v>0</v>
      </c>
      <c r="AE37" s="6">
        <f t="shared" si="25"/>
        <v>0</v>
      </c>
      <c r="AF37" s="7">
        <f t="shared" si="26"/>
        <v>0</v>
      </c>
      <c r="AG37" s="6">
        <f t="shared" si="27"/>
        <v>0</v>
      </c>
      <c r="AH37" s="5">
        <f t="shared" si="28"/>
        <v>0</v>
      </c>
      <c r="AI37" s="6">
        <f t="shared" si="29"/>
        <v>0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0</v>
      </c>
      <c r="CS37" s="7">
        <f t="shared" si="90"/>
        <v>0</v>
      </c>
      <c r="CT37" s="7">
        <f t="shared" si="90"/>
        <v>0</v>
      </c>
      <c r="CU37" s="7">
        <f t="shared" si="90"/>
        <v>0</v>
      </c>
      <c r="CV37" s="5">
        <f t="shared" si="91"/>
        <v>0</v>
      </c>
      <c r="CW37" s="6">
        <f t="shared" si="92"/>
        <v>0</v>
      </c>
      <c r="CY37" s="7">
        <v>0</v>
      </c>
      <c r="CZ37" s="5">
        <f t="array" ref="CZ37">Summary_UpperBound</f>
        <v>0</v>
      </c>
      <c r="DA37" s="6">
        <f t="shared" si="93"/>
        <v>0</v>
      </c>
    </row>
    <row r="38" spans="2:105" x14ac:dyDescent="0.35">
      <c r="B38" s="14"/>
      <c r="E38" s="12" t="e" vm="2">
        <f t="shared" ca="1" si="94"/>
        <v>#VALUE!</v>
      </c>
      <c r="F38" s="7">
        <f t="shared" si="0"/>
        <v>0</v>
      </c>
      <c r="G38" s="6">
        <f t="shared" si="1"/>
        <v>0</v>
      </c>
      <c r="H38" s="7">
        <f t="shared" si="2"/>
        <v>0</v>
      </c>
      <c r="I38" s="6">
        <f t="shared" si="3"/>
        <v>0</v>
      </c>
      <c r="J38" s="5">
        <f t="shared" si="4"/>
        <v>0</v>
      </c>
      <c r="K38" s="6">
        <f t="shared" si="5"/>
        <v>0</v>
      </c>
      <c r="L38" s="7">
        <f t="shared" si="6"/>
        <v>0</v>
      </c>
      <c r="M38" s="6">
        <f t="shared" si="7"/>
        <v>0</v>
      </c>
      <c r="N38" s="7">
        <f t="shared" si="8"/>
        <v>0</v>
      </c>
      <c r="O38" s="6">
        <f t="shared" si="9"/>
        <v>0</v>
      </c>
      <c r="P38" s="5">
        <f t="shared" si="10"/>
        <v>0</v>
      </c>
      <c r="Q38" s="6">
        <f t="shared" si="11"/>
        <v>0</v>
      </c>
      <c r="R38" s="7">
        <f t="shared" si="12"/>
        <v>0</v>
      </c>
      <c r="S38" s="6">
        <f t="shared" si="13"/>
        <v>0</v>
      </c>
      <c r="T38" s="7">
        <f t="shared" si="14"/>
        <v>0</v>
      </c>
      <c r="U38" s="6">
        <f t="shared" si="15"/>
        <v>0</v>
      </c>
      <c r="V38" s="5">
        <f t="shared" si="16"/>
        <v>0</v>
      </c>
      <c r="W38" s="6">
        <f t="shared" si="17"/>
        <v>0</v>
      </c>
      <c r="X38" s="7">
        <f t="shared" si="18"/>
        <v>0</v>
      </c>
      <c r="Y38" s="6">
        <f t="shared" si="19"/>
        <v>0</v>
      </c>
      <c r="Z38" s="7">
        <f t="shared" si="20"/>
        <v>0</v>
      </c>
      <c r="AA38" s="6">
        <f t="shared" si="21"/>
        <v>0</v>
      </c>
      <c r="AB38" s="5">
        <f t="shared" si="22"/>
        <v>0</v>
      </c>
      <c r="AC38" s="6">
        <f t="shared" si="23"/>
        <v>0</v>
      </c>
      <c r="AD38" s="7">
        <f t="shared" si="24"/>
        <v>0</v>
      </c>
      <c r="AE38" s="6">
        <f t="shared" si="25"/>
        <v>0</v>
      </c>
      <c r="AF38" s="7">
        <f t="shared" si="26"/>
        <v>0</v>
      </c>
      <c r="AG38" s="6">
        <f t="shared" si="27"/>
        <v>0</v>
      </c>
      <c r="AH38" s="5">
        <f t="shared" si="28"/>
        <v>0</v>
      </c>
      <c r="AI38" s="6">
        <f t="shared" si="29"/>
        <v>0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0</v>
      </c>
      <c r="CS38" s="7">
        <f t="shared" si="90"/>
        <v>0</v>
      </c>
      <c r="CT38" s="7">
        <f t="shared" si="90"/>
        <v>0</v>
      </c>
      <c r="CU38" s="7">
        <f t="shared" si="90"/>
        <v>0</v>
      </c>
      <c r="CV38" s="5">
        <f t="shared" si="91"/>
        <v>0</v>
      </c>
      <c r="CW38" s="6">
        <f t="shared" si="92"/>
        <v>0</v>
      </c>
      <c r="CY38" s="7">
        <v>0</v>
      </c>
      <c r="CZ38" s="5">
        <f t="array" ref="CZ38">Summary_UpperBound</f>
        <v>0</v>
      </c>
      <c r="DA38" s="6">
        <f t="shared" si="93"/>
        <v>0</v>
      </c>
    </row>
    <row r="39" spans="2:105" x14ac:dyDescent="0.35">
      <c r="B39" s="14"/>
      <c r="E39" s="12" t="e" vm="2">
        <f t="shared" ca="1" si="94"/>
        <v>#VALUE!</v>
      </c>
      <c r="F39" s="7">
        <f t="shared" si="0"/>
        <v>0</v>
      </c>
      <c r="G39" s="6">
        <f t="shared" si="1"/>
        <v>0</v>
      </c>
      <c r="H39" s="7">
        <f t="shared" si="2"/>
        <v>0</v>
      </c>
      <c r="I39" s="6">
        <f t="shared" si="3"/>
        <v>0</v>
      </c>
      <c r="J39" s="5">
        <f t="shared" si="4"/>
        <v>0</v>
      </c>
      <c r="K39" s="6">
        <f t="shared" si="5"/>
        <v>0</v>
      </c>
      <c r="L39" s="7">
        <f t="shared" si="6"/>
        <v>0</v>
      </c>
      <c r="M39" s="6">
        <f t="shared" si="7"/>
        <v>0</v>
      </c>
      <c r="N39" s="7">
        <f t="shared" si="8"/>
        <v>0</v>
      </c>
      <c r="O39" s="6">
        <f t="shared" si="9"/>
        <v>0</v>
      </c>
      <c r="P39" s="5">
        <f t="shared" si="10"/>
        <v>0</v>
      </c>
      <c r="Q39" s="6">
        <f t="shared" si="11"/>
        <v>0</v>
      </c>
      <c r="R39" s="7">
        <f t="shared" si="12"/>
        <v>0</v>
      </c>
      <c r="S39" s="6">
        <f t="shared" si="13"/>
        <v>0</v>
      </c>
      <c r="T39" s="7">
        <f t="shared" si="14"/>
        <v>0</v>
      </c>
      <c r="U39" s="6">
        <f t="shared" si="15"/>
        <v>0</v>
      </c>
      <c r="V39" s="5">
        <f t="shared" si="16"/>
        <v>0</v>
      </c>
      <c r="W39" s="6">
        <f t="shared" si="17"/>
        <v>0</v>
      </c>
      <c r="X39" s="7">
        <f t="shared" si="18"/>
        <v>0</v>
      </c>
      <c r="Y39" s="6">
        <f t="shared" si="19"/>
        <v>0</v>
      </c>
      <c r="Z39" s="7">
        <f t="shared" si="20"/>
        <v>0</v>
      </c>
      <c r="AA39" s="6">
        <f t="shared" si="21"/>
        <v>0</v>
      </c>
      <c r="AB39" s="5">
        <f t="shared" si="22"/>
        <v>0</v>
      </c>
      <c r="AC39" s="6">
        <f t="shared" si="23"/>
        <v>0</v>
      </c>
      <c r="AD39" s="7">
        <f t="shared" si="24"/>
        <v>0</v>
      </c>
      <c r="AE39" s="6">
        <f t="shared" si="25"/>
        <v>0</v>
      </c>
      <c r="AF39" s="7">
        <f t="shared" si="26"/>
        <v>0</v>
      </c>
      <c r="AG39" s="6">
        <f t="shared" si="27"/>
        <v>0</v>
      </c>
      <c r="AH39" s="5">
        <f t="shared" si="28"/>
        <v>0</v>
      </c>
      <c r="AI39" s="6">
        <f t="shared" si="29"/>
        <v>0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0</v>
      </c>
      <c r="CS39" s="7">
        <f t="shared" si="90"/>
        <v>0</v>
      </c>
      <c r="CT39" s="7">
        <f t="shared" si="90"/>
        <v>0</v>
      </c>
      <c r="CU39" s="7">
        <f t="shared" si="90"/>
        <v>0</v>
      </c>
      <c r="CV39" s="5">
        <f t="shared" si="91"/>
        <v>0</v>
      </c>
      <c r="CW39" s="6">
        <f t="shared" si="92"/>
        <v>0</v>
      </c>
      <c r="CY39" s="7">
        <v>0</v>
      </c>
      <c r="CZ39" s="5">
        <f t="array" ref="CZ39">Summary_UpperBound</f>
        <v>0</v>
      </c>
      <c r="DA39" s="6">
        <f t="shared" si="93"/>
        <v>0</v>
      </c>
    </row>
    <row r="40" spans="2:105" x14ac:dyDescent="0.35">
      <c r="B40" s="14"/>
      <c r="E40" s="12" t="e" vm="2">
        <f t="shared" ca="1" si="94"/>
        <v>#VALUE!</v>
      </c>
      <c r="F40" s="7">
        <f t="shared" si="0"/>
        <v>0</v>
      </c>
      <c r="G40" s="6">
        <f t="shared" si="1"/>
        <v>0</v>
      </c>
      <c r="H40" s="7">
        <f t="shared" si="2"/>
        <v>0</v>
      </c>
      <c r="I40" s="6">
        <f t="shared" si="3"/>
        <v>0</v>
      </c>
      <c r="J40" s="5">
        <f t="shared" si="4"/>
        <v>0</v>
      </c>
      <c r="K40" s="6">
        <f t="shared" si="5"/>
        <v>0</v>
      </c>
      <c r="L40" s="7">
        <f t="shared" si="6"/>
        <v>0</v>
      </c>
      <c r="M40" s="6">
        <f t="shared" si="7"/>
        <v>0</v>
      </c>
      <c r="N40" s="7">
        <f t="shared" si="8"/>
        <v>0</v>
      </c>
      <c r="O40" s="6">
        <f t="shared" si="9"/>
        <v>0</v>
      </c>
      <c r="P40" s="5">
        <f t="shared" si="10"/>
        <v>0</v>
      </c>
      <c r="Q40" s="6">
        <f t="shared" si="11"/>
        <v>0</v>
      </c>
      <c r="R40" s="7">
        <f t="shared" si="12"/>
        <v>0</v>
      </c>
      <c r="S40" s="6">
        <f t="shared" si="13"/>
        <v>0</v>
      </c>
      <c r="T40" s="7">
        <f t="shared" si="14"/>
        <v>0</v>
      </c>
      <c r="U40" s="6">
        <f t="shared" si="15"/>
        <v>0</v>
      </c>
      <c r="V40" s="5">
        <f t="shared" si="16"/>
        <v>0</v>
      </c>
      <c r="W40" s="6">
        <f t="shared" si="17"/>
        <v>0</v>
      </c>
      <c r="X40" s="7">
        <f t="shared" si="18"/>
        <v>0</v>
      </c>
      <c r="Y40" s="6">
        <f t="shared" si="19"/>
        <v>0</v>
      </c>
      <c r="Z40" s="7">
        <f t="shared" si="20"/>
        <v>0</v>
      </c>
      <c r="AA40" s="6">
        <f t="shared" si="21"/>
        <v>0</v>
      </c>
      <c r="AB40" s="5">
        <f t="shared" si="22"/>
        <v>0</v>
      </c>
      <c r="AC40" s="6">
        <f t="shared" si="23"/>
        <v>0</v>
      </c>
      <c r="AD40" s="7">
        <f t="shared" si="24"/>
        <v>0</v>
      </c>
      <c r="AE40" s="6">
        <f t="shared" si="25"/>
        <v>0</v>
      </c>
      <c r="AF40" s="7">
        <f t="shared" si="26"/>
        <v>0</v>
      </c>
      <c r="AG40" s="6">
        <f t="shared" si="27"/>
        <v>0</v>
      </c>
      <c r="AH40" s="5">
        <f t="shared" si="28"/>
        <v>0</v>
      </c>
      <c r="AI40" s="6">
        <f t="shared" si="29"/>
        <v>0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0</v>
      </c>
      <c r="CS40" s="7">
        <f t="shared" si="90"/>
        <v>0</v>
      </c>
      <c r="CT40" s="7">
        <f t="shared" si="90"/>
        <v>0</v>
      </c>
      <c r="CU40" s="7">
        <f t="shared" si="90"/>
        <v>0</v>
      </c>
      <c r="CV40" s="5">
        <f t="shared" si="91"/>
        <v>0</v>
      </c>
      <c r="CW40" s="6">
        <f t="shared" si="92"/>
        <v>0</v>
      </c>
      <c r="CY40" s="7">
        <v>0</v>
      </c>
      <c r="CZ40" s="5">
        <f t="array" ref="CZ40">Summary_UpperBound</f>
        <v>0</v>
      </c>
      <c r="DA40" s="6">
        <f t="shared" si="93"/>
        <v>0</v>
      </c>
    </row>
    <row r="41" spans="2:105" x14ac:dyDescent="0.35">
      <c r="B41" s="14"/>
      <c r="E41" s="12" t="e" vm="2">
        <f t="shared" ca="1" si="94"/>
        <v>#VALUE!</v>
      </c>
      <c r="F41" s="7">
        <f t="shared" si="0"/>
        <v>0</v>
      </c>
      <c r="G41" s="6">
        <f t="shared" si="1"/>
        <v>0</v>
      </c>
      <c r="H41" s="7">
        <f t="shared" si="2"/>
        <v>0</v>
      </c>
      <c r="I41" s="6">
        <f t="shared" si="3"/>
        <v>0</v>
      </c>
      <c r="J41" s="5">
        <f t="shared" si="4"/>
        <v>0</v>
      </c>
      <c r="K41" s="6">
        <f t="shared" si="5"/>
        <v>0</v>
      </c>
      <c r="L41" s="7">
        <f t="shared" si="6"/>
        <v>0</v>
      </c>
      <c r="M41" s="6">
        <f t="shared" si="7"/>
        <v>0</v>
      </c>
      <c r="N41" s="7">
        <f t="shared" si="8"/>
        <v>0</v>
      </c>
      <c r="O41" s="6">
        <f t="shared" si="9"/>
        <v>0</v>
      </c>
      <c r="P41" s="5">
        <f t="shared" si="10"/>
        <v>0</v>
      </c>
      <c r="Q41" s="6">
        <f t="shared" si="11"/>
        <v>0</v>
      </c>
      <c r="R41" s="7">
        <f t="shared" si="12"/>
        <v>0</v>
      </c>
      <c r="S41" s="6">
        <f t="shared" si="13"/>
        <v>0</v>
      </c>
      <c r="T41" s="7">
        <f t="shared" si="14"/>
        <v>0</v>
      </c>
      <c r="U41" s="6">
        <f t="shared" si="15"/>
        <v>0</v>
      </c>
      <c r="V41" s="5">
        <f t="shared" si="16"/>
        <v>0</v>
      </c>
      <c r="W41" s="6">
        <f t="shared" si="17"/>
        <v>0</v>
      </c>
      <c r="X41" s="7">
        <f t="shared" si="18"/>
        <v>0</v>
      </c>
      <c r="Y41" s="6">
        <f t="shared" si="19"/>
        <v>0</v>
      </c>
      <c r="Z41" s="7">
        <f t="shared" si="20"/>
        <v>0</v>
      </c>
      <c r="AA41" s="6">
        <f t="shared" si="21"/>
        <v>0</v>
      </c>
      <c r="AB41" s="5">
        <f t="shared" si="22"/>
        <v>0</v>
      </c>
      <c r="AC41" s="6">
        <f t="shared" si="23"/>
        <v>0</v>
      </c>
      <c r="AD41" s="7">
        <f t="shared" si="24"/>
        <v>0</v>
      </c>
      <c r="AE41" s="6">
        <f t="shared" si="25"/>
        <v>0</v>
      </c>
      <c r="AF41" s="7">
        <f t="shared" si="26"/>
        <v>0</v>
      </c>
      <c r="AG41" s="6">
        <f t="shared" si="27"/>
        <v>0</v>
      </c>
      <c r="AH41" s="5">
        <f t="shared" si="28"/>
        <v>0</v>
      </c>
      <c r="AI41" s="6">
        <f t="shared" si="29"/>
        <v>0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0</v>
      </c>
      <c r="CS41" s="7">
        <f t="shared" si="90"/>
        <v>0</v>
      </c>
      <c r="CT41" s="7">
        <f t="shared" si="90"/>
        <v>0</v>
      </c>
      <c r="CU41" s="7">
        <f t="shared" si="90"/>
        <v>0</v>
      </c>
      <c r="CV41" s="5">
        <f t="shared" si="91"/>
        <v>0</v>
      </c>
      <c r="CW41" s="6">
        <f t="shared" si="92"/>
        <v>0</v>
      </c>
      <c r="CY41" s="7">
        <v>0</v>
      </c>
      <c r="CZ41" s="5">
        <f t="array" ref="CZ41">Summary_UpperBound</f>
        <v>0</v>
      </c>
      <c r="DA41" s="6">
        <f t="shared" si="93"/>
        <v>0</v>
      </c>
    </row>
    <row r="42" spans="2:105" x14ac:dyDescent="0.35">
      <c r="B42" s="14"/>
      <c r="E42" s="12" t="e" vm="2">
        <f t="shared" ca="1" si="94"/>
        <v>#VALUE!</v>
      </c>
      <c r="F42" s="7">
        <f t="shared" si="0"/>
        <v>0</v>
      </c>
      <c r="G42" s="6">
        <f t="shared" si="1"/>
        <v>0</v>
      </c>
      <c r="H42" s="7">
        <f t="shared" si="2"/>
        <v>0</v>
      </c>
      <c r="I42" s="6">
        <f t="shared" si="3"/>
        <v>0</v>
      </c>
      <c r="J42" s="5">
        <f t="shared" si="4"/>
        <v>0</v>
      </c>
      <c r="K42" s="6">
        <f t="shared" si="5"/>
        <v>0</v>
      </c>
      <c r="L42" s="7">
        <f t="shared" si="6"/>
        <v>0</v>
      </c>
      <c r="M42" s="6">
        <f t="shared" si="7"/>
        <v>0</v>
      </c>
      <c r="N42" s="7">
        <f t="shared" si="8"/>
        <v>0</v>
      </c>
      <c r="O42" s="6">
        <f t="shared" si="9"/>
        <v>0</v>
      </c>
      <c r="P42" s="5">
        <f t="shared" si="10"/>
        <v>0</v>
      </c>
      <c r="Q42" s="6">
        <f t="shared" si="11"/>
        <v>0</v>
      </c>
      <c r="R42" s="7">
        <f t="shared" si="12"/>
        <v>0</v>
      </c>
      <c r="S42" s="6">
        <f t="shared" si="13"/>
        <v>0</v>
      </c>
      <c r="T42" s="7">
        <f t="shared" si="14"/>
        <v>0</v>
      </c>
      <c r="U42" s="6">
        <f t="shared" si="15"/>
        <v>0</v>
      </c>
      <c r="V42" s="5">
        <f t="shared" si="16"/>
        <v>0</v>
      </c>
      <c r="W42" s="6">
        <f t="shared" si="17"/>
        <v>0</v>
      </c>
      <c r="X42" s="7">
        <f t="shared" si="18"/>
        <v>0</v>
      </c>
      <c r="Y42" s="6">
        <f t="shared" si="19"/>
        <v>0</v>
      </c>
      <c r="Z42" s="7">
        <f t="shared" si="20"/>
        <v>0</v>
      </c>
      <c r="AA42" s="6">
        <f t="shared" si="21"/>
        <v>0</v>
      </c>
      <c r="AB42" s="5">
        <f t="shared" si="22"/>
        <v>0</v>
      </c>
      <c r="AC42" s="6">
        <f t="shared" si="23"/>
        <v>0</v>
      </c>
      <c r="AD42" s="7">
        <f t="shared" si="24"/>
        <v>0</v>
      </c>
      <c r="AE42" s="6">
        <f t="shared" si="25"/>
        <v>0</v>
      </c>
      <c r="AF42" s="7">
        <f t="shared" si="26"/>
        <v>0</v>
      </c>
      <c r="AG42" s="6">
        <f t="shared" si="27"/>
        <v>0</v>
      </c>
      <c r="AH42" s="5">
        <f t="shared" si="28"/>
        <v>0</v>
      </c>
      <c r="AI42" s="6">
        <f t="shared" si="29"/>
        <v>0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0</v>
      </c>
      <c r="CS42" s="7">
        <f t="shared" si="90"/>
        <v>0</v>
      </c>
      <c r="CT42" s="7">
        <f t="shared" si="90"/>
        <v>0</v>
      </c>
      <c r="CU42" s="7">
        <f t="shared" si="90"/>
        <v>0</v>
      </c>
      <c r="CV42" s="5">
        <f t="shared" si="91"/>
        <v>0</v>
      </c>
      <c r="CW42" s="6">
        <f t="shared" si="92"/>
        <v>0</v>
      </c>
      <c r="CY42" s="7">
        <v>0</v>
      </c>
      <c r="CZ42" s="5">
        <f t="array" ref="CZ42">Summary_UpperBound</f>
        <v>0</v>
      </c>
      <c r="DA42" s="6">
        <f t="shared" si="93"/>
        <v>0</v>
      </c>
    </row>
    <row r="43" spans="2:105" x14ac:dyDescent="0.35">
      <c r="B43" s="14"/>
      <c r="E43" s="12" t="e" vm="2">
        <f t="shared" ca="1" si="94"/>
        <v>#VALUE!</v>
      </c>
      <c r="F43" s="7">
        <f t="shared" si="0"/>
        <v>0</v>
      </c>
      <c r="G43" s="6">
        <f t="shared" si="1"/>
        <v>0</v>
      </c>
      <c r="H43" s="7">
        <f t="shared" si="2"/>
        <v>0</v>
      </c>
      <c r="I43" s="6">
        <f t="shared" si="3"/>
        <v>0</v>
      </c>
      <c r="J43" s="5">
        <f t="shared" si="4"/>
        <v>0</v>
      </c>
      <c r="K43" s="6">
        <f t="shared" si="5"/>
        <v>0</v>
      </c>
      <c r="L43" s="7">
        <f t="shared" si="6"/>
        <v>0</v>
      </c>
      <c r="M43" s="6">
        <f t="shared" si="7"/>
        <v>0</v>
      </c>
      <c r="N43" s="7">
        <f t="shared" si="8"/>
        <v>0</v>
      </c>
      <c r="O43" s="6">
        <f t="shared" si="9"/>
        <v>0</v>
      </c>
      <c r="P43" s="5">
        <f t="shared" si="10"/>
        <v>0</v>
      </c>
      <c r="Q43" s="6">
        <f t="shared" si="11"/>
        <v>0</v>
      </c>
      <c r="R43" s="7">
        <f t="shared" si="12"/>
        <v>0</v>
      </c>
      <c r="S43" s="6">
        <f t="shared" si="13"/>
        <v>0</v>
      </c>
      <c r="T43" s="7">
        <f t="shared" si="14"/>
        <v>0</v>
      </c>
      <c r="U43" s="6">
        <f t="shared" si="15"/>
        <v>0</v>
      </c>
      <c r="V43" s="5">
        <f t="shared" si="16"/>
        <v>0</v>
      </c>
      <c r="W43" s="6">
        <f t="shared" si="17"/>
        <v>0</v>
      </c>
      <c r="X43" s="7">
        <f t="shared" si="18"/>
        <v>0</v>
      </c>
      <c r="Y43" s="6">
        <f t="shared" si="19"/>
        <v>0</v>
      </c>
      <c r="Z43" s="7">
        <f t="shared" si="20"/>
        <v>0</v>
      </c>
      <c r="AA43" s="6">
        <f t="shared" si="21"/>
        <v>0</v>
      </c>
      <c r="AB43" s="5">
        <f t="shared" si="22"/>
        <v>0</v>
      </c>
      <c r="AC43" s="6">
        <f t="shared" si="23"/>
        <v>0</v>
      </c>
      <c r="AD43" s="7">
        <f t="shared" si="24"/>
        <v>0</v>
      </c>
      <c r="AE43" s="6">
        <f t="shared" si="25"/>
        <v>0</v>
      </c>
      <c r="AF43" s="7">
        <f t="shared" si="26"/>
        <v>0</v>
      </c>
      <c r="AG43" s="6">
        <f t="shared" si="27"/>
        <v>0</v>
      </c>
      <c r="AH43" s="5">
        <f t="shared" si="28"/>
        <v>0</v>
      </c>
      <c r="AI43" s="6">
        <f t="shared" si="29"/>
        <v>0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0</v>
      </c>
      <c r="CS43" s="7">
        <f t="shared" si="90"/>
        <v>0</v>
      </c>
      <c r="CT43" s="7">
        <f t="shared" si="90"/>
        <v>0</v>
      </c>
      <c r="CU43" s="7">
        <f t="shared" si="90"/>
        <v>0</v>
      </c>
      <c r="CV43" s="5">
        <f t="shared" si="91"/>
        <v>0</v>
      </c>
      <c r="CW43" s="6">
        <f t="shared" si="92"/>
        <v>0</v>
      </c>
      <c r="CY43" s="7">
        <v>0</v>
      </c>
      <c r="CZ43" s="5">
        <f t="array" ref="CZ43">Summary_UpperBound</f>
        <v>0</v>
      </c>
      <c r="DA43" s="6">
        <f t="shared" si="93"/>
        <v>0</v>
      </c>
    </row>
    <row r="44" spans="2:105" x14ac:dyDescent="0.35">
      <c r="B44" s="14"/>
      <c r="E44" s="12" t="e" vm="2">
        <f t="shared" ca="1" si="94"/>
        <v>#VALUE!</v>
      </c>
      <c r="F44" s="7">
        <f t="shared" si="0"/>
        <v>0</v>
      </c>
      <c r="G44" s="6">
        <f t="shared" si="1"/>
        <v>0</v>
      </c>
      <c r="H44" s="7">
        <f t="shared" si="2"/>
        <v>0</v>
      </c>
      <c r="I44" s="6">
        <f t="shared" si="3"/>
        <v>0</v>
      </c>
      <c r="J44" s="5">
        <f t="shared" si="4"/>
        <v>0</v>
      </c>
      <c r="K44" s="6">
        <f t="shared" si="5"/>
        <v>0</v>
      </c>
      <c r="L44" s="7">
        <f t="shared" si="6"/>
        <v>0</v>
      </c>
      <c r="M44" s="6">
        <f t="shared" si="7"/>
        <v>0</v>
      </c>
      <c r="N44" s="7">
        <f t="shared" si="8"/>
        <v>0</v>
      </c>
      <c r="O44" s="6">
        <f t="shared" si="9"/>
        <v>0</v>
      </c>
      <c r="P44" s="5">
        <f t="shared" si="10"/>
        <v>0</v>
      </c>
      <c r="Q44" s="6">
        <f t="shared" si="11"/>
        <v>0</v>
      </c>
      <c r="R44" s="7">
        <f t="shared" si="12"/>
        <v>0</v>
      </c>
      <c r="S44" s="6">
        <f t="shared" si="13"/>
        <v>0</v>
      </c>
      <c r="T44" s="7">
        <f t="shared" si="14"/>
        <v>0</v>
      </c>
      <c r="U44" s="6">
        <f t="shared" si="15"/>
        <v>0</v>
      </c>
      <c r="V44" s="5">
        <f t="shared" si="16"/>
        <v>0</v>
      </c>
      <c r="W44" s="6">
        <f t="shared" si="17"/>
        <v>0</v>
      </c>
      <c r="X44" s="7">
        <f t="shared" si="18"/>
        <v>0</v>
      </c>
      <c r="Y44" s="6">
        <f t="shared" si="19"/>
        <v>0</v>
      </c>
      <c r="Z44" s="7">
        <f t="shared" si="20"/>
        <v>0</v>
      </c>
      <c r="AA44" s="6">
        <f t="shared" si="21"/>
        <v>0</v>
      </c>
      <c r="AB44" s="5">
        <f t="shared" si="22"/>
        <v>0</v>
      </c>
      <c r="AC44" s="6">
        <f t="shared" si="23"/>
        <v>0</v>
      </c>
      <c r="AD44" s="7">
        <f t="shared" si="24"/>
        <v>0</v>
      </c>
      <c r="AE44" s="6">
        <f t="shared" si="25"/>
        <v>0</v>
      </c>
      <c r="AF44" s="7">
        <f t="shared" si="26"/>
        <v>0</v>
      </c>
      <c r="AG44" s="6">
        <f t="shared" si="27"/>
        <v>0</v>
      </c>
      <c r="AH44" s="5">
        <f t="shared" si="28"/>
        <v>0</v>
      </c>
      <c r="AI44" s="6">
        <f t="shared" si="29"/>
        <v>0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0</v>
      </c>
      <c r="CS44" s="7">
        <f t="shared" si="90"/>
        <v>0</v>
      </c>
      <c r="CT44" s="7">
        <f t="shared" si="90"/>
        <v>0</v>
      </c>
      <c r="CU44" s="7">
        <f t="shared" si="90"/>
        <v>0</v>
      </c>
      <c r="CV44" s="5">
        <f t="shared" si="91"/>
        <v>0</v>
      </c>
      <c r="CW44" s="6">
        <f t="shared" si="92"/>
        <v>0</v>
      </c>
      <c r="CY44" s="7">
        <v>0</v>
      </c>
      <c r="CZ44" s="5">
        <f t="array" ref="CZ44">Summary_UpperBound</f>
        <v>0</v>
      </c>
      <c r="DA44" s="6">
        <f t="shared" si="93"/>
        <v>0</v>
      </c>
    </row>
    <row r="45" spans="2:105" x14ac:dyDescent="0.35">
      <c r="B45" s="14"/>
      <c r="E45" s="12" t="e" vm="2">
        <f t="shared" ca="1" si="94"/>
        <v>#VALUE!</v>
      </c>
      <c r="F45" s="7">
        <f t="shared" si="0"/>
        <v>0</v>
      </c>
      <c r="G45" s="6">
        <f t="shared" si="1"/>
        <v>0</v>
      </c>
      <c r="H45" s="7">
        <f t="shared" si="2"/>
        <v>0</v>
      </c>
      <c r="I45" s="6">
        <f t="shared" si="3"/>
        <v>0</v>
      </c>
      <c r="J45" s="5">
        <f t="shared" si="4"/>
        <v>0</v>
      </c>
      <c r="K45" s="6">
        <f t="shared" si="5"/>
        <v>0</v>
      </c>
      <c r="L45" s="7">
        <f t="shared" si="6"/>
        <v>0</v>
      </c>
      <c r="M45" s="6">
        <f t="shared" si="7"/>
        <v>0</v>
      </c>
      <c r="N45" s="7">
        <f t="shared" si="8"/>
        <v>0</v>
      </c>
      <c r="O45" s="6">
        <f t="shared" si="9"/>
        <v>0</v>
      </c>
      <c r="P45" s="5">
        <f t="shared" si="10"/>
        <v>0</v>
      </c>
      <c r="Q45" s="6">
        <f t="shared" si="11"/>
        <v>0</v>
      </c>
      <c r="R45" s="7">
        <f t="shared" si="12"/>
        <v>0</v>
      </c>
      <c r="S45" s="6">
        <f t="shared" si="13"/>
        <v>0</v>
      </c>
      <c r="T45" s="7">
        <f t="shared" si="14"/>
        <v>0</v>
      </c>
      <c r="U45" s="6">
        <f t="shared" si="15"/>
        <v>0</v>
      </c>
      <c r="V45" s="5">
        <f t="shared" si="16"/>
        <v>0</v>
      </c>
      <c r="W45" s="6">
        <f t="shared" si="17"/>
        <v>0</v>
      </c>
      <c r="X45" s="7">
        <f t="shared" si="18"/>
        <v>0</v>
      </c>
      <c r="Y45" s="6">
        <f t="shared" si="19"/>
        <v>0</v>
      </c>
      <c r="Z45" s="7">
        <f t="shared" si="20"/>
        <v>0</v>
      </c>
      <c r="AA45" s="6">
        <f t="shared" si="21"/>
        <v>0</v>
      </c>
      <c r="AB45" s="5">
        <f t="shared" si="22"/>
        <v>0</v>
      </c>
      <c r="AC45" s="6">
        <f t="shared" si="23"/>
        <v>0</v>
      </c>
      <c r="AD45" s="7">
        <f t="shared" si="24"/>
        <v>0</v>
      </c>
      <c r="AE45" s="6">
        <f t="shared" si="25"/>
        <v>0</v>
      </c>
      <c r="AF45" s="7">
        <f t="shared" si="26"/>
        <v>0</v>
      </c>
      <c r="AG45" s="6">
        <f t="shared" si="27"/>
        <v>0</v>
      </c>
      <c r="AH45" s="5">
        <f t="shared" si="28"/>
        <v>0</v>
      </c>
      <c r="AI45" s="6">
        <f t="shared" si="29"/>
        <v>0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0</v>
      </c>
      <c r="CS45" s="7">
        <f t="shared" si="90"/>
        <v>0</v>
      </c>
      <c r="CT45" s="7">
        <f t="shared" si="90"/>
        <v>0</v>
      </c>
      <c r="CU45" s="7">
        <f t="shared" si="90"/>
        <v>0</v>
      </c>
      <c r="CV45" s="5">
        <f t="shared" si="91"/>
        <v>0</v>
      </c>
      <c r="CW45" s="6">
        <f t="shared" si="92"/>
        <v>0</v>
      </c>
      <c r="CY45" s="7">
        <v>0</v>
      </c>
      <c r="CZ45" s="5">
        <f t="array" ref="CZ45">Summary_UpperBound</f>
        <v>0</v>
      </c>
      <c r="DA45" s="6">
        <f t="shared" si="93"/>
        <v>0</v>
      </c>
    </row>
    <row r="46" spans="2:105" x14ac:dyDescent="0.35">
      <c r="B46" s="14"/>
      <c r="E46" s="12" t="e" vm="2">
        <f t="shared" ca="1" si="94"/>
        <v>#VALUE!</v>
      </c>
      <c r="F46" s="7">
        <f t="shared" si="0"/>
        <v>0</v>
      </c>
      <c r="G46" s="6">
        <f t="shared" si="1"/>
        <v>0</v>
      </c>
      <c r="H46" s="7">
        <f t="shared" si="2"/>
        <v>0</v>
      </c>
      <c r="I46" s="6">
        <f t="shared" si="3"/>
        <v>0</v>
      </c>
      <c r="J46" s="5">
        <f t="shared" si="4"/>
        <v>0</v>
      </c>
      <c r="K46" s="6">
        <f t="shared" si="5"/>
        <v>0</v>
      </c>
      <c r="L46" s="7">
        <f t="shared" si="6"/>
        <v>0</v>
      </c>
      <c r="M46" s="6">
        <f t="shared" si="7"/>
        <v>0</v>
      </c>
      <c r="N46" s="7">
        <f t="shared" si="8"/>
        <v>0</v>
      </c>
      <c r="O46" s="6">
        <f t="shared" si="9"/>
        <v>0</v>
      </c>
      <c r="P46" s="5">
        <f t="shared" si="10"/>
        <v>0</v>
      </c>
      <c r="Q46" s="6">
        <f t="shared" si="11"/>
        <v>0</v>
      </c>
      <c r="R46" s="7">
        <f t="shared" si="12"/>
        <v>0</v>
      </c>
      <c r="S46" s="6">
        <f t="shared" si="13"/>
        <v>0</v>
      </c>
      <c r="T46" s="7">
        <f t="shared" si="14"/>
        <v>0</v>
      </c>
      <c r="U46" s="6">
        <f t="shared" si="15"/>
        <v>0</v>
      </c>
      <c r="V46" s="5">
        <f t="shared" si="16"/>
        <v>0</v>
      </c>
      <c r="W46" s="6">
        <f t="shared" si="17"/>
        <v>0</v>
      </c>
      <c r="X46" s="7">
        <f t="shared" si="18"/>
        <v>0</v>
      </c>
      <c r="Y46" s="6">
        <f t="shared" si="19"/>
        <v>0</v>
      </c>
      <c r="Z46" s="7">
        <f t="shared" si="20"/>
        <v>0</v>
      </c>
      <c r="AA46" s="6">
        <f t="shared" si="21"/>
        <v>0</v>
      </c>
      <c r="AB46" s="5">
        <f t="shared" si="22"/>
        <v>0</v>
      </c>
      <c r="AC46" s="6">
        <f t="shared" si="23"/>
        <v>0</v>
      </c>
      <c r="AD46" s="7">
        <f t="shared" si="24"/>
        <v>0</v>
      </c>
      <c r="AE46" s="6">
        <f t="shared" si="25"/>
        <v>0</v>
      </c>
      <c r="AF46" s="7">
        <f t="shared" si="26"/>
        <v>0</v>
      </c>
      <c r="AG46" s="6">
        <f t="shared" si="27"/>
        <v>0</v>
      </c>
      <c r="AH46" s="5">
        <f t="shared" si="28"/>
        <v>0</v>
      </c>
      <c r="AI46" s="6">
        <f t="shared" si="29"/>
        <v>0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0</v>
      </c>
      <c r="CS46" s="7">
        <f t="shared" si="90"/>
        <v>0</v>
      </c>
      <c r="CT46" s="7">
        <f t="shared" si="90"/>
        <v>0</v>
      </c>
      <c r="CU46" s="7">
        <f t="shared" si="90"/>
        <v>0</v>
      </c>
      <c r="CV46" s="5">
        <f t="shared" si="91"/>
        <v>0</v>
      </c>
      <c r="CW46" s="6">
        <f t="shared" si="92"/>
        <v>0</v>
      </c>
      <c r="CY46" s="7">
        <v>0</v>
      </c>
      <c r="CZ46" s="5">
        <f t="array" ref="CZ46">Summary_UpperBound</f>
        <v>0</v>
      </c>
      <c r="DA46" s="6">
        <f t="shared" si="93"/>
        <v>0</v>
      </c>
    </row>
    <row r="47" spans="2:105" x14ac:dyDescent="0.35">
      <c r="B47" s="14"/>
      <c r="E47" s="12" t="e" vm="2">
        <f t="shared" ca="1" si="94"/>
        <v>#VALUE!</v>
      </c>
      <c r="F47" s="7">
        <f t="shared" si="0"/>
        <v>0</v>
      </c>
      <c r="G47" s="6">
        <f t="shared" si="1"/>
        <v>0</v>
      </c>
      <c r="H47" s="7">
        <f t="shared" si="2"/>
        <v>0</v>
      </c>
      <c r="I47" s="6">
        <f t="shared" si="3"/>
        <v>0</v>
      </c>
      <c r="J47" s="5">
        <f t="shared" si="4"/>
        <v>0</v>
      </c>
      <c r="K47" s="6">
        <f t="shared" si="5"/>
        <v>0</v>
      </c>
      <c r="L47" s="7">
        <f t="shared" si="6"/>
        <v>0</v>
      </c>
      <c r="M47" s="6">
        <f t="shared" si="7"/>
        <v>0</v>
      </c>
      <c r="N47" s="7">
        <f t="shared" si="8"/>
        <v>0</v>
      </c>
      <c r="O47" s="6">
        <f t="shared" si="9"/>
        <v>0</v>
      </c>
      <c r="P47" s="5">
        <f t="shared" si="10"/>
        <v>0</v>
      </c>
      <c r="Q47" s="6">
        <f t="shared" si="11"/>
        <v>0</v>
      </c>
      <c r="R47" s="7">
        <f t="shared" si="12"/>
        <v>0</v>
      </c>
      <c r="S47" s="6">
        <f t="shared" si="13"/>
        <v>0</v>
      </c>
      <c r="T47" s="7">
        <f t="shared" si="14"/>
        <v>0</v>
      </c>
      <c r="U47" s="6">
        <f t="shared" si="15"/>
        <v>0</v>
      </c>
      <c r="V47" s="5">
        <f t="shared" si="16"/>
        <v>0</v>
      </c>
      <c r="W47" s="6">
        <f t="shared" si="17"/>
        <v>0</v>
      </c>
      <c r="X47" s="7">
        <f t="shared" si="18"/>
        <v>0</v>
      </c>
      <c r="Y47" s="6">
        <f t="shared" si="19"/>
        <v>0</v>
      </c>
      <c r="Z47" s="7">
        <f t="shared" si="20"/>
        <v>0</v>
      </c>
      <c r="AA47" s="6">
        <f t="shared" si="21"/>
        <v>0</v>
      </c>
      <c r="AB47" s="5">
        <f t="shared" si="22"/>
        <v>0</v>
      </c>
      <c r="AC47" s="6">
        <f t="shared" si="23"/>
        <v>0</v>
      </c>
      <c r="AD47" s="7">
        <f t="shared" si="24"/>
        <v>0</v>
      </c>
      <c r="AE47" s="6">
        <f t="shared" si="25"/>
        <v>0</v>
      </c>
      <c r="AF47" s="7">
        <f t="shared" si="26"/>
        <v>0</v>
      </c>
      <c r="AG47" s="6">
        <f t="shared" si="27"/>
        <v>0</v>
      </c>
      <c r="AH47" s="5">
        <f t="shared" si="28"/>
        <v>0</v>
      </c>
      <c r="AI47" s="6">
        <f t="shared" si="29"/>
        <v>0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0</v>
      </c>
      <c r="CS47" s="7">
        <f t="shared" si="90"/>
        <v>0</v>
      </c>
      <c r="CT47" s="7">
        <f t="shared" si="90"/>
        <v>0</v>
      </c>
      <c r="CU47" s="7">
        <f t="shared" si="90"/>
        <v>0</v>
      </c>
      <c r="CV47" s="5">
        <f t="shared" si="91"/>
        <v>0</v>
      </c>
      <c r="CW47" s="6">
        <f t="shared" si="92"/>
        <v>0</v>
      </c>
      <c r="CY47" s="7">
        <v>0</v>
      </c>
      <c r="CZ47" s="5">
        <f t="array" ref="CZ47">Summary_UpperBound</f>
        <v>0</v>
      </c>
      <c r="DA47" s="6">
        <f t="shared" si="93"/>
        <v>0</v>
      </c>
    </row>
    <row r="48" spans="2:105" x14ac:dyDescent="0.35">
      <c r="B48" s="14"/>
      <c r="E48" s="12" t="e" vm="2">
        <f t="shared" ca="1" si="94"/>
        <v>#VALUE!</v>
      </c>
      <c r="F48" s="7">
        <f t="shared" si="0"/>
        <v>0</v>
      </c>
      <c r="G48" s="6">
        <f t="shared" si="1"/>
        <v>0</v>
      </c>
      <c r="H48" s="7">
        <f t="shared" si="2"/>
        <v>0</v>
      </c>
      <c r="I48" s="6">
        <f t="shared" si="3"/>
        <v>0</v>
      </c>
      <c r="J48" s="5">
        <f t="shared" si="4"/>
        <v>0</v>
      </c>
      <c r="K48" s="6">
        <f t="shared" si="5"/>
        <v>0</v>
      </c>
      <c r="L48" s="7">
        <f t="shared" si="6"/>
        <v>0</v>
      </c>
      <c r="M48" s="6">
        <f t="shared" si="7"/>
        <v>0</v>
      </c>
      <c r="N48" s="7">
        <f t="shared" si="8"/>
        <v>0</v>
      </c>
      <c r="O48" s="6">
        <f t="shared" si="9"/>
        <v>0</v>
      </c>
      <c r="P48" s="5">
        <f t="shared" si="10"/>
        <v>0</v>
      </c>
      <c r="Q48" s="6">
        <f t="shared" si="11"/>
        <v>0</v>
      </c>
      <c r="R48" s="7">
        <f t="shared" si="12"/>
        <v>0</v>
      </c>
      <c r="S48" s="6">
        <f t="shared" si="13"/>
        <v>0</v>
      </c>
      <c r="T48" s="7">
        <f t="shared" si="14"/>
        <v>0</v>
      </c>
      <c r="U48" s="6">
        <f t="shared" si="15"/>
        <v>0</v>
      </c>
      <c r="V48" s="5">
        <f t="shared" si="16"/>
        <v>0</v>
      </c>
      <c r="W48" s="6">
        <f t="shared" si="17"/>
        <v>0</v>
      </c>
      <c r="X48" s="7">
        <f t="shared" si="18"/>
        <v>0</v>
      </c>
      <c r="Y48" s="6">
        <f t="shared" si="19"/>
        <v>0</v>
      </c>
      <c r="Z48" s="7">
        <f t="shared" si="20"/>
        <v>0</v>
      </c>
      <c r="AA48" s="6">
        <f t="shared" si="21"/>
        <v>0</v>
      </c>
      <c r="AB48" s="5">
        <f t="shared" si="22"/>
        <v>0</v>
      </c>
      <c r="AC48" s="6">
        <f t="shared" si="23"/>
        <v>0</v>
      </c>
      <c r="AD48" s="7">
        <f t="shared" si="24"/>
        <v>0</v>
      </c>
      <c r="AE48" s="6">
        <f t="shared" si="25"/>
        <v>0</v>
      </c>
      <c r="AF48" s="7">
        <f t="shared" si="26"/>
        <v>0</v>
      </c>
      <c r="AG48" s="6">
        <f t="shared" si="27"/>
        <v>0</v>
      </c>
      <c r="AH48" s="5">
        <f t="shared" si="28"/>
        <v>0</v>
      </c>
      <c r="AI48" s="6">
        <f t="shared" si="29"/>
        <v>0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0</v>
      </c>
      <c r="CS48" s="7">
        <f t="shared" si="90"/>
        <v>0</v>
      </c>
      <c r="CT48" s="7">
        <f t="shared" si="90"/>
        <v>0</v>
      </c>
      <c r="CU48" s="7">
        <f t="shared" si="90"/>
        <v>0</v>
      </c>
      <c r="CV48" s="5">
        <f t="shared" si="91"/>
        <v>0</v>
      </c>
      <c r="CW48" s="6">
        <f t="shared" si="92"/>
        <v>0</v>
      </c>
      <c r="CY48" s="7">
        <v>0</v>
      </c>
      <c r="CZ48" s="5">
        <f t="array" ref="CZ48">Summary_UpperBound</f>
        <v>0</v>
      </c>
      <c r="DA48" s="6">
        <f t="shared" si="93"/>
        <v>0</v>
      </c>
    </row>
    <row r="49" spans="2:105" x14ac:dyDescent="0.35">
      <c r="B49" s="14"/>
      <c r="E49" s="12" t="e" vm="2">
        <f t="shared" ca="1" si="94"/>
        <v>#VALUE!</v>
      </c>
      <c r="F49" s="7">
        <f t="shared" si="0"/>
        <v>0</v>
      </c>
      <c r="G49" s="6">
        <f t="shared" si="1"/>
        <v>0</v>
      </c>
      <c r="H49" s="7">
        <f t="shared" si="2"/>
        <v>0</v>
      </c>
      <c r="I49" s="6">
        <f t="shared" si="3"/>
        <v>0</v>
      </c>
      <c r="J49" s="5">
        <f t="shared" si="4"/>
        <v>0</v>
      </c>
      <c r="K49" s="6">
        <f t="shared" si="5"/>
        <v>0</v>
      </c>
      <c r="L49" s="7">
        <f t="shared" si="6"/>
        <v>0</v>
      </c>
      <c r="M49" s="6">
        <f t="shared" si="7"/>
        <v>0</v>
      </c>
      <c r="N49" s="7">
        <f t="shared" si="8"/>
        <v>0</v>
      </c>
      <c r="O49" s="6">
        <f t="shared" si="9"/>
        <v>0</v>
      </c>
      <c r="P49" s="5">
        <f t="shared" si="10"/>
        <v>0</v>
      </c>
      <c r="Q49" s="6">
        <f t="shared" si="11"/>
        <v>0</v>
      </c>
      <c r="R49" s="7">
        <f t="shared" si="12"/>
        <v>0</v>
      </c>
      <c r="S49" s="6">
        <f t="shared" si="13"/>
        <v>0</v>
      </c>
      <c r="T49" s="7">
        <f t="shared" si="14"/>
        <v>0</v>
      </c>
      <c r="U49" s="6">
        <f t="shared" si="15"/>
        <v>0</v>
      </c>
      <c r="V49" s="5">
        <f t="shared" si="16"/>
        <v>0</v>
      </c>
      <c r="W49" s="6">
        <f t="shared" si="17"/>
        <v>0</v>
      </c>
      <c r="X49" s="7">
        <f t="shared" si="18"/>
        <v>0</v>
      </c>
      <c r="Y49" s="6">
        <f t="shared" si="19"/>
        <v>0</v>
      </c>
      <c r="Z49" s="7">
        <f t="shared" si="20"/>
        <v>0</v>
      </c>
      <c r="AA49" s="6">
        <f t="shared" si="21"/>
        <v>0</v>
      </c>
      <c r="AB49" s="5">
        <f t="shared" si="22"/>
        <v>0</v>
      </c>
      <c r="AC49" s="6">
        <f t="shared" si="23"/>
        <v>0</v>
      </c>
      <c r="AD49" s="7">
        <f t="shared" si="24"/>
        <v>0</v>
      </c>
      <c r="AE49" s="6">
        <f t="shared" si="25"/>
        <v>0</v>
      </c>
      <c r="AF49" s="7">
        <f t="shared" si="26"/>
        <v>0</v>
      </c>
      <c r="AG49" s="6">
        <f t="shared" si="27"/>
        <v>0</v>
      </c>
      <c r="AH49" s="5">
        <f t="shared" si="28"/>
        <v>0</v>
      </c>
      <c r="AI49" s="6">
        <f t="shared" si="29"/>
        <v>0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0</v>
      </c>
      <c r="CS49" s="7">
        <f t="shared" si="90"/>
        <v>0</v>
      </c>
      <c r="CT49" s="7">
        <f t="shared" si="90"/>
        <v>0</v>
      </c>
      <c r="CU49" s="7">
        <f t="shared" si="90"/>
        <v>0</v>
      </c>
      <c r="CV49" s="5">
        <f t="shared" si="91"/>
        <v>0</v>
      </c>
      <c r="CW49" s="6">
        <f t="shared" si="92"/>
        <v>0</v>
      </c>
      <c r="CY49" s="7">
        <v>0</v>
      </c>
      <c r="CZ49" s="5">
        <f t="array" ref="CZ49">Summary_UpperBound</f>
        <v>0</v>
      </c>
      <c r="DA49" s="6">
        <f t="shared" si="93"/>
        <v>0</v>
      </c>
    </row>
    <row r="50" spans="2:105" x14ac:dyDescent="0.35">
      <c r="B50" s="14"/>
      <c r="E50" s="12" t="e" vm="2">
        <f t="shared" ca="1" si="94"/>
        <v>#VALUE!</v>
      </c>
      <c r="F50" s="7">
        <f t="shared" si="0"/>
        <v>0</v>
      </c>
      <c r="G50" s="6">
        <f t="shared" si="1"/>
        <v>0</v>
      </c>
      <c r="H50" s="7">
        <f t="shared" si="2"/>
        <v>0</v>
      </c>
      <c r="I50" s="6">
        <f t="shared" si="3"/>
        <v>0</v>
      </c>
      <c r="J50" s="5">
        <f t="shared" si="4"/>
        <v>0</v>
      </c>
      <c r="K50" s="6">
        <f t="shared" si="5"/>
        <v>0</v>
      </c>
      <c r="L50" s="7">
        <f t="shared" si="6"/>
        <v>0</v>
      </c>
      <c r="M50" s="6">
        <f t="shared" si="7"/>
        <v>0</v>
      </c>
      <c r="N50" s="7">
        <f t="shared" si="8"/>
        <v>0</v>
      </c>
      <c r="O50" s="6">
        <f t="shared" si="9"/>
        <v>0</v>
      </c>
      <c r="P50" s="5">
        <f t="shared" si="10"/>
        <v>0</v>
      </c>
      <c r="Q50" s="6">
        <f t="shared" si="11"/>
        <v>0</v>
      </c>
      <c r="R50" s="7">
        <f t="shared" si="12"/>
        <v>0</v>
      </c>
      <c r="S50" s="6">
        <f t="shared" si="13"/>
        <v>0</v>
      </c>
      <c r="T50" s="7">
        <f t="shared" si="14"/>
        <v>0</v>
      </c>
      <c r="U50" s="6">
        <f t="shared" si="15"/>
        <v>0</v>
      </c>
      <c r="V50" s="5">
        <f t="shared" si="16"/>
        <v>0</v>
      </c>
      <c r="W50" s="6">
        <f t="shared" si="17"/>
        <v>0</v>
      </c>
      <c r="X50" s="7">
        <f t="shared" si="18"/>
        <v>0</v>
      </c>
      <c r="Y50" s="6">
        <f t="shared" si="19"/>
        <v>0</v>
      </c>
      <c r="Z50" s="7">
        <f t="shared" si="20"/>
        <v>0</v>
      </c>
      <c r="AA50" s="6">
        <f t="shared" si="21"/>
        <v>0</v>
      </c>
      <c r="AB50" s="5">
        <f t="shared" si="22"/>
        <v>0</v>
      </c>
      <c r="AC50" s="6">
        <f t="shared" si="23"/>
        <v>0</v>
      </c>
      <c r="AD50" s="7">
        <f t="shared" si="24"/>
        <v>0</v>
      </c>
      <c r="AE50" s="6">
        <f t="shared" si="25"/>
        <v>0</v>
      </c>
      <c r="AF50" s="7">
        <f t="shared" si="26"/>
        <v>0</v>
      </c>
      <c r="AG50" s="6">
        <f t="shared" si="27"/>
        <v>0</v>
      </c>
      <c r="AH50" s="5">
        <f t="shared" si="28"/>
        <v>0</v>
      </c>
      <c r="AI50" s="6">
        <f t="shared" si="29"/>
        <v>0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0</v>
      </c>
      <c r="CS50" s="7">
        <f t="shared" si="90"/>
        <v>0</v>
      </c>
      <c r="CT50" s="7">
        <f t="shared" si="90"/>
        <v>0</v>
      </c>
      <c r="CU50" s="7">
        <f t="shared" si="90"/>
        <v>0</v>
      </c>
      <c r="CV50" s="5">
        <f t="shared" si="91"/>
        <v>0</v>
      </c>
      <c r="CW50" s="6">
        <f t="shared" si="92"/>
        <v>0</v>
      </c>
      <c r="CY50" s="7">
        <v>0</v>
      </c>
      <c r="CZ50" s="5">
        <f t="array" ref="CZ50">Summary_UpperBound</f>
        <v>0</v>
      </c>
      <c r="DA50" s="6">
        <f t="shared" si="93"/>
        <v>0</v>
      </c>
    </row>
    <row r="51" spans="2:105" x14ac:dyDescent="0.35">
      <c r="B51" s="14"/>
      <c r="E51" s="12" t="e" vm="2">
        <f t="shared" ca="1" si="94"/>
        <v>#VALUE!</v>
      </c>
      <c r="F51" s="7">
        <f t="shared" si="0"/>
        <v>0</v>
      </c>
      <c r="G51" s="6">
        <f t="shared" si="1"/>
        <v>0</v>
      </c>
      <c r="H51" s="7">
        <f t="shared" si="2"/>
        <v>0</v>
      </c>
      <c r="I51" s="6">
        <f t="shared" si="3"/>
        <v>0</v>
      </c>
      <c r="J51" s="5">
        <f t="shared" si="4"/>
        <v>0</v>
      </c>
      <c r="K51" s="6">
        <f t="shared" si="5"/>
        <v>0</v>
      </c>
      <c r="L51" s="7">
        <f t="shared" si="6"/>
        <v>0</v>
      </c>
      <c r="M51" s="6">
        <f t="shared" si="7"/>
        <v>0</v>
      </c>
      <c r="N51" s="7">
        <f t="shared" si="8"/>
        <v>0</v>
      </c>
      <c r="O51" s="6">
        <f t="shared" si="9"/>
        <v>0</v>
      </c>
      <c r="P51" s="5">
        <f t="shared" si="10"/>
        <v>0</v>
      </c>
      <c r="Q51" s="6">
        <f t="shared" si="11"/>
        <v>0</v>
      </c>
      <c r="R51" s="7">
        <f t="shared" si="12"/>
        <v>0</v>
      </c>
      <c r="S51" s="6">
        <f t="shared" si="13"/>
        <v>0</v>
      </c>
      <c r="T51" s="7">
        <f t="shared" si="14"/>
        <v>0</v>
      </c>
      <c r="U51" s="6">
        <f t="shared" si="15"/>
        <v>0</v>
      </c>
      <c r="V51" s="5">
        <f t="shared" si="16"/>
        <v>0</v>
      </c>
      <c r="W51" s="6">
        <f t="shared" si="17"/>
        <v>0</v>
      </c>
      <c r="X51" s="7">
        <f t="shared" si="18"/>
        <v>0</v>
      </c>
      <c r="Y51" s="6">
        <f t="shared" si="19"/>
        <v>0</v>
      </c>
      <c r="Z51" s="7">
        <f t="shared" si="20"/>
        <v>0</v>
      </c>
      <c r="AA51" s="6">
        <f t="shared" si="21"/>
        <v>0</v>
      </c>
      <c r="AB51" s="5">
        <f t="shared" si="22"/>
        <v>0</v>
      </c>
      <c r="AC51" s="6">
        <f t="shared" si="23"/>
        <v>0</v>
      </c>
      <c r="AD51" s="7">
        <f t="shared" si="24"/>
        <v>0</v>
      </c>
      <c r="AE51" s="6">
        <f t="shared" si="25"/>
        <v>0</v>
      </c>
      <c r="AF51" s="7">
        <f t="shared" si="26"/>
        <v>0</v>
      </c>
      <c r="AG51" s="6">
        <f t="shared" si="27"/>
        <v>0</v>
      </c>
      <c r="AH51" s="5">
        <f t="shared" si="28"/>
        <v>0</v>
      </c>
      <c r="AI51" s="6">
        <f t="shared" si="29"/>
        <v>0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0</v>
      </c>
      <c r="CS51" s="7">
        <f t="shared" si="90"/>
        <v>0</v>
      </c>
      <c r="CT51" s="7">
        <f t="shared" si="90"/>
        <v>0</v>
      </c>
      <c r="CU51" s="7">
        <f t="shared" si="90"/>
        <v>0</v>
      </c>
      <c r="CV51" s="5">
        <f t="shared" si="91"/>
        <v>0</v>
      </c>
      <c r="CW51" s="6">
        <f t="shared" si="92"/>
        <v>0</v>
      </c>
      <c r="CY51" s="7">
        <v>0</v>
      </c>
      <c r="CZ51" s="5">
        <f t="array" ref="CZ51">Summary_UpperBound</f>
        <v>0</v>
      </c>
      <c r="DA51" s="6">
        <f t="shared" si="93"/>
        <v>0</v>
      </c>
    </row>
    <row r="52" spans="2:105" x14ac:dyDescent="0.35">
      <c r="B52" s="14"/>
      <c r="E52" s="12" t="e" vm="2">
        <f t="shared" ca="1" si="94"/>
        <v>#VALUE!</v>
      </c>
      <c r="F52" s="7">
        <f t="shared" si="0"/>
        <v>0</v>
      </c>
      <c r="G52" s="6">
        <f t="shared" si="1"/>
        <v>0</v>
      </c>
      <c r="H52" s="7">
        <f t="shared" si="2"/>
        <v>0</v>
      </c>
      <c r="I52" s="6">
        <f t="shared" si="3"/>
        <v>0</v>
      </c>
      <c r="J52" s="5">
        <f t="shared" si="4"/>
        <v>0</v>
      </c>
      <c r="K52" s="6">
        <f t="shared" si="5"/>
        <v>0</v>
      </c>
      <c r="L52" s="7">
        <f t="shared" si="6"/>
        <v>0</v>
      </c>
      <c r="M52" s="6">
        <f t="shared" si="7"/>
        <v>0</v>
      </c>
      <c r="N52" s="7">
        <f t="shared" si="8"/>
        <v>0</v>
      </c>
      <c r="O52" s="6">
        <f t="shared" si="9"/>
        <v>0</v>
      </c>
      <c r="P52" s="5">
        <f t="shared" si="10"/>
        <v>0</v>
      </c>
      <c r="Q52" s="6">
        <f t="shared" si="11"/>
        <v>0</v>
      </c>
      <c r="R52" s="7">
        <f t="shared" si="12"/>
        <v>0</v>
      </c>
      <c r="S52" s="6">
        <f t="shared" si="13"/>
        <v>0</v>
      </c>
      <c r="T52" s="7">
        <f t="shared" si="14"/>
        <v>0</v>
      </c>
      <c r="U52" s="6">
        <f t="shared" si="15"/>
        <v>0</v>
      </c>
      <c r="V52" s="5">
        <f t="shared" si="16"/>
        <v>0</v>
      </c>
      <c r="W52" s="6">
        <f t="shared" si="17"/>
        <v>0</v>
      </c>
      <c r="X52" s="7">
        <f t="shared" si="18"/>
        <v>0</v>
      </c>
      <c r="Y52" s="6">
        <f t="shared" si="19"/>
        <v>0</v>
      </c>
      <c r="Z52" s="7">
        <f t="shared" si="20"/>
        <v>0</v>
      </c>
      <c r="AA52" s="6">
        <f t="shared" si="21"/>
        <v>0</v>
      </c>
      <c r="AB52" s="5">
        <f t="shared" si="22"/>
        <v>0</v>
      </c>
      <c r="AC52" s="6">
        <f t="shared" si="23"/>
        <v>0</v>
      </c>
      <c r="AD52" s="7">
        <f t="shared" si="24"/>
        <v>0</v>
      </c>
      <c r="AE52" s="6">
        <f t="shared" si="25"/>
        <v>0</v>
      </c>
      <c r="AF52" s="7">
        <f t="shared" si="26"/>
        <v>0</v>
      </c>
      <c r="AG52" s="6">
        <f t="shared" si="27"/>
        <v>0</v>
      </c>
      <c r="AH52" s="5">
        <f t="shared" si="28"/>
        <v>0</v>
      </c>
      <c r="AI52" s="6">
        <f t="shared" si="29"/>
        <v>0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0</v>
      </c>
      <c r="CS52" s="7">
        <f t="shared" si="90"/>
        <v>0</v>
      </c>
      <c r="CT52" s="7">
        <f t="shared" si="90"/>
        <v>0</v>
      </c>
      <c r="CU52" s="7">
        <f t="shared" si="90"/>
        <v>0</v>
      </c>
      <c r="CV52" s="5">
        <f t="shared" si="91"/>
        <v>0</v>
      </c>
      <c r="CW52" s="6">
        <f t="shared" si="92"/>
        <v>0</v>
      </c>
      <c r="CY52" s="7">
        <v>0</v>
      </c>
      <c r="CZ52" s="5">
        <f t="array" ref="CZ52">Summary_UpperBound</f>
        <v>0</v>
      </c>
      <c r="DA52" s="6">
        <f t="shared" si="93"/>
        <v>0</v>
      </c>
    </row>
    <row r="53" spans="2:105" x14ac:dyDescent="0.35">
      <c r="B53" s="14"/>
      <c r="E53" s="12" t="e" vm="2">
        <f t="shared" ca="1" si="94"/>
        <v>#VALUE!</v>
      </c>
      <c r="F53" s="7">
        <f t="shared" si="0"/>
        <v>0</v>
      </c>
      <c r="G53" s="6">
        <f t="shared" si="1"/>
        <v>0</v>
      </c>
      <c r="H53" s="7">
        <f t="shared" si="2"/>
        <v>0</v>
      </c>
      <c r="I53" s="6">
        <f t="shared" si="3"/>
        <v>0</v>
      </c>
      <c r="J53" s="5">
        <f t="shared" si="4"/>
        <v>0</v>
      </c>
      <c r="K53" s="6">
        <f t="shared" si="5"/>
        <v>0</v>
      </c>
      <c r="L53" s="7">
        <f t="shared" si="6"/>
        <v>0</v>
      </c>
      <c r="M53" s="6">
        <f t="shared" si="7"/>
        <v>0</v>
      </c>
      <c r="N53" s="7">
        <f t="shared" si="8"/>
        <v>0</v>
      </c>
      <c r="O53" s="6">
        <f t="shared" si="9"/>
        <v>0</v>
      </c>
      <c r="P53" s="5">
        <f t="shared" si="10"/>
        <v>0</v>
      </c>
      <c r="Q53" s="6">
        <f t="shared" si="11"/>
        <v>0</v>
      </c>
      <c r="R53" s="7">
        <f t="shared" si="12"/>
        <v>0</v>
      </c>
      <c r="S53" s="6">
        <f t="shared" si="13"/>
        <v>0</v>
      </c>
      <c r="T53" s="7">
        <f t="shared" si="14"/>
        <v>0</v>
      </c>
      <c r="U53" s="6">
        <f t="shared" si="15"/>
        <v>0</v>
      </c>
      <c r="V53" s="5">
        <f t="shared" si="16"/>
        <v>0</v>
      </c>
      <c r="W53" s="6">
        <f t="shared" si="17"/>
        <v>0</v>
      </c>
      <c r="X53" s="7">
        <f t="shared" si="18"/>
        <v>0</v>
      </c>
      <c r="Y53" s="6">
        <f t="shared" si="19"/>
        <v>0</v>
      </c>
      <c r="Z53" s="7">
        <f t="shared" si="20"/>
        <v>0</v>
      </c>
      <c r="AA53" s="6">
        <f t="shared" si="21"/>
        <v>0</v>
      </c>
      <c r="AB53" s="5">
        <f t="shared" si="22"/>
        <v>0</v>
      </c>
      <c r="AC53" s="6">
        <f t="shared" si="23"/>
        <v>0</v>
      </c>
      <c r="AD53" s="7">
        <f t="shared" si="24"/>
        <v>0</v>
      </c>
      <c r="AE53" s="6">
        <f t="shared" si="25"/>
        <v>0</v>
      </c>
      <c r="AF53" s="7">
        <f t="shared" si="26"/>
        <v>0</v>
      </c>
      <c r="AG53" s="6">
        <f t="shared" si="27"/>
        <v>0</v>
      </c>
      <c r="AH53" s="5">
        <f t="shared" si="28"/>
        <v>0</v>
      </c>
      <c r="AI53" s="6">
        <f t="shared" si="29"/>
        <v>0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0</v>
      </c>
      <c r="CS53" s="7">
        <f t="shared" si="90"/>
        <v>0</v>
      </c>
      <c r="CT53" s="7">
        <f t="shared" si="90"/>
        <v>0</v>
      </c>
      <c r="CU53" s="7">
        <f t="shared" si="90"/>
        <v>0</v>
      </c>
      <c r="CV53" s="5">
        <f t="shared" si="91"/>
        <v>0</v>
      </c>
      <c r="CW53" s="6">
        <f t="shared" si="92"/>
        <v>0</v>
      </c>
      <c r="CY53" s="7">
        <v>0</v>
      </c>
      <c r="CZ53" s="5">
        <f t="array" ref="CZ53">Summary_UpperBound</f>
        <v>0</v>
      </c>
      <c r="DA53" s="6">
        <f t="shared" si="93"/>
        <v>0</v>
      </c>
    </row>
    <row r="54" spans="2:105" x14ac:dyDescent="0.35">
      <c r="B54" s="14"/>
      <c r="E54" s="12" t="e" vm="2">
        <f t="shared" ca="1" si="94"/>
        <v>#VALUE!</v>
      </c>
      <c r="F54" s="7">
        <f t="shared" si="0"/>
        <v>0</v>
      </c>
      <c r="G54" s="6">
        <f t="shared" si="1"/>
        <v>0</v>
      </c>
      <c r="H54" s="7">
        <f t="shared" si="2"/>
        <v>0</v>
      </c>
      <c r="I54" s="6">
        <f t="shared" si="3"/>
        <v>0</v>
      </c>
      <c r="J54" s="5">
        <f t="shared" si="4"/>
        <v>0</v>
      </c>
      <c r="K54" s="6">
        <f t="shared" si="5"/>
        <v>0</v>
      </c>
      <c r="L54" s="7">
        <f t="shared" si="6"/>
        <v>0</v>
      </c>
      <c r="M54" s="6">
        <f t="shared" si="7"/>
        <v>0</v>
      </c>
      <c r="N54" s="7">
        <f t="shared" si="8"/>
        <v>0</v>
      </c>
      <c r="O54" s="6">
        <f t="shared" si="9"/>
        <v>0</v>
      </c>
      <c r="P54" s="5">
        <f t="shared" si="10"/>
        <v>0</v>
      </c>
      <c r="Q54" s="6">
        <f t="shared" si="11"/>
        <v>0</v>
      </c>
      <c r="R54" s="7">
        <f t="shared" si="12"/>
        <v>0</v>
      </c>
      <c r="S54" s="6">
        <f t="shared" si="13"/>
        <v>0</v>
      </c>
      <c r="T54" s="7">
        <f t="shared" si="14"/>
        <v>0</v>
      </c>
      <c r="U54" s="6">
        <f t="shared" si="15"/>
        <v>0</v>
      </c>
      <c r="V54" s="5">
        <f t="shared" si="16"/>
        <v>0</v>
      </c>
      <c r="W54" s="6">
        <f t="shared" si="17"/>
        <v>0</v>
      </c>
      <c r="X54" s="7">
        <f t="shared" si="18"/>
        <v>0</v>
      </c>
      <c r="Y54" s="6">
        <f t="shared" si="19"/>
        <v>0</v>
      </c>
      <c r="Z54" s="7">
        <f t="shared" si="20"/>
        <v>0</v>
      </c>
      <c r="AA54" s="6">
        <f t="shared" si="21"/>
        <v>0</v>
      </c>
      <c r="AB54" s="5">
        <f t="shared" si="22"/>
        <v>0</v>
      </c>
      <c r="AC54" s="6">
        <f t="shared" si="23"/>
        <v>0</v>
      </c>
      <c r="AD54" s="7">
        <f t="shared" si="24"/>
        <v>0</v>
      </c>
      <c r="AE54" s="6">
        <f t="shared" si="25"/>
        <v>0</v>
      </c>
      <c r="AF54" s="7">
        <f t="shared" si="26"/>
        <v>0</v>
      </c>
      <c r="AG54" s="6">
        <f t="shared" si="27"/>
        <v>0</v>
      </c>
      <c r="AH54" s="5">
        <f t="shared" si="28"/>
        <v>0</v>
      </c>
      <c r="AI54" s="6">
        <f t="shared" si="29"/>
        <v>0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0</v>
      </c>
      <c r="CS54" s="7">
        <f t="shared" si="90"/>
        <v>0</v>
      </c>
      <c r="CT54" s="7">
        <f t="shared" si="90"/>
        <v>0</v>
      </c>
      <c r="CU54" s="7">
        <f t="shared" si="90"/>
        <v>0</v>
      </c>
      <c r="CV54" s="5">
        <f t="shared" si="91"/>
        <v>0</v>
      </c>
      <c r="CW54" s="6">
        <f t="shared" si="92"/>
        <v>0</v>
      </c>
      <c r="CY54" s="7">
        <v>0</v>
      </c>
      <c r="CZ54" s="5">
        <f t="array" ref="CZ54">Summary_UpperBound</f>
        <v>0</v>
      </c>
      <c r="DA54" s="6">
        <f t="shared" si="93"/>
        <v>0</v>
      </c>
    </row>
    <row r="55" spans="2:105" x14ac:dyDescent="0.35">
      <c r="B55" s="14"/>
      <c r="E55" s="12" t="e" vm="2">
        <f t="shared" ca="1" si="94"/>
        <v>#VALUE!</v>
      </c>
      <c r="F55" s="7">
        <f t="shared" si="0"/>
        <v>0</v>
      </c>
      <c r="G55" s="6">
        <f t="shared" si="1"/>
        <v>0</v>
      </c>
      <c r="H55" s="7">
        <f t="shared" si="2"/>
        <v>0</v>
      </c>
      <c r="I55" s="6">
        <f t="shared" si="3"/>
        <v>0</v>
      </c>
      <c r="J55" s="5">
        <f t="shared" si="4"/>
        <v>0</v>
      </c>
      <c r="K55" s="6">
        <f t="shared" si="5"/>
        <v>0</v>
      </c>
      <c r="L55" s="7">
        <f t="shared" si="6"/>
        <v>0</v>
      </c>
      <c r="M55" s="6">
        <f t="shared" si="7"/>
        <v>0</v>
      </c>
      <c r="N55" s="7">
        <f t="shared" si="8"/>
        <v>0</v>
      </c>
      <c r="O55" s="6">
        <f t="shared" si="9"/>
        <v>0</v>
      </c>
      <c r="P55" s="5">
        <f t="shared" si="10"/>
        <v>0</v>
      </c>
      <c r="Q55" s="6">
        <f t="shared" si="11"/>
        <v>0</v>
      </c>
      <c r="R55" s="7">
        <f t="shared" si="12"/>
        <v>0</v>
      </c>
      <c r="S55" s="6">
        <f t="shared" si="13"/>
        <v>0</v>
      </c>
      <c r="T55" s="7">
        <f t="shared" si="14"/>
        <v>0</v>
      </c>
      <c r="U55" s="6">
        <f t="shared" si="15"/>
        <v>0</v>
      </c>
      <c r="V55" s="5">
        <f t="shared" si="16"/>
        <v>0</v>
      </c>
      <c r="W55" s="6">
        <f t="shared" si="17"/>
        <v>0</v>
      </c>
      <c r="X55" s="7">
        <f t="shared" si="18"/>
        <v>0</v>
      </c>
      <c r="Y55" s="6">
        <f t="shared" si="19"/>
        <v>0</v>
      </c>
      <c r="Z55" s="7">
        <f t="shared" si="20"/>
        <v>0</v>
      </c>
      <c r="AA55" s="6">
        <f t="shared" si="21"/>
        <v>0</v>
      </c>
      <c r="AB55" s="5">
        <f t="shared" si="22"/>
        <v>0</v>
      </c>
      <c r="AC55" s="6">
        <f t="shared" si="23"/>
        <v>0</v>
      </c>
      <c r="AD55" s="7">
        <f t="shared" si="24"/>
        <v>0</v>
      </c>
      <c r="AE55" s="6">
        <f t="shared" si="25"/>
        <v>0</v>
      </c>
      <c r="AF55" s="7">
        <f t="shared" si="26"/>
        <v>0</v>
      </c>
      <c r="AG55" s="6">
        <f t="shared" si="27"/>
        <v>0</v>
      </c>
      <c r="AH55" s="5">
        <f t="shared" si="28"/>
        <v>0</v>
      </c>
      <c r="AI55" s="6">
        <f t="shared" si="29"/>
        <v>0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0</v>
      </c>
      <c r="CS55" s="7">
        <f t="shared" si="90"/>
        <v>0</v>
      </c>
      <c r="CT55" s="7">
        <f t="shared" si="90"/>
        <v>0</v>
      </c>
      <c r="CU55" s="7">
        <f t="shared" si="90"/>
        <v>0</v>
      </c>
      <c r="CV55" s="5">
        <f t="shared" si="91"/>
        <v>0</v>
      </c>
      <c r="CW55" s="6">
        <f t="shared" si="92"/>
        <v>0</v>
      </c>
      <c r="CY55" s="7">
        <v>0</v>
      </c>
      <c r="CZ55" s="5">
        <f t="array" ref="CZ55">Summary_UpperBound</f>
        <v>0</v>
      </c>
      <c r="DA55" s="6">
        <f t="shared" si="93"/>
        <v>0</v>
      </c>
    </row>
    <row r="56" spans="2:105" ht="15" thickBot="1" x14ac:dyDescent="0.4">
      <c r="B56" s="14"/>
      <c r="E56" s="13" t="e" vm="2">
        <f t="shared" ca="1" si="94"/>
        <v>#VALUE!</v>
      </c>
      <c r="F56" s="8">
        <f t="shared" si="0"/>
        <v>0</v>
      </c>
      <c r="G56" s="10">
        <f t="shared" si="1"/>
        <v>0</v>
      </c>
      <c r="H56" s="8">
        <f t="shared" si="2"/>
        <v>0</v>
      </c>
      <c r="I56" s="10">
        <f t="shared" si="3"/>
        <v>0</v>
      </c>
      <c r="J56" s="9">
        <f t="shared" si="4"/>
        <v>0</v>
      </c>
      <c r="K56" s="10">
        <f t="shared" si="5"/>
        <v>0</v>
      </c>
      <c r="L56" s="8">
        <f t="shared" si="6"/>
        <v>0</v>
      </c>
      <c r="M56" s="10">
        <f t="shared" si="7"/>
        <v>0</v>
      </c>
      <c r="N56" s="8">
        <f t="shared" si="8"/>
        <v>0</v>
      </c>
      <c r="O56" s="10">
        <f t="shared" si="9"/>
        <v>0</v>
      </c>
      <c r="P56" s="9">
        <f t="shared" si="10"/>
        <v>0</v>
      </c>
      <c r="Q56" s="10">
        <f t="shared" si="11"/>
        <v>0</v>
      </c>
      <c r="R56" s="8">
        <f t="shared" si="12"/>
        <v>0</v>
      </c>
      <c r="S56" s="10">
        <f t="shared" si="13"/>
        <v>0</v>
      </c>
      <c r="T56" s="8">
        <f t="shared" si="14"/>
        <v>0</v>
      </c>
      <c r="U56" s="10">
        <f t="shared" si="15"/>
        <v>0</v>
      </c>
      <c r="V56" s="9">
        <f t="shared" si="16"/>
        <v>0</v>
      </c>
      <c r="W56" s="10">
        <f t="shared" si="17"/>
        <v>0</v>
      </c>
      <c r="X56" s="8">
        <f t="shared" si="18"/>
        <v>0</v>
      </c>
      <c r="Y56" s="10">
        <f t="shared" si="19"/>
        <v>0</v>
      </c>
      <c r="Z56" s="8">
        <f t="shared" si="20"/>
        <v>0</v>
      </c>
      <c r="AA56" s="10">
        <f t="shared" si="21"/>
        <v>0</v>
      </c>
      <c r="AB56" s="9">
        <f t="shared" si="22"/>
        <v>0</v>
      </c>
      <c r="AC56" s="10">
        <f t="shared" si="23"/>
        <v>0</v>
      </c>
      <c r="AD56" s="8">
        <f t="shared" si="24"/>
        <v>0</v>
      </c>
      <c r="AE56" s="10">
        <f t="shared" si="25"/>
        <v>0</v>
      </c>
      <c r="AF56" s="8">
        <f t="shared" si="26"/>
        <v>0</v>
      </c>
      <c r="AG56" s="10">
        <f t="shared" si="27"/>
        <v>0</v>
      </c>
      <c r="AH56" s="9">
        <f t="shared" si="28"/>
        <v>0</v>
      </c>
      <c r="AI56" s="10">
        <f t="shared" si="29"/>
        <v>0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0</v>
      </c>
      <c r="CS56" s="7">
        <f t="shared" si="90"/>
        <v>0</v>
      </c>
      <c r="CT56" s="7">
        <f t="shared" si="90"/>
        <v>0</v>
      </c>
      <c r="CU56" s="7">
        <f t="shared" si="90"/>
        <v>0</v>
      </c>
      <c r="CV56" s="9">
        <f t="shared" si="91"/>
        <v>0</v>
      </c>
      <c r="CW56" s="10">
        <f t="shared" si="92"/>
        <v>0</v>
      </c>
      <c r="CY56" s="8">
        <v>0</v>
      </c>
      <c r="CZ56" s="9">
        <f t="array" ref="CZ56">Summary_UpperBound</f>
        <v>0</v>
      </c>
      <c r="DA56" s="10">
        <f t="shared" si="93"/>
        <v>0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126</v>
      </c>
      <c r="E58" s="14"/>
      <c r="F58" s="5"/>
      <c r="G58" s="14" t="s">
        <v>44</v>
      </c>
      <c r="H58" s="5"/>
      <c r="I58" s="14" t="s">
        <v>44</v>
      </c>
      <c r="J58" s="5"/>
      <c r="K58" s="14" t="s">
        <v>44</v>
      </c>
      <c r="L58" s="5"/>
      <c r="M58" s="14" t="s">
        <v>44</v>
      </c>
      <c r="N58" s="5"/>
      <c r="O58" s="14" t="s">
        <v>44</v>
      </c>
      <c r="P58" s="5"/>
      <c r="Q58" s="14" t="s">
        <v>44</v>
      </c>
      <c r="R58" s="5"/>
      <c r="S58" s="14" t="s">
        <v>44</v>
      </c>
      <c r="T58" s="5"/>
      <c r="U58" s="14" t="s">
        <v>44</v>
      </c>
      <c r="V58" s="5"/>
      <c r="W58" s="14" t="s">
        <v>44</v>
      </c>
      <c r="X58" s="5"/>
      <c r="Y58" s="14" t="s">
        <v>44</v>
      </c>
      <c r="Z58" s="5"/>
      <c r="AA58" s="14" t="s">
        <v>44</v>
      </c>
      <c r="AB58" s="5"/>
      <c r="AC58" s="14" t="s">
        <v>44</v>
      </c>
      <c r="AD58" s="5"/>
      <c r="AE58" s="14" t="s">
        <v>44</v>
      </c>
      <c r="AF58" s="5"/>
      <c r="AG58" s="14" t="s">
        <v>44</v>
      </c>
      <c r="AH58" s="5"/>
      <c r="AI58" s="14" t="s">
        <v>44</v>
      </c>
      <c r="AJ58" s="5"/>
      <c r="AK58" s="14" t="s">
        <v>44</v>
      </c>
      <c r="AL58" s="5"/>
      <c r="AM58" s="14" t="s">
        <v>44</v>
      </c>
      <c r="AN58" s="5"/>
      <c r="AO58" s="14" t="s">
        <v>44</v>
      </c>
      <c r="AP58" s="5"/>
      <c r="AQ58" s="14" t="s">
        <v>44</v>
      </c>
      <c r="AR58" s="5"/>
      <c r="AS58" s="14" t="s">
        <v>44</v>
      </c>
      <c r="AT58" s="5"/>
      <c r="AU58" s="14" t="s">
        <v>44</v>
      </c>
      <c r="AV58" s="5"/>
      <c r="AW58" s="14" t="s">
        <v>44</v>
      </c>
      <c r="AX58" s="5"/>
      <c r="AY58" s="14" t="s">
        <v>44</v>
      </c>
      <c r="AZ58" s="5"/>
      <c r="BA58" s="14" t="s">
        <v>44</v>
      </c>
      <c r="BB58" s="5"/>
      <c r="BC58" s="14" t="s">
        <v>44</v>
      </c>
      <c r="BD58" s="5"/>
      <c r="BE58" s="14" t="s">
        <v>44</v>
      </c>
      <c r="BF58" s="5"/>
      <c r="BG58" s="14" t="s">
        <v>44</v>
      </c>
      <c r="BH58" s="5"/>
      <c r="BI58" s="14" t="s">
        <v>44</v>
      </c>
      <c r="BJ58" s="5"/>
      <c r="BK58" s="14" t="s">
        <v>44</v>
      </c>
      <c r="BL58" s="5"/>
      <c r="BM58" s="14" t="s">
        <v>44</v>
      </c>
      <c r="BN58" s="5"/>
      <c r="BO58" s="14" t="s">
        <v>44</v>
      </c>
      <c r="BP58" s="5"/>
      <c r="BQ58" s="14" t="s">
        <v>44</v>
      </c>
      <c r="BR58" s="5"/>
      <c r="BS58" s="14" t="s">
        <v>44</v>
      </c>
      <c r="BT58" s="5"/>
      <c r="BU58" s="14" t="s">
        <v>44</v>
      </c>
      <c r="BV58" s="5"/>
      <c r="BW58" s="14" t="s">
        <v>44</v>
      </c>
      <c r="BX58" s="5"/>
      <c r="BY58" s="14" t="s">
        <v>44</v>
      </c>
      <c r="BZ58" s="5"/>
      <c r="CA58" s="14" t="s">
        <v>44</v>
      </c>
      <c r="CB58" s="5"/>
      <c r="CC58" s="14" t="s">
        <v>44</v>
      </c>
      <c r="CD58" s="5"/>
      <c r="CE58" s="14" t="s">
        <v>44</v>
      </c>
      <c r="CF58" s="5"/>
      <c r="CG58" s="14" t="s">
        <v>44</v>
      </c>
      <c r="CH58" s="5"/>
      <c r="CI58" s="14" t="s">
        <v>44</v>
      </c>
      <c r="CJ58" s="5"/>
      <c r="CK58" s="14" t="s">
        <v>44</v>
      </c>
      <c r="CL58" s="5"/>
      <c r="CM58" s="14" t="s">
        <v>44</v>
      </c>
      <c r="CN58" s="5"/>
      <c r="CO58" s="14" t="s">
        <v>44</v>
      </c>
      <c r="CP58" s="5"/>
      <c r="CQ58" s="14" t="s">
        <v>44</v>
      </c>
      <c r="CR58" s="19" t="s">
        <v>129</v>
      </c>
      <c r="CS58" s="19" t="s">
        <v>129</v>
      </c>
      <c r="CT58" s="19" t="s">
        <v>129</v>
      </c>
      <c r="CU58" s="19" t="s">
        <v>129</v>
      </c>
      <c r="CV58" s="19" t="s">
        <v>129</v>
      </c>
      <c r="CW58" s="19" t="s">
        <v>129</v>
      </c>
    </row>
    <row r="59" spans="2:105" x14ac:dyDescent="0.35">
      <c r="B59" s="14"/>
      <c r="E59" s="14" t="s">
        <v>127</v>
      </c>
      <c r="F59" s="5">
        <f>AVERAGE(F5:F56)</f>
        <v>0</v>
      </c>
      <c r="G59" s="5">
        <f>AVERAGE(G5:G56)-F59</f>
        <v>0</v>
      </c>
      <c r="H59" s="5">
        <f t="shared" ref="H59:BR59" si="95">AVERAGE(H5:H56)</f>
        <v>0</v>
      </c>
      <c r="I59" s="5">
        <f>AVERAGE(I5:I56)-H59</f>
        <v>0</v>
      </c>
      <c r="J59" s="5">
        <f t="shared" si="95"/>
        <v>0</v>
      </c>
      <c r="K59" s="5">
        <f>AVERAGE(K5:K56)-J59</f>
        <v>0</v>
      </c>
      <c r="L59" s="5">
        <f t="shared" si="95"/>
        <v>0</v>
      </c>
      <c r="M59" s="5">
        <f>AVERAGE(M5:M56)-L59</f>
        <v>0</v>
      </c>
      <c r="N59" s="5">
        <f t="shared" si="95"/>
        <v>0</v>
      </c>
      <c r="O59" s="5">
        <f>AVERAGE(O5:O56)-N59</f>
        <v>0</v>
      </c>
      <c r="P59" s="5">
        <f t="shared" si="95"/>
        <v>0</v>
      </c>
      <c r="Q59" s="5">
        <f>AVERAGE(Q5:Q56)-P59</f>
        <v>0</v>
      </c>
      <c r="R59" s="5">
        <f t="shared" si="95"/>
        <v>0</v>
      </c>
      <c r="S59" s="5">
        <f>AVERAGE(S5:S56)-R59</f>
        <v>0</v>
      </c>
      <c r="T59" s="5">
        <f t="shared" si="95"/>
        <v>0</v>
      </c>
      <c r="U59" s="5">
        <f>AVERAGE(U5:U56)-T59</f>
        <v>0</v>
      </c>
      <c r="V59" s="5">
        <f t="shared" si="95"/>
        <v>0</v>
      </c>
      <c r="W59" s="5">
        <f>AVERAGE(W5:W56)-V59</f>
        <v>0</v>
      </c>
      <c r="X59" s="5">
        <f t="shared" si="95"/>
        <v>0</v>
      </c>
      <c r="Y59" s="5">
        <f>AVERAGE(Y5:Y56)-X59</f>
        <v>0</v>
      </c>
      <c r="Z59" s="5">
        <f t="shared" si="95"/>
        <v>0</v>
      </c>
      <c r="AA59" s="5">
        <f>AVERAGE(AA5:AA56)-Z59</f>
        <v>0</v>
      </c>
      <c r="AB59" s="5">
        <f t="shared" si="95"/>
        <v>0</v>
      </c>
      <c r="AC59" s="5">
        <f>AVERAGE(AC5:AC56)-AB59</f>
        <v>0</v>
      </c>
      <c r="AD59" s="5">
        <f t="shared" si="95"/>
        <v>0</v>
      </c>
      <c r="AE59" s="5">
        <f>AVERAGE(AE5:AE56)-AD59</f>
        <v>0</v>
      </c>
      <c r="AF59" s="5">
        <f t="shared" si="95"/>
        <v>0</v>
      </c>
      <c r="AG59" s="5">
        <f>AVERAGE(AG5:AG56)-AF59</f>
        <v>0</v>
      </c>
      <c r="AH59" s="5">
        <f t="shared" si="95"/>
        <v>0</v>
      </c>
      <c r="AI59" s="5">
        <f>AVERAGE(AI5:AI56)-AH59</f>
        <v>0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133</v>
      </c>
      <c r="CZ59" t="s">
        <v>134</v>
      </c>
      <c r="DA59" t="s">
        <v>135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128</v>
      </c>
      <c r="E62" s="14"/>
      <c r="F62" s="5" t="s">
        <v>60</v>
      </c>
      <c r="G62" s="5" t="s">
        <v>44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Caseload 1</v>
      </c>
      <c r="F63" s="5" cm="1">
        <f t="array" ref="F63">INDEX($F$59:$CW$60,1,MATCH(1,($E63=$F$1:$CQ$1)*($F$62=$F$4:$CQ$4)*(Summary!$B$5='Required Capacity (Hide)'!$F$2:$CQ$2),0))</f>
        <v>0</v>
      </c>
      <c r="G63" s="5">
        <f t="array" ref="G63">INDEX($F$59:$CW$60,1,MATCH(1,($E63=$F$1:$CQ$1)*($G$62=$F$58:$CQ$58)*(Summary!$B$5='Required Capacity (Hide)'!$F$2:$CQ$2),0))</f>
        <v>0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Caseload 2</v>
      </c>
      <c r="F64" s="5">
        <f t="array" ref="F64">INDEX($F$59:$CW$60,1,MATCH(1,($E64=$F$1:$CQ$1)*($F$62=$F$4:$CQ$4)*(Summary!$B$5='Required Capacity (Hide)'!$F$2:$CQ$2),0))</f>
        <v>0</v>
      </c>
      <c r="G64" s="5">
        <f t="array" ref="G64">INDEX($F$59:$CW$60,1,MATCH(1,($E64=$F$1:$CQ$1)*($G$62=$F$58:$CQ$58)*(Summary!$B$5='Required Capacity (Hide)'!$F$2:$CQ$2),0))</f>
        <v>0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Caseload 3</v>
      </c>
      <c r="F65" s="5">
        <f t="array" ref="F65">INDEX($F$59:$CW$60,1,MATCH(1,($E65=$F$1:$CQ$1)*($F$62=$F$4:$CQ$4)*(Summary!$B$5='Required Capacity (Hide)'!$F$2:$CQ$2),0))</f>
        <v>0</v>
      </c>
      <c r="G65" s="5">
        <f t="array" ref="G65">INDEX($F$59:$CW$60,1,MATCH(1,($E65=$F$1:$CQ$1)*($G$62=$F$58:$CQ$58)*(Summary!$B$5='Required Capacity (Hide)'!$F$2:$CQ$2),0))</f>
        <v>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Caseload 4</v>
      </c>
      <c r="F66" s="5">
        <f t="array" ref="F66">INDEX($F$59:$CW$60,1,MATCH(1,($E66=$F$1:$CQ$1)*($F$62=$F$4:$CQ$4)*(Summary!$B$5='Required Capacity (Hide)'!$F$2:$CQ$2),0))</f>
        <v>0</v>
      </c>
      <c r="G66" s="5">
        <f t="array" ref="G66">INDEX($F$59:$CW$60,1,MATCH(1,($E66=$F$1:$CQ$1)*($G$62=$F$58:$CQ$58)*(Summary!$B$5='Required Capacity (Hide)'!$F$2:$CQ$2),0))</f>
        <v>0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Caseload 5</v>
      </c>
      <c r="F67" s="5">
        <f t="array" ref="F67">INDEX($F$59:$CW$60,1,MATCH(1,($E67=$F$1:$CQ$1)*($F$62=$F$4:$CQ$4)*(Summary!$B$5='Required Capacity (Hide)'!$F$2:$CQ$2),0))</f>
        <v>0</v>
      </c>
      <c r="G67" s="5">
        <f t="array" ref="G67">INDEX($F$59:$CW$60,1,MATCH(1,($E67=$F$1:$CQ$1)*($G$62=$F$58:$CQ$58)*(Summary!$B$5='Required Capacity (Hide)'!$F$2:$CQ$2),0))</f>
        <v>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S12" sqref="S12"/>
    </sheetView>
  </sheetViews>
  <sheetFormatPr defaultRowHeight="14.5" x14ac:dyDescent="0.35"/>
  <cols>
    <col min="2" max="2" width="16.08984375" customWidth="1"/>
    <col min="3" max="17" width="3.36328125" customWidth="1"/>
    <col min="18" max="18" width="13.7265625" bestFit="1" customWidth="1"/>
    <col min="23" max="23" width="12" customWidth="1"/>
    <col min="25" max="25" width="18.36328125" customWidth="1"/>
    <col min="26" max="40" width="3.36328125" customWidth="1"/>
    <col min="41" max="41" width="13.7265625" bestFit="1" customWidth="1"/>
  </cols>
  <sheetData>
    <row r="1" spans="1:46" ht="23.5" x14ac:dyDescent="0.55000000000000004">
      <c r="A1" s="28" t="s">
        <v>139</v>
      </c>
    </row>
    <row r="2" spans="1:46" ht="24" thickBot="1" x14ac:dyDescent="0.6">
      <c r="A2" s="28"/>
    </row>
    <row r="3" spans="1:46" ht="15" thickBot="1" x14ac:dyDescent="0.4">
      <c r="B3" s="63" t="s">
        <v>122</v>
      </c>
      <c r="Y3" s="63" t="s">
        <v>123</v>
      </c>
    </row>
    <row r="5" spans="1:46" ht="15" thickBot="1" x14ac:dyDescent="0.4"/>
    <row r="6" spans="1:46" ht="84.5" thickBot="1" x14ac:dyDescent="0.4">
      <c r="B6" s="106" t="s">
        <v>104</v>
      </c>
      <c r="C6" s="107" t="str" cm="1">
        <f t="array" ref="C6">INDEX('Data Validation (Hide)'!$B$2:$B$16,COLUMN(A1),1)</f>
        <v>Caseload 1</v>
      </c>
      <c r="D6" s="108" t="str" cm="1">
        <f t="array" ref="D6">INDEX('Data Validation (Hide)'!$B$2:$B$16,COLUMN(B1),1)</f>
        <v>Caseload 2</v>
      </c>
      <c r="E6" s="108" t="str" cm="1">
        <f t="array" ref="E6">INDEX('Data Validation (Hide)'!$B$2:$B$16,COLUMN(C1),1)</f>
        <v>Caseload 3</v>
      </c>
      <c r="F6" s="108" t="str" cm="1">
        <f t="array" ref="F6">INDEX('Data Validation (Hide)'!$B$2:$B$16,COLUMN(D1),1)</f>
        <v>Caseload 4</v>
      </c>
      <c r="G6" s="108" t="str" cm="1">
        <f t="array" ref="G6">INDEX('Data Validation (Hide)'!$B$2:$B$16,COLUMN(E1),1)</f>
        <v>Caseload 5</v>
      </c>
      <c r="H6" s="108" t="str" cm="1">
        <f t="array" ref="H6">INDEX('Data Validation (Hide)'!$B$2:$B$16,COLUMN(F1),1)</f>
        <v>Caseload 6</v>
      </c>
      <c r="I6" s="108" t="str" cm="1">
        <f t="array" ref="I6">INDEX('Data Validation (Hide)'!$B$2:$B$16,COLUMN(G1),1)</f>
        <v>Caseload 7</v>
      </c>
      <c r="J6" s="108" t="str" cm="1">
        <f t="array" ref="J6">INDEX('Data Validation (Hide)'!$B$2:$B$16,COLUMN(H1),1)</f>
        <v>Caseload 8</v>
      </c>
      <c r="K6" s="108" t="str" cm="1">
        <f t="array" ref="K6">INDEX('Data Validation (Hide)'!$B$2:$B$16,COLUMN(I1),1)</f>
        <v>Caseload 9</v>
      </c>
      <c r="L6" s="108" t="str" cm="1">
        <f t="array" ref="L6">INDEX('Data Validation (Hide)'!$B$2:$B$16,COLUMN(J1),1)</f>
        <v>Caseload 10</v>
      </c>
      <c r="M6" s="108" t="str" cm="1">
        <f t="array" ref="M6">INDEX('Data Validation (Hide)'!$B$2:$B$16,COLUMN(K1),1)</f>
        <v>Caseload 11</v>
      </c>
      <c r="N6" s="108" t="str" cm="1">
        <f t="array" ref="N6">INDEX('Data Validation (Hide)'!$B$2:$B$16,COLUMN(L1),1)</f>
        <v>Caseload 12</v>
      </c>
      <c r="O6" s="108" t="str" cm="1">
        <f t="array" ref="O6">INDEX('Data Validation (Hide)'!$B$2:$B$16,COLUMN(M1),1)</f>
        <v>Caseload 13</v>
      </c>
      <c r="P6" s="108" t="str" cm="1">
        <f t="array" ref="P6">INDEX('Data Validation (Hide)'!$B$2:$B$16,COLUMN(N1),1)</f>
        <v>Caseload 14</v>
      </c>
      <c r="Q6" s="109" t="str" cm="1">
        <f t="array" ref="Q6">INDEX('Data Validation (Hide)'!$B$2:$B$16,COLUMN(O1),1)</f>
        <v>Caseload 15</v>
      </c>
      <c r="R6" s="63" t="s">
        <v>66</v>
      </c>
      <c r="S6" s="106" t="s">
        <v>67</v>
      </c>
      <c r="T6" s="106" t="s">
        <v>68</v>
      </c>
      <c r="U6" s="106" t="s">
        <v>69</v>
      </c>
      <c r="V6" s="106" t="s">
        <v>70</v>
      </c>
      <c r="W6" s="106" t="s">
        <v>71</v>
      </c>
      <c r="X6" s="5"/>
      <c r="Y6" s="106" t="s">
        <v>104</v>
      </c>
      <c r="Z6" s="110" t="str" cm="1">
        <f t="array" ref="Z6">INDEX('Data Validation (Hide)'!$B$2:$B$16,COLUMN(A1),1)</f>
        <v>Caseload 1</v>
      </c>
      <c r="AA6" s="111" t="str" cm="1">
        <f t="array" ref="AA6">INDEX('Data Validation (Hide)'!$B$2:$B$16,COLUMN(B1),1)</f>
        <v>Caseload 2</v>
      </c>
      <c r="AB6" s="111" t="str" cm="1">
        <f t="array" ref="AB6">INDEX('Data Validation (Hide)'!$B$2:$B$16,COLUMN(C1),1)</f>
        <v>Caseload 3</v>
      </c>
      <c r="AC6" s="111" t="str" cm="1">
        <f t="array" ref="AC6">INDEX('Data Validation (Hide)'!$B$2:$B$16,COLUMN(D1),1)</f>
        <v>Caseload 4</v>
      </c>
      <c r="AD6" s="111" t="str" cm="1">
        <f t="array" ref="AD6">INDEX('Data Validation (Hide)'!$B$2:$B$16,COLUMN(E1),1)</f>
        <v>Caseload 5</v>
      </c>
      <c r="AE6" s="111" t="str" cm="1">
        <f t="array" ref="AE6">INDEX('Data Validation (Hide)'!$B$2:$B$16,COLUMN(F1),1)</f>
        <v>Caseload 6</v>
      </c>
      <c r="AF6" s="111" t="str" cm="1">
        <f t="array" ref="AF6">INDEX('Data Validation (Hide)'!$B$2:$B$16,COLUMN(G1),1)</f>
        <v>Caseload 7</v>
      </c>
      <c r="AG6" s="111" t="str" cm="1">
        <f t="array" ref="AG6">INDEX('Data Validation (Hide)'!$B$2:$B$16,COLUMN(H1),1)</f>
        <v>Caseload 8</v>
      </c>
      <c r="AH6" s="111" t="str" cm="1">
        <f t="array" ref="AH6">INDEX('Data Validation (Hide)'!$B$2:$B$16,COLUMN(I1),1)</f>
        <v>Caseload 9</v>
      </c>
      <c r="AI6" s="111" t="str" cm="1">
        <f t="array" ref="AI6">INDEX('Data Validation (Hide)'!$B$2:$B$16,COLUMN(J1),1)</f>
        <v>Caseload 10</v>
      </c>
      <c r="AJ6" s="111" t="str" cm="1">
        <f t="array" ref="AJ6">INDEX('Data Validation (Hide)'!$B$2:$B$16,COLUMN(K1),1)</f>
        <v>Caseload 11</v>
      </c>
      <c r="AK6" s="111" t="str" cm="1">
        <f t="array" ref="AK6">INDEX('Data Validation (Hide)'!$B$2:$B$16,COLUMN(L1),1)</f>
        <v>Caseload 12</v>
      </c>
      <c r="AL6" s="111" t="str" cm="1">
        <f t="array" ref="AL6">INDEX('Data Validation (Hide)'!$B$2:$B$16,COLUMN(M1),1)</f>
        <v>Caseload 13</v>
      </c>
      <c r="AM6" s="111" t="str" cm="1">
        <f t="array" ref="AM6">INDEX('Data Validation (Hide)'!$B$2:$B$16,COLUMN(N1),1)</f>
        <v>Caseload 14</v>
      </c>
      <c r="AN6" s="112" t="str" cm="1">
        <f t="array" ref="AN6">INDEX('Data Validation (Hide)'!$B$2:$B$16,COLUMN(O1),1)</f>
        <v>Caseload 15</v>
      </c>
      <c r="AO6" s="63" t="s">
        <v>66</v>
      </c>
      <c r="AP6" s="106" t="s">
        <v>67</v>
      </c>
      <c r="AQ6" s="106" t="s">
        <v>68</v>
      </c>
      <c r="AR6" s="106" t="s">
        <v>69</v>
      </c>
      <c r="AS6" s="106" t="s">
        <v>70</v>
      </c>
      <c r="AT6" s="106" t="s">
        <v>71</v>
      </c>
    </row>
    <row r="7" spans="1:46" x14ac:dyDescent="0.35">
      <c r="B7" s="11"/>
      <c r="C7" s="3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/>
      <c r="S7" s="11"/>
      <c r="T7" s="11"/>
      <c r="U7" s="41" t="str">
        <f>IF(T7*S7=0,"",T7*S7)</f>
        <v/>
      </c>
      <c r="V7" s="41" t="str">
        <f t="shared" ref="V7:V70" si="0">IFERROR(U7/52,"")</f>
        <v/>
      </c>
      <c r="W7" s="41" t="str">
        <f>IFERROR(V7/COUNTIF(C7:Q7,"="&amp;"x"),"")</f>
        <v/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/>
      <c r="C8" s="7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39"/>
      <c r="S8" s="39"/>
      <c r="T8" s="39"/>
      <c r="U8" s="52" t="str">
        <f t="shared" ref="U8:U71" si="2">IF(T8*S8=0,"",T8*S8)</f>
        <v/>
      </c>
      <c r="V8" s="52" t="str">
        <f t="shared" si="0"/>
        <v/>
      </c>
      <c r="W8" s="52" t="str">
        <f t="shared" ref="W8:W71" si="3">IFERROR(V8/COUNTIF(C8:Q8,"="&amp;"x"),"")</f>
        <v/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122</v>
      </c>
    </row>
    <row r="2" spans="1:101" x14ac:dyDescent="0.35">
      <c r="A2" t="s">
        <v>73</v>
      </c>
      <c r="B2" cm="1">
        <f t="array" ref="B2">INDEX(Capacity!$B$7:$B$106,COLUMN(A2),1)</f>
        <v>0</v>
      </c>
      <c r="C2" cm="1">
        <f t="array" ref="C2">INDEX(Capacity!$B$7:$B$106,COLUMN(B2),1)</f>
        <v>0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72</v>
      </c>
      <c r="B3" cm="1">
        <f t="array" ref="B3">INDEX(Capacity!$R$7:$R$106,COLUMN(A2),1)</f>
        <v>0</v>
      </c>
      <c r="C3" cm="1">
        <f t="array" ref="C3">INDEX(Capacity!$R$7:$R$106,COLUMN(B2),1)</f>
        <v>0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16</v>
      </c>
    </row>
    <row r="5" spans="1:101" x14ac:dyDescent="0.35">
      <c r="A5" s="2" t="e" vm="2">
        <f ca="1">'Required Capacity (Hide)'!E5</f>
        <v>#VALUE!</v>
      </c>
      <c r="B5" t="e" cm="1">
        <f t="array" ref="B5">INDEX(Capacity!$W$7:$W$106,COLUMN(A2),1)/IF(Summary!$B$7="Minutes",1,60)</f>
        <v>#VALUE!</v>
      </c>
      <c r="C5" t="e" cm="1">
        <f t="array" ref="C5">INDEX(Capacity!$W$7:$W$106,COLUMN(B2),1)/IF(Summary!$B$7="Minutes",1,60)</f>
        <v>#VALUE!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 t="e" vm="2">
        <f ca="1">'Required Capacity (Hide)'!E6</f>
        <v>#VALUE!</v>
      </c>
      <c r="B6" t="e" cm="1">
        <f t="array" ref="B6">INDEX(Capacity!$W$7:$W$106,COLUMN(A3),1)/IF(Summary!$B$7="Minutes",1,60)</f>
        <v>#VALUE!</v>
      </c>
      <c r="C6" t="e" cm="1">
        <f t="array" ref="C6">INDEX(Capacity!$W$7:$W$106,COLUMN(B3),1)/IF(Summary!$B$7="Minutes",1,60)</f>
        <v>#VALUE!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 t="e" vm="2">
        <f ca="1">'Required Capacity (Hide)'!E7</f>
        <v>#VALUE!</v>
      </c>
      <c r="B7" t="e" cm="1">
        <f t="array" ref="B7">INDEX(Capacity!$W$7:$W$106,COLUMN(A4),1)/IF(Summary!$B$7="Minutes",1,60)</f>
        <v>#VALUE!</v>
      </c>
      <c r="C7" t="e" cm="1">
        <f t="array" ref="C7">INDEX(Capacity!$W$7:$W$106,COLUMN(B4),1)/IF(Summary!$B$7="Minutes",1,60)</f>
        <v>#VALUE!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 t="e" vm="2">
        <f ca="1">'Required Capacity (Hide)'!E8</f>
        <v>#VALUE!</v>
      </c>
      <c r="B8" t="e" cm="1">
        <f t="array" ref="B8">INDEX(Capacity!$W$7:$W$106,COLUMN(A5),1)/IF(Summary!$B$7="Minutes",1,60)</f>
        <v>#VALUE!</v>
      </c>
      <c r="C8" t="e" cm="1">
        <f t="array" ref="C8">INDEX(Capacity!$W$7:$W$106,COLUMN(B5),1)/IF(Summary!$B$7="Minutes",1,60)</f>
        <v>#VALUE!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 t="e" vm="2">
        <f ca="1">'Required Capacity (Hide)'!E9</f>
        <v>#VALUE!</v>
      </c>
      <c r="B9" t="e" cm="1">
        <f t="array" ref="B9">INDEX(Capacity!$W$7:$W$106,COLUMN(A6),1)/IF(Summary!$B$7="Minutes",1,60)</f>
        <v>#VALUE!</v>
      </c>
      <c r="C9" t="e" cm="1">
        <f t="array" ref="C9">INDEX(Capacity!$W$7:$W$106,COLUMN(B6),1)/IF(Summary!$B$7="Minutes",1,60)</f>
        <v>#VALUE!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 t="e" vm="2">
        <f ca="1">'Required Capacity (Hide)'!E10</f>
        <v>#VALUE!</v>
      </c>
      <c r="B10" t="e" cm="1">
        <f t="array" ref="B10">INDEX(Capacity!$W$7:$W$106,COLUMN(A7),1)/IF(Summary!$B$7="Minutes",1,60)</f>
        <v>#VALUE!</v>
      </c>
      <c r="C10" t="e" cm="1">
        <f t="array" ref="C10">INDEX(Capacity!$W$7:$W$106,COLUMN(B7),1)/IF(Summary!$B$7="Minutes",1,60)</f>
        <v>#VALUE!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 t="e" vm="2">
        <f ca="1">'Required Capacity (Hide)'!E11</f>
        <v>#VALUE!</v>
      </c>
      <c r="B11" t="e" cm="1">
        <f t="array" ref="B11">INDEX(Capacity!$W$7:$W$106,COLUMN(A8),1)/IF(Summary!$B$7="Minutes",1,60)</f>
        <v>#VALUE!</v>
      </c>
      <c r="C11" t="e" cm="1">
        <f t="array" ref="C11">INDEX(Capacity!$W$7:$W$106,COLUMN(B8),1)/IF(Summary!$B$7="Minutes",1,60)</f>
        <v>#VALUE!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 t="e" vm="2">
        <f ca="1">'Required Capacity (Hide)'!E12</f>
        <v>#VALUE!</v>
      </c>
      <c r="B12" t="e" cm="1">
        <f t="array" ref="B12">INDEX(Capacity!$W$7:$W$106,COLUMN(A9),1)/IF(Summary!$B$7="Minutes",1,60)</f>
        <v>#VALUE!</v>
      </c>
      <c r="C12" t="e" cm="1">
        <f t="array" ref="C12">INDEX(Capacity!$W$7:$W$106,COLUMN(B9),1)/IF(Summary!$B$7="Minutes",1,60)</f>
        <v>#VALUE!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 t="e" vm="2">
        <f ca="1">'Required Capacity (Hide)'!E13</f>
        <v>#VALUE!</v>
      </c>
      <c r="B13" t="e" cm="1">
        <f t="array" ref="B13">INDEX(Capacity!$W$7:$W$106,COLUMN(A10),1)/IF(Summary!$B$7="Minutes",1,60)</f>
        <v>#VALUE!</v>
      </c>
      <c r="C13" t="e" cm="1">
        <f t="array" ref="C13">INDEX(Capacity!$W$7:$W$106,COLUMN(B10),1)/IF(Summary!$B$7="Minutes",1,60)</f>
        <v>#VALUE!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 t="e" vm="2">
        <f ca="1">'Required Capacity (Hide)'!E14</f>
        <v>#VALUE!</v>
      </c>
      <c r="B14" t="e" cm="1">
        <f t="array" ref="B14">INDEX(Capacity!$W$7:$W$106,COLUMN(A11),1)/IF(Summary!$B$7="Minutes",1,60)</f>
        <v>#VALUE!</v>
      </c>
      <c r="C14" t="e" cm="1">
        <f t="array" ref="C14">INDEX(Capacity!$W$7:$W$106,COLUMN(B11),1)/IF(Summary!$B$7="Minutes",1,60)</f>
        <v>#VALUE!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 t="e" vm="2">
        <f ca="1">'Required Capacity (Hide)'!E15</f>
        <v>#VALUE!</v>
      </c>
      <c r="B15" t="e" cm="1">
        <f t="array" ref="B15">INDEX(Capacity!$W$7:$W$106,COLUMN(A12),1)/IF(Summary!$B$7="Minutes",1,60)</f>
        <v>#VALUE!</v>
      </c>
      <c r="C15" t="e" cm="1">
        <f t="array" ref="C15">INDEX(Capacity!$W$7:$W$106,COLUMN(B12),1)/IF(Summary!$B$7="Minutes",1,60)</f>
        <v>#VALUE!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 t="e" vm="2">
        <f ca="1">'Required Capacity (Hide)'!E16</f>
        <v>#VALUE!</v>
      </c>
      <c r="B16" t="e" cm="1">
        <f t="array" ref="B16">INDEX(Capacity!$W$7:$W$106,COLUMN(A13),1)/IF(Summary!$B$7="Minutes",1,60)</f>
        <v>#VALUE!</v>
      </c>
      <c r="C16" t="e" cm="1">
        <f t="array" ref="C16">INDEX(Capacity!$W$7:$W$106,COLUMN(B13),1)/IF(Summary!$B$7="Minutes",1,60)</f>
        <v>#VALUE!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 t="e" vm="2">
        <f ca="1">'Required Capacity (Hide)'!E17</f>
        <v>#VALUE!</v>
      </c>
      <c r="B17" t="e" cm="1">
        <f t="array" ref="B17">INDEX(Capacity!$W$7:$W$106,COLUMN(A14),1)/IF(Summary!$B$7="Minutes",1,60)</f>
        <v>#VALUE!</v>
      </c>
      <c r="C17" t="e" cm="1">
        <f t="array" ref="C17">INDEX(Capacity!$W$7:$W$106,COLUMN(B14),1)/IF(Summary!$B$7="Minutes",1,60)</f>
        <v>#VALUE!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 t="e" vm="2">
        <f ca="1">'Required Capacity (Hide)'!E18</f>
        <v>#VALUE!</v>
      </c>
      <c r="B18" t="e" cm="1">
        <f t="array" ref="B18">INDEX(Capacity!$W$7:$W$106,COLUMN(A15),1)/IF(Summary!$B$7="Minutes",1,60)</f>
        <v>#VALUE!</v>
      </c>
      <c r="C18" t="e" cm="1">
        <f t="array" ref="C18">INDEX(Capacity!$W$7:$W$106,COLUMN(B15),1)/IF(Summary!$B$7="Minutes",1,60)</f>
        <v>#VALUE!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 t="e" vm="2">
        <f ca="1">'Required Capacity (Hide)'!E19</f>
        <v>#VALUE!</v>
      </c>
      <c r="B19" t="e" cm="1">
        <f t="array" ref="B19">INDEX(Capacity!$W$7:$W$106,COLUMN(A16),1)/IF(Summary!$B$7="Minutes",1,60)</f>
        <v>#VALUE!</v>
      </c>
      <c r="C19" t="e" cm="1">
        <f t="array" ref="C19">INDEX(Capacity!$W$7:$W$106,COLUMN(B16),1)/IF(Summary!$B$7="Minutes",1,60)</f>
        <v>#VALUE!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 t="e" vm="2">
        <f ca="1">'Required Capacity (Hide)'!E20</f>
        <v>#VALUE!</v>
      </c>
      <c r="B20" t="e" cm="1">
        <f t="array" ref="B20">INDEX(Capacity!$W$7:$W$106,COLUMN(A17),1)/IF(Summary!$B$7="Minutes",1,60)</f>
        <v>#VALUE!</v>
      </c>
      <c r="C20" t="e" cm="1">
        <f t="array" ref="C20">INDEX(Capacity!$W$7:$W$106,COLUMN(B17),1)/IF(Summary!$B$7="Minutes",1,60)</f>
        <v>#VALUE!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 t="e" vm="2">
        <f ca="1">'Required Capacity (Hide)'!E21</f>
        <v>#VALUE!</v>
      </c>
      <c r="B21" t="e" cm="1">
        <f t="array" ref="B21">INDEX(Capacity!$W$7:$W$106,COLUMN(A18),1)/IF(Summary!$B$7="Minutes",1,60)</f>
        <v>#VALUE!</v>
      </c>
      <c r="C21" t="e" cm="1">
        <f t="array" ref="C21">INDEX(Capacity!$W$7:$W$106,COLUMN(B18),1)/IF(Summary!$B$7="Minutes",1,60)</f>
        <v>#VALUE!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 t="e" vm="2">
        <f ca="1">'Required Capacity (Hide)'!E22</f>
        <v>#VALUE!</v>
      </c>
      <c r="B22" t="e" cm="1">
        <f t="array" ref="B22">INDEX(Capacity!$W$7:$W$106,COLUMN(A19),1)/IF(Summary!$B$7="Minutes",1,60)</f>
        <v>#VALUE!</v>
      </c>
      <c r="C22" t="e" cm="1">
        <f t="array" ref="C22">INDEX(Capacity!$W$7:$W$106,COLUMN(B19),1)/IF(Summary!$B$7="Minutes",1,60)</f>
        <v>#VALUE!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 t="e" vm="2">
        <f ca="1">'Required Capacity (Hide)'!E23</f>
        <v>#VALUE!</v>
      </c>
      <c r="B23" t="e" cm="1">
        <f t="array" ref="B23">INDEX(Capacity!$W$7:$W$106,COLUMN(A20),1)/IF(Summary!$B$7="Minutes",1,60)</f>
        <v>#VALUE!</v>
      </c>
      <c r="C23" t="e" cm="1">
        <f t="array" ref="C23">INDEX(Capacity!$W$7:$W$106,COLUMN(B20),1)/IF(Summary!$B$7="Minutes",1,60)</f>
        <v>#VALUE!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 t="e" vm="2">
        <f ca="1">'Required Capacity (Hide)'!E24</f>
        <v>#VALUE!</v>
      </c>
      <c r="B24" t="e" cm="1">
        <f t="array" ref="B24">INDEX(Capacity!$W$7:$W$106,COLUMN(A21),1)/IF(Summary!$B$7="Minutes",1,60)</f>
        <v>#VALUE!</v>
      </c>
      <c r="C24" t="e" cm="1">
        <f t="array" ref="C24">INDEX(Capacity!$W$7:$W$106,COLUMN(B21),1)/IF(Summary!$B$7="Minutes",1,60)</f>
        <v>#VALUE!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 t="e" vm="2">
        <f ca="1">'Required Capacity (Hide)'!E25</f>
        <v>#VALUE!</v>
      </c>
      <c r="B25" t="e" cm="1">
        <f t="array" ref="B25">INDEX(Capacity!$W$7:$W$106,COLUMN(A22),1)/IF(Summary!$B$7="Minutes",1,60)</f>
        <v>#VALUE!</v>
      </c>
      <c r="C25" t="e" cm="1">
        <f t="array" ref="C25">INDEX(Capacity!$W$7:$W$106,COLUMN(B22),1)/IF(Summary!$B$7="Minutes",1,60)</f>
        <v>#VALUE!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 t="e" vm="2">
        <f ca="1">'Required Capacity (Hide)'!E26</f>
        <v>#VALUE!</v>
      </c>
      <c r="B26" t="e" cm="1">
        <f t="array" ref="B26">INDEX(Capacity!$W$7:$W$106,COLUMN(A23),1)/IF(Summary!$B$7="Minutes",1,60)</f>
        <v>#VALUE!</v>
      </c>
      <c r="C26" t="e" cm="1">
        <f t="array" ref="C26">INDEX(Capacity!$W$7:$W$106,COLUMN(B23),1)/IF(Summary!$B$7="Minutes",1,60)</f>
        <v>#VALUE!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 t="e" vm="2">
        <f ca="1">'Required Capacity (Hide)'!E27</f>
        <v>#VALUE!</v>
      </c>
      <c r="B27" t="e" cm="1">
        <f t="array" ref="B27">INDEX(Capacity!$W$7:$W$106,COLUMN(A24),1)/IF(Summary!$B$7="Minutes",1,60)</f>
        <v>#VALUE!</v>
      </c>
      <c r="C27" t="e" cm="1">
        <f t="array" ref="C27">INDEX(Capacity!$W$7:$W$106,COLUMN(B24),1)/IF(Summary!$B$7="Minutes",1,60)</f>
        <v>#VALUE!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 t="e" vm="2">
        <f ca="1">'Required Capacity (Hide)'!E28</f>
        <v>#VALUE!</v>
      </c>
      <c r="B28" t="e" cm="1">
        <f t="array" ref="B28">INDEX(Capacity!$W$7:$W$106,COLUMN(A25),1)/IF(Summary!$B$7="Minutes",1,60)</f>
        <v>#VALUE!</v>
      </c>
      <c r="C28" t="e" cm="1">
        <f t="array" ref="C28">INDEX(Capacity!$W$7:$W$106,COLUMN(B25),1)/IF(Summary!$B$7="Minutes",1,60)</f>
        <v>#VALUE!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 t="e" vm="2">
        <f ca="1">'Required Capacity (Hide)'!E29</f>
        <v>#VALUE!</v>
      </c>
      <c r="B29" t="e" cm="1">
        <f t="array" ref="B29">INDEX(Capacity!$W$7:$W$106,COLUMN(A26),1)/IF(Summary!$B$7="Minutes",1,60)</f>
        <v>#VALUE!</v>
      </c>
      <c r="C29" t="e" cm="1">
        <f t="array" ref="C29">INDEX(Capacity!$W$7:$W$106,COLUMN(B26),1)/IF(Summary!$B$7="Minutes",1,60)</f>
        <v>#VALUE!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 t="e" vm="2">
        <f ca="1">'Required Capacity (Hide)'!E30</f>
        <v>#VALUE!</v>
      </c>
      <c r="B30" t="e" cm="1">
        <f t="array" ref="B30">INDEX(Capacity!$W$7:$W$106,COLUMN(A27),1)/IF(Summary!$B$7="Minutes",1,60)</f>
        <v>#VALUE!</v>
      </c>
      <c r="C30" t="e" cm="1">
        <f t="array" ref="C30">INDEX(Capacity!$W$7:$W$106,COLUMN(B27),1)/IF(Summary!$B$7="Minutes",1,60)</f>
        <v>#VALUE!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 t="e" vm="2">
        <f ca="1">'Required Capacity (Hide)'!E31</f>
        <v>#VALUE!</v>
      </c>
      <c r="B31" t="e" cm="1">
        <f t="array" ref="B31">INDEX(Capacity!$W$7:$W$106,COLUMN(A28),1)/IF(Summary!$B$7="Minutes",1,60)</f>
        <v>#VALUE!</v>
      </c>
      <c r="C31" t="e" cm="1">
        <f t="array" ref="C31">INDEX(Capacity!$W$7:$W$106,COLUMN(B28),1)/IF(Summary!$B$7="Minutes",1,60)</f>
        <v>#VALUE!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 t="e" vm="2">
        <f ca="1">'Required Capacity (Hide)'!E32</f>
        <v>#VALUE!</v>
      </c>
      <c r="B32" t="e" cm="1">
        <f t="array" ref="B32">INDEX(Capacity!$W$7:$W$106,COLUMN(A29),1)/IF(Summary!$B$7="Minutes",1,60)</f>
        <v>#VALUE!</v>
      </c>
      <c r="C32" t="e" cm="1">
        <f t="array" ref="C32">INDEX(Capacity!$W$7:$W$106,COLUMN(B29),1)/IF(Summary!$B$7="Minutes",1,60)</f>
        <v>#VALUE!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 t="e" vm="2">
        <f ca="1">'Required Capacity (Hide)'!E33</f>
        <v>#VALUE!</v>
      </c>
      <c r="B33" t="e" cm="1">
        <f t="array" ref="B33">INDEX(Capacity!$W$7:$W$106,COLUMN(A30),1)/IF(Summary!$B$7="Minutes",1,60)</f>
        <v>#VALUE!</v>
      </c>
      <c r="C33" t="e" cm="1">
        <f t="array" ref="C33">INDEX(Capacity!$W$7:$W$106,COLUMN(B30),1)/IF(Summary!$B$7="Minutes",1,60)</f>
        <v>#VALUE!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 t="e" vm="2">
        <f ca="1">'Required Capacity (Hide)'!E34</f>
        <v>#VALUE!</v>
      </c>
      <c r="B34" t="e" cm="1">
        <f t="array" ref="B34">INDEX(Capacity!$W$7:$W$106,COLUMN(A31),1)/IF(Summary!$B$7="Minutes",1,60)</f>
        <v>#VALUE!</v>
      </c>
      <c r="C34" t="e" cm="1">
        <f t="array" ref="C34">INDEX(Capacity!$W$7:$W$106,COLUMN(B31),1)/IF(Summary!$B$7="Minutes",1,60)</f>
        <v>#VALUE!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 t="e" vm="2">
        <f ca="1">'Required Capacity (Hide)'!E35</f>
        <v>#VALUE!</v>
      </c>
      <c r="B35" t="e" cm="1">
        <f t="array" ref="B35">INDEX(Capacity!$W$7:$W$106,COLUMN(A32),1)/IF(Summary!$B$7="Minutes",1,60)</f>
        <v>#VALUE!</v>
      </c>
      <c r="C35" t="e" cm="1">
        <f t="array" ref="C35">INDEX(Capacity!$W$7:$W$106,COLUMN(B32),1)/IF(Summary!$B$7="Minutes",1,60)</f>
        <v>#VALUE!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 t="e" vm="2">
        <f ca="1">'Required Capacity (Hide)'!E36</f>
        <v>#VALUE!</v>
      </c>
      <c r="B36" t="e" cm="1">
        <f t="array" ref="B36">INDEX(Capacity!$W$7:$W$106,COLUMN(A33),1)/IF(Summary!$B$7="Minutes",1,60)</f>
        <v>#VALUE!</v>
      </c>
      <c r="C36" t="e" cm="1">
        <f t="array" ref="C36">INDEX(Capacity!$W$7:$W$106,COLUMN(B33),1)/IF(Summary!$B$7="Minutes",1,60)</f>
        <v>#VALUE!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 t="e" vm="2">
        <f ca="1">'Required Capacity (Hide)'!E37</f>
        <v>#VALUE!</v>
      </c>
      <c r="B37" t="e" cm="1">
        <f t="array" ref="B37">INDEX(Capacity!$W$7:$W$106,COLUMN(A34),1)/IF(Summary!$B$7="Minutes",1,60)</f>
        <v>#VALUE!</v>
      </c>
      <c r="C37" t="e" cm="1">
        <f t="array" ref="C37">INDEX(Capacity!$W$7:$W$106,COLUMN(B34),1)/IF(Summary!$B$7="Minutes",1,60)</f>
        <v>#VALUE!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 t="e" vm="2">
        <f ca="1">'Required Capacity (Hide)'!E38</f>
        <v>#VALUE!</v>
      </c>
      <c r="B38" t="e" cm="1">
        <f t="array" ref="B38">INDEX(Capacity!$W$7:$W$106,COLUMN(A35),1)/IF(Summary!$B$7="Minutes",1,60)</f>
        <v>#VALUE!</v>
      </c>
      <c r="C38" t="e" cm="1">
        <f t="array" ref="C38">INDEX(Capacity!$W$7:$W$106,COLUMN(B35),1)/IF(Summary!$B$7="Minutes",1,60)</f>
        <v>#VALUE!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 t="e" vm="2">
        <f ca="1">'Required Capacity (Hide)'!E39</f>
        <v>#VALUE!</v>
      </c>
      <c r="B39" t="e" cm="1">
        <f t="array" ref="B39">INDEX(Capacity!$W$7:$W$106,COLUMN(A36),1)/IF(Summary!$B$7="Minutes",1,60)</f>
        <v>#VALUE!</v>
      </c>
      <c r="C39" t="e" cm="1">
        <f t="array" ref="C39">INDEX(Capacity!$W$7:$W$106,COLUMN(B36),1)/IF(Summary!$B$7="Minutes",1,60)</f>
        <v>#VALUE!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 t="e" vm="2">
        <f ca="1">'Required Capacity (Hide)'!E40</f>
        <v>#VALUE!</v>
      </c>
      <c r="B40" t="e" cm="1">
        <f t="array" ref="B40">INDEX(Capacity!$W$7:$W$106,COLUMN(A37),1)/IF(Summary!$B$7="Minutes",1,60)</f>
        <v>#VALUE!</v>
      </c>
      <c r="C40" t="e" cm="1">
        <f t="array" ref="C40">INDEX(Capacity!$W$7:$W$106,COLUMN(B37),1)/IF(Summary!$B$7="Minutes",1,60)</f>
        <v>#VALUE!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 t="e" vm="2">
        <f ca="1">'Required Capacity (Hide)'!E41</f>
        <v>#VALUE!</v>
      </c>
      <c r="B41" t="e" cm="1">
        <f t="array" ref="B41">INDEX(Capacity!$W$7:$W$106,COLUMN(A38),1)/IF(Summary!$B$7="Minutes",1,60)</f>
        <v>#VALUE!</v>
      </c>
      <c r="C41" t="e" cm="1">
        <f t="array" ref="C41">INDEX(Capacity!$W$7:$W$106,COLUMN(B38),1)/IF(Summary!$B$7="Minutes",1,60)</f>
        <v>#VALUE!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 t="e" vm="2">
        <f ca="1">'Required Capacity (Hide)'!E42</f>
        <v>#VALUE!</v>
      </c>
      <c r="B42" t="e" cm="1">
        <f t="array" ref="B42">INDEX(Capacity!$W$7:$W$106,COLUMN(A39),1)/IF(Summary!$B$7="Minutes",1,60)</f>
        <v>#VALUE!</v>
      </c>
      <c r="C42" t="e" cm="1">
        <f t="array" ref="C42">INDEX(Capacity!$W$7:$W$106,COLUMN(B39),1)/IF(Summary!$B$7="Minutes",1,60)</f>
        <v>#VALUE!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 t="e" vm="2">
        <f ca="1">'Required Capacity (Hide)'!E43</f>
        <v>#VALUE!</v>
      </c>
      <c r="B43" t="e" cm="1">
        <f t="array" ref="B43">INDEX(Capacity!$W$7:$W$106,COLUMN(A40),1)/IF(Summary!$B$7="Minutes",1,60)</f>
        <v>#VALUE!</v>
      </c>
      <c r="C43" t="e" cm="1">
        <f t="array" ref="C43">INDEX(Capacity!$W$7:$W$106,COLUMN(B40),1)/IF(Summary!$B$7="Minutes",1,60)</f>
        <v>#VALUE!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 t="e" vm="2">
        <f ca="1">'Required Capacity (Hide)'!E44</f>
        <v>#VALUE!</v>
      </c>
      <c r="B44" t="e" cm="1">
        <f t="array" ref="B44">INDEX(Capacity!$W$7:$W$106,COLUMN(A41),1)/IF(Summary!$B$7="Minutes",1,60)</f>
        <v>#VALUE!</v>
      </c>
      <c r="C44" t="e" cm="1">
        <f t="array" ref="C44">INDEX(Capacity!$W$7:$W$106,COLUMN(B41),1)/IF(Summary!$B$7="Minutes",1,60)</f>
        <v>#VALUE!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 t="e" vm="2">
        <f ca="1">'Required Capacity (Hide)'!E45</f>
        <v>#VALUE!</v>
      </c>
      <c r="B45" t="e" cm="1">
        <f t="array" ref="B45">INDEX(Capacity!$W$7:$W$106,COLUMN(A42),1)/IF(Summary!$B$7="Minutes",1,60)</f>
        <v>#VALUE!</v>
      </c>
      <c r="C45" t="e" cm="1">
        <f t="array" ref="C45">INDEX(Capacity!$W$7:$W$106,COLUMN(B42),1)/IF(Summary!$B$7="Minutes",1,60)</f>
        <v>#VALUE!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 t="e" vm="2">
        <f ca="1">'Required Capacity (Hide)'!E46</f>
        <v>#VALUE!</v>
      </c>
      <c r="B46" t="e" cm="1">
        <f t="array" ref="B46">INDEX(Capacity!$W$7:$W$106,COLUMN(A43),1)/IF(Summary!$B$7="Minutes",1,60)</f>
        <v>#VALUE!</v>
      </c>
      <c r="C46" t="e" cm="1">
        <f t="array" ref="C46">INDEX(Capacity!$W$7:$W$106,COLUMN(B43),1)/IF(Summary!$B$7="Minutes",1,60)</f>
        <v>#VALUE!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 t="e" vm="2">
        <f ca="1">'Required Capacity (Hide)'!E47</f>
        <v>#VALUE!</v>
      </c>
      <c r="B47" t="e" cm="1">
        <f t="array" ref="B47">INDEX(Capacity!$W$7:$W$106,COLUMN(A44),1)/IF(Summary!$B$7="Minutes",1,60)</f>
        <v>#VALUE!</v>
      </c>
      <c r="C47" t="e" cm="1">
        <f t="array" ref="C47">INDEX(Capacity!$W$7:$W$106,COLUMN(B44),1)/IF(Summary!$B$7="Minutes",1,60)</f>
        <v>#VALUE!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 t="e" vm="2">
        <f ca="1">'Required Capacity (Hide)'!E48</f>
        <v>#VALUE!</v>
      </c>
      <c r="B48" t="e" cm="1">
        <f t="array" ref="B48">INDEX(Capacity!$W$7:$W$106,COLUMN(A45),1)/IF(Summary!$B$7="Minutes",1,60)</f>
        <v>#VALUE!</v>
      </c>
      <c r="C48" t="e" cm="1">
        <f t="array" ref="C48">INDEX(Capacity!$W$7:$W$106,COLUMN(B45),1)/IF(Summary!$B$7="Minutes",1,60)</f>
        <v>#VALUE!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 t="e" vm="2">
        <f ca="1">'Required Capacity (Hide)'!E49</f>
        <v>#VALUE!</v>
      </c>
      <c r="B49" t="e" cm="1">
        <f t="array" ref="B49">INDEX(Capacity!$W$7:$W$106,COLUMN(A46),1)/IF(Summary!$B$7="Minutes",1,60)</f>
        <v>#VALUE!</v>
      </c>
      <c r="C49" t="e" cm="1">
        <f t="array" ref="C49">INDEX(Capacity!$W$7:$W$106,COLUMN(B46),1)/IF(Summary!$B$7="Minutes",1,60)</f>
        <v>#VALUE!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 t="e" vm="2">
        <f ca="1">'Required Capacity (Hide)'!E50</f>
        <v>#VALUE!</v>
      </c>
      <c r="B50" t="e" cm="1">
        <f t="array" ref="B50">INDEX(Capacity!$W$7:$W$106,COLUMN(A47),1)/IF(Summary!$B$7="Minutes",1,60)</f>
        <v>#VALUE!</v>
      </c>
      <c r="C50" t="e" cm="1">
        <f t="array" ref="C50">INDEX(Capacity!$W$7:$W$106,COLUMN(B47),1)/IF(Summary!$B$7="Minutes",1,60)</f>
        <v>#VALUE!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 t="e" vm="2">
        <f ca="1">'Required Capacity (Hide)'!E51</f>
        <v>#VALUE!</v>
      </c>
      <c r="B51" t="e" cm="1">
        <f t="array" ref="B51">INDEX(Capacity!$W$7:$W$106,COLUMN(A48),1)/IF(Summary!$B$7="Minutes",1,60)</f>
        <v>#VALUE!</v>
      </c>
      <c r="C51" t="e" cm="1">
        <f t="array" ref="C51">INDEX(Capacity!$W$7:$W$106,COLUMN(B48),1)/IF(Summary!$B$7="Minutes",1,60)</f>
        <v>#VALUE!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 t="e" vm="2">
        <f ca="1">'Required Capacity (Hide)'!E52</f>
        <v>#VALUE!</v>
      </c>
      <c r="B52" t="e" cm="1">
        <f t="array" ref="B52">INDEX(Capacity!$W$7:$W$106,COLUMN(A49),1)/IF(Summary!$B$7="Minutes",1,60)</f>
        <v>#VALUE!</v>
      </c>
      <c r="C52" t="e" cm="1">
        <f t="array" ref="C52">INDEX(Capacity!$W$7:$W$106,COLUMN(B49),1)/IF(Summary!$B$7="Minutes",1,60)</f>
        <v>#VALUE!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 t="e" vm="2">
        <f ca="1">'Required Capacity (Hide)'!E53</f>
        <v>#VALUE!</v>
      </c>
      <c r="B53" t="e" cm="1">
        <f t="array" ref="B53">INDEX(Capacity!$W$7:$W$106,COLUMN(A50),1)/IF(Summary!$B$7="Minutes",1,60)</f>
        <v>#VALUE!</v>
      </c>
      <c r="C53" t="e" cm="1">
        <f t="array" ref="C53">INDEX(Capacity!$W$7:$W$106,COLUMN(B50),1)/IF(Summary!$B$7="Minutes",1,60)</f>
        <v>#VALUE!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 t="e" vm="2">
        <f ca="1">'Required Capacity (Hide)'!E54</f>
        <v>#VALUE!</v>
      </c>
      <c r="B54" t="e" cm="1">
        <f t="array" ref="B54">INDEX(Capacity!$W$7:$W$106,COLUMN(A51),1)/IF(Summary!$B$7="Minutes",1,60)</f>
        <v>#VALUE!</v>
      </c>
      <c r="C54" t="e" cm="1">
        <f t="array" ref="C54">INDEX(Capacity!$W$7:$W$106,COLUMN(B51),1)/IF(Summary!$B$7="Minutes",1,60)</f>
        <v>#VALUE!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 t="e" vm="2">
        <f ca="1">'Required Capacity (Hide)'!E55</f>
        <v>#VALUE!</v>
      </c>
      <c r="B55" t="e" cm="1">
        <f t="array" ref="B55">INDEX(Capacity!$W$7:$W$106,COLUMN(A52),1)/IF(Summary!$B$7="Minutes",1,60)</f>
        <v>#VALUE!</v>
      </c>
      <c r="C55" t="e" cm="1">
        <f t="array" ref="C55">INDEX(Capacity!$W$7:$W$106,COLUMN(B52),1)/IF(Summary!$B$7="Minutes",1,60)</f>
        <v>#VALUE!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 t="e" vm="2">
        <f ca="1">'Required Capacity (Hide)'!E56</f>
        <v>#VALUE!</v>
      </c>
      <c r="B56" t="e" cm="1">
        <f t="array" ref="B56">INDEX(Capacity!$W$7:$W$106,COLUMN(A53),1)/IF(Summary!$B$7="Minutes",1,60)</f>
        <v>#VALUE!</v>
      </c>
      <c r="C56" t="e" cm="1">
        <f t="array" ref="C56">INDEX(Capacity!$W$7:$W$106,COLUMN(B53),1)/IF(Summary!$B$7="Minutes",1,60)</f>
        <v>#VALUE!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74</v>
      </c>
    </row>
    <row r="59" spans="1:101" x14ac:dyDescent="0.35">
      <c r="A59" s="2" t="str" cm="1">
        <f t="array" ref="A59">INDEX('Data Validation (Hide)'!$B$2:$B$16,ROW(A1),1)</f>
        <v>Caseload 1</v>
      </c>
      <c r="B59" cm="1">
        <f t="array" ref="B59">INDEX(Capacity!$C$7:$Q$106,COLUMN(A2),MATCH('Capacity Backing (Hide)'!$A59,Capacity!$C$6:$Q$6,0))</f>
        <v>0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Caseload 2</v>
      </c>
      <c r="B60" cm="1">
        <f t="array" ref="B60">INDEX(Capacity!$C$7:$Q$106,COLUMN(A3),MATCH('Capacity Backing (Hide)'!$A60,Capacity!$C$6:$Q$6,0))</f>
        <v>0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Caseload 3</v>
      </c>
      <c r="B61" cm="1">
        <f t="array" ref="B61">INDEX(Capacity!$C$7:$Q$106,COLUMN(A4),MATCH('Capacity Backing (Hide)'!$A61,Capacity!$C$6:$Q$6,0))</f>
        <v>0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Caseload 4</v>
      </c>
      <c r="B62" cm="1">
        <f t="array" ref="B62">INDEX(Capacity!$C$7:$Q$106,COLUMN(A5),MATCH('Capacity Backing (Hide)'!$A62,Capacity!$C$6:$Q$6,0))</f>
        <v>0</v>
      </c>
      <c r="C62" cm="1">
        <f t="array" ref="C62">INDEX(Capacity!$C$7:$Q$106,COLUMN(B5),MATCH('Capacity Backing (Hide)'!$A62,Capacity!$C$6:$Q$6,0))</f>
        <v>0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Caseload 5</v>
      </c>
      <c r="B63" cm="1">
        <f t="array" ref="B63">INDEX(Capacity!$C$7:$Q$106,COLUMN(A6),MATCH('Capacity Backing (Hide)'!$A63,Capacity!$C$6:$Q$6,0))</f>
        <v>0</v>
      </c>
      <c r="C63" cm="1">
        <f t="array" ref="C63">INDEX(Capacity!$C$7:$Q$106,COLUMN(B6),MATCH('Capacity Backing (Hide)'!$A63,Capacity!$C$6:$Q$6,0))</f>
        <v>0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53</v>
      </c>
      <c r="B75" s="2" t="e" cm="1" vm="2">
        <f t="array" aca="1" ref="B75" ca="1">INDEX($A$5:$A$56,COLUMN(A2),1)</f>
        <v>#VALUE!</v>
      </c>
      <c r="C75" s="2" t="e" cm="1" vm="2">
        <f t="array" aca="1" ref="C75" ca="1">INDEX($A$5:$A$56,COLUMN(B2),1)</f>
        <v>#VALUE!</v>
      </c>
      <c r="D75" s="2" t="e" cm="1" vm="2">
        <f t="array" aca="1" ref="D75" ca="1">INDEX($A$5:$A$56,COLUMN(C2),1)</f>
        <v>#VALUE!</v>
      </c>
      <c r="E75" s="2" t="e" cm="1" vm="2">
        <f t="array" aca="1" ref="E75" ca="1">INDEX($A$5:$A$56,COLUMN(D2),1)</f>
        <v>#VALUE!</v>
      </c>
      <c r="F75" s="2" t="e" cm="1" vm="2">
        <f t="array" aca="1" ref="F75" ca="1">INDEX($A$5:$A$56,COLUMN(E2),1)</f>
        <v>#VALUE!</v>
      </c>
      <c r="G75" s="2" t="e" cm="1" vm="2">
        <f t="array" aca="1" ref="G75" ca="1">INDEX($A$5:$A$56,COLUMN(F2),1)</f>
        <v>#VALUE!</v>
      </c>
      <c r="H75" s="2" t="e" cm="1" vm="2">
        <f t="array" aca="1" ref="H75" ca="1">INDEX($A$5:$A$56,COLUMN(G2),1)</f>
        <v>#VALUE!</v>
      </c>
      <c r="I75" s="2" t="e" cm="1" vm="2">
        <f t="array" aca="1" ref="I75" ca="1">INDEX($A$5:$A$56,COLUMN(H2),1)</f>
        <v>#VALUE!</v>
      </c>
      <c r="J75" s="2" t="e" cm="1" vm="2">
        <f t="array" aca="1" ref="J75" ca="1">INDEX($A$5:$A$56,COLUMN(I2),1)</f>
        <v>#VALUE!</v>
      </c>
      <c r="K75" s="2" t="e" cm="1" vm="2">
        <f t="array" aca="1" ref="K75" ca="1">INDEX($A$5:$A$56,COLUMN(J2),1)</f>
        <v>#VALUE!</v>
      </c>
      <c r="L75" s="2" t="e" cm="1" vm="2">
        <f t="array" aca="1" ref="L75" ca="1">INDEX($A$5:$A$56,COLUMN(K2),1)</f>
        <v>#VALUE!</v>
      </c>
      <c r="M75" s="2" t="e" cm="1" vm="2">
        <f t="array" aca="1" ref="M75" ca="1">INDEX($A$5:$A$56,COLUMN(L2),1)</f>
        <v>#VALUE!</v>
      </c>
      <c r="N75" s="2" t="e" cm="1" vm="2">
        <f t="array" aca="1" ref="N75" ca="1">INDEX($A$5:$A$56,COLUMN(M2),1)</f>
        <v>#VALUE!</v>
      </c>
      <c r="O75" s="2" t="e" cm="1" vm="2">
        <f t="array" aca="1" ref="O75" ca="1">INDEX($A$5:$A$56,COLUMN(N2),1)</f>
        <v>#VALUE!</v>
      </c>
      <c r="P75" s="2" t="e" cm="1" vm="2">
        <f t="array" aca="1" ref="P75" ca="1">INDEX($A$5:$A$56,COLUMN(O2),1)</f>
        <v>#VALUE!</v>
      </c>
      <c r="Q75" s="2" t="e" cm="1" vm="2">
        <f t="array" aca="1" ref="Q75" ca="1">INDEX($A$5:$A$56,COLUMN(P2),1)</f>
        <v>#VALUE!</v>
      </c>
      <c r="R75" s="2" t="e" cm="1" vm="2">
        <f t="array" aca="1" ref="R75" ca="1">INDEX($A$5:$A$56,COLUMN(Q2),1)</f>
        <v>#VALUE!</v>
      </c>
      <c r="S75" s="2" t="e" cm="1" vm="2">
        <f t="array" aca="1" ref="S75" ca="1">INDEX($A$5:$A$56,COLUMN(R2),1)</f>
        <v>#VALUE!</v>
      </c>
      <c r="T75" s="2" t="e" cm="1" vm="2">
        <f t="array" aca="1" ref="T75" ca="1">INDEX($A$5:$A$56,COLUMN(S2),1)</f>
        <v>#VALUE!</v>
      </c>
      <c r="U75" s="2" t="e" cm="1" vm="2">
        <f t="array" aca="1" ref="U75" ca="1">INDEX($A$5:$A$56,COLUMN(T2),1)</f>
        <v>#VALUE!</v>
      </c>
      <c r="V75" s="2" t="e" cm="1" vm="2">
        <f t="array" aca="1" ref="V75" ca="1">INDEX($A$5:$A$56,COLUMN(U2),1)</f>
        <v>#VALUE!</v>
      </c>
      <c r="W75" s="2" t="e" cm="1" vm="2">
        <f t="array" aca="1" ref="W75" ca="1">INDEX($A$5:$A$56,COLUMN(V2),1)</f>
        <v>#VALUE!</v>
      </c>
      <c r="X75" s="2" t="e" cm="1" vm="2">
        <f t="array" aca="1" ref="X75" ca="1">INDEX($A$5:$A$56,COLUMN(W2),1)</f>
        <v>#VALUE!</v>
      </c>
      <c r="Y75" s="2" t="e" cm="1" vm="2">
        <f t="array" aca="1" ref="Y75" ca="1">INDEX($A$5:$A$56,COLUMN(X2),1)</f>
        <v>#VALUE!</v>
      </c>
      <c r="Z75" s="2" t="e" cm="1" vm="2">
        <f t="array" aca="1" ref="Z75" ca="1">INDEX($A$5:$A$56,COLUMN(Y2),1)</f>
        <v>#VALUE!</v>
      </c>
      <c r="AA75" s="2" t="e" cm="1" vm="2">
        <f t="array" aca="1" ref="AA75" ca="1">INDEX($A$5:$A$56,COLUMN(Z2),1)</f>
        <v>#VALUE!</v>
      </c>
      <c r="AB75" s="2" t="e" cm="1" vm="2">
        <f t="array" aca="1" ref="AB75" ca="1">INDEX($A$5:$A$56,COLUMN(AA2),1)</f>
        <v>#VALUE!</v>
      </c>
      <c r="AC75" s="2" t="e" cm="1" vm="2">
        <f t="array" aca="1" ref="AC75" ca="1">INDEX($A$5:$A$56,COLUMN(AB2),1)</f>
        <v>#VALUE!</v>
      </c>
      <c r="AD75" s="2" t="e" cm="1" vm="2">
        <f t="array" aca="1" ref="AD75" ca="1">INDEX($A$5:$A$56,COLUMN(AC2),1)</f>
        <v>#VALUE!</v>
      </c>
      <c r="AE75" s="2" t="e" cm="1" vm="2">
        <f t="array" aca="1" ref="AE75" ca="1">INDEX($A$5:$A$56,COLUMN(AD2),1)</f>
        <v>#VALUE!</v>
      </c>
      <c r="AF75" s="2" t="e" cm="1" vm="2">
        <f t="array" aca="1" ref="AF75" ca="1">INDEX($A$5:$A$56,COLUMN(AE2),1)</f>
        <v>#VALUE!</v>
      </c>
      <c r="AG75" s="2" t="e" cm="1" vm="2">
        <f t="array" aca="1" ref="AG75" ca="1">INDEX($A$5:$A$56,COLUMN(AF2),1)</f>
        <v>#VALUE!</v>
      </c>
      <c r="AH75" s="2" t="e" cm="1" vm="2">
        <f t="array" aca="1" ref="AH75" ca="1">INDEX($A$5:$A$56,COLUMN(AG2),1)</f>
        <v>#VALUE!</v>
      </c>
      <c r="AI75" s="2" t="e" cm="1" vm="2">
        <f t="array" aca="1" ref="AI75" ca="1">INDEX($A$5:$A$56,COLUMN(AH2),1)</f>
        <v>#VALUE!</v>
      </c>
      <c r="AJ75" s="2" t="e" cm="1" vm="2">
        <f t="array" aca="1" ref="AJ75" ca="1">INDEX($A$5:$A$56,COLUMN(AI2),1)</f>
        <v>#VALUE!</v>
      </c>
      <c r="AK75" s="2" t="e" cm="1" vm="2">
        <f t="array" aca="1" ref="AK75" ca="1">INDEX($A$5:$A$56,COLUMN(AJ2),1)</f>
        <v>#VALUE!</v>
      </c>
      <c r="AL75" s="2" t="e" cm="1" vm="2">
        <f t="array" aca="1" ref="AL75" ca="1">INDEX($A$5:$A$56,COLUMN(AK2),1)</f>
        <v>#VALUE!</v>
      </c>
      <c r="AM75" s="2" t="e" cm="1" vm="2">
        <f t="array" aca="1" ref="AM75" ca="1">INDEX($A$5:$A$56,COLUMN(AL2),1)</f>
        <v>#VALUE!</v>
      </c>
      <c r="AN75" s="2" t="e" cm="1" vm="2">
        <f t="array" aca="1" ref="AN75" ca="1">INDEX($A$5:$A$56,COLUMN(AM2),1)</f>
        <v>#VALUE!</v>
      </c>
      <c r="AO75" s="2" t="e" cm="1" vm="2">
        <f t="array" aca="1" ref="AO75" ca="1">INDEX($A$5:$A$56,COLUMN(AN2),1)</f>
        <v>#VALUE!</v>
      </c>
      <c r="AP75" s="2" t="e" cm="1" vm="2">
        <f t="array" aca="1" ref="AP75" ca="1">INDEX($A$5:$A$56,COLUMN(AO2),1)</f>
        <v>#VALUE!</v>
      </c>
      <c r="AQ75" s="2" t="e" cm="1" vm="2">
        <f t="array" aca="1" ref="AQ75" ca="1">INDEX($A$5:$A$56,COLUMN(AP2),1)</f>
        <v>#VALUE!</v>
      </c>
      <c r="AR75" s="2" t="e" cm="1" vm="2">
        <f t="array" aca="1" ref="AR75" ca="1">INDEX($A$5:$A$56,COLUMN(AQ2),1)</f>
        <v>#VALUE!</v>
      </c>
      <c r="AS75" s="2" t="e" cm="1" vm="2">
        <f t="array" aca="1" ref="AS75" ca="1">INDEX($A$5:$A$56,COLUMN(AR2),1)</f>
        <v>#VALUE!</v>
      </c>
      <c r="AT75" s="2" t="e" cm="1" vm="2">
        <f t="array" aca="1" ref="AT75" ca="1">INDEX($A$5:$A$56,COLUMN(AS2),1)</f>
        <v>#VALUE!</v>
      </c>
      <c r="AU75" s="2" t="e" cm="1" vm="2">
        <f t="array" aca="1" ref="AU75" ca="1">INDEX($A$5:$A$56,COLUMN(AT2),1)</f>
        <v>#VALUE!</v>
      </c>
      <c r="AV75" s="2" t="e" cm="1" vm="2">
        <f t="array" aca="1" ref="AV75" ca="1">INDEX($A$5:$A$56,COLUMN(AU2),1)</f>
        <v>#VALUE!</v>
      </c>
      <c r="AW75" s="2" t="e" cm="1" vm="2">
        <f t="array" aca="1" ref="AW75" ca="1">INDEX($A$5:$A$56,COLUMN(AV2),1)</f>
        <v>#VALUE!</v>
      </c>
      <c r="AX75" s="2" t="e" cm="1" vm="2">
        <f t="array" aca="1" ref="AX75" ca="1">INDEX($A$5:$A$56,COLUMN(AW2),1)</f>
        <v>#VALUE!</v>
      </c>
      <c r="AY75" s="2" t="e" cm="1" vm="2">
        <f t="array" aca="1" ref="AY75" ca="1">INDEX($A$5:$A$56,COLUMN(AX2),1)</f>
        <v>#VALUE!</v>
      </c>
      <c r="AZ75" s="2" t="e" cm="1" vm="2">
        <f t="array" aca="1" ref="AZ75" ca="1">INDEX($A$5:$A$56,COLUMN(AY2),1)</f>
        <v>#VALUE!</v>
      </c>
      <c r="BA75" s="2" t="e" cm="1" vm="2">
        <f t="array" aca="1" ref="BA75" ca="1">INDEX($A$5:$A$56,COLUMN(AZ2),1)</f>
        <v>#VALUE!</v>
      </c>
      <c r="BB75" s="2"/>
      <c r="BC75" s="2" t="s">
        <v>129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Caseload 1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Caseload 2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Caseload 3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Caseload 4</v>
      </c>
      <c r="B79">
        <f t="shared" si="1"/>
        <v>0</v>
      </c>
      <c r="C79">
        <f t="shared" si="0"/>
        <v>0</v>
      </c>
      <c r="D79">
        <f t="shared" si="0"/>
        <v>0</v>
      </c>
      <c r="E79">
        <f t="shared" si="0"/>
        <v>0</v>
      </c>
      <c r="F79">
        <f t="shared" si="0"/>
        <v>0</v>
      </c>
      <c r="G79">
        <f t="shared" si="0"/>
        <v>0</v>
      </c>
      <c r="H79">
        <f t="shared" si="0"/>
        <v>0</v>
      </c>
      <c r="I79">
        <f t="shared" si="0"/>
        <v>0</v>
      </c>
      <c r="J79">
        <f t="shared" si="0"/>
        <v>0</v>
      </c>
      <c r="K79">
        <f t="shared" si="0"/>
        <v>0</v>
      </c>
      <c r="L79">
        <f t="shared" si="0"/>
        <v>0</v>
      </c>
      <c r="M79">
        <f t="shared" si="0"/>
        <v>0</v>
      </c>
      <c r="N79">
        <f t="shared" si="0"/>
        <v>0</v>
      </c>
      <c r="O79">
        <f t="shared" si="0"/>
        <v>0</v>
      </c>
      <c r="P79">
        <f t="shared" si="0"/>
        <v>0</v>
      </c>
      <c r="Q79">
        <f t="shared" si="0"/>
        <v>0</v>
      </c>
      <c r="R79">
        <f t="shared" si="0"/>
        <v>0</v>
      </c>
      <c r="S79">
        <f t="shared" si="0"/>
        <v>0</v>
      </c>
      <c r="T79">
        <f t="shared" si="0"/>
        <v>0</v>
      </c>
      <c r="U79">
        <f t="shared" si="0"/>
        <v>0</v>
      </c>
      <c r="V79">
        <f t="shared" si="0"/>
        <v>0</v>
      </c>
      <c r="W79">
        <f t="shared" si="0"/>
        <v>0</v>
      </c>
      <c r="X79">
        <f t="shared" si="0"/>
        <v>0</v>
      </c>
      <c r="Y79">
        <f t="shared" si="0"/>
        <v>0</v>
      </c>
      <c r="Z79">
        <f t="shared" si="0"/>
        <v>0</v>
      </c>
      <c r="AA79">
        <f t="shared" si="0"/>
        <v>0</v>
      </c>
      <c r="AB79">
        <f t="shared" si="0"/>
        <v>0</v>
      </c>
      <c r="AC79">
        <f t="shared" si="0"/>
        <v>0</v>
      </c>
      <c r="AD79">
        <f t="shared" si="0"/>
        <v>0</v>
      </c>
      <c r="AE79">
        <f t="shared" si="0"/>
        <v>0</v>
      </c>
      <c r="AF79">
        <f t="shared" si="0"/>
        <v>0</v>
      </c>
      <c r="AG79">
        <f t="shared" si="0"/>
        <v>0</v>
      </c>
      <c r="AH79">
        <f t="shared" si="0"/>
        <v>0</v>
      </c>
      <c r="AI79">
        <f t="shared" si="0"/>
        <v>0</v>
      </c>
      <c r="AJ79">
        <f t="shared" si="0"/>
        <v>0</v>
      </c>
      <c r="AK79">
        <f t="shared" si="0"/>
        <v>0</v>
      </c>
      <c r="AL79">
        <f t="shared" si="0"/>
        <v>0</v>
      </c>
      <c r="AM79">
        <f t="shared" si="0"/>
        <v>0</v>
      </c>
      <c r="AN79">
        <f t="shared" si="0"/>
        <v>0</v>
      </c>
      <c r="AO79">
        <f t="shared" si="0"/>
        <v>0</v>
      </c>
      <c r="AP79">
        <f t="shared" si="0"/>
        <v>0</v>
      </c>
      <c r="AQ79">
        <f t="shared" si="0"/>
        <v>0</v>
      </c>
      <c r="AR79">
        <f t="shared" si="0"/>
        <v>0</v>
      </c>
      <c r="AS79">
        <f t="shared" si="0"/>
        <v>0</v>
      </c>
      <c r="AT79">
        <f t="shared" si="0"/>
        <v>0</v>
      </c>
      <c r="AU79">
        <f t="shared" si="0"/>
        <v>0</v>
      </c>
      <c r="AV79">
        <f t="shared" si="0"/>
        <v>0</v>
      </c>
      <c r="AW79">
        <f t="shared" si="0"/>
        <v>0</v>
      </c>
      <c r="AX79">
        <f t="shared" si="0"/>
        <v>0</v>
      </c>
      <c r="AY79">
        <f t="shared" si="0"/>
        <v>0</v>
      </c>
      <c r="AZ79">
        <f t="shared" si="0"/>
        <v>0</v>
      </c>
      <c r="BA79">
        <f t="shared" si="0"/>
        <v>0</v>
      </c>
      <c r="BC79">
        <f t="shared" si="2"/>
        <v>0</v>
      </c>
    </row>
    <row r="80" spans="1:101" x14ac:dyDescent="0.35">
      <c r="A80" s="2" t="str" cm="1">
        <f t="array" ref="A80">INDEX('Data Validation (Hide)'!$B$2:$B$16,ROW(A5),1)</f>
        <v>Caseload 5</v>
      </c>
      <c r="B80">
        <f t="shared" si="1"/>
        <v>0</v>
      </c>
      <c r="C80">
        <f t="shared" si="0"/>
        <v>0</v>
      </c>
      <c r="D80">
        <f t="shared" si="0"/>
        <v>0</v>
      </c>
      <c r="E80">
        <f t="shared" si="0"/>
        <v>0</v>
      </c>
      <c r="F80">
        <f t="shared" si="0"/>
        <v>0</v>
      </c>
      <c r="G80">
        <f t="shared" si="0"/>
        <v>0</v>
      </c>
      <c r="H80">
        <f t="shared" si="0"/>
        <v>0</v>
      </c>
      <c r="I80">
        <f t="shared" si="0"/>
        <v>0</v>
      </c>
      <c r="J80">
        <f t="shared" si="0"/>
        <v>0</v>
      </c>
      <c r="K80">
        <f t="shared" si="0"/>
        <v>0</v>
      </c>
      <c r="L80">
        <f t="shared" si="0"/>
        <v>0</v>
      </c>
      <c r="M80">
        <f t="shared" si="0"/>
        <v>0</v>
      </c>
      <c r="N80">
        <f t="shared" si="0"/>
        <v>0</v>
      </c>
      <c r="O80">
        <f t="shared" si="0"/>
        <v>0</v>
      </c>
      <c r="P80">
        <f t="shared" si="0"/>
        <v>0</v>
      </c>
      <c r="Q80">
        <f t="shared" si="0"/>
        <v>0</v>
      </c>
      <c r="R80">
        <f t="shared" si="0"/>
        <v>0</v>
      </c>
      <c r="S80">
        <f t="shared" si="0"/>
        <v>0</v>
      </c>
      <c r="T80">
        <f t="shared" si="0"/>
        <v>0</v>
      </c>
      <c r="U80">
        <f t="shared" si="0"/>
        <v>0</v>
      </c>
      <c r="V80">
        <f t="shared" si="0"/>
        <v>0</v>
      </c>
      <c r="W80">
        <f t="shared" si="0"/>
        <v>0</v>
      </c>
      <c r="X80">
        <f t="shared" si="0"/>
        <v>0</v>
      </c>
      <c r="Y80">
        <f t="shared" si="0"/>
        <v>0</v>
      </c>
      <c r="Z80">
        <f t="shared" si="0"/>
        <v>0</v>
      </c>
      <c r="AA80">
        <f t="shared" si="0"/>
        <v>0</v>
      </c>
      <c r="AB80">
        <f t="shared" si="0"/>
        <v>0</v>
      </c>
      <c r="AC80">
        <f t="shared" si="0"/>
        <v>0</v>
      </c>
      <c r="AD80">
        <f t="shared" si="0"/>
        <v>0</v>
      </c>
      <c r="AE80">
        <f t="shared" si="0"/>
        <v>0</v>
      </c>
      <c r="AF80">
        <f t="shared" si="0"/>
        <v>0</v>
      </c>
      <c r="AG80">
        <f t="shared" si="0"/>
        <v>0</v>
      </c>
      <c r="AH80">
        <f t="shared" si="0"/>
        <v>0</v>
      </c>
      <c r="AI80">
        <f t="shared" si="0"/>
        <v>0</v>
      </c>
      <c r="AJ80">
        <f t="shared" si="0"/>
        <v>0</v>
      </c>
      <c r="AK80">
        <f t="shared" si="0"/>
        <v>0</v>
      </c>
      <c r="AL80">
        <f t="shared" si="0"/>
        <v>0</v>
      </c>
      <c r="AM80">
        <f t="shared" si="0"/>
        <v>0</v>
      </c>
      <c r="AN80">
        <f t="shared" si="0"/>
        <v>0</v>
      </c>
      <c r="AO80">
        <f t="shared" si="0"/>
        <v>0</v>
      </c>
      <c r="AP80">
        <f t="shared" si="0"/>
        <v>0</v>
      </c>
      <c r="AQ80">
        <f t="shared" si="0"/>
        <v>0</v>
      </c>
      <c r="AR80">
        <f t="shared" si="0"/>
        <v>0</v>
      </c>
      <c r="AS80">
        <f t="shared" si="0"/>
        <v>0</v>
      </c>
      <c r="AT80">
        <f t="shared" si="0"/>
        <v>0</v>
      </c>
      <c r="AU80">
        <f t="shared" si="0"/>
        <v>0</v>
      </c>
      <c r="AV80">
        <f t="shared" si="0"/>
        <v>0</v>
      </c>
      <c r="AW80">
        <f t="shared" si="0"/>
        <v>0</v>
      </c>
      <c r="AX80">
        <f t="shared" si="0"/>
        <v>0</v>
      </c>
      <c r="AY80">
        <f t="shared" si="0"/>
        <v>0</v>
      </c>
      <c r="AZ80">
        <f t="shared" si="0"/>
        <v>0</v>
      </c>
      <c r="BA80">
        <f t="shared" si="0"/>
        <v>0</v>
      </c>
      <c r="BC80">
        <f t="shared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143</v>
      </c>
      <c r="B91">
        <f>SUM(B76:B90)</f>
        <v>0</v>
      </c>
      <c r="C91">
        <f t="shared" ref="C91:BA91" si="5">SUM(C76:C90)</f>
        <v>0</v>
      </c>
      <c r="D91">
        <f t="shared" si="5"/>
        <v>0</v>
      </c>
      <c r="E91">
        <f t="shared" si="5"/>
        <v>0</v>
      </c>
      <c r="F91">
        <f t="shared" si="5"/>
        <v>0</v>
      </c>
      <c r="G91">
        <f t="shared" si="5"/>
        <v>0</v>
      </c>
      <c r="H91">
        <f t="shared" si="5"/>
        <v>0</v>
      </c>
      <c r="I91">
        <f t="shared" si="5"/>
        <v>0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N91">
        <f t="shared" si="5"/>
        <v>0</v>
      </c>
      <c r="O91">
        <f t="shared" si="5"/>
        <v>0</v>
      </c>
      <c r="P91">
        <f t="shared" si="5"/>
        <v>0</v>
      </c>
      <c r="Q91">
        <f t="shared" si="5"/>
        <v>0</v>
      </c>
      <c r="R91">
        <f t="shared" si="5"/>
        <v>0</v>
      </c>
      <c r="S91">
        <f t="shared" si="5"/>
        <v>0</v>
      </c>
      <c r="T91">
        <f t="shared" si="5"/>
        <v>0</v>
      </c>
      <c r="U91">
        <f t="shared" si="5"/>
        <v>0</v>
      </c>
      <c r="V91">
        <f t="shared" si="5"/>
        <v>0</v>
      </c>
      <c r="W91">
        <f t="shared" si="5"/>
        <v>0</v>
      </c>
      <c r="X91">
        <f t="shared" si="5"/>
        <v>0</v>
      </c>
      <c r="Y91">
        <f t="shared" si="5"/>
        <v>0</v>
      </c>
      <c r="Z91">
        <f t="shared" si="5"/>
        <v>0</v>
      </c>
      <c r="AA91">
        <f t="shared" si="5"/>
        <v>0</v>
      </c>
      <c r="AB91">
        <f t="shared" si="5"/>
        <v>0</v>
      </c>
      <c r="AC91">
        <f t="shared" si="5"/>
        <v>0</v>
      </c>
      <c r="AD91">
        <f t="shared" si="5"/>
        <v>0</v>
      </c>
      <c r="AE91">
        <f t="shared" si="5"/>
        <v>0</v>
      </c>
      <c r="AF91">
        <f t="shared" si="5"/>
        <v>0</v>
      </c>
      <c r="AG91">
        <f t="shared" si="5"/>
        <v>0</v>
      </c>
      <c r="AH91">
        <f t="shared" si="5"/>
        <v>0</v>
      </c>
      <c r="AI91">
        <f t="shared" si="5"/>
        <v>0</v>
      </c>
      <c r="AJ91">
        <f t="shared" si="5"/>
        <v>0</v>
      </c>
      <c r="AK91">
        <f t="shared" si="5"/>
        <v>0</v>
      </c>
      <c r="AL91">
        <f t="shared" si="5"/>
        <v>0</v>
      </c>
      <c r="AM91">
        <f t="shared" si="5"/>
        <v>0</v>
      </c>
      <c r="AN91">
        <f t="shared" si="5"/>
        <v>0</v>
      </c>
      <c r="AO91">
        <f t="shared" si="5"/>
        <v>0</v>
      </c>
      <c r="AP91">
        <f t="shared" si="5"/>
        <v>0</v>
      </c>
      <c r="AQ91">
        <f t="shared" si="5"/>
        <v>0</v>
      </c>
      <c r="AR91">
        <f t="shared" si="5"/>
        <v>0</v>
      </c>
      <c r="AS91">
        <f t="shared" si="5"/>
        <v>0</v>
      </c>
      <c r="AT91">
        <f t="shared" si="5"/>
        <v>0</v>
      </c>
      <c r="AU91">
        <f t="shared" si="5"/>
        <v>0</v>
      </c>
      <c r="AV91">
        <f t="shared" si="5"/>
        <v>0</v>
      </c>
      <c r="AW91">
        <f t="shared" si="5"/>
        <v>0</v>
      </c>
      <c r="AX91">
        <f t="shared" si="5"/>
        <v>0</v>
      </c>
      <c r="AY91">
        <f t="shared" si="5"/>
        <v>0</v>
      </c>
      <c r="AZ91">
        <f t="shared" si="5"/>
        <v>0</v>
      </c>
      <c r="BA91">
        <f t="shared" si="5"/>
        <v>0</v>
      </c>
    </row>
    <row r="92" spans="1:55" x14ac:dyDescent="0.35">
      <c r="A92" s="2"/>
    </row>
    <row r="93" spans="1:55" x14ac:dyDescent="0.35">
      <c r="A93" s="2" t="s">
        <v>51</v>
      </c>
      <c r="B93" s="2" t="e" cm="1" vm="2">
        <f t="array" aca="1" ref="B93" ca="1">INDEX($A$5:$A$56,COLUMN(A19),1)</f>
        <v>#VALUE!</v>
      </c>
      <c r="C93" s="2" t="e" cm="1" vm="2">
        <f t="array" aca="1" ref="C93" ca="1">INDEX($A$5:$A$56,COLUMN(B19),1)</f>
        <v>#VALUE!</v>
      </c>
      <c r="D93" s="2" t="e" cm="1" vm="2">
        <f t="array" aca="1" ref="D93" ca="1">INDEX($A$5:$A$56,COLUMN(C19),1)</f>
        <v>#VALUE!</v>
      </c>
      <c r="E93" s="2" t="e" cm="1" vm="2">
        <f t="array" aca="1" ref="E93" ca="1">INDEX($A$5:$A$56,COLUMN(D19),1)</f>
        <v>#VALUE!</v>
      </c>
      <c r="F93" s="2" t="e" cm="1" vm="2">
        <f t="array" aca="1" ref="F93" ca="1">INDEX($A$5:$A$56,COLUMN(E19),1)</f>
        <v>#VALUE!</v>
      </c>
      <c r="G93" s="2" t="e" cm="1" vm="2">
        <f t="array" aca="1" ref="G93" ca="1">INDEX($A$5:$A$56,COLUMN(F19),1)</f>
        <v>#VALUE!</v>
      </c>
      <c r="H93" s="2" t="e" cm="1" vm="2">
        <f t="array" aca="1" ref="H93" ca="1">INDEX($A$5:$A$56,COLUMN(G19),1)</f>
        <v>#VALUE!</v>
      </c>
      <c r="I93" s="2" t="e" cm="1" vm="2">
        <f t="array" aca="1" ref="I93" ca="1">INDEX($A$5:$A$56,COLUMN(H19),1)</f>
        <v>#VALUE!</v>
      </c>
      <c r="J93" s="2" t="e" cm="1" vm="2">
        <f t="array" aca="1" ref="J93" ca="1">INDEX($A$5:$A$56,COLUMN(I19),1)</f>
        <v>#VALUE!</v>
      </c>
      <c r="K93" s="2" t="e" cm="1" vm="2">
        <f t="array" aca="1" ref="K93" ca="1">INDEX($A$5:$A$56,COLUMN(J19),1)</f>
        <v>#VALUE!</v>
      </c>
      <c r="L93" s="2" t="e" cm="1" vm="2">
        <f t="array" aca="1" ref="L93" ca="1">INDEX($A$5:$A$56,COLUMN(K19),1)</f>
        <v>#VALUE!</v>
      </c>
      <c r="M93" s="2" t="e" cm="1" vm="2">
        <f t="array" aca="1" ref="M93" ca="1">INDEX($A$5:$A$56,COLUMN(L19),1)</f>
        <v>#VALUE!</v>
      </c>
      <c r="N93" s="2" t="e" cm="1" vm="2">
        <f t="array" aca="1" ref="N93" ca="1">INDEX($A$5:$A$56,COLUMN(M19),1)</f>
        <v>#VALUE!</v>
      </c>
      <c r="O93" s="2" t="e" cm="1" vm="2">
        <f t="array" aca="1" ref="O93" ca="1">INDEX($A$5:$A$56,COLUMN(N19),1)</f>
        <v>#VALUE!</v>
      </c>
      <c r="P93" s="2" t="e" cm="1" vm="2">
        <f t="array" aca="1" ref="P93" ca="1">INDEX($A$5:$A$56,COLUMN(O19),1)</f>
        <v>#VALUE!</v>
      </c>
      <c r="Q93" s="2" t="e" cm="1" vm="2">
        <f t="array" aca="1" ref="Q93" ca="1">INDEX($A$5:$A$56,COLUMN(P19),1)</f>
        <v>#VALUE!</v>
      </c>
      <c r="R93" s="2" t="e" cm="1" vm="2">
        <f t="array" aca="1" ref="R93" ca="1">INDEX($A$5:$A$56,COLUMN(Q19),1)</f>
        <v>#VALUE!</v>
      </c>
      <c r="S93" s="2" t="e" cm="1" vm="2">
        <f t="array" aca="1" ref="S93" ca="1">INDEX($A$5:$A$56,COLUMN(R19),1)</f>
        <v>#VALUE!</v>
      </c>
      <c r="T93" s="2" t="e" cm="1" vm="2">
        <f t="array" aca="1" ref="T93" ca="1">INDEX($A$5:$A$56,COLUMN(S19),1)</f>
        <v>#VALUE!</v>
      </c>
      <c r="U93" s="2" t="e" cm="1" vm="2">
        <f t="array" aca="1" ref="U93" ca="1">INDEX($A$5:$A$56,COLUMN(T19),1)</f>
        <v>#VALUE!</v>
      </c>
      <c r="V93" s="2" t="e" cm="1" vm="2">
        <f t="array" aca="1" ref="V93" ca="1">INDEX($A$5:$A$56,COLUMN(U19),1)</f>
        <v>#VALUE!</v>
      </c>
      <c r="W93" s="2" t="e" cm="1" vm="2">
        <f t="array" aca="1" ref="W93" ca="1">INDEX($A$5:$A$56,COLUMN(V19),1)</f>
        <v>#VALUE!</v>
      </c>
      <c r="X93" s="2" t="e" cm="1" vm="2">
        <f t="array" aca="1" ref="X93" ca="1">INDEX($A$5:$A$56,COLUMN(W19),1)</f>
        <v>#VALUE!</v>
      </c>
      <c r="Y93" s="2" t="e" cm="1" vm="2">
        <f t="array" aca="1" ref="Y93" ca="1">INDEX($A$5:$A$56,COLUMN(X19),1)</f>
        <v>#VALUE!</v>
      </c>
      <c r="Z93" s="2" t="e" cm="1" vm="2">
        <f t="array" aca="1" ref="Z93" ca="1">INDEX($A$5:$A$56,COLUMN(Y19),1)</f>
        <v>#VALUE!</v>
      </c>
      <c r="AA93" s="2" t="e" cm="1" vm="2">
        <f t="array" aca="1" ref="AA93" ca="1">INDEX($A$5:$A$56,COLUMN(Z19),1)</f>
        <v>#VALUE!</v>
      </c>
      <c r="AB93" s="2" t="e" cm="1" vm="2">
        <f t="array" aca="1" ref="AB93" ca="1">INDEX($A$5:$A$56,COLUMN(AA19),1)</f>
        <v>#VALUE!</v>
      </c>
      <c r="AC93" s="2" t="e" cm="1" vm="2">
        <f t="array" aca="1" ref="AC93" ca="1">INDEX($A$5:$A$56,COLUMN(AB19),1)</f>
        <v>#VALUE!</v>
      </c>
      <c r="AD93" s="2" t="e" cm="1" vm="2">
        <f t="array" aca="1" ref="AD93" ca="1">INDEX($A$5:$A$56,COLUMN(AC19),1)</f>
        <v>#VALUE!</v>
      </c>
      <c r="AE93" s="2" t="e" cm="1" vm="2">
        <f t="array" aca="1" ref="AE93" ca="1">INDEX($A$5:$A$56,COLUMN(AD19),1)</f>
        <v>#VALUE!</v>
      </c>
      <c r="AF93" s="2" t="e" cm="1" vm="2">
        <f t="array" aca="1" ref="AF93" ca="1">INDEX($A$5:$A$56,COLUMN(AE19),1)</f>
        <v>#VALUE!</v>
      </c>
      <c r="AG93" s="2" t="e" cm="1" vm="2">
        <f t="array" aca="1" ref="AG93" ca="1">INDEX($A$5:$A$56,COLUMN(AF19),1)</f>
        <v>#VALUE!</v>
      </c>
      <c r="AH93" s="2" t="e" cm="1" vm="2">
        <f t="array" aca="1" ref="AH93" ca="1">INDEX($A$5:$A$56,COLUMN(AG19),1)</f>
        <v>#VALUE!</v>
      </c>
      <c r="AI93" s="2" t="e" cm="1" vm="2">
        <f t="array" aca="1" ref="AI93" ca="1">INDEX($A$5:$A$56,COLUMN(AH19),1)</f>
        <v>#VALUE!</v>
      </c>
      <c r="AJ93" s="2" t="e" cm="1" vm="2">
        <f t="array" aca="1" ref="AJ93" ca="1">INDEX($A$5:$A$56,COLUMN(AI19),1)</f>
        <v>#VALUE!</v>
      </c>
      <c r="AK93" s="2" t="e" cm="1" vm="2">
        <f t="array" aca="1" ref="AK93" ca="1">INDEX($A$5:$A$56,COLUMN(AJ19),1)</f>
        <v>#VALUE!</v>
      </c>
      <c r="AL93" s="2" t="e" cm="1" vm="2">
        <f t="array" aca="1" ref="AL93" ca="1">INDEX($A$5:$A$56,COLUMN(AK19),1)</f>
        <v>#VALUE!</v>
      </c>
      <c r="AM93" s="2" t="e" cm="1" vm="2">
        <f t="array" aca="1" ref="AM93" ca="1">INDEX($A$5:$A$56,COLUMN(AL19),1)</f>
        <v>#VALUE!</v>
      </c>
      <c r="AN93" s="2" t="e" cm="1" vm="2">
        <f t="array" aca="1" ref="AN93" ca="1">INDEX($A$5:$A$56,COLUMN(AM19),1)</f>
        <v>#VALUE!</v>
      </c>
      <c r="AO93" s="2" t="e" cm="1" vm="2">
        <f t="array" aca="1" ref="AO93" ca="1">INDEX($A$5:$A$56,COLUMN(AN19),1)</f>
        <v>#VALUE!</v>
      </c>
      <c r="AP93" s="2" t="e" cm="1" vm="2">
        <f t="array" aca="1" ref="AP93" ca="1">INDEX($A$5:$A$56,COLUMN(AO19),1)</f>
        <v>#VALUE!</v>
      </c>
      <c r="AQ93" s="2" t="e" cm="1" vm="2">
        <f t="array" aca="1" ref="AQ93" ca="1">INDEX($A$5:$A$56,COLUMN(AP19),1)</f>
        <v>#VALUE!</v>
      </c>
      <c r="AR93" s="2" t="e" cm="1" vm="2">
        <f t="array" aca="1" ref="AR93" ca="1">INDEX($A$5:$A$56,COLUMN(AQ19),1)</f>
        <v>#VALUE!</v>
      </c>
      <c r="AS93" s="2" t="e" cm="1" vm="2">
        <f t="array" aca="1" ref="AS93" ca="1">INDEX($A$5:$A$56,COLUMN(AR19),1)</f>
        <v>#VALUE!</v>
      </c>
      <c r="AT93" s="2" t="e" cm="1" vm="2">
        <f t="array" aca="1" ref="AT93" ca="1">INDEX($A$5:$A$56,COLUMN(AS19),1)</f>
        <v>#VALUE!</v>
      </c>
      <c r="AU93" s="2" t="e" cm="1" vm="2">
        <f t="array" aca="1" ref="AU93" ca="1">INDEX($A$5:$A$56,COLUMN(AT19),1)</f>
        <v>#VALUE!</v>
      </c>
      <c r="AV93" s="2" t="e" cm="1" vm="2">
        <f t="array" aca="1" ref="AV93" ca="1">INDEX($A$5:$A$56,COLUMN(AU19),1)</f>
        <v>#VALUE!</v>
      </c>
      <c r="AW93" s="2" t="e" cm="1" vm="2">
        <f t="array" aca="1" ref="AW93" ca="1">INDEX($A$5:$A$56,COLUMN(AV19),1)</f>
        <v>#VALUE!</v>
      </c>
      <c r="AX93" s="2" t="e" cm="1" vm="2">
        <f t="array" aca="1" ref="AX93" ca="1">INDEX($A$5:$A$56,COLUMN(AW19),1)</f>
        <v>#VALUE!</v>
      </c>
      <c r="AY93" s="2" t="e" cm="1" vm="2">
        <f t="array" aca="1" ref="AY93" ca="1">INDEX($A$5:$A$56,COLUMN(AX19),1)</f>
        <v>#VALUE!</v>
      </c>
      <c r="AZ93" s="2" t="e" cm="1" vm="2">
        <f t="array" aca="1" ref="AZ93" ca="1">INDEX($A$5:$A$56,COLUMN(AY19),1)</f>
        <v>#VALUE!</v>
      </c>
      <c r="BA93" s="2" t="e" cm="1" vm="2">
        <f t="array" aca="1" ref="BA93" ca="1">INDEX($A$5:$A$56,COLUMN(AZ19),1)</f>
        <v>#VALUE!</v>
      </c>
      <c r="BC93" t="s">
        <v>129</v>
      </c>
    </row>
    <row r="94" spans="1:55" x14ac:dyDescent="0.35">
      <c r="A94" s="2" t="str" cm="1">
        <f t="array" ref="A94">INDEX('Data Validation (Hide)'!$B$2:$B$16,ROW(A1),1)</f>
        <v>Caseload 1</v>
      </c>
      <c r="B94">
        <f>SUMIFS($B$5:$CW$5,$B59:$CW59,"="&amp;"x",$B$3:$CW$3,"="&amp;"Y")</f>
        <v>0</v>
      </c>
      <c r="C94">
        <f t="shared" ref="C94:BA99" si="6">SUMIFS($B$5:$CW$5,$B59:$CW59,"="&amp;"x",$B$3:$CW$3,"="&amp;"Y")</f>
        <v>0</v>
      </c>
      <c r="D94">
        <f t="shared" si="6"/>
        <v>0</v>
      </c>
      <c r="E94">
        <f t="shared" si="6"/>
        <v>0</v>
      </c>
      <c r="F94">
        <f t="shared" si="6"/>
        <v>0</v>
      </c>
      <c r="G94">
        <f t="shared" si="6"/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>
        <f t="shared" si="6"/>
        <v>0</v>
      </c>
      <c r="N94">
        <f t="shared" si="6"/>
        <v>0</v>
      </c>
      <c r="O94">
        <f t="shared" si="6"/>
        <v>0</v>
      </c>
      <c r="P94">
        <f t="shared" si="6"/>
        <v>0</v>
      </c>
      <c r="Q94">
        <f t="shared" si="6"/>
        <v>0</v>
      </c>
      <c r="R94">
        <f t="shared" si="6"/>
        <v>0</v>
      </c>
      <c r="S94">
        <f t="shared" si="6"/>
        <v>0</v>
      </c>
      <c r="T94">
        <f t="shared" si="6"/>
        <v>0</v>
      </c>
      <c r="U94">
        <f t="shared" si="6"/>
        <v>0</v>
      </c>
      <c r="V94">
        <f t="shared" si="6"/>
        <v>0</v>
      </c>
      <c r="W94">
        <f t="shared" si="6"/>
        <v>0</v>
      </c>
      <c r="X94">
        <f t="shared" si="6"/>
        <v>0</v>
      </c>
      <c r="Y94">
        <f t="shared" si="6"/>
        <v>0</v>
      </c>
      <c r="Z94">
        <f t="shared" si="6"/>
        <v>0</v>
      </c>
      <c r="AA94">
        <f t="shared" si="6"/>
        <v>0</v>
      </c>
      <c r="AB94">
        <f t="shared" si="6"/>
        <v>0</v>
      </c>
      <c r="AC94">
        <f t="shared" si="6"/>
        <v>0</v>
      </c>
      <c r="AD94">
        <f t="shared" si="6"/>
        <v>0</v>
      </c>
      <c r="AE94">
        <f t="shared" si="6"/>
        <v>0</v>
      </c>
      <c r="AF94">
        <f t="shared" si="6"/>
        <v>0</v>
      </c>
      <c r="AG94">
        <f t="shared" si="6"/>
        <v>0</v>
      </c>
      <c r="AH94">
        <f t="shared" si="6"/>
        <v>0</v>
      </c>
      <c r="AI94">
        <f t="shared" si="6"/>
        <v>0</v>
      </c>
      <c r="AJ94">
        <f t="shared" si="6"/>
        <v>0</v>
      </c>
      <c r="AK94">
        <f t="shared" si="6"/>
        <v>0</v>
      </c>
      <c r="AL94">
        <f t="shared" si="6"/>
        <v>0</v>
      </c>
      <c r="AM94">
        <f t="shared" si="6"/>
        <v>0</v>
      </c>
      <c r="AN94">
        <f t="shared" si="6"/>
        <v>0</v>
      </c>
      <c r="AO94">
        <f t="shared" si="6"/>
        <v>0</v>
      </c>
      <c r="AP94">
        <f t="shared" si="6"/>
        <v>0</v>
      </c>
      <c r="AQ94">
        <f t="shared" si="6"/>
        <v>0</v>
      </c>
      <c r="AR94">
        <f t="shared" si="6"/>
        <v>0</v>
      </c>
      <c r="AS94">
        <f t="shared" si="6"/>
        <v>0</v>
      </c>
      <c r="AT94">
        <f t="shared" si="6"/>
        <v>0</v>
      </c>
      <c r="AU94">
        <f t="shared" si="6"/>
        <v>0</v>
      </c>
      <c r="AV94">
        <f t="shared" si="6"/>
        <v>0</v>
      </c>
      <c r="AW94">
        <f t="shared" si="6"/>
        <v>0</v>
      </c>
      <c r="AX94">
        <f t="shared" si="6"/>
        <v>0</v>
      </c>
      <c r="AY94">
        <f t="shared" si="6"/>
        <v>0</v>
      </c>
      <c r="AZ94">
        <f t="shared" si="6"/>
        <v>0</v>
      </c>
      <c r="BA94">
        <f t="shared" si="6"/>
        <v>0</v>
      </c>
      <c r="BC94">
        <f>AVERAGE(B94:BA94)</f>
        <v>0</v>
      </c>
    </row>
    <row r="95" spans="1:55" x14ac:dyDescent="0.35">
      <c r="A95" s="2" t="str" cm="1">
        <f t="array" ref="A95">INDEX('Data Validation (Hide)'!$B$2:$B$16,ROW(A2),1)</f>
        <v>Caseload 2</v>
      </c>
      <c r="B95">
        <f t="shared" ref="B95:Q108" si="7">SUMIFS($B$5:$CW$5,$B60:$CW60,"="&amp;"x",$B$3:$CW$3,"="&amp;"Y")</f>
        <v>0</v>
      </c>
      <c r="C95">
        <f t="shared" si="7"/>
        <v>0</v>
      </c>
      <c r="D95">
        <f t="shared" si="7"/>
        <v>0</v>
      </c>
      <c r="E95">
        <f t="shared" si="7"/>
        <v>0</v>
      </c>
      <c r="F95">
        <f t="shared" si="7"/>
        <v>0</v>
      </c>
      <c r="G95">
        <f t="shared" si="7"/>
        <v>0</v>
      </c>
      <c r="H95">
        <f t="shared" si="7"/>
        <v>0</v>
      </c>
      <c r="I95">
        <f t="shared" si="7"/>
        <v>0</v>
      </c>
      <c r="J95">
        <f t="shared" si="7"/>
        <v>0</v>
      </c>
      <c r="K95">
        <f t="shared" si="7"/>
        <v>0</v>
      </c>
      <c r="L95">
        <f t="shared" si="7"/>
        <v>0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6"/>
        <v>0</v>
      </c>
      <c r="S95">
        <f t="shared" si="6"/>
        <v>0</v>
      </c>
      <c r="T95">
        <f t="shared" si="6"/>
        <v>0</v>
      </c>
      <c r="U95">
        <f t="shared" si="6"/>
        <v>0</v>
      </c>
      <c r="V95">
        <f t="shared" si="6"/>
        <v>0</v>
      </c>
      <c r="W95">
        <f t="shared" si="6"/>
        <v>0</v>
      </c>
      <c r="X95">
        <f t="shared" si="6"/>
        <v>0</v>
      </c>
      <c r="Y95">
        <f t="shared" si="6"/>
        <v>0</v>
      </c>
      <c r="Z95">
        <f t="shared" si="6"/>
        <v>0</v>
      </c>
      <c r="AA95">
        <f t="shared" si="6"/>
        <v>0</v>
      </c>
      <c r="AB95">
        <f t="shared" si="6"/>
        <v>0</v>
      </c>
      <c r="AC95">
        <f t="shared" si="6"/>
        <v>0</v>
      </c>
      <c r="AD95">
        <f t="shared" si="6"/>
        <v>0</v>
      </c>
      <c r="AE95">
        <f t="shared" si="6"/>
        <v>0</v>
      </c>
      <c r="AF95">
        <f t="shared" si="6"/>
        <v>0</v>
      </c>
      <c r="AG95">
        <f t="shared" si="6"/>
        <v>0</v>
      </c>
      <c r="AH95">
        <f t="shared" si="6"/>
        <v>0</v>
      </c>
      <c r="AI95">
        <f t="shared" si="6"/>
        <v>0</v>
      </c>
      <c r="AJ95">
        <f t="shared" si="6"/>
        <v>0</v>
      </c>
      <c r="AK95">
        <f t="shared" si="6"/>
        <v>0</v>
      </c>
      <c r="AL95">
        <f t="shared" si="6"/>
        <v>0</v>
      </c>
      <c r="AM95">
        <f t="shared" si="6"/>
        <v>0</v>
      </c>
      <c r="AN95">
        <f t="shared" si="6"/>
        <v>0</v>
      </c>
      <c r="AO95">
        <f t="shared" si="6"/>
        <v>0</v>
      </c>
      <c r="AP95">
        <f t="shared" si="6"/>
        <v>0</v>
      </c>
      <c r="AQ95">
        <f t="shared" si="6"/>
        <v>0</v>
      </c>
      <c r="AR95">
        <f t="shared" si="6"/>
        <v>0</v>
      </c>
      <c r="AS95">
        <f t="shared" si="6"/>
        <v>0</v>
      </c>
      <c r="AT95">
        <f t="shared" si="6"/>
        <v>0</v>
      </c>
      <c r="AU95">
        <f t="shared" si="6"/>
        <v>0</v>
      </c>
      <c r="AV95">
        <f t="shared" si="6"/>
        <v>0</v>
      </c>
      <c r="AW95">
        <f t="shared" si="6"/>
        <v>0</v>
      </c>
      <c r="AX95">
        <f t="shared" si="6"/>
        <v>0</v>
      </c>
      <c r="AY95">
        <f t="shared" si="6"/>
        <v>0</v>
      </c>
      <c r="AZ95">
        <f t="shared" si="6"/>
        <v>0</v>
      </c>
      <c r="BA95">
        <f t="shared" si="6"/>
        <v>0</v>
      </c>
      <c r="BC95">
        <f t="shared" ref="BC95:BC108" si="8">AVERAGE(B95:BA95)</f>
        <v>0</v>
      </c>
    </row>
    <row r="96" spans="1:55" x14ac:dyDescent="0.35">
      <c r="A96" s="2" t="str" cm="1">
        <f t="array" ref="A96">INDEX('Data Validation (Hide)'!$B$2:$B$16,ROW(A3),1)</f>
        <v>Caseload 3</v>
      </c>
      <c r="B96">
        <f t="shared" si="7"/>
        <v>0</v>
      </c>
      <c r="C96">
        <f t="shared" si="6"/>
        <v>0</v>
      </c>
      <c r="D96">
        <f t="shared" si="6"/>
        <v>0</v>
      </c>
      <c r="E96">
        <f t="shared" si="6"/>
        <v>0</v>
      </c>
      <c r="F96">
        <f t="shared" si="6"/>
        <v>0</v>
      </c>
      <c r="G96">
        <f t="shared" si="6"/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>
        <f t="shared" si="6"/>
        <v>0</v>
      </c>
      <c r="N96">
        <f t="shared" si="6"/>
        <v>0</v>
      </c>
      <c r="O96">
        <f t="shared" si="6"/>
        <v>0</v>
      </c>
      <c r="P96">
        <f t="shared" si="6"/>
        <v>0</v>
      </c>
      <c r="Q96">
        <f t="shared" si="6"/>
        <v>0</v>
      </c>
      <c r="R96">
        <f t="shared" si="6"/>
        <v>0</v>
      </c>
      <c r="S96">
        <f t="shared" si="6"/>
        <v>0</v>
      </c>
      <c r="T96">
        <f t="shared" si="6"/>
        <v>0</v>
      </c>
      <c r="U96">
        <f t="shared" si="6"/>
        <v>0</v>
      </c>
      <c r="V96">
        <f t="shared" si="6"/>
        <v>0</v>
      </c>
      <c r="W96">
        <f t="shared" si="6"/>
        <v>0</v>
      </c>
      <c r="X96">
        <f t="shared" si="6"/>
        <v>0</v>
      </c>
      <c r="Y96">
        <f t="shared" si="6"/>
        <v>0</v>
      </c>
      <c r="Z96">
        <f t="shared" si="6"/>
        <v>0</v>
      </c>
      <c r="AA96">
        <f t="shared" si="6"/>
        <v>0</v>
      </c>
      <c r="AB96">
        <f t="shared" si="6"/>
        <v>0</v>
      </c>
      <c r="AC96">
        <f t="shared" si="6"/>
        <v>0</v>
      </c>
      <c r="AD96">
        <f t="shared" si="6"/>
        <v>0</v>
      </c>
      <c r="AE96">
        <f t="shared" si="6"/>
        <v>0</v>
      </c>
      <c r="AF96">
        <f t="shared" si="6"/>
        <v>0</v>
      </c>
      <c r="AG96">
        <f t="shared" si="6"/>
        <v>0</v>
      </c>
      <c r="AH96">
        <f t="shared" si="6"/>
        <v>0</v>
      </c>
      <c r="AI96">
        <f t="shared" si="6"/>
        <v>0</v>
      </c>
      <c r="AJ96">
        <f t="shared" si="6"/>
        <v>0</v>
      </c>
      <c r="AK96">
        <f t="shared" si="6"/>
        <v>0</v>
      </c>
      <c r="AL96">
        <f t="shared" si="6"/>
        <v>0</v>
      </c>
      <c r="AM96">
        <f t="shared" si="6"/>
        <v>0</v>
      </c>
      <c r="AN96">
        <f t="shared" si="6"/>
        <v>0</v>
      </c>
      <c r="AO96">
        <f t="shared" si="6"/>
        <v>0</v>
      </c>
      <c r="AP96">
        <f t="shared" si="6"/>
        <v>0</v>
      </c>
      <c r="AQ96">
        <f t="shared" si="6"/>
        <v>0</v>
      </c>
      <c r="AR96">
        <f t="shared" si="6"/>
        <v>0</v>
      </c>
      <c r="AS96">
        <f t="shared" si="6"/>
        <v>0</v>
      </c>
      <c r="AT96">
        <f t="shared" si="6"/>
        <v>0</v>
      </c>
      <c r="AU96">
        <f t="shared" si="6"/>
        <v>0</v>
      </c>
      <c r="AV96">
        <f t="shared" si="6"/>
        <v>0</v>
      </c>
      <c r="AW96">
        <f t="shared" si="6"/>
        <v>0</v>
      </c>
      <c r="AX96">
        <f t="shared" si="6"/>
        <v>0</v>
      </c>
      <c r="AY96">
        <f t="shared" si="6"/>
        <v>0</v>
      </c>
      <c r="AZ96">
        <f t="shared" si="6"/>
        <v>0</v>
      </c>
      <c r="BA96">
        <f t="shared" si="6"/>
        <v>0</v>
      </c>
      <c r="BC96">
        <f t="shared" si="8"/>
        <v>0</v>
      </c>
    </row>
    <row r="97" spans="1:55" x14ac:dyDescent="0.35">
      <c r="A97" s="2" t="str" cm="1">
        <f t="array" ref="A97">INDEX('Data Validation (Hide)'!$B$2:$B$16,ROW(A4),1)</f>
        <v>Caseload 4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Caseload 5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143</v>
      </c>
      <c r="B109">
        <f>SUM(B94:B108)</f>
        <v>0</v>
      </c>
      <c r="C109">
        <f t="shared" ref="C109:BA109" si="11">SUM(C94:C108)</f>
        <v>0</v>
      </c>
      <c r="D109">
        <f t="shared" si="11"/>
        <v>0</v>
      </c>
      <c r="E109">
        <f t="shared" si="11"/>
        <v>0</v>
      </c>
      <c r="F109">
        <f t="shared" si="11"/>
        <v>0</v>
      </c>
      <c r="G109">
        <f t="shared" si="11"/>
        <v>0</v>
      </c>
      <c r="H109">
        <f t="shared" si="11"/>
        <v>0</v>
      </c>
      <c r="I109">
        <f t="shared" si="11"/>
        <v>0</v>
      </c>
      <c r="J109">
        <f t="shared" si="11"/>
        <v>0</v>
      </c>
      <c r="K109">
        <f t="shared" si="11"/>
        <v>0</v>
      </c>
      <c r="L109">
        <f t="shared" si="11"/>
        <v>0</v>
      </c>
      <c r="M109">
        <f t="shared" si="11"/>
        <v>0</v>
      </c>
      <c r="N109">
        <f t="shared" si="11"/>
        <v>0</v>
      </c>
      <c r="O109">
        <f t="shared" si="11"/>
        <v>0</v>
      </c>
      <c r="P109">
        <f t="shared" si="11"/>
        <v>0</v>
      </c>
      <c r="Q109">
        <f t="shared" si="11"/>
        <v>0</v>
      </c>
      <c r="R109">
        <f t="shared" si="11"/>
        <v>0</v>
      </c>
      <c r="S109">
        <f t="shared" si="11"/>
        <v>0</v>
      </c>
      <c r="T109">
        <f t="shared" si="11"/>
        <v>0</v>
      </c>
      <c r="U109">
        <f t="shared" si="11"/>
        <v>0</v>
      </c>
      <c r="V109">
        <f t="shared" si="11"/>
        <v>0</v>
      </c>
      <c r="W109">
        <f t="shared" si="11"/>
        <v>0</v>
      </c>
      <c r="X109">
        <f t="shared" si="11"/>
        <v>0</v>
      </c>
      <c r="Y109">
        <f t="shared" si="11"/>
        <v>0</v>
      </c>
      <c r="Z109">
        <f t="shared" si="11"/>
        <v>0</v>
      </c>
      <c r="AA109">
        <f t="shared" si="11"/>
        <v>0</v>
      </c>
      <c r="AB109">
        <f t="shared" si="11"/>
        <v>0</v>
      </c>
      <c r="AC109">
        <f t="shared" si="11"/>
        <v>0</v>
      </c>
      <c r="AD109">
        <f t="shared" si="11"/>
        <v>0</v>
      </c>
      <c r="AE109">
        <f t="shared" si="11"/>
        <v>0</v>
      </c>
      <c r="AF109">
        <f t="shared" si="11"/>
        <v>0</v>
      </c>
      <c r="AG109">
        <f t="shared" si="11"/>
        <v>0</v>
      </c>
      <c r="AH109">
        <f t="shared" si="11"/>
        <v>0</v>
      </c>
      <c r="AI109">
        <f t="shared" si="11"/>
        <v>0</v>
      </c>
      <c r="AJ109">
        <f t="shared" si="11"/>
        <v>0</v>
      </c>
      <c r="AK109">
        <f t="shared" si="11"/>
        <v>0</v>
      </c>
      <c r="AL109">
        <f t="shared" si="11"/>
        <v>0</v>
      </c>
      <c r="AM109">
        <f t="shared" si="11"/>
        <v>0</v>
      </c>
      <c r="AN109">
        <f t="shared" si="11"/>
        <v>0</v>
      </c>
      <c r="AO109">
        <f t="shared" si="11"/>
        <v>0</v>
      </c>
      <c r="AP109">
        <f t="shared" si="11"/>
        <v>0</v>
      </c>
      <c r="AQ109">
        <f t="shared" si="11"/>
        <v>0</v>
      </c>
      <c r="AR109">
        <f t="shared" si="11"/>
        <v>0</v>
      </c>
      <c r="AS109">
        <f t="shared" si="11"/>
        <v>0</v>
      </c>
      <c r="AT109">
        <f t="shared" si="11"/>
        <v>0</v>
      </c>
      <c r="AU109">
        <f t="shared" si="11"/>
        <v>0</v>
      </c>
      <c r="AV109">
        <f t="shared" si="11"/>
        <v>0</v>
      </c>
      <c r="AW109">
        <f t="shared" si="11"/>
        <v>0</v>
      </c>
      <c r="AX109">
        <f t="shared" si="11"/>
        <v>0</v>
      </c>
      <c r="AY109">
        <f t="shared" si="11"/>
        <v>0</v>
      </c>
      <c r="AZ109">
        <f t="shared" si="11"/>
        <v>0</v>
      </c>
      <c r="BA109">
        <f t="shared" si="11"/>
        <v>0</v>
      </c>
    </row>
    <row r="110" spans="1:55" x14ac:dyDescent="0.35">
      <c r="A110" s="2"/>
    </row>
    <row r="111" spans="1:55" x14ac:dyDescent="0.35">
      <c r="A111" s="2" t="s">
        <v>64</v>
      </c>
      <c r="B111" s="2" t="e" cm="1" vm="2">
        <f t="array" aca="1" ref="B111" ca="1">INDEX($A$5:$A$56,COLUMN(A19),1)</f>
        <v>#VALUE!</v>
      </c>
      <c r="C111" s="2" t="e" cm="1" vm="2">
        <f t="array" aca="1" ref="C111" ca="1">INDEX($A$5:$A$56,COLUMN(B19),1)</f>
        <v>#VALUE!</v>
      </c>
      <c r="D111" s="2" t="e" cm="1" vm="2">
        <f t="array" aca="1" ref="D111" ca="1">INDEX($A$5:$A$56,COLUMN(C19),1)</f>
        <v>#VALUE!</v>
      </c>
      <c r="E111" s="2" t="e" cm="1" vm="2">
        <f t="array" aca="1" ref="E111" ca="1">INDEX($A$5:$A$56,COLUMN(D19),1)</f>
        <v>#VALUE!</v>
      </c>
      <c r="F111" s="2" t="e" cm="1" vm="2">
        <f t="array" aca="1" ref="F111" ca="1">INDEX($A$5:$A$56,COLUMN(E19),1)</f>
        <v>#VALUE!</v>
      </c>
      <c r="G111" s="2" t="e" cm="1" vm="2">
        <f t="array" aca="1" ref="G111" ca="1">INDEX($A$5:$A$56,COLUMN(F19),1)</f>
        <v>#VALUE!</v>
      </c>
      <c r="H111" s="2" t="e" cm="1" vm="2">
        <f t="array" aca="1" ref="H111" ca="1">INDEX($A$5:$A$56,COLUMN(G19),1)</f>
        <v>#VALUE!</v>
      </c>
      <c r="I111" s="2" t="e" cm="1" vm="2">
        <f t="array" aca="1" ref="I111" ca="1">INDEX($A$5:$A$56,COLUMN(H19),1)</f>
        <v>#VALUE!</v>
      </c>
      <c r="J111" s="2" t="e" cm="1" vm="2">
        <f t="array" aca="1" ref="J111" ca="1">INDEX($A$5:$A$56,COLUMN(I19),1)</f>
        <v>#VALUE!</v>
      </c>
      <c r="K111" s="2" t="e" cm="1" vm="2">
        <f t="array" aca="1" ref="K111" ca="1">INDEX($A$5:$A$56,COLUMN(J19),1)</f>
        <v>#VALUE!</v>
      </c>
      <c r="L111" s="2" t="e" cm="1" vm="2">
        <f t="array" aca="1" ref="L111" ca="1">INDEX($A$5:$A$56,COLUMN(K19),1)</f>
        <v>#VALUE!</v>
      </c>
      <c r="M111" s="2" t="e" cm="1" vm="2">
        <f t="array" aca="1" ref="M111" ca="1">INDEX($A$5:$A$56,COLUMN(L19),1)</f>
        <v>#VALUE!</v>
      </c>
      <c r="N111" s="2" t="e" cm="1" vm="2">
        <f t="array" aca="1" ref="N111" ca="1">INDEX($A$5:$A$56,COLUMN(M19),1)</f>
        <v>#VALUE!</v>
      </c>
      <c r="O111" s="2" t="e" cm="1" vm="2">
        <f t="array" aca="1" ref="O111" ca="1">INDEX($A$5:$A$56,COLUMN(N19),1)</f>
        <v>#VALUE!</v>
      </c>
      <c r="P111" s="2" t="e" cm="1" vm="2">
        <f t="array" aca="1" ref="P111" ca="1">INDEX($A$5:$A$56,COLUMN(O19),1)</f>
        <v>#VALUE!</v>
      </c>
      <c r="Q111" s="2" t="e" cm="1" vm="2">
        <f t="array" aca="1" ref="Q111" ca="1">INDEX($A$5:$A$56,COLUMN(P19),1)</f>
        <v>#VALUE!</v>
      </c>
      <c r="R111" s="2" t="e" cm="1" vm="2">
        <f t="array" aca="1" ref="R111" ca="1">INDEX($A$5:$A$56,COLUMN(Q19),1)</f>
        <v>#VALUE!</v>
      </c>
      <c r="S111" s="2" t="e" cm="1" vm="2">
        <f t="array" aca="1" ref="S111" ca="1">INDEX($A$5:$A$56,COLUMN(R19),1)</f>
        <v>#VALUE!</v>
      </c>
      <c r="T111" s="2" t="e" cm="1" vm="2">
        <f t="array" aca="1" ref="T111" ca="1">INDEX($A$5:$A$56,COLUMN(S19),1)</f>
        <v>#VALUE!</v>
      </c>
      <c r="U111" s="2" t="e" cm="1" vm="2">
        <f t="array" aca="1" ref="U111" ca="1">INDEX($A$5:$A$56,COLUMN(T19),1)</f>
        <v>#VALUE!</v>
      </c>
      <c r="V111" s="2" t="e" cm="1" vm="2">
        <f t="array" aca="1" ref="V111" ca="1">INDEX($A$5:$A$56,COLUMN(U19),1)</f>
        <v>#VALUE!</v>
      </c>
      <c r="W111" s="2" t="e" cm="1" vm="2">
        <f t="array" aca="1" ref="W111" ca="1">INDEX($A$5:$A$56,COLUMN(V19),1)</f>
        <v>#VALUE!</v>
      </c>
      <c r="X111" s="2" t="e" cm="1" vm="2">
        <f t="array" aca="1" ref="X111" ca="1">INDEX($A$5:$A$56,COLUMN(W19),1)</f>
        <v>#VALUE!</v>
      </c>
      <c r="Y111" s="2" t="e" cm="1" vm="2">
        <f t="array" aca="1" ref="Y111" ca="1">INDEX($A$5:$A$56,COLUMN(X19),1)</f>
        <v>#VALUE!</v>
      </c>
      <c r="Z111" s="2" t="e" cm="1" vm="2">
        <f t="array" aca="1" ref="Z111" ca="1">INDEX($A$5:$A$56,COLUMN(Y19),1)</f>
        <v>#VALUE!</v>
      </c>
      <c r="AA111" s="2" t="e" cm="1" vm="2">
        <f t="array" aca="1" ref="AA111" ca="1">INDEX($A$5:$A$56,COLUMN(Z19),1)</f>
        <v>#VALUE!</v>
      </c>
      <c r="AB111" s="2" t="e" cm="1" vm="2">
        <f t="array" aca="1" ref="AB111" ca="1">INDEX($A$5:$A$56,COLUMN(AA19),1)</f>
        <v>#VALUE!</v>
      </c>
      <c r="AC111" s="2" t="e" cm="1" vm="2">
        <f t="array" aca="1" ref="AC111" ca="1">INDEX($A$5:$A$56,COLUMN(AB19),1)</f>
        <v>#VALUE!</v>
      </c>
      <c r="AD111" s="2" t="e" cm="1" vm="2">
        <f t="array" aca="1" ref="AD111" ca="1">INDEX($A$5:$A$56,COLUMN(AC19),1)</f>
        <v>#VALUE!</v>
      </c>
      <c r="AE111" s="2" t="e" cm="1" vm="2">
        <f t="array" aca="1" ref="AE111" ca="1">INDEX($A$5:$A$56,COLUMN(AD19),1)</f>
        <v>#VALUE!</v>
      </c>
      <c r="AF111" s="2" t="e" cm="1" vm="2">
        <f t="array" aca="1" ref="AF111" ca="1">INDEX($A$5:$A$56,COLUMN(AE19),1)</f>
        <v>#VALUE!</v>
      </c>
      <c r="AG111" s="2" t="e" cm="1" vm="2">
        <f t="array" aca="1" ref="AG111" ca="1">INDEX($A$5:$A$56,COLUMN(AF19),1)</f>
        <v>#VALUE!</v>
      </c>
      <c r="AH111" s="2" t="e" cm="1" vm="2">
        <f t="array" aca="1" ref="AH111" ca="1">INDEX($A$5:$A$56,COLUMN(AG19),1)</f>
        <v>#VALUE!</v>
      </c>
      <c r="AI111" s="2" t="e" cm="1" vm="2">
        <f t="array" aca="1" ref="AI111" ca="1">INDEX($A$5:$A$56,COLUMN(AH19),1)</f>
        <v>#VALUE!</v>
      </c>
      <c r="AJ111" s="2" t="e" cm="1" vm="2">
        <f t="array" aca="1" ref="AJ111" ca="1">INDEX($A$5:$A$56,COLUMN(AI19),1)</f>
        <v>#VALUE!</v>
      </c>
      <c r="AK111" s="2" t="e" cm="1" vm="2">
        <f t="array" aca="1" ref="AK111" ca="1">INDEX($A$5:$A$56,COLUMN(AJ19),1)</f>
        <v>#VALUE!</v>
      </c>
      <c r="AL111" s="2" t="e" cm="1" vm="2">
        <f t="array" aca="1" ref="AL111" ca="1">INDEX($A$5:$A$56,COLUMN(AK19),1)</f>
        <v>#VALUE!</v>
      </c>
      <c r="AM111" s="2" t="e" cm="1" vm="2">
        <f t="array" aca="1" ref="AM111" ca="1">INDEX($A$5:$A$56,COLUMN(AL19),1)</f>
        <v>#VALUE!</v>
      </c>
      <c r="AN111" s="2" t="e" cm="1" vm="2">
        <f t="array" aca="1" ref="AN111" ca="1">INDEX($A$5:$A$56,COLUMN(AM19),1)</f>
        <v>#VALUE!</v>
      </c>
      <c r="AO111" s="2" t="e" cm="1" vm="2">
        <f t="array" aca="1" ref="AO111" ca="1">INDEX($A$5:$A$56,COLUMN(AN19),1)</f>
        <v>#VALUE!</v>
      </c>
      <c r="AP111" s="2" t="e" cm="1" vm="2">
        <f t="array" aca="1" ref="AP111" ca="1">INDEX($A$5:$A$56,COLUMN(AO19),1)</f>
        <v>#VALUE!</v>
      </c>
      <c r="AQ111" s="2" t="e" cm="1" vm="2">
        <f t="array" aca="1" ref="AQ111" ca="1">INDEX($A$5:$A$56,COLUMN(AP19),1)</f>
        <v>#VALUE!</v>
      </c>
      <c r="AR111" s="2" t="e" cm="1" vm="2">
        <f t="array" aca="1" ref="AR111" ca="1">INDEX($A$5:$A$56,COLUMN(AQ19),1)</f>
        <v>#VALUE!</v>
      </c>
      <c r="AS111" s="2" t="e" cm="1" vm="2">
        <f t="array" aca="1" ref="AS111" ca="1">INDEX($A$5:$A$56,COLUMN(AR19),1)</f>
        <v>#VALUE!</v>
      </c>
      <c r="AT111" s="2" t="e" cm="1" vm="2">
        <f t="array" aca="1" ref="AT111" ca="1">INDEX($A$5:$A$56,COLUMN(AS19),1)</f>
        <v>#VALUE!</v>
      </c>
      <c r="AU111" s="2" t="e" cm="1" vm="2">
        <f t="array" aca="1" ref="AU111" ca="1">INDEX($A$5:$A$56,COLUMN(AT19),1)</f>
        <v>#VALUE!</v>
      </c>
      <c r="AV111" s="2" t="e" cm="1" vm="2">
        <f t="array" aca="1" ref="AV111" ca="1">INDEX($A$5:$A$56,COLUMN(AU19),1)</f>
        <v>#VALUE!</v>
      </c>
      <c r="AW111" s="2" t="e" cm="1" vm="2">
        <f t="array" aca="1" ref="AW111" ca="1">INDEX($A$5:$A$56,COLUMN(AV19),1)</f>
        <v>#VALUE!</v>
      </c>
      <c r="AX111" s="2" t="e" cm="1" vm="2">
        <f t="array" aca="1" ref="AX111" ca="1">INDEX($A$5:$A$56,COLUMN(AW19),1)</f>
        <v>#VALUE!</v>
      </c>
      <c r="AY111" s="2" t="e" cm="1" vm="2">
        <f t="array" aca="1" ref="AY111" ca="1">INDEX($A$5:$A$56,COLUMN(AX19),1)</f>
        <v>#VALUE!</v>
      </c>
      <c r="AZ111" s="2" t="e" cm="1" vm="2">
        <f t="array" aca="1" ref="AZ111" ca="1">INDEX($A$5:$A$56,COLUMN(AY19),1)</f>
        <v>#VALUE!</v>
      </c>
      <c r="BA111" s="2" t="e" cm="1" vm="2">
        <f t="array" aca="1" ref="BA111" ca="1">INDEX($A$5:$A$56,COLUMN(AZ19),1)</f>
        <v>#VALUE!</v>
      </c>
      <c r="BC111" t="s">
        <v>129</v>
      </c>
    </row>
    <row r="112" spans="1:55" x14ac:dyDescent="0.35">
      <c r="A112" s="2" t="str" cm="1">
        <f t="array" ref="A112">INDEX('Data Validation (Hide)'!$B$2:$B$16,ROW(A1),1)</f>
        <v>Caseload 1</v>
      </c>
      <c r="B112">
        <f t="shared" ref="B112:AG112" si="12">SUM(B76,B94)</f>
        <v>0</v>
      </c>
      <c r="C112">
        <f t="shared" si="12"/>
        <v>0</v>
      </c>
      <c r="D112">
        <f t="shared" si="12"/>
        <v>0</v>
      </c>
      <c r="E112">
        <f t="shared" si="12"/>
        <v>0</v>
      </c>
      <c r="F112">
        <f t="shared" si="12"/>
        <v>0</v>
      </c>
      <c r="G112">
        <f t="shared" si="12"/>
        <v>0</v>
      </c>
      <c r="H112">
        <f t="shared" si="12"/>
        <v>0</v>
      </c>
      <c r="I112">
        <f t="shared" si="12"/>
        <v>0</v>
      </c>
      <c r="J112">
        <f t="shared" si="12"/>
        <v>0</v>
      </c>
      <c r="K112">
        <f t="shared" si="12"/>
        <v>0</v>
      </c>
      <c r="L112">
        <f t="shared" si="12"/>
        <v>0</v>
      </c>
      <c r="M112">
        <f t="shared" si="12"/>
        <v>0</v>
      </c>
      <c r="N112">
        <f t="shared" si="12"/>
        <v>0</v>
      </c>
      <c r="O112">
        <f t="shared" si="12"/>
        <v>0</v>
      </c>
      <c r="P112">
        <f t="shared" si="12"/>
        <v>0</v>
      </c>
      <c r="Q112">
        <f t="shared" si="12"/>
        <v>0</v>
      </c>
      <c r="R112">
        <f t="shared" si="12"/>
        <v>0</v>
      </c>
      <c r="S112">
        <f t="shared" si="12"/>
        <v>0</v>
      </c>
      <c r="T112">
        <f t="shared" si="12"/>
        <v>0</v>
      </c>
      <c r="U112">
        <f t="shared" si="12"/>
        <v>0</v>
      </c>
      <c r="V112">
        <f t="shared" si="12"/>
        <v>0</v>
      </c>
      <c r="W112">
        <f t="shared" si="12"/>
        <v>0</v>
      </c>
      <c r="X112">
        <f t="shared" si="12"/>
        <v>0</v>
      </c>
      <c r="Y112">
        <f t="shared" si="12"/>
        <v>0</v>
      </c>
      <c r="Z112">
        <f t="shared" si="12"/>
        <v>0</v>
      </c>
      <c r="AA112">
        <f t="shared" si="12"/>
        <v>0</v>
      </c>
      <c r="AB112">
        <f t="shared" si="12"/>
        <v>0</v>
      </c>
      <c r="AC112">
        <f t="shared" si="12"/>
        <v>0</v>
      </c>
      <c r="AD112">
        <f t="shared" si="12"/>
        <v>0</v>
      </c>
      <c r="AE112">
        <f t="shared" si="12"/>
        <v>0</v>
      </c>
      <c r="AF112">
        <f t="shared" si="12"/>
        <v>0</v>
      </c>
      <c r="AG112">
        <f t="shared" si="12"/>
        <v>0</v>
      </c>
      <c r="AH112">
        <f t="shared" ref="AH112:BA112" si="13">SUM(AH76,AH94)</f>
        <v>0</v>
      </c>
      <c r="AI112">
        <f t="shared" si="13"/>
        <v>0</v>
      </c>
      <c r="AJ112">
        <f t="shared" si="13"/>
        <v>0</v>
      </c>
      <c r="AK112">
        <f t="shared" si="13"/>
        <v>0</v>
      </c>
      <c r="AL112">
        <f t="shared" si="13"/>
        <v>0</v>
      </c>
      <c r="AM112">
        <f t="shared" si="13"/>
        <v>0</v>
      </c>
      <c r="AN112">
        <f t="shared" si="13"/>
        <v>0</v>
      </c>
      <c r="AO112">
        <f t="shared" si="13"/>
        <v>0</v>
      </c>
      <c r="AP112">
        <f t="shared" si="13"/>
        <v>0</v>
      </c>
      <c r="AQ112">
        <f t="shared" si="13"/>
        <v>0</v>
      </c>
      <c r="AR112">
        <f t="shared" si="13"/>
        <v>0</v>
      </c>
      <c r="AS112">
        <f t="shared" si="13"/>
        <v>0</v>
      </c>
      <c r="AT112">
        <f t="shared" si="13"/>
        <v>0</v>
      </c>
      <c r="AU112">
        <f t="shared" si="13"/>
        <v>0</v>
      </c>
      <c r="AV112">
        <f t="shared" si="13"/>
        <v>0</v>
      </c>
      <c r="AW112">
        <f t="shared" si="13"/>
        <v>0</v>
      </c>
      <c r="AX112">
        <f t="shared" si="13"/>
        <v>0</v>
      </c>
      <c r="AY112">
        <f t="shared" si="13"/>
        <v>0</v>
      </c>
      <c r="AZ112">
        <f t="shared" si="13"/>
        <v>0</v>
      </c>
      <c r="BA112">
        <f t="shared" si="13"/>
        <v>0</v>
      </c>
      <c r="BC112">
        <f>AVERAGE(B112:BA112)</f>
        <v>0</v>
      </c>
    </row>
    <row r="113" spans="1:55" x14ac:dyDescent="0.35">
      <c r="A113" s="2" t="str" cm="1">
        <f t="array" ref="A113">INDEX('Data Validation (Hide)'!$B$2:$B$16,ROW(A2),1)</f>
        <v>Caseload 2</v>
      </c>
      <c r="B113">
        <f t="shared" ref="B113:AG113" si="14">SUM(B77,B95)</f>
        <v>0</v>
      </c>
      <c r="C113">
        <f t="shared" si="14"/>
        <v>0</v>
      </c>
      <c r="D113">
        <f t="shared" si="14"/>
        <v>0</v>
      </c>
      <c r="E113">
        <f t="shared" si="14"/>
        <v>0</v>
      </c>
      <c r="F113">
        <f t="shared" si="14"/>
        <v>0</v>
      </c>
      <c r="G113">
        <f t="shared" si="14"/>
        <v>0</v>
      </c>
      <c r="H113">
        <f t="shared" si="14"/>
        <v>0</v>
      </c>
      <c r="I113">
        <f t="shared" si="14"/>
        <v>0</v>
      </c>
      <c r="J113">
        <f t="shared" si="14"/>
        <v>0</v>
      </c>
      <c r="K113">
        <f t="shared" si="14"/>
        <v>0</v>
      </c>
      <c r="L113">
        <f t="shared" si="14"/>
        <v>0</v>
      </c>
      <c r="M113">
        <f t="shared" si="14"/>
        <v>0</v>
      </c>
      <c r="N113">
        <f t="shared" si="14"/>
        <v>0</v>
      </c>
      <c r="O113">
        <f t="shared" si="14"/>
        <v>0</v>
      </c>
      <c r="P113">
        <f t="shared" si="14"/>
        <v>0</v>
      </c>
      <c r="Q113">
        <f t="shared" si="14"/>
        <v>0</v>
      </c>
      <c r="R113">
        <f t="shared" si="14"/>
        <v>0</v>
      </c>
      <c r="S113">
        <f t="shared" si="14"/>
        <v>0</v>
      </c>
      <c r="T113">
        <f t="shared" si="14"/>
        <v>0</v>
      </c>
      <c r="U113">
        <f t="shared" si="14"/>
        <v>0</v>
      </c>
      <c r="V113">
        <f t="shared" si="14"/>
        <v>0</v>
      </c>
      <c r="W113">
        <f t="shared" si="14"/>
        <v>0</v>
      </c>
      <c r="X113">
        <f t="shared" si="14"/>
        <v>0</v>
      </c>
      <c r="Y113">
        <f t="shared" si="14"/>
        <v>0</v>
      </c>
      <c r="Z113">
        <f t="shared" si="14"/>
        <v>0</v>
      </c>
      <c r="AA113">
        <f t="shared" si="14"/>
        <v>0</v>
      </c>
      <c r="AB113">
        <f t="shared" si="14"/>
        <v>0</v>
      </c>
      <c r="AC113">
        <f t="shared" si="14"/>
        <v>0</v>
      </c>
      <c r="AD113">
        <f t="shared" si="14"/>
        <v>0</v>
      </c>
      <c r="AE113">
        <f t="shared" si="14"/>
        <v>0</v>
      </c>
      <c r="AF113">
        <f t="shared" si="14"/>
        <v>0</v>
      </c>
      <c r="AG113">
        <f t="shared" si="14"/>
        <v>0</v>
      </c>
      <c r="AH113">
        <f t="shared" ref="AH113:BA113" si="15">SUM(AH77,AH95)</f>
        <v>0</v>
      </c>
      <c r="AI113">
        <f t="shared" si="15"/>
        <v>0</v>
      </c>
      <c r="AJ113">
        <f t="shared" si="15"/>
        <v>0</v>
      </c>
      <c r="AK113">
        <f t="shared" si="15"/>
        <v>0</v>
      </c>
      <c r="AL113">
        <f t="shared" si="15"/>
        <v>0</v>
      </c>
      <c r="AM113">
        <f t="shared" si="15"/>
        <v>0</v>
      </c>
      <c r="AN113">
        <f t="shared" si="15"/>
        <v>0</v>
      </c>
      <c r="AO113">
        <f t="shared" si="15"/>
        <v>0</v>
      </c>
      <c r="AP113">
        <f t="shared" si="15"/>
        <v>0</v>
      </c>
      <c r="AQ113">
        <f t="shared" si="15"/>
        <v>0</v>
      </c>
      <c r="AR113">
        <f t="shared" si="15"/>
        <v>0</v>
      </c>
      <c r="AS113">
        <f t="shared" si="15"/>
        <v>0</v>
      </c>
      <c r="AT113">
        <f t="shared" si="15"/>
        <v>0</v>
      </c>
      <c r="AU113">
        <f t="shared" si="15"/>
        <v>0</v>
      </c>
      <c r="AV113">
        <f t="shared" si="15"/>
        <v>0</v>
      </c>
      <c r="AW113">
        <f t="shared" si="15"/>
        <v>0</v>
      </c>
      <c r="AX113">
        <f t="shared" si="15"/>
        <v>0</v>
      </c>
      <c r="AY113">
        <f t="shared" si="15"/>
        <v>0</v>
      </c>
      <c r="AZ113">
        <f t="shared" si="15"/>
        <v>0</v>
      </c>
      <c r="BA113">
        <f t="shared" si="15"/>
        <v>0</v>
      </c>
      <c r="BC113">
        <f t="shared" ref="BC113:BC126" si="16">AVERAGE(B113:BA113)</f>
        <v>0</v>
      </c>
    </row>
    <row r="114" spans="1:55" x14ac:dyDescent="0.35">
      <c r="A114" s="2" t="str" cm="1">
        <f t="array" ref="A114">INDEX('Data Validation (Hide)'!$B$2:$B$16,ROW(A3),1)</f>
        <v>Caseload 3</v>
      </c>
      <c r="B114">
        <f t="shared" ref="B114:AG114" si="17">SUM(B78,B96)</f>
        <v>0</v>
      </c>
      <c r="C114">
        <f t="shared" si="17"/>
        <v>0</v>
      </c>
      <c r="D114">
        <f t="shared" si="17"/>
        <v>0</v>
      </c>
      <c r="E114">
        <f t="shared" si="17"/>
        <v>0</v>
      </c>
      <c r="F114">
        <f t="shared" si="17"/>
        <v>0</v>
      </c>
      <c r="G114">
        <f t="shared" si="17"/>
        <v>0</v>
      </c>
      <c r="H114">
        <f t="shared" si="17"/>
        <v>0</v>
      </c>
      <c r="I114">
        <f t="shared" si="17"/>
        <v>0</v>
      </c>
      <c r="J114">
        <f t="shared" si="17"/>
        <v>0</v>
      </c>
      <c r="K114">
        <f t="shared" si="17"/>
        <v>0</v>
      </c>
      <c r="L114">
        <f t="shared" si="17"/>
        <v>0</v>
      </c>
      <c r="M114">
        <f t="shared" si="17"/>
        <v>0</v>
      </c>
      <c r="N114">
        <f t="shared" si="17"/>
        <v>0</v>
      </c>
      <c r="O114">
        <f t="shared" si="17"/>
        <v>0</v>
      </c>
      <c r="P114">
        <f t="shared" si="17"/>
        <v>0</v>
      </c>
      <c r="Q114">
        <f t="shared" si="17"/>
        <v>0</v>
      </c>
      <c r="R114">
        <f t="shared" si="17"/>
        <v>0</v>
      </c>
      <c r="S114">
        <f t="shared" si="17"/>
        <v>0</v>
      </c>
      <c r="T114">
        <f t="shared" si="17"/>
        <v>0</v>
      </c>
      <c r="U114">
        <f t="shared" si="17"/>
        <v>0</v>
      </c>
      <c r="V114">
        <f t="shared" si="17"/>
        <v>0</v>
      </c>
      <c r="W114">
        <f t="shared" si="17"/>
        <v>0</v>
      </c>
      <c r="X114">
        <f t="shared" si="17"/>
        <v>0</v>
      </c>
      <c r="Y114">
        <f t="shared" si="17"/>
        <v>0</v>
      </c>
      <c r="Z114">
        <f t="shared" si="17"/>
        <v>0</v>
      </c>
      <c r="AA114">
        <f t="shared" si="17"/>
        <v>0</v>
      </c>
      <c r="AB114">
        <f t="shared" si="17"/>
        <v>0</v>
      </c>
      <c r="AC114">
        <f t="shared" si="17"/>
        <v>0</v>
      </c>
      <c r="AD114">
        <f t="shared" si="17"/>
        <v>0</v>
      </c>
      <c r="AE114">
        <f t="shared" si="17"/>
        <v>0</v>
      </c>
      <c r="AF114">
        <f t="shared" si="17"/>
        <v>0</v>
      </c>
      <c r="AG114">
        <f t="shared" si="17"/>
        <v>0</v>
      </c>
      <c r="AH114">
        <f t="shared" ref="AH114:BA114" si="18">SUM(AH78,AH96)</f>
        <v>0</v>
      </c>
      <c r="AI114">
        <f t="shared" si="18"/>
        <v>0</v>
      </c>
      <c r="AJ114">
        <f t="shared" si="18"/>
        <v>0</v>
      </c>
      <c r="AK114">
        <f t="shared" si="18"/>
        <v>0</v>
      </c>
      <c r="AL114">
        <f t="shared" si="18"/>
        <v>0</v>
      </c>
      <c r="AM114">
        <f t="shared" si="18"/>
        <v>0</v>
      </c>
      <c r="AN114">
        <f t="shared" si="18"/>
        <v>0</v>
      </c>
      <c r="AO114">
        <f t="shared" si="18"/>
        <v>0</v>
      </c>
      <c r="AP114">
        <f t="shared" si="18"/>
        <v>0</v>
      </c>
      <c r="AQ114">
        <f t="shared" si="18"/>
        <v>0</v>
      </c>
      <c r="AR114">
        <f t="shared" si="18"/>
        <v>0</v>
      </c>
      <c r="AS114">
        <f t="shared" si="18"/>
        <v>0</v>
      </c>
      <c r="AT114">
        <f t="shared" si="18"/>
        <v>0</v>
      </c>
      <c r="AU114">
        <f t="shared" si="18"/>
        <v>0</v>
      </c>
      <c r="AV114">
        <f t="shared" si="18"/>
        <v>0</v>
      </c>
      <c r="AW114">
        <f t="shared" si="18"/>
        <v>0</v>
      </c>
      <c r="AX114">
        <f t="shared" si="18"/>
        <v>0</v>
      </c>
      <c r="AY114">
        <f t="shared" si="18"/>
        <v>0</v>
      </c>
      <c r="AZ114">
        <f t="shared" si="18"/>
        <v>0</v>
      </c>
      <c r="BA114">
        <f t="shared" si="18"/>
        <v>0</v>
      </c>
      <c r="BC114">
        <f t="shared" si="16"/>
        <v>0</v>
      </c>
    </row>
    <row r="115" spans="1:55" x14ac:dyDescent="0.35">
      <c r="A115" s="2" t="str" cm="1">
        <f t="array" ref="A115">INDEX('Data Validation (Hide)'!$B$2:$B$16,ROW(A4),1)</f>
        <v>Caseload 4</v>
      </c>
      <c r="B115">
        <f t="shared" ref="B115:AG115" si="19">SUM(B79,B97)</f>
        <v>0</v>
      </c>
      <c r="C115">
        <f t="shared" si="19"/>
        <v>0</v>
      </c>
      <c r="D115">
        <f t="shared" si="19"/>
        <v>0</v>
      </c>
      <c r="E115">
        <f t="shared" si="19"/>
        <v>0</v>
      </c>
      <c r="F115">
        <f t="shared" si="19"/>
        <v>0</v>
      </c>
      <c r="G115">
        <f t="shared" si="19"/>
        <v>0</v>
      </c>
      <c r="H115">
        <f t="shared" si="19"/>
        <v>0</v>
      </c>
      <c r="I115">
        <f t="shared" si="19"/>
        <v>0</v>
      </c>
      <c r="J115">
        <f t="shared" si="19"/>
        <v>0</v>
      </c>
      <c r="K115">
        <f t="shared" si="19"/>
        <v>0</v>
      </c>
      <c r="L115">
        <f t="shared" si="19"/>
        <v>0</v>
      </c>
      <c r="M115">
        <f t="shared" si="19"/>
        <v>0</v>
      </c>
      <c r="N115">
        <f t="shared" si="19"/>
        <v>0</v>
      </c>
      <c r="O115">
        <f t="shared" si="19"/>
        <v>0</v>
      </c>
      <c r="P115">
        <f t="shared" si="19"/>
        <v>0</v>
      </c>
      <c r="Q115">
        <f t="shared" si="19"/>
        <v>0</v>
      </c>
      <c r="R115">
        <f t="shared" si="19"/>
        <v>0</v>
      </c>
      <c r="S115">
        <f t="shared" si="19"/>
        <v>0</v>
      </c>
      <c r="T115">
        <f t="shared" si="19"/>
        <v>0</v>
      </c>
      <c r="U115">
        <f t="shared" si="19"/>
        <v>0</v>
      </c>
      <c r="V115">
        <f t="shared" si="19"/>
        <v>0</v>
      </c>
      <c r="W115">
        <f t="shared" si="19"/>
        <v>0</v>
      </c>
      <c r="X115">
        <f t="shared" si="19"/>
        <v>0</v>
      </c>
      <c r="Y115">
        <f t="shared" si="19"/>
        <v>0</v>
      </c>
      <c r="Z115">
        <f t="shared" si="19"/>
        <v>0</v>
      </c>
      <c r="AA115">
        <f t="shared" si="19"/>
        <v>0</v>
      </c>
      <c r="AB115">
        <f t="shared" si="19"/>
        <v>0</v>
      </c>
      <c r="AC115">
        <f t="shared" si="19"/>
        <v>0</v>
      </c>
      <c r="AD115">
        <f t="shared" si="19"/>
        <v>0</v>
      </c>
      <c r="AE115">
        <f t="shared" si="19"/>
        <v>0</v>
      </c>
      <c r="AF115">
        <f t="shared" si="19"/>
        <v>0</v>
      </c>
      <c r="AG115">
        <f t="shared" si="19"/>
        <v>0</v>
      </c>
      <c r="AH115">
        <f t="shared" ref="AH115:BA115" si="20">SUM(AH79,AH97)</f>
        <v>0</v>
      </c>
      <c r="AI115">
        <f t="shared" si="20"/>
        <v>0</v>
      </c>
      <c r="AJ115">
        <f t="shared" si="20"/>
        <v>0</v>
      </c>
      <c r="AK115">
        <f t="shared" si="20"/>
        <v>0</v>
      </c>
      <c r="AL115">
        <f t="shared" si="20"/>
        <v>0</v>
      </c>
      <c r="AM115">
        <f t="shared" si="20"/>
        <v>0</v>
      </c>
      <c r="AN115">
        <f t="shared" si="20"/>
        <v>0</v>
      </c>
      <c r="AO115">
        <f t="shared" si="20"/>
        <v>0</v>
      </c>
      <c r="AP115">
        <f t="shared" si="20"/>
        <v>0</v>
      </c>
      <c r="AQ115">
        <f t="shared" si="20"/>
        <v>0</v>
      </c>
      <c r="AR115">
        <f t="shared" si="20"/>
        <v>0</v>
      </c>
      <c r="AS115">
        <f t="shared" si="20"/>
        <v>0</v>
      </c>
      <c r="AT115">
        <f t="shared" si="20"/>
        <v>0</v>
      </c>
      <c r="AU115">
        <f t="shared" si="20"/>
        <v>0</v>
      </c>
      <c r="AV115">
        <f t="shared" si="20"/>
        <v>0</v>
      </c>
      <c r="AW115">
        <f t="shared" si="20"/>
        <v>0</v>
      </c>
      <c r="AX115">
        <f t="shared" si="20"/>
        <v>0</v>
      </c>
      <c r="AY115">
        <f t="shared" si="20"/>
        <v>0</v>
      </c>
      <c r="AZ115">
        <f t="shared" si="20"/>
        <v>0</v>
      </c>
      <c r="BA115">
        <f t="shared" si="20"/>
        <v>0</v>
      </c>
      <c r="BC115">
        <f t="shared" si="16"/>
        <v>0</v>
      </c>
    </row>
    <row r="116" spans="1:55" x14ac:dyDescent="0.35">
      <c r="A116" s="2" t="str" cm="1">
        <f t="array" ref="A116">INDEX('Data Validation (Hide)'!$B$2:$B$16,ROW(A5),1)</f>
        <v>Caseload 5</v>
      </c>
      <c r="B116">
        <f t="shared" ref="B116:AG116" si="21">SUM(B80,B98)</f>
        <v>0</v>
      </c>
      <c r="C116">
        <f t="shared" si="21"/>
        <v>0</v>
      </c>
      <c r="D116">
        <f t="shared" si="21"/>
        <v>0</v>
      </c>
      <c r="E116">
        <f t="shared" si="21"/>
        <v>0</v>
      </c>
      <c r="F116">
        <f t="shared" si="21"/>
        <v>0</v>
      </c>
      <c r="G116">
        <f t="shared" si="21"/>
        <v>0</v>
      </c>
      <c r="H116">
        <f t="shared" si="21"/>
        <v>0</v>
      </c>
      <c r="I116">
        <f t="shared" si="21"/>
        <v>0</v>
      </c>
      <c r="J116">
        <f t="shared" si="21"/>
        <v>0</v>
      </c>
      <c r="K116">
        <f t="shared" si="21"/>
        <v>0</v>
      </c>
      <c r="L116">
        <f t="shared" si="21"/>
        <v>0</v>
      </c>
      <c r="M116">
        <f t="shared" si="21"/>
        <v>0</v>
      </c>
      <c r="N116">
        <f t="shared" si="21"/>
        <v>0</v>
      </c>
      <c r="O116">
        <f t="shared" si="21"/>
        <v>0</v>
      </c>
      <c r="P116">
        <f t="shared" si="21"/>
        <v>0</v>
      </c>
      <c r="Q116">
        <f t="shared" si="21"/>
        <v>0</v>
      </c>
      <c r="R116">
        <f t="shared" si="21"/>
        <v>0</v>
      </c>
      <c r="S116">
        <f t="shared" si="21"/>
        <v>0</v>
      </c>
      <c r="T116">
        <f t="shared" si="21"/>
        <v>0</v>
      </c>
      <c r="U116">
        <f t="shared" si="21"/>
        <v>0</v>
      </c>
      <c r="V116">
        <f t="shared" si="21"/>
        <v>0</v>
      </c>
      <c r="W116">
        <f t="shared" si="21"/>
        <v>0</v>
      </c>
      <c r="X116">
        <f t="shared" si="21"/>
        <v>0</v>
      </c>
      <c r="Y116">
        <f t="shared" si="21"/>
        <v>0</v>
      </c>
      <c r="Z116">
        <f t="shared" si="21"/>
        <v>0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ref="AH116:BA116" si="22">SUM(AH80,AH98)</f>
        <v>0</v>
      </c>
      <c r="AI116">
        <f t="shared" si="22"/>
        <v>0</v>
      </c>
      <c r="AJ116">
        <f t="shared" si="22"/>
        <v>0</v>
      </c>
      <c r="AK116">
        <f t="shared" si="22"/>
        <v>0</v>
      </c>
      <c r="AL116">
        <f t="shared" si="22"/>
        <v>0</v>
      </c>
      <c r="AM116">
        <f t="shared" si="22"/>
        <v>0</v>
      </c>
      <c r="AN116">
        <f t="shared" si="22"/>
        <v>0</v>
      </c>
      <c r="AO116">
        <f t="shared" si="22"/>
        <v>0</v>
      </c>
      <c r="AP116">
        <f t="shared" si="22"/>
        <v>0</v>
      </c>
      <c r="AQ116">
        <f t="shared" si="22"/>
        <v>0</v>
      </c>
      <c r="AR116">
        <f t="shared" si="22"/>
        <v>0</v>
      </c>
      <c r="AS116">
        <f t="shared" si="22"/>
        <v>0</v>
      </c>
      <c r="AT116">
        <f t="shared" si="22"/>
        <v>0</v>
      </c>
      <c r="AU116">
        <f t="shared" si="22"/>
        <v>0</v>
      </c>
      <c r="AV116">
        <f t="shared" si="22"/>
        <v>0</v>
      </c>
      <c r="AW116">
        <f t="shared" si="22"/>
        <v>0</v>
      </c>
      <c r="AX116">
        <f t="shared" si="22"/>
        <v>0</v>
      </c>
      <c r="AY116">
        <f t="shared" si="22"/>
        <v>0</v>
      </c>
      <c r="AZ116">
        <f t="shared" si="22"/>
        <v>0</v>
      </c>
      <c r="BA116">
        <f t="shared" si="22"/>
        <v>0</v>
      </c>
      <c r="BC116">
        <f t="shared" si="16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143</v>
      </c>
      <c r="B127">
        <f>SUM(B112:B126)</f>
        <v>0</v>
      </c>
      <c r="C127">
        <f t="shared" ref="C127:BA127" si="43">SUM(C112:C126)</f>
        <v>0</v>
      </c>
      <c r="D127">
        <f t="shared" si="43"/>
        <v>0</v>
      </c>
      <c r="E127">
        <f t="shared" si="43"/>
        <v>0</v>
      </c>
      <c r="F127">
        <f t="shared" si="43"/>
        <v>0</v>
      </c>
      <c r="G127">
        <f t="shared" si="43"/>
        <v>0</v>
      </c>
      <c r="H127">
        <f t="shared" si="43"/>
        <v>0</v>
      </c>
      <c r="I127">
        <f t="shared" si="43"/>
        <v>0</v>
      </c>
      <c r="J127">
        <f t="shared" si="43"/>
        <v>0</v>
      </c>
      <c r="K127">
        <f t="shared" si="43"/>
        <v>0</v>
      </c>
      <c r="L127">
        <f t="shared" si="43"/>
        <v>0</v>
      </c>
      <c r="M127">
        <f t="shared" si="43"/>
        <v>0</v>
      </c>
      <c r="N127">
        <f t="shared" si="43"/>
        <v>0</v>
      </c>
      <c r="O127">
        <f t="shared" si="43"/>
        <v>0</v>
      </c>
      <c r="P127">
        <f t="shared" si="43"/>
        <v>0</v>
      </c>
      <c r="Q127">
        <f t="shared" si="43"/>
        <v>0</v>
      </c>
      <c r="R127">
        <f t="shared" si="43"/>
        <v>0</v>
      </c>
      <c r="S127">
        <f t="shared" si="43"/>
        <v>0</v>
      </c>
      <c r="T127">
        <f t="shared" si="43"/>
        <v>0</v>
      </c>
      <c r="U127">
        <f t="shared" si="43"/>
        <v>0</v>
      </c>
      <c r="V127">
        <f t="shared" si="43"/>
        <v>0</v>
      </c>
      <c r="W127">
        <f t="shared" si="43"/>
        <v>0</v>
      </c>
      <c r="X127">
        <f t="shared" si="43"/>
        <v>0</v>
      </c>
      <c r="Y127">
        <f t="shared" si="43"/>
        <v>0</v>
      </c>
      <c r="Z127">
        <f t="shared" si="43"/>
        <v>0</v>
      </c>
      <c r="AA127">
        <f t="shared" si="43"/>
        <v>0</v>
      </c>
      <c r="AB127">
        <f t="shared" si="43"/>
        <v>0</v>
      </c>
      <c r="AC127">
        <f t="shared" si="43"/>
        <v>0</v>
      </c>
      <c r="AD127">
        <f t="shared" si="43"/>
        <v>0</v>
      </c>
      <c r="AE127">
        <f t="shared" si="43"/>
        <v>0</v>
      </c>
      <c r="AF127">
        <f t="shared" si="43"/>
        <v>0</v>
      </c>
      <c r="AG127">
        <f t="shared" si="43"/>
        <v>0</v>
      </c>
      <c r="AH127">
        <f t="shared" si="43"/>
        <v>0</v>
      </c>
      <c r="AI127">
        <f t="shared" si="43"/>
        <v>0</v>
      </c>
      <c r="AJ127">
        <f t="shared" si="43"/>
        <v>0</v>
      </c>
      <c r="AK127">
        <f t="shared" si="43"/>
        <v>0</v>
      </c>
      <c r="AL127">
        <f t="shared" si="43"/>
        <v>0</v>
      </c>
      <c r="AM127">
        <f t="shared" si="43"/>
        <v>0</v>
      </c>
      <c r="AN127">
        <f t="shared" si="43"/>
        <v>0</v>
      </c>
      <c r="AO127">
        <f t="shared" si="43"/>
        <v>0</v>
      </c>
      <c r="AP127">
        <f t="shared" si="43"/>
        <v>0</v>
      </c>
      <c r="AQ127">
        <f t="shared" si="43"/>
        <v>0</v>
      </c>
      <c r="AR127">
        <f t="shared" si="43"/>
        <v>0</v>
      </c>
      <c r="AS127">
        <f t="shared" si="43"/>
        <v>0</v>
      </c>
      <c r="AT127">
        <f t="shared" si="43"/>
        <v>0</v>
      </c>
      <c r="AU127">
        <f t="shared" si="43"/>
        <v>0</v>
      </c>
      <c r="AV127">
        <f t="shared" si="43"/>
        <v>0</v>
      </c>
      <c r="AW127">
        <f t="shared" si="43"/>
        <v>0</v>
      </c>
      <c r="AX127">
        <f t="shared" si="43"/>
        <v>0</v>
      </c>
      <c r="AY127">
        <f t="shared" si="43"/>
        <v>0</v>
      </c>
      <c r="AZ127">
        <f t="shared" si="43"/>
        <v>0</v>
      </c>
      <c r="BA127">
        <f t="shared" si="43"/>
        <v>0</v>
      </c>
    </row>
    <row r="128" spans="1:55" x14ac:dyDescent="0.35">
      <c r="A128" s="2"/>
    </row>
    <row r="131" spans="1:101" x14ac:dyDescent="0.35">
      <c r="A131" t="s">
        <v>123</v>
      </c>
    </row>
    <row r="132" spans="1:101" x14ac:dyDescent="0.35">
      <c r="A132" t="s">
        <v>73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72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16</v>
      </c>
    </row>
    <row r="135" spans="1:101" x14ac:dyDescent="0.35">
      <c r="A135" s="2" t="e" vm="2">
        <f ca="1">'Required Capacity (Hide)'!E5</f>
        <v>#VALUE!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 t="e" vm="2">
        <f ca="1">'Required Capacity (Hide)'!E6</f>
        <v>#VALUE!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 t="e" vm="2">
        <f ca="1">'Required Capacity (Hide)'!E7</f>
        <v>#VALUE!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 t="e" vm="2">
        <f ca="1">'Required Capacity (Hide)'!E8</f>
        <v>#VALUE!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 t="e" vm="2">
        <f ca="1">'Required Capacity (Hide)'!E9</f>
        <v>#VALUE!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 t="e" vm="2">
        <f ca="1">'Required Capacity (Hide)'!E10</f>
        <v>#VALUE!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 t="e" vm="2">
        <f ca="1">'Required Capacity (Hide)'!E11</f>
        <v>#VALUE!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 t="e" vm="2">
        <f ca="1">'Required Capacity (Hide)'!E12</f>
        <v>#VALUE!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 t="e" vm="2">
        <f ca="1">'Required Capacity (Hide)'!E13</f>
        <v>#VALUE!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 t="e" vm="2">
        <f ca="1">'Required Capacity (Hide)'!E14</f>
        <v>#VALUE!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 t="e" vm="2">
        <f ca="1">'Required Capacity (Hide)'!E15</f>
        <v>#VALUE!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 t="e" vm="2">
        <f ca="1">'Required Capacity (Hide)'!E16</f>
        <v>#VALUE!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 t="e" vm="2">
        <f ca="1">'Required Capacity (Hide)'!E17</f>
        <v>#VALUE!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 t="e" vm="2">
        <f ca="1">'Required Capacity (Hide)'!E18</f>
        <v>#VALUE!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 t="e" vm="2">
        <f ca="1">'Required Capacity (Hide)'!E19</f>
        <v>#VALUE!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 t="e" vm="2">
        <f ca="1">'Required Capacity (Hide)'!E20</f>
        <v>#VALUE!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 t="e" vm="2">
        <f ca="1">'Required Capacity (Hide)'!E21</f>
        <v>#VALUE!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 t="e" vm="2">
        <f ca="1">'Required Capacity (Hide)'!E22</f>
        <v>#VALUE!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 t="e" vm="2">
        <f ca="1">'Required Capacity (Hide)'!E23</f>
        <v>#VALUE!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 t="e" vm="2">
        <f ca="1">'Required Capacity (Hide)'!E24</f>
        <v>#VALUE!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 t="e" vm="2">
        <f ca="1">'Required Capacity (Hide)'!E25</f>
        <v>#VALUE!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 t="e" vm="2">
        <f ca="1">'Required Capacity (Hide)'!E26</f>
        <v>#VALUE!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 t="e" vm="2">
        <f ca="1">'Required Capacity (Hide)'!E27</f>
        <v>#VALUE!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 t="e" vm="2">
        <f ca="1">'Required Capacity (Hide)'!E28</f>
        <v>#VALUE!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 t="e" vm="2">
        <f ca="1">'Required Capacity (Hide)'!E29</f>
        <v>#VALUE!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 t="e" vm="2">
        <f ca="1">'Required Capacity (Hide)'!E30</f>
        <v>#VALUE!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 t="e" vm="2">
        <f ca="1">'Required Capacity (Hide)'!E31</f>
        <v>#VALUE!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 t="e" vm="2">
        <f ca="1">'Required Capacity (Hide)'!E32</f>
        <v>#VALUE!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 t="e" vm="2">
        <f ca="1">'Required Capacity (Hide)'!E33</f>
        <v>#VALUE!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 t="e" vm="2">
        <f ca="1">'Required Capacity (Hide)'!E34</f>
        <v>#VALUE!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 t="e" vm="2">
        <f ca="1">'Required Capacity (Hide)'!E35</f>
        <v>#VALUE!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 t="e" vm="2">
        <f ca="1">'Required Capacity (Hide)'!E36</f>
        <v>#VALUE!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 t="e" vm="2">
        <f ca="1">'Required Capacity (Hide)'!E37</f>
        <v>#VALUE!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 t="e" vm="2">
        <f ca="1">'Required Capacity (Hide)'!E38</f>
        <v>#VALUE!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 t="e" vm="2">
        <f ca="1">'Required Capacity (Hide)'!E39</f>
        <v>#VALUE!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 t="e" vm="2">
        <f ca="1">'Required Capacity (Hide)'!E40</f>
        <v>#VALUE!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 t="e" vm="2">
        <f ca="1">'Required Capacity (Hide)'!E41</f>
        <v>#VALUE!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 t="e" vm="2">
        <f ca="1">'Required Capacity (Hide)'!E42</f>
        <v>#VALUE!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 t="e" vm="2">
        <f ca="1">'Required Capacity (Hide)'!E43</f>
        <v>#VALUE!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 t="e" vm="2">
        <f ca="1">'Required Capacity (Hide)'!E44</f>
        <v>#VALUE!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 t="e" vm="2">
        <f ca="1">'Required Capacity (Hide)'!E45</f>
        <v>#VALUE!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 t="e" vm="2">
        <f ca="1">'Required Capacity (Hide)'!E46</f>
        <v>#VALUE!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 t="e" vm="2">
        <f ca="1">'Required Capacity (Hide)'!E47</f>
        <v>#VALUE!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 t="e" vm="2">
        <f ca="1">'Required Capacity (Hide)'!E48</f>
        <v>#VALUE!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 t="e" vm="2">
        <f ca="1">'Required Capacity (Hide)'!E49</f>
        <v>#VALUE!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 t="e" vm="2">
        <f ca="1">'Required Capacity (Hide)'!E50</f>
        <v>#VALUE!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 t="e" vm="2">
        <f ca="1">'Required Capacity (Hide)'!E51</f>
        <v>#VALUE!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 t="e" vm="2">
        <f ca="1">'Required Capacity (Hide)'!E52</f>
        <v>#VALUE!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 t="e" vm="2">
        <f ca="1">'Required Capacity (Hide)'!E53</f>
        <v>#VALUE!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 t="e" vm="2">
        <f ca="1">'Required Capacity (Hide)'!E54</f>
        <v>#VALUE!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 t="e" vm="2">
        <f ca="1">'Required Capacity (Hide)'!E55</f>
        <v>#VALUE!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 t="e" vm="2">
        <f ca="1">'Required Capacity (Hide)'!E56</f>
        <v>#VALUE!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74</v>
      </c>
    </row>
    <row r="189" spans="1:101" x14ac:dyDescent="0.35">
      <c r="A189" s="2" t="str" cm="1">
        <f t="array" ref="A189">INDEX('Data Validation (Hide)'!$B$2:$B$16,ROW(A1),1)</f>
        <v>Caseload 1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Caseload 2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Caseload 3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Caseload 4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Caseload 5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53</v>
      </c>
      <c r="B205" s="2" t="e" cm="1" vm="2">
        <f t="array" aca="1" ref="B205" ca="1">INDEX($A$5:$A$56,COLUMN(A1),1)</f>
        <v>#VALUE!</v>
      </c>
      <c r="C205" s="2" t="e" cm="1" vm="2">
        <f t="array" aca="1" ref="C205" ca="1">INDEX($A$5:$A$56,COLUMN(B1),1)</f>
        <v>#VALUE!</v>
      </c>
      <c r="D205" s="2" t="e" cm="1" vm="2">
        <f t="array" aca="1" ref="D205" ca="1">INDEX($A$5:$A$56,COLUMN(C1),1)</f>
        <v>#VALUE!</v>
      </c>
      <c r="E205" s="2" t="e" cm="1" vm="2">
        <f t="array" aca="1" ref="E205" ca="1">INDEX($A$5:$A$56,COLUMN(D1),1)</f>
        <v>#VALUE!</v>
      </c>
      <c r="F205" s="2" t="e" cm="1" vm="2">
        <f t="array" aca="1" ref="F205" ca="1">INDEX($A$5:$A$56,COLUMN(E1),1)</f>
        <v>#VALUE!</v>
      </c>
      <c r="G205" s="2" t="e" cm="1" vm="2">
        <f t="array" aca="1" ref="G205" ca="1">INDEX($A$5:$A$56,COLUMN(F1),1)</f>
        <v>#VALUE!</v>
      </c>
      <c r="H205" s="2" t="e" cm="1" vm="2">
        <f t="array" aca="1" ref="H205" ca="1">INDEX($A$5:$A$56,COLUMN(G1),1)</f>
        <v>#VALUE!</v>
      </c>
      <c r="I205" s="2" t="e" cm="1" vm="2">
        <f t="array" aca="1" ref="I205" ca="1">INDEX($A$5:$A$56,COLUMN(H1),1)</f>
        <v>#VALUE!</v>
      </c>
      <c r="J205" s="2" t="e" cm="1" vm="2">
        <f t="array" aca="1" ref="J205" ca="1">INDEX($A$5:$A$56,COLUMN(I1),1)</f>
        <v>#VALUE!</v>
      </c>
      <c r="K205" s="2" t="e" cm="1" vm="2">
        <f t="array" aca="1" ref="K205" ca="1">INDEX($A$5:$A$56,COLUMN(J1),1)</f>
        <v>#VALUE!</v>
      </c>
      <c r="L205" s="2" t="e" cm="1" vm="2">
        <f t="array" aca="1" ref="L205" ca="1">INDEX($A$5:$A$56,COLUMN(K1),1)</f>
        <v>#VALUE!</v>
      </c>
      <c r="M205" s="2" t="e" cm="1" vm="2">
        <f t="array" aca="1" ref="M205" ca="1">INDEX($A$5:$A$56,COLUMN(L1),1)</f>
        <v>#VALUE!</v>
      </c>
      <c r="N205" s="2" t="e" cm="1" vm="2">
        <f t="array" aca="1" ref="N205" ca="1">INDEX($A$5:$A$56,COLUMN(M1),1)</f>
        <v>#VALUE!</v>
      </c>
      <c r="O205" s="2" t="e" cm="1" vm="2">
        <f t="array" aca="1" ref="O205" ca="1">INDEX($A$5:$A$56,COLUMN(N1),1)</f>
        <v>#VALUE!</v>
      </c>
      <c r="P205" s="2" t="e" cm="1" vm="2">
        <f t="array" aca="1" ref="P205" ca="1">INDEX($A$5:$A$56,COLUMN(O1),1)</f>
        <v>#VALUE!</v>
      </c>
      <c r="Q205" s="2" t="e" cm="1" vm="2">
        <f t="array" aca="1" ref="Q205" ca="1">INDEX($A$5:$A$56,COLUMN(P1),1)</f>
        <v>#VALUE!</v>
      </c>
      <c r="R205" s="2" t="e" cm="1" vm="2">
        <f t="array" aca="1" ref="R205" ca="1">INDEX($A$5:$A$56,COLUMN(Q1),1)</f>
        <v>#VALUE!</v>
      </c>
      <c r="S205" s="2" t="e" cm="1" vm="2">
        <f t="array" aca="1" ref="S205" ca="1">INDEX($A$5:$A$56,COLUMN(R1),1)</f>
        <v>#VALUE!</v>
      </c>
      <c r="T205" s="2" t="e" cm="1" vm="2">
        <f t="array" aca="1" ref="T205" ca="1">INDEX($A$5:$A$56,COLUMN(S1),1)</f>
        <v>#VALUE!</v>
      </c>
      <c r="U205" s="2" t="e" cm="1" vm="2">
        <f t="array" aca="1" ref="U205" ca="1">INDEX($A$5:$A$56,COLUMN(T1),1)</f>
        <v>#VALUE!</v>
      </c>
      <c r="V205" s="2" t="e" cm="1" vm="2">
        <f t="array" aca="1" ref="V205" ca="1">INDEX($A$5:$A$56,COLUMN(U1),1)</f>
        <v>#VALUE!</v>
      </c>
      <c r="W205" s="2" t="e" cm="1" vm="2">
        <f t="array" aca="1" ref="W205" ca="1">INDEX($A$5:$A$56,COLUMN(V1),1)</f>
        <v>#VALUE!</v>
      </c>
      <c r="X205" s="2" t="e" cm="1" vm="2">
        <f t="array" aca="1" ref="X205" ca="1">INDEX($A$5:$A$56,COLUMN(W1),1)</f>
        <v>#VALUE!</v>
      </c>
      <c r="Y205" s="2" t="e" cm="1" vm="2">
        <f t="array" aca="1" ref="Y205" ca="1">INDEX($A$5:$A$56,COLUMN(X1),1)</f>
        <v>#VALUE!</v>
      </c>
      <c r="Z205" s="2" t="e" cm="1" vm="2">
        <f t="array" aca="1" ref="Z205" ca="1">INDEX($A$5:$A$56,COLUMN(Y1),1)</f>
        <v>#VALUE!</v>
      </c>
      <c r="AA205" s="2" t="e" cm="1" vm="2">
        <f t="array" aca="1" ref="AA205" ca="1">INDEX($A$5:$A$56,COLUMN(Z1),1)</f>
        <v>#VALUE!</v>
      </c>
      <c r="AB205" s="2" t="e" cm="1" vm="2">
        <f t="array" aca="1" ref="AB205" ca="1">INDEX($A$5:$A$56,COLUMN(AA1),1)</f>
        <v>#VALUE!</v>
      </c>
      <c r="AC205" s="2" t="e" cm="1" vm="2">
        <f t="array" aca="1" ref="AC205" ca="1">INDEX($A$5:$A$56,COLUMN(AB1),1)</f>
        <v>#VALUE!</v>
      </c>
      <c r="AD205" s="2" t="e" cm="1" vm="2">
        <f t="array" aca="1" ref="AD205" ca="1">INDEX($A$5:$A$56,COLUMN(AC1),1)</f>
        <v>#VALUE!</v>
      </c>
      <c r="AE205" s="2" t="e" cm="1" vm="2">
        <f t="array" aca="1" ref="AE205" ca="1">INDEX($A$5:$A$56,COLUMN(AD1),1)</f>
        <v>#VALUE!</v>
      </c>
      <c r="AF205" s="2" t="e" cm="1" vm="2">
        <f t="array" aca="1" ref="AF205" ca="1">INDEX($A$5:$A$56,COLUMN(AE1),1)</f>
        <v>#VALUE!</v>
      </c>
      <c r="AG205" s="2" t="e" cm="1" vm="2">
        <f t="array" aca="1" ref="AG205" ca="1">INDEX($A$5:$A$56,COLUMN(AF1),1)</f>
        <v>#VALUE!</v>
      </c>
      <c r="AH205" s="2" t="e" cm="1" vm="2">
        <f t="array" aca="1" ref="AH205" ca="1">INDEX($A$5:$A$56,COLUMN(AG1),1)</f>
        <v>#VALUE!</v>
      </c>
      <c r="AI205" s="2" t="e" cm="1" vm="2">
        <f t="array" aca="1" ref="AI205" ca="1">INDEX($A$5:$A$56,COLUMN(AH1),1)</f>
        <v>#VALUE!</v>
      </c>
      <c r="AJ205" s="2" t="e" cm="1" vm="2">
        <f t="array" aca="1" ref="AJ205" ca="1">INDEX($A$5:$A$56,COLUMN(AI1),1)</f>
        <v>#VALUE!</v>
      </c>
      <c r="AK205" s="2" t="e" cm="1" vm="2">
        <f t="array" aca="1" ref="AK205" ca="1">INDEX($A$5:$A$56,COLUMN(AJ1),1)</f>
        <v>#VALUE!</v>
      </c>
      <c r="AL205" s="2" t="e" cm="1" vm="2">
        <f t="array" aca="1" ref="AL205" ca="1">INDEX($A$5:$A$56,COLUMN(AK1),1)</f>
        <v>#VALUE!</v>
      </c>
      <c r="AM205" s="2" t="e" cm="1" vm="2">
        <f t="array" aca="1" ref="AM205" ca="1">INDEX($A$5:$A$56,COLUMN(AL1),1)</f>
        <v>#VALUE!</v>
      </c>
      <c r="AN205" s="2" t="e" cm="1" vm="2">
        <f t="array" aca="1" ref="AN205" ca="1">INDEX($A$5:$A$56,COLUMN(AM1),1)</f>
        <v>#VALUE!</v>
      </c>
      <c r="AO205" s="2" t="e" cm="1" vm="2">
        <f t="array" aca="1" ref="AO205" ca="1">INDEX($A$5:$A$56,COLUMN(AN1),1)</f>
        <v>#VALUE!</v>
      </c>
      <c r="AP205" s="2" t="e" cm="1" vm="2">
        <f t="array" aca="1" ref="AP205" ca="1">INDEX($A$5:$A$56,COLUMN(AO1),1)</f>
        <v>#VALUE!</v>
      </c>
      <c r="AQ205" s="2" t="e" cm="1" vm="2">
        <f t="array" aca="1" ref="AQ205" ca="1">INDEX($A$5:$A$56,COLUMN(AP1),1)</f>
        <v>#VALUE!</v>
      </c>
      <c r="AR205" s="2" t="e" cm="1" vm="2">
        <f t="array" aca="1" ref="AR205" ca="1">INDEX($A$5:$A$56,COLUMN(AQ1),1)</f>
        <v>#VALUE!</v>
      </c>
      <c r="AS205" s="2" t="e" cm="1" vm="2">
        <f t="array" aca="1" ref="AS205" ca="1">INDEX($A$5:$A$56,COLUMN(AR1),1)</f>
        <v>#VALUE!</v>
      </c>
      <c r="AT205" s="2" t="e" cm="1" vm="2">
        <f t="array" aca="1" ref="AT205" ca="1">INDEX($A$5:$A$56,COLUMN(AS1),1)</f>
        <v>#VALUE!</v>
      </c>
      <c r="AU205" s="2" t="e" cm="1" vm="2">
        <f t="array" aca="1" ref="AU205" ca="1">INDEX($A$5:$A$56,COLUMN(AT1),1)</f>
        <v>#VALUE!</v>
      </c>
      <c r="AV205" s="2" t="e" cm="1" vm="2">
        <f t="array" aca="1" ref="AV205" ca="1">INDEX($A$5:$A$56,COLUMN(AU1),1)</f>
        <v>#VALUE!</v>
      </c>
      <c r="AW205" s="2" t="e" cm="1" vm="2">
        <f t="array" aca="1" ref="AW205" ca="1">INDEX($A$5:$A$56,COLUMN(AV1),1)</f>
        <v>#VALUE!</v>
      </c>
      <c r="AX205" s="2" t="e" cm="1" vm="2">
        <f t="array" aca="1" ref="AX205" ca="1">INDEX($A$5:$A$56,COLUMN(AW1),1)</f>
        <v>#VALUE!</v>
      </c>
      <c r="AY205" s="2" t="e" cm="1" vm="2">
        <f t="array" aca="1" ref="AY205" ca="1">INDEX($A$5:$A$56,COLUMN(AX1),1)</f>
        <v>#VALUE!</v>
      </c>
      <c r="AZ205" s="2" t="e" cm="1" vm="2">
        <f t="array" aca="1" ref="AZ205" ca="1">INDEX($A$5:$A$56,COLUMN(AY1),1)</f>
        <v>#VALUE!</v>
      </c>
      <c r="BA205" s="2" t="e" cm="1" vm="2">
        <f t="array" aca="1" ref="BA205" ca="1">INDEX($A$5:$A$56,COLUMN(AZ1),1)</f>
        <v>#VALUE!</v>
      </c>
      <c r="BC205" t="s">
        <v>129</v>
      </c>
    </row>
    <row r="206" spans="1:101" x14ac:dyDescent="0.35">
      <c r="A206" s="2" t="str" cm="1">
        <f t="array" ref="A206">INDEX('Data Validation (Hide)'!$B$2:$B$16,ROW(A1),1)</f>
        <v>Caseload 1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Caseload 2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Caseload 3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Caseload 4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Caseload 5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143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51</v>
      </c>
      <c r="B223" s="2" t="e" cm="1" vm="2">
        <f t="array" aca="1" ref="B223" ca="1">INDEX($A$5:$A$56,COLUMN(A149),1)</f>
        <v>#VALUE!</v>
      </c>
      <c r="C223" s="2" t="e" cm="1" vm="2">
        <f t="array" aca="1" ref="C223" ca="1">INDEX($A$5:$A$56,COLUMN(B149),1)</f>
        <v>#VALUE!</v>
      </c>
      <c r="D223" s="2" t="e" cm="1" vm="2">
        <f t="array" aca="1" ref="D223" ca="1">INDEX($A$5:$A$56,COLUMN(C149),1)</f>
        <v>#VALUE!</v>
      </c>
      <c r="E223" s="2" t="e" cm="1" vm="2">
        <f t="array" aca="1" ref="E223" ca="1">INDEX($A$5:$A$56,COLUMN(D149),1)</f>
        <v>#VALUE!</v>
      </c>
      <c r="F223" s="2" t="e" cm="1" vm="2">
        <f t="array" aca="1" ref="F223" ca="1">INDEX($A$5:$A$56,COLUMN(E149),1)</f>
        <v>#VALUE!</v>
      </c>
      <c r="G223" s="2" t="e" cm="1" vm="2">
        <f t="array" aca="1" ref="G223" ca="1">INDEX($A$5:$A$56,COLUMN(F149),1)</f>
        <v>#VALUE!</v>
      </c>
      <c r="H223" s="2" t="e" cm="1" vm="2">
        <f t="array" aca="1" ref="H223" ca="1">INDEX($A$5:$A$56,COLUMN(G149),1)</f>
        <v>#VALUE!</v>
      </c>
      <c r="I223" s="2" t="e" cm="1" vm="2">
        <f t="array" aca="1" ref="I223" ca="1">INDEX($A$5:$A$56,COLUMN(H149),1)</f>
        <v>#VALUE!</v>
      </c>
      <c r="J223" s="2" t="e" cm="1" vm="2">
        <f t="array" aca="1" ref="J223" ca="1">INDEX($A$5:$A$56,COLUMN(I149),1)</f>
        <v>#VALUE!</v>
      </c>
      <c r="K223" s="2" t="e" cm="1" vm="2">
        <f t="array" aca="1" ref="K223" ca="1">INDEX($A$5:$A$56,COLUMN(J149),1)</f>
        <v>#VALUE!</v>
      </c>
      <c r="L223" s="2" t="e" cm="1" vm="2">
        <f t="array" aca="1" ref="L223" ca="1">INDEX($A$5:$A$56,COLUMN(K149),1)</f>
        <v>#VALUE!</v>
      </c>
      <c r="M223" s="2" t="e" cm="1" vm="2">
        <f t="array" aca="1" ref="M223" ca="1">INDEX($A$5:$A$56,COLUMN(L149),1)</f>
        <v>#VALUE!</v>
      </c>
      <c r="N223" s="2" t="e" cm="1" vm="2">
        <f t="array" aca="1" ref="N223" ca="1">INDEX($A$5:$A$56,COLUMN(M149),1)</f>
        <v>#VALUE!</v>
      </c>
      <c r="O223" s="2" t="e" cm="1" vm="2">
        <f t="array" aca="1" ref="O223" ca="1">INDEX($A$5:$A$56,COLUMN(N149),1)</f>
        <v>#VALUE!</v>
      </c>
      <c r="P223" s="2" t="e" cm="1" vm="2">
        <f t="array" aca="1" ref="P223" ca="1">INDEX($A$5:$A$56,COLUMN(O149),1)</f>
        <v>#VALUE!</v>
      </c>
      <c r="Q223" s="2" t="e" cm="1" vm="2">
        <f t="array" aca="1" ref="Q223" ca="1">INDEX($A$5:$A$56,COLUMN(P149),1)</f>
        <v>#VALUE!</v>
      </c>
      <c r="R223" s="2" t="e" cm="1" vm="2">
        <f t="array" aca="1" ref="R223" ca="1">INDEX($A$5:$A$56,COLUMN(Q149),1)</f>
        <v>#VALUE!</v>
      </c>
      <c r="S223" s="2" t="e" cm="1" vm="2">
        <f t="array" aca="1" ref="S223" ca="1">INDEX($A$5:$A$56,COLUMN(R149),1)</f>
        <v>#VALUE!</v>
      </c>
      <c r="T223" s="2" t="e" cm="1" vm="2">
        <f t="array" aca="1" ref="T223" ca="1">INDEX($A$5:$A$56,COLUMN(S149),1)</f>
        <v>#VALUE!</v>
      </c>
      <c r="U223" s="2" t="e" cm="1" vm="2">
        <f t="array" aca="1" ref="U223" ca="1">INDEX($A$5:$A$56,COLUMN(T149),1)</f>
        <v>#VALUE!</v>
      </c>
      <c r="V223" s="2" t="e" cm="1" vm="2">
        <f t="array" aca="1" ref="V223" ca="1">INDEX($A$5:$A$56,COLUMN(U149),1)</f>
        <v>#VALUE!</v>
      </c>
      <c r="W223" s="2" t="e" cm="1" vm="2">
        <f t="array" aca="1" ref="W223" ca="1">INDEX($A$5:$A$56,COLUMN(V149),1)</f>
        <v>#VALUE!</v>
      </c>
      <c r="X223" s="2" t="e" cm="1" vm="2">
        <f t="array" aca="1" ref="X223" ca="1">INDEX($A$5:$A$56,COLUMN(W149),1)</f>
        <v>#VALUE!</v>
      </c>
      <c r="Y223" s="2" t="e" cm="1" vm="2">
        <f t="array" aca="1" ref="Y223" ca="1">INDEX($A$5:$A$56,COLUMN(X149),1)</f>
        <v>#VALUE!</v>
      </c>
      <c r="Z223" s="2" t="e" cm="1" vm="2">
        <f t="array" aca="1" ref="Z223" ca="1">INDEX($A$5:$A$56,COLUMN(Y149),1)</f>
        <v>#VALUE!</v>
      </c>
      <c r="AA223" s="2" t="e" cm="1" vm="2">
        <f t="array" aca="1" ref="AA223" ca="1">INDEX($A$5:$A$56,COLUMN(Z149),1)</f>
        <v>#VALUE!</v>
      </c>
      <c r="AB223" s="2" t="e" cm="1" vm="2">
        <f t="array" aca="1" ref="AB223" ca="1">INDEX($A$5:$A$56,COLUMN(AA149),1)</f>
        <v>#VALUE!</v>
      </c>
      <c r="AC223" s="2" t="e" cm="1" vm="2">
        <f t="array" aca="1" ref="AC223" ca="1">INDEX($A$5:$A$56,COLUMN(AB149),1)</f>
        <v>#VALUE!</v>
      </c>
      <c r="AD223" s="2" t="e" cm="1" vm="2">
        <f t="array" aca="1" ref="AD223" ca="1">INDEX($A$5:$A$56,COLUMN(AC149),1)</f>
        <v>#VALUE!</v>
      </c>
      <c r="AE223" s="2" t="e" cm="1" vm="2">
        <f t="array" aca="1" ref="AE223" ca="1">INDEX($A$5:$A$56,COLUMN(AD149),1)</f>
        <v>#VALUE!</v>
      </c>
      <c r="AF223" s="2" t="e" cm="1" vm="2">
        <f t="array" aca="1" ref="AF223" ca="1">INDEX($A$5:$A$56,COLUMN(AE149),1)</f>
        <v>#VALUE!</v>
      </c>
      <c r="AG223" s="2" t="e" cm="1" vm="2">
        <f t="array" aca="1" ref="AG223" ca="1">INDEX($A$5:$A$56,COLUMN(AF149),1)</f>
        <v>#VALUE!</v>
      </c>
      <c r="AH223" s="2" t="e" cm="1" vm="2">
        <f t="array" aca="1" ref="AH223" ca="1">INDEX($A$5:$A$56,COLUMN(AG149),1)</f>
        <v>#VALUE!</v>
      </c>
      <c r="AI223" s="2" t="e" cm="1" vm="2">
        <f t="array" aca="1" ref="AI223" ca="1">INDEX($A$5:$A$56,COLUMN(AH149),1)</f>
        <v>#VALUE!</v>
      </c>
      <c r="AJ223" s="2" t="e" cm="1" vm="2">
        <f t="array" aca="1" ref="AJ223" ca="1">INDEX($A$5:$A$56,COLUMN(AI149),1)</f>
        <v>#VALUE!</v>
      </c>
      <c r="AK223" s="2" t="e" cm="1" vm="2">
        <f t="array" aca="1" ref="AK223" ca="1">INDEX($A$5:$A$56,COLUMN(AJ149),1)</f>
        <v>#VALUE!</v>
      </c>
      <c r="AL223" s="2" t="e" cm="1" vm="2">
        <f t="array" aca="1" ref="AL223" ca="1">INDEX($A$5:$A$56,COLUMN(AK149),1)</f>
        <v>#VALUE!</v>
      </c>
      <c r="AM223" s="2" t="e" cm="1" vm="2">
        <f t="array" aca="1" ref="AM223" ca="1">INDEX($A$5:$A$56,COLUMN(AL149),1)</f>
        <v>#VALUE!</v>
      </c>
      <c r="AN223" s="2" t="e" cm="1" vm="2">
        <f t="array" aca="1" ref="AN223" ca="1">INDEX($A$5:$A$56,COLUMN(AM149),1)</f>
        <v>#VALUE!</v>
      </c>
      <c r="AO223" s="2" t="e" cm="1" vm="2">
        <f t="array" aca="1" ref="AO223" ca="1">INDEX($A$5:$A$56,COLUMN(AN149),1)</f>
        <v>#VALUE!</v>
      </c>
      <c r="AP223" s="2" t="e" cm="1" vm="2">
        <f t="array" aca="1" ref="AP223" ca="1">INDEX($A$5:$A$56,COLUMN(AO149),1)</f>
        <v>#VALUE!</v>
      </c>
      <c r="AQ223" s="2" t="e" cm="1" vm="2">
        <f t="array" aca="1" ref="AQ223" ca="1">INDEX($A$5:$A$56,COLUMN(AP149),1)</f>
        <v>#VALUE!</v>
      </c>
      <c r="AR223" s="2" t="e" cm="1" vm="2">
        <f t="array" aca="1" ref="AR223" ca="1">INDEX($A$5:$A$56,COLUMN(AQ149),1)</f>
        <v>#VALUE!</v>
      </c>
      <c r="AS223" s="2" t="e" cm="1" vm="2">
        <f t="array" aca="1" ref="AS223" ca="1">INDEX($A$5:$A$56,COLUMN(AR149),1)</f>
        <v>#VALUE!</v>
      </c>
      <c r="AT223" s="2" t="e" cm="1" vm="2">
        <f t="array" aca="1" ref="AT223" ca="1">INDEX($A$5:$A$56,COLUMN(AS149),1)</f>
        <v>#VALUE!</v>
      </c>
      <c r="AU223" s="2" t="e" cm="1" vm="2">
        <f t="array" aca="1" ref="AU223" ca="1">INDEX($A$5:$A$56,COLUMN(AT149),1)</f>
        <v>#VALUE!</v>
      </c>
      <c r="AV223" s="2" t="e" cm="1" vm="2">
        <f t="array" aca="1" ref="AV223" ca="1">INDEX($A$5:$A$56,COLUMN(AU149),1)</f>
        <v>#VALUE!</v>
      </c>
      <c r="AW223" s="2" t="e" cm="1" vm="2">
        <f t="array" aca="1" ref="AW223" ca="1">INDEX($A$5:$A$56,COLUMN(AV149),1)</f>
        <v>#VALUE!</v>
      </c>
      <c r="AX223" s="2" t="e" cm="1" vm="2">
        <f t="array" aca="1" ref="AX223" ca="1">INDEX($A$5:$A$56,COLUMN(AW149),1)</f>
        <v>#VALUE!</v>
      </c>
      <c r="AY223" s="2" t="e" cm="1" vm="2">
        <f t="array" aca="1" ref="AY223" ca="1">INDEX($A$5:$A$56,COLUMN(AX149),1)</f>
        <v>#VALUE!</v>
      </c>
      <c r="AZ223" s="2" t="e" cm="1" vm="2">
        <f t="array" aca="1" ref="AZ223" ca="1">INDEX($A$5:$A$56,COLUMN(AY149),1)</f>
        <v>#VALUE!</v>
      </c>
      <c r="BA223" s="2" t="e" cm="1" vm="2">
        <f t="array" aca="1" ref="BA223" ca="1">INDEX($A$5:$A$56,COLUMN(AZ149),1)</f>
        <v>#VALUE!</v>
      </c>
      <c r="BC223" t="s">
        <v>129</v>
      </c>
    </row>
    <row r="224" spans="1:55" x14ac:dyDescent="0.35">
      <c r="A224" s="2" t="str" cm="1">
        <f t="array" ref="A224">INDEX('Data Validation (Hide)'!$B$2:$B$16,ROW(A1),1)</f>
        <v>Caseload 1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Caseload 2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Caseload 3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Caseload 4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Caseload 5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143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64</v>
      </c>
      <c r="B241" s="2" t="e" cm="1" vm="2">
        <f t="array" aca="1" ref="B241" ca="1">INDEX($A$5:$A$56,COLUMN(A1),1)</f>
        <v>#VALUE!</v>
      </c>
      <c r="C241" s="2" t="e" cm="1" vm="2">
        <f t="array" aca="1" ref="C241" ca="1">INDEX($A$5:$A$56,COLUMN(B1),1)</f>
        <v>#VALUE!</v>
      </c>
      <c r="D241" s="2" t="e" cm="1" vm="2">
        <f t="array" aca="1" ref="D241" ca="1">INDEX($A$5:$A$56,COLUMN(C1),1)</f>
        <v>#VALUE!</v>
      </c>
      <c r="E241" s="2" t="e" cm="1" vm="2">
        <f t="array" aca="1" ref="E241" ca="1">INDEX($A$5:$A$56,COLUMN(D1),1)</f>
        <v>#VALUE!</v>
      </c>
      <c r="F241" s="2" t="e" cm="1" vm="2">
        <f t="array" aca="1" ref="F241" ca="1">INDEX($A$5:$A$56,COLUMN(E1),1)</f>
        <v>#VALUE!</v>
      </c>
      <c r="G241" s="2" t="e" cm="1" vm="2">
        <f t="array" aca="1" ref="G241" ca="1">INDEX($A$5:$A$56,COLUMN(F1),1)</f>
        <v>#VALUE!</v>
      </c>
      <c r="H241" s="2" t="e" cm="1" vm="2">
        <f t="array" aca="1" ref="H241" ca="1">INDEX($A$5:$A$56,COLUMN(G1),1)</f>
        <v>#VALUE!</v>
      </c>
      <c r="I241" s="2" t="e" cm="1" vm="2">
        <f t="array" aca="1" ref="I241" ca="1">INDEX($A$5:$A$56,COLUMN(H1),1)</f>
        <v>#VALUE!</v>
      </c>
      <c r="J241" s="2" t="e" cm="1" vm="2">
        <f t="array" aca="1" ref="J241" ca="1">INDEX($A$5:$A$56,COLUMN(I1),1)</f>
        <v>#VALUE!</v>
      </c>
      <c r="K241" s="2" t="e" cm="1" vm="2">
        <f t="array" aca="1" ref="K241" ca="1">INDEX($A$5:$A$56,COLUMN(J1),1)</f>
        <v>#VALUE!</v>
      </c>
      <c r="L241" s="2" t="e" cm="1" vm="2">
        <f t="array" aca="1" ref="L241" ca="1">INDEX($A$5:$A$56,COLUMN(K1),1)</f>
        <v>#VALUE!</v>
      </c>
      <c r="M241" s="2" t="e" cm="1" vm="2">
        <f t="array" aca="1" ref="M241" ca="1">INDEX($A$5:$A$56,COLUMN(L1),1)</f>
        <v>#VALUE!</v>
      </c>
      <c r="N241" s="2" t="e" cm="1" vm="2">
        <f t="array" aca="1" ref="N241" ca="1">INDEX($A$5:$A$56,COLUMN(M1),1)</f>
        <v>#VALUE!</v>
      </c>
      <c r="O241" s="2" t="e" cm="1" vm="2">
        <f t="array" aca="1" ref="O241" ca="1">INDEX($A$5:$A$56,COLUMN(N1),1)</f>
        <v>#VALUE!</v>
      </c>
      <c r="P241" s="2" t="e" cm="1" vm="2">
        <f t="array" aca="1" ref="P241" ca="1">INDEX($A$5:$A$56,COLUMN(O1),1)</f>
        <v>#VALUE!</v>
      </c>
      <c r="Q241" s="2" t="e" cm="1" vm="2">
        <f t="array" aca="1" ref="Q241" ca="1">INDEX($A$5:$A$56,COLUMN(P1),1)</f>
        <v>#VALUE!</v>
      </c>
      <c r="R241" s="2" t="e" cm="1" vm="2">
        <f t="array" aca="1" ref="R241" ca="1">INDEX($A$5:$A$56,COLUMN(Q1),1)</f>
        <v>#VALUE!</v>
      </c>
      <c r="S241" s="2" t="e" cm="1" vm="2">
        <f t="array" aca="1" ref="S241" ca="1">INDEX($A$5:$A$56,COLUMN(R1),1)</f>
        <v>#VALUE!</v>
      </c>
      <c r="T241" s="2" t="e" cm="1" vm="2">
        <f t="array" aca="1" ref="T241" ca="1">INDEX($A$5:$A$56,COLUMN(S1),1)</f>
        <v>#VALUE!</v>
      </c>
      <c r="U241" s="2" t="e" cm="1" vm="2">
        <f t="array" aca="1" ref="U241" ca="1">INDEX($A$5:$A$56,COLUMN(T1),1)</f>
        <v>#VALUE!</v>
      </c>
      <c r="V241" s="2" t="e" cm="1" vm="2">
        <f t="array" aca="1" ref="V241" ca="1">INDEX($A$5:$A$56,COLUMN(U1),1)</f>
        <v>#VALUE!</v>
      </c>
      <c r="W241" s="2" t="e" cm="1" vm="2">
        <f t="array" aca="1" ref="W241" ca="1">INDEX($A$5:$A$56,COLUMN(V1),1)</f>
        <v>#VALUE!</v>
      </c>
      <c r="X241" s="2" t="e" cm="1" vm="2">
        <f t="array" aca="1" ref="X241" ca="1">INDEX($A$5:$A$56,COLUMN(W1),1)</f>
        <v>#VALUE!</v>
      </c>
      <c r="Y241" s="2" t="e" cm="1" vm="2">
        <f t="array" aca="1" ref="Y241" ca="1">INDEX($A$5:$A$56,COLUMN(X1),1)</f>
        <v>#VALUE!</v>
      </c>
      <c r="Z241" s="2" t="e" cm="1" vm="2">
        <f t="array" aca="1" ref="Z241" ca="1">INDEX($A$5:$A$56,COLUMN(Y1),1)</f>
        <v>#VALUE!</v>
      </c>
      <c r="AA241" s="2" t="e" cm="1" vm="2">
        <f t="array" aca="1" ref="AA241" ca="1">INDEX($A$5:$A$56,COLUMN(Z1),1)</f>
        <v>#VALUE!</v>
      </c>
      <c r="AB241" s="2" t="e" cm="1" vm="2">
        <f t="array" aca="1" ref="AB241" ca="1">INDEX($A$5:$A$56,COLUMN(AA1),1)</f>
        <v>#VALUE!</v>
      </c>
      <c r="AC241" s="2" t="e" cm="1" vm="2">
        <f t="array" aca="1" ref="AC241" ca="1">INDEX($A$5:$A$56,COLUMN(AB1),1)</f>
        <v>#VALUE!</v>
      </c>
      <c r="AD241" s="2" t="e" cm="1" vm="2">
        <f t="array" aca="1" ref="AD241" ca="1">INDEX($A$5:$A$56,COLUMN(AC1),1)</f>
        <v>#VALUE!</v>
      </c>
      <c r="AE241" s="2" t="e" cm="1" vm="2">
        <f t="array" aca="1" ref="AE241" ca="1">INDEX($A$5:$A$56,COLUMN(AD1),1)</f>
        <v>#VALUE!</v>
      </c>
      <c r="AF241" s="2" t="e" cm="1" vm="2">
        <f t="array" aca="1" ref="AF241" ca="1">INDEX($A$5:$A$56,COLUMN(AE1),1)</f>
        <v>#VALUE!</v>
      </c>
      <c r="AG241" s="2" t="e" cm="1" vm="2">
        <f t="array" aca="1" ref="AG241" ca="1">INDEX($A$5:$A$56,COLUMN(AF1),1)</f>
        <v>#VALUE!</v>
      </c>
      <c r="AH241" s="2" t="e" cm="1" vm="2">
        <f t="array" aca="1" ref="AH241" ca="1">INDEX($A$5:$A$56,COLUMN(AG1),1)</f>
        <v>#VALUE!</v>
      </c>
      <c r="AI241" s="2" t="e" cm="1" vm="2">
        <f t="array" aca="1" ref="AI241" ca="1">INDEX($A$5:$A$56,COLUMN(AH1),1)</f>
        <v>#VALUE!</v>
      </c>
      <c r="AJ241" s="2" t="e" cm="1" vm="2">
        <f t="array" aca="1" ref="AJ241" ca="1">INDEX($A$5:$A$56,COLUMN(AI1),1)</f>
        <v>#VALUE!</v>
      </c>
      <c r="AK241" s="2" t="e" cm="1" vm="2">
        <f t="array" aca="1" ref="AK241" ca="1">INDEX($A$5:$A$56,COLUMN(AJ1),1)</f>
        <v>#VALUE!</v>
      </c>
      <c r="AL241" s="2" t="e" cm="1" vm="2">
        <f t="array" aca="1" ref="AL241" ca="1">INDEX($A$5:$A$56,COLUMN(AK1),1)</f>
        <v>#VALUE!</v>
      </c>
      <c r="AM241" s="2" t="e" cm="1" vm="2">
        <f t="array" aca="1" ref="AM241" ca="1">INDEX($A$5:$A$56,COLUMN(AL1),1)</f>
        <v>#VALUE!</v>
      </c>
      <c r="AN241" s="2" t="e" cm="1" vm="2">
        <f t="array" aca="1" ref="AN241" ca="1">INDEX($A$5:$A$56,COLUMN(AM1),1)</f>
        <v>#VALUE!</v>
      </c>
      <c r="AO241" s="2" t="e" cm="1" vm="2">
        <f t="array" aca="1" ref="AO241" ca="1">INDEX($A$5:$A$56,COLUMN(AN1),1)</f>
        <v>#VALUE!</v>
      </c>
      <c r="AP241" s="2" t="e" cm="1" vm="2">
        <f t="array" aca="1" ref="AP241" ca="1">INDEX($A$5:$A$56,COLUMN(AO1),1)</f>
        <v>#VALUE!</v>
      </c>
      <c r="AQ241" s="2" t="e" cm="1" vm="2">
        <f t="array" aca="1" ref="AQ241" ca="1">INDEX($A$5:$A$56,COLUMN(AP1),1)</f>
        <v>#VALUE!</v>
      </c>
      <c r="AR241" s="2" t="e" cm="1" vm="2">
        <f t="array" aca="1" ref="AR241" ca="1">INDEX($A$5:$A$56,COLUMN(AQ1),1)</f>
        <v>#VALUE!</v>
      </c>
      <c r="AS241" s="2" t="e" cm="1" vm="2">
        <f t="array" aca="1" ref="AS241" ca="1">INDEX($A$5:$A$56,COLUMN(AR1),1)</f>
        <v>#VALUE!</v>
      </c>
      <c r="AT241" s="2" t="e" cm="1" vm="2">
        <f t="array" aca="1" ref="AT241" ca="1">INDEX($A$5:$A$56,COLUMN(AS1),1)</f>
        <v>#VALUE!</v>
      </c>
      <c r="AU241" s="2" t="e" cm="1" vm="2">
        <f t="array" aca="1" ref="AU241" ca="1">INDEX($A$5:$A$56,COLUMN(AT1),1)</f>
        <v>#VALUE!</v>
      </c>
      <c r="AV241" s="2" t="e" cm="1" vm="2">
        <f t="array" aca="1" ref="AV241" ca="1">INDEX($A$5:$A$56,COLUMN(AU1),1)</f>
        <v>#VALUE!</v>
      </c>
      <c r="AW241" s="2" t="e" cm="1" vm="2">
        <f t="array" aca="1" ref="AW241" ca="1">INDEX($A$5:$A$56,COLUMN(AV1),1)</f>
        <v>#VALUE!</v>
      </c>
      <c r="AX241" s="2" t="e" cm="1" vm="2">
        <f t="array" aca="1" ref="AX241" ca="1">INDEX($A$5:$A$56,COLUMN(AW1),1)</f>
        <v>#VALUE!</v>
      </c>
      <c r="AY241" s="2" t="e" cm="1" vm="2">
        <f t="array" aca="1" ref="AY241" ca="1">INDEX($A$5:$A$56,COLUMN(AX1),1)</f>
        <v>#VALUE!</v>
      </c>
      <c r="AZ241" s="2" t="e" cm="1" vm="2">
        <f t="array" aca="1" ref="AZ241" ca="1">INDEX($A$5:$A$56,COLUMN(AY1),1)</f>
        <v>#VALUE!</v>
      </c>
      <c r="BA241" s="2" t="e" cm="1" vm="2">
        <f t="array" aca="1" ref="BA241" ca="1">INDEX($A$5:$A$56,COLUMN(AZ1),1)</f>
        <v>#VALUE!</v>
      </c>
      <c r="BC241" t="s">
        <v>129</v>
      </c>
    </row>
    <row r="242" spans="1:55" x14ac:dyDescent="0.35">
      <c r="A242" s="2" t="str" cm="1">
        <f t="array" ref="A242">INDEX('Data Validation (Hide)'!$B$2:$B$16,ROW(A1),1)</f>
        <v>Caseload 1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Caseload 2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Caseload 3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Caseload 4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Caseload 5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143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105</v>
      </c>
      <c r="B259" t="s">
        <v>130</v>
      </c>
      <c r="C259" t="s">
        <v>130</v>
      </c>
      <c r="D259" t="s">
        <v>130</v>
      </c>
      <c r="E259" t="s">
        <v>131</v>
      </c>
      <c r="F259" t="s">
        <v>131</v>
      </c>
      <c r="G259" t="s">
        <v>131</v>
      </c>
      <c r="H259" s="3" t="s">
        <v>143</v>
      </c>
      <c r="I259" s="3" t="s">
        <v>143</v>
      </c>
      <c r="J259" s="3" t="s">
        <v>143</v>
      </c>
    </row>
    <row r="260" spans="1:53" x14ac:dyDescent="0.35">
      <c r="B260" t="s">
        <v>53</v>
      </c>
      <c r="C260" t="s">
        <v>51</v>
      </c>
      <c r="D260" t="s">
        <v>64</v>
      </c>
      <c r="E260" t="s">
        <v>53</v>
      </c>
      <c r="F260" t="s">
        <v>51</v>
      </c>
      <c r="G260" t="s">
        <v>64</v>
      </c>
      <c r="H260" t="s">
        <v>53</v>
      </c>
      <c r="I260" t="s">
        <v>51</v>
      </c>
      <c r="J260" t="s">
        <v>64</v>
      </c>
    </row>
    <row r="261" spans="1:53" x14ac:dyDescent="0.35">
      <c r="A261" t="str" cm="1">
        <f t="array" ref="A261">INDEX('Data Validation (Hide)'!$B$2:$B$16,ROW(A1),1)</f>
        <v>Caseload 1</v>
      </c>
      <c r="B261">
        <f>BC76</f>
        <v>0</v>
      </c>
      <c r="C261">
        <f>BC94</f>
        <v>0</v>
      </c>
      <c r="D261">
        <f>BC112</f>
        <v>0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0</v>
      </c>
      <c r="J261">
        <f t="shared" si="73"/>
        <v>0</v>
      </c>
    </row>
    <row r="262" spans="1:53" x14ac:dyDescent="0.35">
      <c r="A262" t="str" cm="1">
        <f t="array" ref="A262">INDEX('Data Validation (Hide)'!$B$2:$B$16,ROW(A2),1)</f>
        <v>Caseload 2</v>
      </c>
      <c r="B262">
        <f t="shared" ref="B262:B275" si="74">BC77</f>
        <v>0</v>
      </c>
      <c r="C262">
        <f t="shared" ref="C262:C275" si="75">BC95</f>
        <v>0</v>
      </c>
      <c r="D262">
        <f t="shared" ref="D262:D275" si="76">BC113</f>
        <v>0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0</v>
      </c>
      <c r="J262">
        <f t="shared" ref="J262:J275" si="82">D262+G262</f>
        <v>0</v>
      </c>
    </row>
    <row r="263" spans="1:53" x14ac:dyDescent="0.35">
      <c r="A263" t="str" cm="1">
        <f t="array" ref="A263">INDEX('Data Validation (Hide)'!$B$2:$B$16,ROW(A3),1)</f>
        <v>Caseload 3</v>
      </c>
      <c r="B263">
        <f t="shared" si="74"/>
        <v>0</v>
      </c>
      <c r="C263">
        <f t="shared" si="75"/>
        <v>0</v>
      </c>
      <c r="D263">
        <f t="shared" si="76"/>
        <v>0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0</v>
      </c>
      <c r="J263">
        <f t="shared" si="82"/>
        <v>0</v>
      </c>
    </row>
    <row r="264" spans="1:53" x14ac:dyDescent="0.35">
      <c r="A264" t="str" cm="1">
        <f t="array" ref="A264">INDEX('Data Validation (Hide)'!$B$2:$B$16,ROW(A4),1)</f>
        <v>Caseload 4</v>
      </c>
      <c r="B264">
        <f t="shared" si="74"/>
        <v>0</v>
      </c>
      <c r="C264">
        <f t="shared" si="75"/>
        <v>0</v>
      </c>
      <c r="D264">
        <f t="shared" si="76"/>
        <v>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0</v>
      </c>
      <c r="I264">
        <f t="shared" si="81"/>
        <v>0</v>
      </c>
      <c r="J264">
        <f t="shared" si="82"/>
        <v>0</v>
      </c>
    </row>
    <row r="265" spans="1:53" x14ac:dyDescent="0.35">
      <c r="A265" t="str" cm="1">
        <f t="array" ref="A265">INDEX('Data Validation (Hide)'!$B$2:$B$16,ROW(A5),1)</f>
        <v>Caseload 5</v>
      </c>
      <c r="B265">
        <f t="shared" si="74"/>
        <v>0</v>
      </c>
      <c r="C265">
        <f t="shared" si="75"/>
        <v>0</v>
      </c>
      <c r="D265">
        <f t="shared" si="76"/>
        <v>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0</v>
      </c>
      <c r="I265">
        <f t="shared" si="81"/>
        <v>0</v>
      </c>
      <c r="J265">
        <f t="shared" si="82"/>
        <v>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143</v>
      </c>
      <c r="B276">
        <f t="shared" ref="B276:G276" si="83">SUM(B261:B275)</f>
        <v>0</v>
      </c>
      <c r="C276">
        <f t="shared" si="83"/>
        <v>0</v>
      </c>
      <c r="D276">
        <f t="shared" si="83"/>
        <v>0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0</v>
      </c>
      <c r="I276">
        <f t="shared" ref="I276:J276" si="84">SUM(I261:I275)</f>
        <v>0</v>
      </c>
      <c r="J276">
        <f t="shared" si="84"/>
        <v>0</v>
      </c>
    </row>
    <row r="277" spans="1:10" x14ac:dyDescent="0.35">
      <c r="A277" t="s">
        <v>132</v>
      </c>
      <c r="B277" t="s">
        <v>130</v>
      </c>
      <c r="C277" t="s">
        <v>131</v>
      </c>
    </row>
    <row r="278" spans="1:10" x14ac:dyDescent="0.35">
      <c r="A278" t="str" cm="1">
        <f t="array" ref="A278">INDEX('Data Validation (Hide)'!$B$2:$B$16,ROW(A1),1)</f>
        <v>Caseload 1</v>
      </c>
      <c r="B278" cm="1">
        <f t="array" ref="B278">INDEX($B$261:$J$275,MATCH($A278,$A$261:$A$275,0),MATCH(1,(B$277=$B$259:$G$259)*(Summary!$B$5='Capacity Backing (Hide)'!$B$260:$G$260),0))</f>
        <v>0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Caseload 2</v>
      </c>
      <c r="B279" cm="1">
        <f t="array" ref="B279">INDEX($B$261:$J$275,MATCH($A279,$A$261:$A$275,0),MATCH(1,(B$277=$B$259:$G$259)*(Summary!$B$5='Capacity Backing (Hide)'!$B$260:$G$260),0))</f>
        <v>0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Caseload 3</v>
      </c>
      <c r="B280" cm="1">
        <f t="array" ref="B280">INDEX($B$261:$J$275,MATCH($A280,$A$261:$A$275,0),MATCH(1,(B$277=$B$259:$G$259)*(Summary!$B$5='Capacity Backing (Hide)'!$B$260:$G$260),0))</f>
        <v>0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Caseload 4</v>
      </c>
      <c r="B281" cm="1">
        <f t="array" ref="B281">INDEX($B$261:$J$275,MATCH($A281,$A$261:$A$275,0),MATCH(1,(B$277=$B$259:$G$259)*(Summary!$B$5='Capacity Backing (Hide)'!$B$260:$G$260),0))</f>
        <v>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Caseload 5</v>
      </c>
      <c r="B282" cm="1">
        <f t="array" ref="B282">INDEX($B$261:$J$275,MATCH($A282,$A$261:$A$275,0),MATCH(1,(B$277=$B$259:$G$259)*(Summary!$B$5='Capacity Backing (Hide)'!$B$260:$G$260),0))</f>
        <v>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140</v>
      </c>
    </row>
    <row r="2" spans="1:5" ht="15" thickBot="1" x14ac:dyDescent="0.4"/>
    <row r="3" spans="1:5" ht="15" thickBot="1" x14ac:dyDescent="0.4">
      <c r="A3" s="63" t="s">
        <v>62</v>
      </c>
      <c r="B3" s="17" t="s">
        <v>192</v>
      </c>
      <c r="E3" t="str">
        <f>"Capacity summary ("&amp;LOWER(Summary!B7)&amp;") for "&amp;B3&amp;", "&amp;IF(B4="Total","all types of session", LOWER(B4)&amp;" sessions")</f>
        <v>Capacity summary (hours) for Caseload 1, all types of session</v>
      </c>
    </row>
    <row r="4" spans="1:5" ht="15" thickBot="1" x14ac:dyDescent="0.4">
      <c r="A4" s="113" t="s">
        <v>63</v>
      </c>
      <c r="B4" s="17" t="s">
        <v>64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67"/>
  <sheetViews>
    <sheetView showGridLines="0" zoomScaleNormal="100" workbookViewId="0">
      <selection activeCell="B86" sqref="B86"/>
    </sheetView>
  </sheetViews>
  <sheetFormatPr defaultRowHeight="14.5" x14ac:dyDescent="0.35"/>
  <cols>
    <col min="1" max="1" width="15" customWidth="1"/>
    <col min="2" max="2" width="15.6328125" customWidth="1"/>
    <col min="3" max="6" width="12.6328125" customWidth="1"/>
    <col min="7" max="16" width="12.6328125" hidden="1" customWidth="1"/>
  </cols>
  <sheetData>
    <row r="1" spans="1:4" ht="23.5" x14ac:dyDescent="0.55000000000000004">
      <c r="A1" s="28" t="s">
        <v>141</v>
      </c>
    </row>
    <row r="2" spans="1:4" ht="15" customHeight="1" thickBot="1" x14ac:dyDescent="0.6">
      <c r="A2" s="28"/>
    </row>
    <row r="3" spans="1:4" ht="15" thickBot="1" x14ac:dyDescent="0.4">
      <c r="A3" s="63" t="s">
        <v>125</v>
      </c>
      <c r="B3" s="17" t="s">
        <v>179</v>
      </c>
    </row>
    <row r="4" spans="1:4" ht="15" thickBot="1" x14ac:dyDescent="0.4">
      <c r="A4" s="63" t="s">
        <v>62</v>
      </c>
      <c r="B4" s="17" t="s">
        <v>143</v>
      </c>
    </row>
    <row r="5" spans="1:4" ht="15" thickBot="1" x14ac:dyDescent="0.4">
      <c r="A5" s="63" t="s">
        <v>63</v>
      </c>
      <c r="B5" s="17" t="s">
        <v>64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91</v>
      </c>
      <c r="B7" s="17" t="s">
        <v>94</v>
      </c>
      <c r="D7" t="str">
        <f>B7&amp;" per week"</f>
        <v>Hours per week</v>
      </c>
    </row>
    <row r="28" spans="1:17" ht="18.5" x14ac:dyDescent="0.45">
      <c r="A28" s="117" t="s">
        <v>105</v>
      </c>
    </row>
    <row r="29" spans="1:17" x14ac:dyDescent="0.35">
      <c r="A29" s="60"/>
    </row>
    <row r="30" spans="1:17" ht="15" thickBot="1" x14ac:dyDescent="0.4">
      <c r="A30" s="60" t="s">
        <v>107</v>
      </c>
    </row>
    <row r="31" spans="1:17" ht="29.5" thickBot="1" x14ac:dyDescent="0.4">
      <c r="A31" s="60"/>
      <c r="B31" s="106" t="str" cm="1">
        <f t="array" ref="B31">INDEX(Setup!$A$20:$A$34,COLUMN(A1),1)</f>
        <v>Caseload 1</v>
      </c>
      <c r="C31" s="106" t="str" cm="1">
        <f t="array" ref="C31">INDEX(Setup!$A$20:$A$34,COLUMN(B1),1)</f>
        <v>Caseload 2</v>
      </c>
      <c r="D31" s="106" t="str" cm="1">
        <f t="array" ref="D31">INDEX(Setup!$A$20:$A$34,COLUMN(C1),1)</f>
        <v>Caseload 3</v>
      </c>
      <c r="E31" s="106" t="str" cm="1">
        <f t="array" ref="E31">INDEX(Setup!$A$20:$A$34,COLUMN(D1),1)</f>
        <v>Caseload 4</v>
      </c>
      <c r="F31" s="106" t="str" cm="1">
        <f t="array" ref="F31">INDEX(Setup!$A$20:$A$34,COLUMN(E1),1)</f>
        <v>Caseload 5</v>
      </c>
      <c r="G31" s="106" t="str" cm="1">
        <f t="array" ref="G31">INDEX(Setup!$A$20:$A$34,COLUMN(F1),1)</f>
        <v>Caseload 6</v>
      </c>
      <c r="H31" s="106" t="str" cm="1">
        <f t="array" ref="H31">INDEX(Setup!$A$20:$A$34,COLUMN(G1),1)</f>
        <v>Caseload 7</v>
      </c>
      <c r="I31" s="106" t="str" cm="1">
        <f t="array" ref="I31">INDEX(Setup!$A$20:$A$34,COLUMN(H1),1)</f>
        <v>Caseload 8</v>
      </c>
      <c r="J31" s="106" t="str" cm="1">
        <f t="array" ref="J31">INDEX(Setup!$A$20:$A$34,COLUMN(I1),1)</f>
        <v>Caseload 9</v>
      </c>
      <c r="K31" s="106" t="str" cm="1">
        <f t="array" ref="K31">INDEX(Setup!$A$20:$A$34,COLUMN(J1),1)</f>
        <v>Caseload 10</v>
      </c>
      <c r="L31" s="106" t="str" cm="1">
        <f t="array" ref="L31">INDEX(Setup!$A$20:$A$34,COLUMN(K1),1)</f>
        <v>Caseload 11</v>
      </c>
      <c r="M31" s="106" t="str" cm="1">
        <f t="array" ref="M31">INDEX(Setup!$A$20:$A$34,COLUMN(L1),1)</f>
        <v>Caseload 12</v>
      </c>
      <c r="N31" s="106" t="str" cm="1">
        <f t="array" ref="N31">INDEX(Setup!$A$20:$A$34,COLUMN(M1),1)</f>
        <v>Caseload 13</v>
      </c>
      <c r="O31" s="106" t="str" cm="1">
        <f t="array" ref="O31">INDEX(Setup!$A$20:$A$34,COLUMN(N1),1)</f>
        <v>Caseload 14</v>
      </c>
      <c r="P31" s="115" t="str" cm="1">
        <f t="array" ref="P31">INDEX(Setup!$A$20:$A$34,COLUMN(O1),1)</f>
        <v>Caseload 15</v>
      </c>
    </row>
    <row r="32" spans="1:17" ht="15" thickBot="1" x14ac:dyDescent="0.4">
      <c r="A32" s="114" t="s">
        <v>106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0.0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0.0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0.0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0.0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0.0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4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0.0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0.0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0.0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0.0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108</v>
      </c>
    </row>
    <row r="36" spans="1:31" ht="29" customHeight="1" thickBot="1" x14ac:dyDescent="0.4">
      <c r="B36" s="106" t="str" cm="1">
        <f t="array" ref="B36">INDEX(Setup!$A$20:$A$34,COLUMN(A6),1)</f>
        <v>Caseload 1</v>
      </c>
      <c r="C36" s="106" t="str" cm="1">
        <f t="array" ref="C36">INDEX(Setup!$A$20:$A$34,COLUMN(B6),1)</f>
        <v>Caseload 2</v>
      </c>
      <c r="D36" s="106" t="str" cm="1">
        <f t="array" ref="D36">INDEX(Setup!$A$20:$A$34,COLUMN(C6),1)</f>
        <v>Caseload 3</v>
      </c>
      <c r="E36" s="106" t="str" cm="1">
        <f t="array" ref="E36">INDEX(Setup!$A$20:$A$34,COLUMN(D6),1)</f>
        <v>Caseload 4</v>
      </c>
      <c r="F36" s="106" t="str" cm="1">
        <f t="array" ref="F36">INDEX(Setup!$A$20:$A$34,COLUMN(E6),1)</f>
        <v>Caseload 5</v>
      </c>
      <c r="G36" s="106" t="str" cm="1">
        <f t="array" ref="G36">INDEX(Setup!$A$20:$A$34,COLUMN(F6),1)</f>
        <v>Caseload 6</v>
      </c>
      <c r="H36" s="106" t="str" cm="1">
        <f t="array" ref="H36">INDEX(Setup!$A$20:$A$34,COLUMN(G6),1)</f>
        <v>Caseload 7</v>
      </c>
      <c r="I36" s="106" t="str" cm="1">
        <f t="array" ref="I36">INDEX(Setup!$A$20:$A$34,COLUMN(H6),1)</f>
        <v>Caseload 8</v>
      </c>
      <c r="J36" s="106" t="str" cm="1">
        <f t="array" ref="J36">INDEX(Setup!$A$20:$A$34,COLUMN(I6),1)</f>
        <v>Caseload 9</v>
      </c>
      <c r="K36" s="106" t="str" cm="1">
        <f t="array" ref="K36">INDEX(Setup!$A$20:$A$34,COLUMN(J6),1)</f>
        <v>Caseload 10</v>
      </c>
      <c r="L36" s="106" t="str" cm="1">
        <f t="array" ref="L36">INDEX(Setup!$A$20:$A$34,COLUMN(K6),1)</f>
        <v>Caseload 11</v>
      </c>
      <c r="M36" s="106" t="str" cm="1">
        <f t="array" ref="M36">INDEX(Setup!$A$20:$A$34,COLUMN(L6),1)</f>
        <v>Caseload 12</v>
      </c>
      <c r="N36" s="106" t="str" cm="1">
        <f t="array" ref="N36">INDEX(Setup!$A$20:$A$34,COLUMN(M6),1)</f>
        <v>Caseload 13</v>
      </c>
      <c r="O36" s="106" t="str" cm="1">
        <f t="array" ref="O36">INDEX(Setup!$A$20:$A$34,COLUMN(N6),1)</f>
        <v>Caseload 14</v>
      </c>
      <c r="P36" s="116" t="str" cm="1">
        <f t="array" ref="P36">INDEX(Setup!$A$20:$A$34,COLUMN(O6),1)</f>
        <v>Caseload 15</v>
      </c>
      <c r="Q36" s="7"/>
    </row>
    <row r="37" spans="1:31" ht="15" thickBot="1" x14ac:dyDescent="0.4">
      <c r="A37" s="114" t="s">
        <v>180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0.0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0.0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0.0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4" t="s">
        <v>181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hidden="1" x14ac:dyDescent="0.55000000000000004">
      <c r="A42" s="28" t="s">
        <v>183</v>
      </c>
    </row>
    <row r="43" spans="1:31" hidden="1" x14ac:dyDescent="0.35"/>
    <row r="44" spans="1:31" hidden="1" x14ac:dyDescent="0.35"/>
    <row r="45" spans="1:31" hidden="1" x14ac:dyDescent="0.35"/>
    <row r="46" spans="1:31" hidden="1" x14ac:dyDescent="0.35"/>
    <row r="47" spans="1:31" hidden="1" x14ac:dyDescent="0.35"/>
    <row r="48" spans="1:31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  <row r="63" hidden="1" x14ac:dyDescent="0.35"/>
    <row r="64" hidden="1" x14ac:dyDescent="0.35"/>
    <row r="65" hidden="1" x14ac:dyDescent="0.35"/>
    <row r="66" hidden="1" x14ac:dyDescent="0.35"/>
    <row r="67" hidden="1" x14ac:dyDescent="0.35"/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D8" sqref="D8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144</v>
      </c>
      <c r="I1" s="60" t="s">
        <v>161</v>
      </c>
    </row>
    <row r="2" spans="1:16" ht="15" thickBot="1" x14ac:dyDescent="0.4">
      <c r="I2" s="129" t="s">
        <v>62</v>
      </c>
      <c r="J2" s="131" t="s">
        <v>143</v>
      </c>
      <c r="K2" s="5"/>
      <c r="L2" s="118" t="s">
        <v>63</v>
      </c>
      <c r="M2" s="130" t="s">
        <v>64</v>
      </c>
      <c r="N2" s="5"/>
      <c r="O2" s="118" t="s">
        <v>91</v>
      </c>
      <c r="P2" s="130" t="s">
        <v>94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6" t="s">
        <v>145</v>
      </c>
      <c r="C5" s="106" t="s">
        <v>146</v>
      </c>
      <c r="D5" s="106" t="s">
        <v>147</v>
      </c>
      <c r="E5" s="106" t="s">
        <v>148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Caseload 1</v>
      </c>
      <c r="B6" s="41">
        <f>INDEX('Required Capacity (Hide)'!$B$5:$C$19,MATCH(Planning!$A6,'Required Capacity (Hide)'!$A$5:$A$19,0),1)</f>
        <v>0</v>
      </c>
      <c r="C6" s="75">
        <f>INDEX('Required Capacity (Hide)'!$B$5:$C$19,MATCH(Planning!$A6,'Required Capacity (Hide)'!$A$5:$A$19,0),2)</f>
        <v>1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Caseload 2</v>
      </c>
      <c r="B7" s="52">
        <f>INDEX('Required Capacity (Hide)'!$B$5:$C$19,MATCH(Planning!$A7,'Required Capacity (Hide)'!$A$5:$A$19,0),1)</f>
        <v>0</v>
      </c>
      <c r="C7" s="76">
        <f>INDEX('Required Capacity (Hide)'!$B$5:$C$19,MATCH(Planning!$A7,'Required Capacity (Hide)'!$A$5:$A$19,0),2)</f>
        <v>1</v>
      </c>
      <c r="D7" s="79"/>
      <c r="E7" s="23"/>
      <c r="F7" s="82"/>
      <c r="G7" s="83"/>
    </row>
    <row r="8" spans="1:16" x14ac:dyDescent="0.35">
      <c r="A8" s="52" t="str">
        <f>Setup!A22</f>
        <v>Caseload 3</v>
      </c>
      <c r="B8" s="52">
        <f>INDEX('Required Capacity (Hide)'!$B$5:$C$19,MATCH(Planning!$A8,'Required Capacity (Hide)'!$A$5:$A$19,0),1)</f>
        <v>0</v>
      </c>
      <c r="C8" s="76">
        <f>INDEX('Required Capacity (Hide)'!$B$5:$C$19,MATCH(Planning!$A8,'Required Capacity (Hide)'!$A$5:$A$19,0),2)</f>
        <v>1</v>
      </c>
      <c r="D8" s="79"/>
      <c r="E8" s="23"/>
      <c r="F8" s="82"/>
      <c r="G8" s="83"/>
    </row>
    <row r="9" spans="1:16" x14ac:dyDescent="0.35">
      <c r="A9" s="52" t="str">
        <f>Setup!A23</f>
        <v>Caseload 4</v>
      </c>
      <c r="B9" s="52">
        <f>INDEX('Required Capacity (Hide)'!$B$5:$C$19,MATCH(Planning!$A9,'Required Capacity (Hide)'!$A$5:$A$19,0),1)</f>
        <v>0</v>
      </c>
      <c r="C9" s="76">
        <f>INDEX('Required Capacity (Hide)'!$B$5:$C$19,MATCH(Planning!$A9,'Required Capacity (Hide)'!$A$5:$A$19,0),2)</f>
        <v>1</v>
      </c>
      <c r="D9" s="79"/>
      <c r="E9" s="23"/>
      <c r="F9" s="82"/>
      <c r="G9" s="83"/>
    </row>
    <row r="10" spans="1:16" ht="15" thickBot="1" x14ac:dyDescent="0.4">
      <c r="A10" s="52" t="str">
        <f>Setup!A24</f>
        <v>Caseload 5</v>
      </c>
      <c r="B10" s="52">
        <f>INDEX('Required Capacity (Hide)'!$B$5:$C$19,MATCH(Planning!$A10,'Required Capacity (Hide)'!$A$5:$A$19,0),1)</f>
        <v>0</v>
      </c>
      <c r="C10" s="76">
        <f>INDEX('Required Capacity (Hide)'!$B$5:$C$19,MATCH(Planning!$A10,'Required Capacity (Hide)'!$A$5:$A$19,0),2)</f>
        <v>1</v>
      </c>
      <c r="D10" s="79"/>
      <c r="E10" s="23"/>
      <c r="F10" s="82"/>
      <c r="G10" s="83"/>
    </row>
    <row r="11" spans="1:16" hidden="1" x14ac:dyDescent="0.35">
      <c r="A11" s="52" t="str">
        <f>Setup!A25</f>
        <v>Caseload 6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151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6" t="s">
        <v>155</v>
      </c>
      <c r="C24" s="106" t="s">
        <v>156</v>
      </c>
      <c r="D24" s="106" t="s">
        <v>157</v>
      </c>
      <c r="E24" s="106" t="s">
        <v>158</v>
      </c>
      <c r="F24" s="70"/>
      <c r="G24" s="70"/>
    </row>
    <row r="25" spans="1:7" x14ac:dyDescent="0.35">
      <c r="A25" s="52" t="str">
        <f>Setup!A20</f>
        <v>Caseload 1</v>
      </c>
      <c r="B25" s="88">
        <f>INDEX('Planning Backing (Hide)'!$B$21:$C$35,MATCH(A25,'Planning Backing (Hide)'!$A$21:$A$35,0),1)</f>
        <v>0</v>
      </c>
      <c r="C25" s="89">
        <f>INDEX('Planning Backing (Hide)'!$B$21:$C$35,MATCH(A25,'Planning Backing (Hide)'!$A$21:$A$35,0),2)</f>
        <v>0</v>
      </c>
      <c r="D25" s="90"/>
      <c r="E25" s="91"/>
      <c r="F25" s="80"/>
      <c r="G25" s="81"/>
    </row>
    <row r="26" spans="1:7" x14ac:dyDescent="0.35">
      <c r="A26" s="52" t="str">
        <f>Setup!A21</f>
        <v>Caseload 2</v>
      </c>
      <c r="B26" s="92">
        <f>INDEX('Planning Backing (Hide)'!$B$21:$C$35,MATCH(A26,'Planning Backing (Hide)'!$A$21:$A$35,0),1)</f>
        <v>0</v>
      </c>
      <c r="C26" s="93">
        <f>INDEX('Planning Backing (Hide)'!$B$21:$C$35,MATCH(A26,'Planning Backing (Hide)'!$A$21:$A$35,0),2)</f>
        <v>0</v>
      </c>
      <c r="D26" s="94"/>
      <c r="E26" s="95"/>
      <c r="F26" s="82"/>
      <c r="G26" s="83"/>
    </row>
    <row r="27" spans="1:7" x14ac:dyDescent="0.35">
      <c r="A27" s="52" t="str">
        <f>Setup!A22</f>
        <v>Caseload 3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0</v>
      </c>
      <c r="D27" s="94"/>
      <c r="E27" s="95"/>
      <c r="F27" s="82"/>
      <c r="G27" s="83"/>
    </row>
    <row r="28" spans="1:7" x14ac:dyDescent="0.35">
      <c r="A28" s="52" t="str">
        <f>Setup!A23</f>
        <v>Caseload 4</v>
      </c>
      <c r="B28" s="92">
        <f>INDEX('Planning Backing (Hide)'!$B$21:$C$35,MATCH(A28,'Planning Backing (Hide)'!$A$21:$A$35,0),1)</f>
        <v>0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Caseload 5</v>
      </c>
      <c r="B29" s="92">
        <f>INDEX('Planning Backing (Hide)'!$B$21:$C$35,MATCH(A29,'Planning Backing (Hide)'!$A$21:$A$35,0),1)</f>
        <v>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Caseload 6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4" t="s">
        <v>189</v>
      </c>
      <c r="B41" s="5"/>
      <c r="C41" s="5"/>
      <c r="D41" s="5"/>
      <c r="E41" s="5"/>
    </row>
    <row r="42" spans="1:7" ht="15" thickBot="1" x14ac:dyDescent="0.4">
      <c r="A42" s="132" t="s">
        <v>190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6" t="s">
        <v>46</v>
      </c>
      <c r="C43" s="106" t="s">
        <v>187</v>
      </c>
      <c r="D43" s="106" t="s">
        <v>188</v>
      </c>
      <c r="E43" s="5"/>
    </row>
    <row r="44" spans="1:7" x14ac:dyDescent="0.35">
      <c r="A44" s="11"/>
      <c r="B44" s="11"/>
      <c r="C44" s="99" t="str" cm="1">
        <f t="array" ref="C44">IFERROR(INDEX(Service!$E$4:$E$28,MATCH(1,(Service!$B$4:$B$28=Planning!A44)*(Service!$C$4:$C$28=Planning!B44),0),1),"")</f>
        <v/>
      </c>
      <c r="D44" s="15"/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162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6" t="s">
        <v>152</v>
      </c>
      <c r="C62" s="106" t="s">
        <v>153</v>
      </c>
      <c r="D62" s="106" t="str">
        <f>"Edit Non-Group Capacity ("&amp;LOWER(Summary!B7)&amp;")"</f>
        <v>Edit Non-Group Capacity (hours)</v>
      </c>
      <c r="E62" s="106" t="str">
        <f>"Edit Group Capacity ("&amp;LOWER(Summary!B7)&amp;")"</f>
        <v>Edit Group Capacity (hours)</v>
      </c>
    </row>
    <row r="63" spans="1:7" x14ac:dyDescent="0.35">
      <c r="A63" s="52" t="str">
        <f>Setup!A20</f>
        <v>Caseload 1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0</v>
      </c>
      <c r="D63" s="11"/>
      <c r="E63" s="11"/>
    </row>
    <row r="64" spans="1:7" x14ac:dyDescent="0.35">
      <c r="A64" s="52" t="str">
        <f>Setup!A21</f>
        <v>Caseload 2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0</v>
      </c>
      <c r="D64" s="39"/>
      <c r="E64" s="39"/>
    </row>
    <row r="65" spans="1:5" x14ac:dyDescent="0.35">
      <c r="A65" s="52" t="str">
        <f>Setup!A22</f>
        <v>Caseload 3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0</v>
      </c>
      <c r="D65" s="39"/>
      <c r="E65" s="39"/>
    </row>
    <row r="66" spans="1:5" x14ac:dyDescent="0.35">
      <c r="A66" s="52" t="str">
        <f>Setup!A23</f>
        <v>Caseload 4</v>
      </c>
      <c r="B66" s="92">
        <f>INDEX('Capacity Backing (Hide)'!$H$261:$J$275,MATCH(Planning!$A66,'Capacity Backing (Hide)'!$A$261:$A$275,0),1)</f>
        <v>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Caseload 5</v>
      </c>
      <c r="B67" s="92">
        <f>INDEX('Capacity Backing (Hide)'!$H$261:$J$275,MATCH(Planning!$A67,'Capacity Backing (Hide)'!$A$261:$A$275,0),1)</f>
        <v>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Caseload 6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154</v>
      </c>
      <c r="I1" s="3" t="s">
        <v>57</v>
      </c>
      <c r="J1" t="str" cm="1">
        <f t="array" ref="J1">INDEX($A$4:$A$18,ROUNDUP(COLUMN(A1)/6,0),1)</f>
        <v>Caseload 1</v>
      </c>
      <c r="K1" t="str" cm="1">
        <f t="array" ref="K1">INDEX($A$4:$A$18,ROUNDUP(COLUMN(B1)/6,0),1)</f>
        <v>Caseload 1</v>
      </c>
      <c r="L1" t="str" cm="1">
        <f t="array" ref="L1">INDEX($A$4:$A$18,ROUNDUP(COLUMN(C1)/6,0),1)</f>
        <v>Caseload 1</v>
      </c>
      <c r="M1" t="str" cm="1">
        <f t="array" ref="M1">INDEX($A$4:$A$18,ROUNDUP(COLUMN(D1)/6,0),1)</f>
        <v>Caseload 1</v>
      </c>
      <c r="N1" t="str" cm="1">
        <f t="array" ref="N1">INDEX($A$4:$A$18,ROUNDUP(COLUMN(E1)/6,0),1)</f>
        <v>Caseload 1</v>
      </c>
      <c r="O1" t="str" cm="1">
        <f t="array" ref="O1">INDEX($A$4:$A$18,ROUNDUP(COLUMN(F1)/6,0),1)</f>
        <v>Caseload 1</v>
      </c>
      <c r="P1" t="str" cm="1">
        <f t="array" ref="P1">INDEX($A$4:$A$18,ROUNDUP(COLUMN(G1)/6,0),1)</f>
        <v>Caseload 2</v>
      </c>
      <c r="Q1" t="str" cm="1">
        <f t="array" ref="Q1">INDEX($A$4:$A$18,ROUNDUP(COLUMN(H1)/6,0),1)</f>
        <v>Caseload 2</v>
      </c>
      <c r="R1" t="str" cm="1">
        <f t="array" ref="R1">INDEX($A$4:$A$18,ROUNDUP(COLUMN(I1)/6,0),1)</f>
        <v>Caseload 2</v>
      </c>
      <c r="S1" t="str" cm="1">
        <f t="array" ref="S1">INDEX($A$4:$A$18,ROUNDUP(COLUMN(J1)/6,0),1)</f>
        <v>Caseload 2</v>
      </c>
      <c r="T1" t="str" cm="1">
        <f t="array" ref="T1">INDEX($A$4:$A$18,ROUNDUP(COLUMN(K1)/6,0),1)</f>
        <v>Caseload 2</v>
      </c>
      <c r="U1" t="str" cm="1">
        <f t="array" ref="U1">INDEX($A$4:$A$18,ROUNDUP(COLUMN(L1)/6,0),1)</f>
        <v>Caseload 2</v>
      </c>
      <c r="V1" t="str" cm="1">
        <f t="array" ref="V1">INDEX($A$4:$A$18,ROUNDUP(COLUMN(M1)/6,0),1)</f>
        <v>Caseload 3</v>
      </c>
      <c r="W1" t="str" cm="1">
        <f t="array" ref="W1">INDEX($A$4:$A$18,ROUNDUP(COLUMN(N1)/6,0),1)</f>
        <v>Caseload 3</v>
      </c>
      <c r="X1" t="str" cm="1">
        <f t="array" ref="X1">INDEX($A$4:$A$18,ROUNDUP(COLUMN(O1)/6,0),1)</f>
        <v>Caseload 3</v>
      </c>
      <c r="Y1" t="str" cm="1">
        <f t="array" ref="Y1">INDEX($A$4:$A$18,ROUNDUP(COLUMN(P1)/6,0),1)</f>
        <v>Caseload 3</v>
      </c>
      <c r="Z1" t="str" cm="1">
        <f t="array" ref="Z1">INDEX($A$4:$A$18,ROUNDUP(COLUMN(Q1)/6,0),1)</f>
        <v>Caseload 3</v>
      </c>
      <c r="AA1" t="str" cm="1">
        <f t="array" ref="AA1">INDEX($A$4:$A$18,ROUNDUP(COLUMN(R1)/6,0),1)</f>
        <v>Caseload 3</v>
      </c>
      <c r="AB1" t="str" cm="1">
        <f t="array" ref="AB1">INDEX($A$4:$A$18,ROUNDUP(COLUMN(S1)/6,0),1)</f>
        <v>Caseload 4</v>
      </c>
      <c r="AC1" t="str" cm="1">
        <f t="array" ref="AC1">INDEX($A$4:$A$18,ROUNDUP(COLUMN(T1)/6,0),1)</f>
        <v>Caseload 4</v>
      </c>
      <c r="AD1" t="str" cm="1">
        <f t="array" ref="AD1">INDEX($A$4:$A$18,ROUNDUP(COLUMN(U1)/6,0),1)</f>
        <v>Caseload 4</v>
      </c>
      <c r="AE1" t="str" cm="1">
        <f t="array" ref="AE1">INDEX($A$4:$A$18,ROUNDUP(COLUMN(V1)/6,0),1)</f>
        <v>Caseload 4</v>
      </c>
      <c r="AF1" t="str" cm="1">
        <f t="array" ref="AF1">INDEX($A$4:$A$18,ROUNDUP(COLUMN(W1)/6,0),1)</f>
        <v>Caseload 4</v>
      </c>
      <c r="AG1" t="str" cm="1">
        <f t="array" ref="AG1">INDEX($A$4:$A$18,ROUNDUP(COLUMN(X1)/6,0),1)</f>
        <v>Caseload 4</v>
      </c>
      <c r="AH1" t="str" cm="1">
        <f t="array" ref="AH1">INDEX($A$4:$A$18,ROUNDUP(COLUMN(Y1)/6,0),1)</f>
        <v>Caseload 5</v>
      </c>
      <c r="AI1" t="str" cm="1">
        <f t="array" ref="AI1">INDEX($A$4:$A$18,ROUNDUP(COLUMN(Z1)/6,0),1)</f>
        <v>Caseload 5</v>
      </c>
      <c r="AJ1" t="str" cm="1">
        <f t="array" ref="AJ1">INDEX($A$4:$A$18,ROUNDUP(COLUMN(AA1)/6,0),1)</f>
        <v>Caseload 5</v>
      </c>
      <c r="AK1" t="str" cm="1">
        <f t="array" ref="AK1">INDEX($A$4:$A$18,ROUNDUP(COLUMN(AB1)/6,0),1)</f>
        <v>Caseload 5</v>
      </c>
      <c r="AL1" t="str" cm="1">
        <f t="array" ref="AL1">INDEX($A$4:$A$18,ROUNDUP(COLUMN(AC1)/6,0),1)</f>
        <v>Caseload 5</v>
      </c>
      <c r="AM1" t="str" cm="1">
        <f t="array" ref="AM1">INDEX($A$4:$A$18,ROUNDUP(COLUMN(AD1)/6,0),1)</f>
        <v>Caseload 5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143</v>
      </c>
      <c r="CW1" s="3" t="s">
        <v>143</v>
      </c>
      <c r="CX1" s="3" t="s">
        <v>143</v>
      </c>
      <c r="CY1" s="3" t="s">
        <v>143</v>
      </c>
      <c r="CZ1" s="3" t="s">
        <v>143</v>
      </c>
      <c r="DA1" s="3" t="s">
        <v>143</v>
      </c>
    </row>
    <row r="2" spans="1:105" ht="15" thickBot="1" x14ac:dyDescent="0.4">
      <c r="I2" s="7"/>
      <c r="J2" s="7" t="s">
        <v>59</v>
      </c>
      <c r="K2" s="6" t="s">
        <v>59</v>
      </c>
      <c r="L2" s="7" t="s">
        <v>51</v>
      </c>
      <c r="M2" s="6" t="s">
        <v>51</v>
      </c>
      <c r="N2" s="19" t="s">
        <v>64</v>
      </c>
      <c r="O2" s="23" t="s">
        <v>64</v>
      </c>
      <c r="P2" s="7" t="s">
        <v>59</v>
      </c>
      <c r="Q2" s="6" t="s">
        <v>59</v>
      </c>
      <c r="R2" s="7" t="s">
        <v>51</v>
      </c>
      <c r="S2" s="6" t="s">
        <v>51</v>
      </c>
      <c r="T2" s="19" t="s">
        <v>64</v>
      </c>
      <c r="U2" s="23" t="s">
        <v>64</v>
      </c>
      <c r="V2" s="7" t="s">
        <v>59</v>
      </c>
      <c r="W2" s="6" t="s">
        <v>59</v>
      </c>
      <c r="X2" s="7" t="s">
        <v>51</v>
      </c>
      <c r="Y2" s="6" t="s">
        <v>51</v>
      </c>
      <c r="Z2" s="19" t="s">
        <v>64</v>
      </c>
      <c r="AA2" s="23" t="s">
        <v>64</v>
      </c>
      <c r="AB2" s="7" t="s">
        <v>59</v>
      </c>
      <c r="AC2" s="6" t="s">
        <v>59</v>
      </c>
      <c r="AD2" s="7" t="s">
        <v>51</v>
      </c>
      <c r="AE2" s="6" t="s">
        <v>51</v>
      </c>
      <c r="AF2" s="19" t="s">
        <v>64</v>
      </c>
      <c r="AG2" s="23" t="s">
        <v>64</v>
      </c>
      <c r="AH2" s="7" t="s">
        <v>59</v>
      </c>
      <c r="AI2" s="6" t="s">
        <v>59</v>
      </c>
      <c r="AJ2" s="7" t="s">
        <v>51</v>
      </c>
      <c r="AK2" s="6" t="s">
        <v>51</v>
      </c>
      <c r="AL2" s="19" t="s">
        <v>64</v>
      </c>
      <c r="AM2" s="23" t="s">
        <v>64</v>
      </c>
      <c r="AN2" s="7" t="s">
        <v>59</v>
      </c>
      <c r="AO2" s="6" t="s">
        <v>59</v>
      </c>
      <c r="AP2" s="7" t="s">
        <v>51</v>
      </c>
      <c r="AQ2" s="6" t="s">
        <v>51</v>
      </c>
      <c r="AR2" s="19" t="s">
        <v>64</v>
      </c>
      <c r="AS2" s="23" t="s">
        <v>64</v>
      </c>
      <c r="AT2" s="7" t="s">
        <v>59</v>
      </c>
      <c r="AU2" s="6" t="s">
        <v>59</v>
      </c>
      <c r="AV2" s="7" t="s">
        <v>51</v>
      </c>
      <c r="AW2" s="6" t="s">
        <v>51</v>
      </c>
      <c r="AX2" s="19" t="s">
        <v>64</v>
      </c>
      <c r="AY2" s="23" t="s">
        <v>64</v>
      </c>
      <c r="AZ2" s="7" t="s">
        <v>59</v>
      </c>
      <c r="BA2" s="6" t="s">
        <v>59</v>
      </c>
      <c r="BB2" s="7" t="s">
        <v>51</v>
      </c>
      <c r="BC2" s="6" t="s">
        <v>51</v>
      </c>
      <c r="BD2" s="19" t="s">
        <v>64</v>
      </c>
      <c r="BE2" s="23" t="s">
        <v>64</v>
      </c>
      <c r="BF2" s="7" t="s">
        <v>59</v>
      </c>
      <c r="BG2" s="6" t="s">
        <v>59</v>
      </c>
      <c r="BH2" s="7" t="s">
        <v>51</v>
      </c>
      <c r="BI2" s="6" t="s">
        <v>51</v>
      </c>
      <c r="BJ2" s="19" t="s">
        <v>64</v>
      </c>
      <c r="BK2" s="23" t="s">
        <v>64</v>
      </c>
      <c r="BL2" s="7" t="s">
        <v>59</v>
      </c>
      <c r="BM2" s="6" t="s">
        <v>59</v>
      </c>
      <c r="BN2" s="7" t="s">
        <v>51</v>
      </c>
      <c r="BO2" s="6" t="s">
        <v>51</v>
      </c>
      <c r="BP2" s="19" t="s">
        <v>64</v>
      </c>
      <c r="BQ2" s="23" t="s">
        <v>64</v>
      </c>
      <c r="BR2" s="7" t="s">
        <v>59</v>
      </c>
      <c r="BS2" s="6" t="s">
        <v>59</v>
      </c>
      <c r="BT2" s="7" t="s">
        <v>51</v>
      </c>
      <c r="BU2" s="6" t="s">
        <v>51</v>
      </c>
      <c r="BV2" s="19" t="s">
        <v>64</v>
      </c>
      <c r="BW2" s="23" t="s">
        <v>64</v>
      </c>
      <c r="BX2" s="7" t="s">
        <v>59</v>
      </c>
      <c r="BY2" s="6" t="s">
        <v>59</v>
      </c>
      <c r="BZ2" s="7" t="s">
        <v>51</v>
      </c>
      <c r="CA2" s="6" t="s">
        <v>51</v>
      </c>
      <c r="CB2" s="19" t="s">
        <v>64</v>
      </c>
      <c r="CC2" s="23" t="s">
        <v>64</v>
      </c>
      <c r="CD2" s="7" t="s">
        <v>59</v>
      </c>
      <c r="CE2" s="6" t="s">
        <v>59</v>
      </c>
      <c r="CF2" s="7" t="s">
        <v>51</v>
      </c>
      <c r="CG2" s="6" t="s">
        <v>51</v>
      </c>
      <c r="CH2" s="19" t="s">
        <v>64</v>
      </c>
      <c r="CI2" s="23" t="s">
        <v>64</v>
      </c>
      <c r="CJ2" s="7" t="s">
        <v>59</v>
      </c>
      <c r="CK2" s="6" t="s">
        <v>59</v>
      </c>
      <c r="CL2" s="7" t="s">
        <v>51</v>
      </c>
      <c r="CM2" s="6" t="s">
        <v>51</v>
      </c>
      <c r="CN2" s="19" t="s">
        <v>64</v>
      </c>
      <c r="CO2" s="23" t="s">
        <v>64</v>
      </c>
      <c r="CP2" s="7" t="s">
        <v>59</v>
      </c>
      <c r="CQ2" s="6" t="s">
        <v>59</v>
      </c>
      <c r="CR2" s="7" t="s">
        <v>51</v>
      </c>
      <c r="CS2" s="6" t="s">
        <v>51</v>
      </c>
      <c r="CT2" s="19" t="s">
        <v>64</v>
      </c>
      <c r="CU2" s="23" t="s">
        <v>64</v>
      </c>
      <c r="CV2" s="7" t="s">
        <v>59</v>
      </c>
      <c r="CW2" s="6" t="s">
        <v>59</v>
      </c>
      <c r="CX2" s="7" t="s">
        <v>51</v>
      </c>
      <c r="CY2" s="6" t="s">
        <v>51</v>
      </c>
      <c r="CZ2" s="19" t="s">
        <v>64</v>
      </c>
      <c r="DA2" s="23" t="s">
        <v>64</v>
      </c>
    </row>
    <row r="3" spans="1:105" ht="58.5" thickBot="1" x14ac:dyDescent="0.4">
      <c r="A3" t="s">
        <v>45</v>
      </c>
      <c r="B3" s="71" t="s">
        <v>145</v>
      </c>
      <c r="C3" s="71" t="s">
        <v>146</v>
      </c>
      <c r="D3" s="71" t="s">
        <v>147</v>
      </c>
      <c r="E3" s="71" t="s">
        <v>148</v>
      </c>
      <c r="F3" s="71" t="s">
        <v>149</v>
      </c>
      <c r="G3" s="71" t="s">
        <v>150</v>
      </c>
      <c r="I3" s="7"/>
      <c r="J3" s="29">
        <f>INDEX($D$21:$E$35,MATCH(J$1,$A$21:$A$35,0),1)/IF(Summary!$B$7="Minutes",1,60)</f>
        <v>0</v>
      </c>
      <c r="K3" s="31"/>
      <c r="L3" s="29">
        <f>INDEX($D$21:$E$35,MATCH(J$1,$A$21:$A$35,0),2)/IF(Summary!$B$7="Minutes",1,60)</f>
        <v>0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</v>
      </c>
      <c r="Y3" s="31"/>
      <c r="Z3" s="30"/>
      <c r="AA3" s="31"/>
      <c r="AB3" s="29">
        <f>INDEX($D$21:$E$35,MATCH(AB$1,$A$21:$A$35,0),1)/IF(Summary!$B$7="Minutes",1,60)</f>
        <v>0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0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Caseload 1</v>
      </c>
      <c r="B4">
        <f>INDEX('Required Capacity (Hide)'!$B$5:$C$19,MATCH('Planning Backing (Hide)'!$A4,'Required Capacity (Hide)'!$A$5:$A$19,0),1)</f>
        <v>0</v>
      </c>
      <c r="C4">
        <f>INDEX('Required Capacity (Hide)'!$B$5:$C$19,MATCH('Planning Backing (Hide)'!$A4,'Required Capacity (Hide)'!$A$5:$A$19,0),2)</f>
        <v>1</v>
      </c>
      <c r="D4">
        <f>IF(Planning!D6="",'Planning Backing (Hide)'!B4,Planning!D6)</f>
        <v>0</v>
      </c>
      <c r="E4">
        <f>IF(Planning!E6="",'Planning Backing (Hide)'!C4,Planning!E6)</f>
        <v>1</v>
      </c>
      <c r="F4">
        <v>1</v>
      </c>
      <c r="G4">
        <v>1.0000000000000002</v>
      </c>
      <c r="I4" s="17" t="s">
        <v>58</v>
      </c>
      <c r="J4" s="24" t="s">
        <v>60</v>
      </c>
      <c r="K4" s="26" t="s">
        <v>61</v>
      </c>
      <c r="L4" s="24" t="s">
        <v>60</v>
      </c>
      <c r="M4" s="26" t="s">
        <v>61</v>
      </c>
      <c r="N4" s="25" t="s">
        <v>52</v>
      </c>
      <c r="O4" s="26" t="s">
        <v>61</v>
      </c>
      <c r="P4" s="24" t="s">
        <v>60</v>
      </c>
      <c r="Q4" s="26" t="s">
        <v>61</v>
      </c>
      <c r="R4" s="24" t="s">
        <v>60</v>
      </c>
      <c r="S4" s="26" t="s">
        <v>61</v>
      </c>
      <c r="T4" s="25" t="s">
        <v>52</v>
      </c>
      <c r="U4" s="26" t="s">
        <v>61</v>
      </c>
      <c r="V4" s="24" t="s">
        <v>60</v>
      </c>
      <c r="W4" s="26" t="s">
        <v>61</v>
      </c>
      <c r="X4" s="24" t="s">
        <v>60</v>
      </c>
      <c r="Y4" s="26" t="s">
        <v>61</v>
      </c>
      <c r="Z4" s="25" t="s">
        <v>52</v>
      </c>
      <c r="AA4" s="26" t="s">
        <v>61</v>
      </c>
      <c r="AB4" s="24" t="s">
        <v>60</v>
      </c>
      <c r="AC4" s="26" t="s">
        <v>61</v>
      </c>
      <c r="AD4" s="24" t="s">
        <v>60</v>
      </c>
      <c r="AE4" s="26" t="s">
        <v>61</v>
      </c>
      <c r="AF4" s="25" t="s">
        <v>52</v>
      </c>
      <c r="AG4" s="26" t="s">
        <v>61</v>
      </c>
      <c r="AH4" s="24" t="s">
        <v>60</v>
      </c>
      <c r="AI4" s="26" t="s">
        <v>61</v>
      </c>
      <c r="AJ4" s="24" t="s">
        <v>60</v>
      </c>
      <c r="AK4" s="26" t="s">
        <v>61</v>
      </c>
      <c r="AL4" s="25" t="s">
        <v>52</v>
      </c>
      <c r="AM4" s="26" t="s">
        <v>61</v>
      </c>
      <c r="AN4" s="24" t="s">
        <v>60</v>
      </c>
      <c r="AO4" s="26" t="s">
        <v>61</v>
      </c>
      <c r="AP4" s="24" t="s">
        <v>60</v>
      </c>
      <c r="AQ4" s="26" t="s">
        <v>61</v>
      </c>
      <c r="AR4" s="25" t="s">
        <v>52</v>
      </c>
      <c r="AS4" s="26" t="s">
        <v>61</v>
      </c>
      <c r="AT4" s="24" t="s">
        <v>60</v>
      </c>
      <c r="AU4" s="26" t="s">
        <v>61</v>
      </c>
      <c r="AV4" s="24" t="s">
        <v>60</v>
      </c>
      <c r="AW4" s="26" t="s">
        <v>61</v>
      </c>
      <c r="AX4" s="25" t="s">
        <v>52</v>
      </c>
      <c r="AY4" s="26" t="s">
        <v>61</v>
      </c>
      <c r="AZ4" s="24" t="s">
        <v>60</v>
      </c>
      <c r="BA4" s="26" t="s">
        <v>61</v>
      </c>
      <c r="BB4" s="24" t="s">
        <v>60</v>
      </c>
      <c r="BC4" s="26" t="s">
        <v>61</v>
      </c>
      <c r="BD4" s="25" t="s">
        <v>52</v>
      </c>
      <c r="BE4" s="26" t="s">
        <v>61</v>
      </c>
      <c r="BF4" s="24" t="s">
        <v>60</v>
      </c>
      <c r="BG4" s="26" t="s">
        <v>61</v>
      </c>
      <c r="BH4" s="24" t="s">
        <v>60</v>
      </c>
      <c r="BI4" s="26" t="s">
        <v>61</v>
      </c>
      <c r="BJ4" s="25" t="s">
        <v>52</v>
      </c>
      <c r="BK4" s="26" t="s">
        <v>61</v>
      </c>
      <c r="BL4" s="24" t="s">
        <v>60</v>
      </c>
      <c r="BM4" s="26" t="s">
        <v>61</v>
      </c>
      <c r="BN4" s="24" t="s">
        <v>60</v>
      </c>
      <c r="BO4" s="26" t="s">
        <v>61</v>
      </c>
      <c r="BP4" s="25" t="s">
        <v>52</v>
      </c>
      <c r="BQ4" s="26" t="s">
        <v>61</v>
      </c>
      <c r="BR4" s="24" t="s">
        <v>60</v>
      </c>
      <c r="BS4" s="26" t="s">
        <v>61</v>
      </c>
      <c r="BT4" s="24" t="s">
        <v>60</v>
      </c>
      <c r="BU4" s="26" t="s">
        <v>61</v>
      </c>
      <c r="BV4" s="25" t="s">
        <v>52</v>
      </c>
      <c r="BW4" s="26" t="s">
        <v>61</v>
      </c>
      <c r="BX4" s="24" t="s">
        <v>60</v>
      </c>
      <c r="BY4" s="26" t="s">
        <v>61</v>
      </c>
      <c r="BZ4" s="24" t="s">
        <v>60</v>
      </c>
      <c r="CA4" s="26" t="s">
        <v>61</v>
      </c>
      <c r="CB4" s="25" t="s">
        <v>52</v>
      </c>
      <c r="CC4" s="26" t="s">
        <v>61</v>
      </c>
      <c r="CD4" s="24" t="s">
        <v>60</v>
      </c>
      <c r="CE4" s="26" t="s">
        <v>61</v>
      </c>
      <c r="CF4" s="24" t="s">
        <v>60</v>
      </c>
      <c r="CG4" s="26" t="s">
        <v>61</v>
      </c>
      <c r="CH4" s="25" t="s">
        <v>52</v>
      </c>
      <c r="CI4" s="26" t="s">
        <v>61</v>
      </c>
      <c r="CJ4" s="24" t="s">
        <v>60</v>
      </c>
      <c r="CK4" s="26" t="s">
        <v>61</v>
      </c>
      <c r="CL4" s="24" t="s">
        <v>60</v>
      </c>
      <c r="CM4" s="26" t="s">
        <v>61</v>
      </c>
      <c r="CN4" s="25" t="s">
        <v>52</v>
      </c>
      <c r="CO4" s="26" t="s">
        <v>61</v>
      </c>
      <c r="CP4" s="24" t="s">
        <v>60</v>
      </c>
      <c r="CQ4" s="26" t="s">
        <v>61</v>
      </c>
      <c r="CR4" s="24" t="s">
        <v>60</v>
      </c>
      <c r="CS4" s="26" t="s">
        <v>61</v>
      </c>
      <c r="CT4" s="25" t="s">
        <v>52</v>
      </c>
      <c r="CU4" s="26" t="s">
        <v>61</v>
      </c>
      <c r="CV4" s="24" t="s">
        <v>52</v>
      </c>
      <c r="CW4" s="26" t="s">
        <v>61</v>
      </c>
      <c r="CX4" s="24" t="s">
        <v>52</v>
      </c>
      <c r="CY4" s="26" t="s">
        <v>61</v>
      </c>
      <c r="CZ4" s="25" t="s">
        <v>52</v>
      </c>
      <c r="DA4" s="26" t="s">
        <v>61</v>
      </c>
    </row>
    <row r="5" spans="1:105" x14ac:dyDescent="0.35">
      <c r="A5" t="str">
        <f>Setup!A21</f>
        <v>Caseload 2</v>
      </c>
      <c r="B5">
        <f>INDEX('Required Capacity (Hide)'!$B$5:$C$19,MATCH('Planning Backing (Hide)'!$A5,'Required Capacity (Hide)'!$A$5:$A$19,0),1)</f>
        <v>0</v>
      </c>
      <c r="C5">
        <f>INDEX('Required Capacity (Hide)'!$B$5:$C$19,MATCH('Planning Backing (Hide)'!$A5,'Required Capacity (Hide)'!$A$5:$A$19,0),2)</f>
        <v>1</v>
      </c>
      <c r="D5">
        <f>IF(Planning!D7="",'Planning Backing (Hide)'!B5,Planning!D7)</f>
        <v>0</v>
      </c>
      <c r="E5">
        <f>IF(Planning!E7="",'Planning Backing (Hide)'!C5,Planning!E7)</f>
        <v>1</v>
      </c>
      <c r="F5">
        <v>1</v>
      </c>
      <c r="G5">
        <v>1</v>
      </c>
      <c r="I5" s="12" t="e" vm="2">
        <f ca="1">'Required Capacity (Hide)'!E5</f>
        <v>#VALUE!</v>
      </c>
      <c r="J5">
        <f>INDEX($D$4:$E$18,MATCH(J$1,$A$4:$A$18,0),1)*J$3</f>
        <v>0</v>
      </c>
      <c r="K5">
        <f>INDEX($D$4:$E$18,MATCH(J$1,$A$4:$A$18,0),2)*J$3</f>
        <v>0</v>
      </c>
      <c r="L5">
        <f>INDEX($D$4:$E$18,MATCH(L$1,$A$4:$A$18,0),1)*L$3</f>
        <v>0</v>
      </c>
      <c r="M5">
        <f>INDEX($D$4:$E$18,MATCH(L$1,$A$4:$A$18,0),2)*L$3</f>
        <v>0</v>
      </c>
      <c r="N5">
        <f>SUMIF(J$4:M$4,N$4,J5:M5)</f>
        <v>0</v>
      </c>
      <c r="O5">
        <f>SUMIF(J$4:M$4,O$4,J5:M5)</f>
        <v>0</v>
      </c>
      <c r="P5">
        <f>INDEX($D$4:$E$18,MATCH(P$1,$A$4:$A$18,0),1)*P$3</f>
        <v>0</v>
      </c>
      <c r="Q5">
        <f>INDEX($D$4:$E$18,MATCH(P$1,$A$4:$A$18,0),2)*P$3</f>
        <v>0</v>
      </c>
      <c r="R5">
        <f>INDEX($D$4:$E$18,MATCH(R$1,$A$4:$A$18,0),1)*R$3</f>
        <v>0</v>
      </c>
      <c r="S5">
        <f>INDEX($D$4:$E$18,MATCH(R$1,$A$4:$A$18,0),2)*R$3</f>
        <v>0</v>
      </c>
      <c r="T5">
        <f>SUMIF(P$4:S$4,T$4,P5:S5)</f>
        <v>0</v>
      </c>
      <c r="U5">
        <f>SUMIF(P$4:S$4,U$4,P5:S5)</f>
        <v>0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0</v>
      </c>
      <c r="Y5">
        <f>INDEX($D$4:$E$18,MATCH(X$1,$A$4:$A$18,0),2)*X$3</f>
        <v>0</v>
      </c>
      <c r="Z5">
        <f>SUMIF(V$4:Y$4,Z$4,V5:Y5)</f>
        <v>0</v>
      </c>
      <c r="AA5">
        <f>SUMIF(V$4:Y$4,AA$4,V5:Y5)</f>
        <v>0</v>
      </c>
      <c r="AB5">
        <f>INDEX($D$4:$E$18,MATCH(AB$1,$A$4:$A$18,0),1)*AB$3</f>
        <v>0</v>
      </c>
      <c r="AC5">
        <f>INDEX($D$4:$E$18,MATCH(AB$1,$A$4:$A$18,0),2)*AB$3</f>
        <v>0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0</v>
      </c>
      <c r="AG5">
        <f>SUMIF(AB$4:AE$4,AG$4,AB5:AE5)</f>
        <v>0</v>
      </c>
      <c r="AH5">
        <f>INDEX($D$4:$E$18,MATCH(AH$1,$A$4:$A$18,0),1)*AH$3</f>
        <v>0</v>
      </c>
      <c r="AI5">
        <f>INDEX($D$4:$E$18,MATCH(AH$1,$A$4:$A$18,0),2)*AH$3</f>
        <v>0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0</v>
      </c>
      <c r="AM5">
        <f>SUMIF(AH$4:AK$4,AM$4,AH5:AK5)</f>
        <v>0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0</v>
      </c>
      <c r="CW5">
        <f t="shared" si="0"/>
        <v>0</v>
      </c>
      <c r="CX5">
        <f t="shared" si="0"/>
        <v>0</v>
      </c>
      <c r="CY5">
        <f t="shared" si="0"/>
        <v>0</v>
      </c>
      <c r="CZ5">
        <f>SUMIFS($J5:$CU5,$J$2:$CU$2,CZ$2,$J$4:$CU$4,CZ$4)</f>
        <v>0</v>
      </c>
      <c r="DA5">
        <f>SUMIFS($J5:$CU5,$J$2:$CU$2,DA$2,$J$4:$CU$4,DA$4)</f>
        <v>0</v>
      </c>
    </row>
    <row r="6" spans="1:105" x14ac:dyDescent="0.35">
      <c r="A6" t="str">
        <f>Setup!A22</f>
        <v>Caseload 3</v>
      </c>
      <c r="B6">
        <f>INDEX('Required Capacity (Hide)'!$B$5:$C$19,MATCH('Planning Backing (Hide)'!$A6,'Required Capacity (Hide)'!$A$5:$A$19,0),1)</f>
        <v>0</v>
      </c>
      <c r="C6">
        <f>INDEX('Required Capacity (Hide)'!$B$5:$C$19,MATCH('Planning Backing (Hide)'!$A6,'Required Capacity (Hide)'!$A$5:$A$19,0),2)</f>
        <v>1</v>
      </c>
      <c r="D6">
        <f>IF(Planning!D8="",'Planning Backing (Hide)'!B6,Planning!D8)</f>
        <v>0</v>
      </c>
      <c r="E6">
        <f>IF(Planning!E8="",'Planning Backing (Hide)'!C6,Planning!E8)</f>
        <v>1</v>
      </c>
      <c r="F6">
        <v>1</v>
      </c>
      <c r="G6">
        <v>1</v>
      </c>
      <c r="I6" s="12" t="e" vm="2">
        <f ca="1">'Required Capacity (Hide)'!E6</f>
        <v>#VALUE!</v>
      </c>
      <c r="J6">
        <f t="shared" ref="J6:J56" si="1">INDEX($D$4:$E$18,MATCH(J$1,$A$4:$A$18,0),1)*J$3</f>
        <v>0</v>
      </c>
      <c r="K6">
        <f t="shared" ref="K6:K56" si="2">INDEX($D$4:$E$18,MATCH(J$1,$A$4:$A$18,0),2)*J$3</f>
        <v>0</v>
      </c>
      <c r="L6">
        <f t="shared" ref="L6:L56" si="3">INDEX($D$4:$E$18,MATCH(L$1,$A$4:$A$18,0),1)*L$3</f>
        <v>0</v>
      </c>
      <c r="M6">
        <f t="shared" ref="M6:M56" si="4">INDEX($D$4:$E$18,MATCH(L$1,$A$4:$A$18,0),2)*L$3</f>
        <v>0</v>
      </c>
      <c r="N6">
        <f t="shared" ref="N6:N56" si="5">SUMIF(J$4:M$4,N$4,J6:M6)</f>
        <v>0</v>
      </c>
      <c r="O6">
        <f t="shared" ref="O6:O56" si="6">SUMIF(J$4:M$4,O$4,J6:M6)</f>
        <v>0</v>
      </c>
      <c r="P6">
        <f t="shared" ref="P6:P56" si="7">INDEX($D$4:$E$18,MATCH(P$1,$A$4:$A$18,0),1)*P$3</f>
        <v>0</v>
      </c>
      <c r="Q6">
        <f t="shared" ref="Q6:Q56" si="8">INDEX($D$4:$E$18,MATCH(P$1,$A$4:$A$18,0),2)*P$3</f>
        <v>0</v>
      </c>
      <c r="R6">
        <f t="shared" ref="R6:R56" si="9">INDEX($D$4:$E$18,MATCH(R$1,$A$4:$A$18,0),1)*R$3</f>
        <v>0</v>
      </c>
      <c r="S6">
        <f t="shared" ref="S6:S56" si="10">INDEX($D$4:$E$18,MATCH(R$1,$A$4:$A$18,0),2)*R$3</f>
        <v>0</v>
      </c>
      <c r="T6">
        <f t="shared" ref="T6:T56" si="11">SUMIF(P$4:S$4,T$4,P6:S6)</f>
        <v>0</v>
      </c>
      <c r="U6">
        <f t="shared" ref="U6:U56" si="12">SUMIF(P$4:S$4,U$4,P6:S6)</f>
        <v>0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0</v>
      </c>
      <c r="Y6">
        <f t="shared" ref="Y6:Y56" si="16">INDEX($D$4:$E$18,MATCH(X$1,$A$4:$A$18,0),2)*X$3</f>
        <v>0</v>
      </c>
      <c r="Z6">
        <f t="shared" ref="Z6:Z56" si="17">SUMIF(V$4:Y$4,Z$4,V6:Y6)</f>
        <v>0</v>
      </c>
      <c r="AA6">
        <f t="shared" ref="AA6:AA56" si="18">SUMIF(V$4:Y$4,AA$4,V6:Y6)</f>
        <v>0</v>
      </c>
      <c r="AB6">
        <f t="shared" ref="AB6:AB56" si="19">INDEX($D$4:$E$18,MATCH(AB$1,$A$4:$A$18,0),1)*AB$3</f>
        <v>0</v>
      </c>
      <c r="AC6">
        <f t="shared" ref="AC6:AC56" si="20">INDEX($D$4:$E$18,MATCH(AB$1,$A$4:$A$18,0),2)*AB$3</f>
        <v>0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0</v>
      </c>
      <c r="AG6">
        <f t="shared" ref="AG6:AG56" si="24">SUMIF(AB$4:AE$4,AG$4,AB6:AE6)</f>
        <v>0</v>
      </c>
      <c r="AH6">
        <f t="shared" ref="AH6:AH56" si="25">INDEX($D$4:$E$18,MATCH(AH$1,$A$4:$A$18,0),1)*AH$3</f>
        <v>0</v>
      </c>
      <c r="AI6">
        <f t="shared" ref="AI6:AI56" si="26">INDEX($D$4:$E$18,MATCH(AH$1,$A$4:$A$18,0),2)*AH$3</f>
        <v>0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0</v>
      </c>
      <c r="AM6">
        <f t="shared" ref="AM6:AM56" si="30">SUMIF(AH$4:AK$4,AM$4,AH6:AK6)</f>
        <v>0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0</v>
      </c>
      <c r="CW6">
        <f t="shared" si="91"/>
        <v>0</v>
      </c>
      <c r="CX6">
        <f t="shared" ref="CX6:CY20" si="92">SUMIFS($J6:$CS6,$J$2:$CS$2,CX$2,$J$4:$CS$4,CX$4)</f>
        <v>0</v>
      </c>
      <c r="CY6">
        <f t="shared" si="92"/>
        <v>0</v>
      </c>
      <c r="CZ6">
        <f t="shared" ref="CZ6:DA56" si="93">SUMIFS($J6:$CU6,$J$2:$CU$2,CZ$2,$J$4:$CU$4,CZ$4)</f>
        <v>0</v>
      </c>
      <c r="DA6">
        <f t="shared" si="93"/>
        <v>0</v>
      </c>
    </row>
    <row r="7" spans="1:105" x14ac:dyDescent="0.35">
      <c r="A7" t="str">
        <f>Setup!A23</f>
        <v>Caseload 4</v>
      </c>
      <c r="B7">
        <f>INDEX('Required Capacity (Hide)'!$B$5:$C$19,MATCH('Planning Backing (Hide)'!$A7,'Required Capacity (Hide)'!$A$5:$A$19,0),1)</f>
        <v>0</v>
      </c>
      <c r="C7">
        <f>INDEX('Required Capacity (Hide)'!$B$5:$C$19,MATCH('Planning Backing (Hide)'!$A7,'Required Capacity (Hide)'!$A$5:$A$19,0),2)</f>
        <v>1</v>
      </c>
      <c r="D7">
        <f>IF(Planning!D9="",'Planning Backing (Hide)'!B7,Planning!D9)</f>
        <v>0</v>
      </c>
      <c r="E7">
        <f>IF(Planning!E9="",'Planning Backing (Hide)'!C7,Planning!E9)</f>
        <v>1</v>
      </c>
      <c r="F7">
        <v>1</v>
      </c>
      <c r="G7">
        <v>1</v>
      </c>
      <c r="I7" s="12" t="e" vm="2">
        <f ca="1">'Required Capacity (Hide)'!E7</f>
        <v>#VALUE!</v>
      </c>
      <c r="J7">
        <f t="shared" si="1"/>
        <v>0</v>
      </c>
      <c r="K7">
        <f t="shared" si="2"/>
        <v>0</v>
      </c>
      <c r="L7">
        <f t="shared" si="3"/>
        <v>0</v>
      </c>
      <c r="M7">
        <f t="shared" si="4"/>
        <v>0</v>
      </c>
      <c r="N7">
        <f t="shared" si="5"/>
        <v>0</v>
      </c>
      <c r="O7">
        <f t="shared" si="6"/>
        <v>0</v>
      </c>
      <c r="P7">
        <f t="shared" si="7"/>
        <v>0</v>
      </c>
      <c r="Q7">
        <f t="shared" si="8"/>
        <v>0</v>
      </c>
      <c r="R7">
        <f t="shared" si="9"/>
        <v>0</v>
      </c>
      <c r="S7">
        <f t="shared" si="10"/>
        <v>0</v>
      </c>
      <c r="T7">
        <f t="shared" si="11"/>
        <v>0</v>
      </c>
      <c r="U7">
        <f t="shared" si="12"/>
        <v>0</v>
      </c>
      <c r="V7">
        <f t="shared" si="13"/>
        <v>0</v>
      </c>
      <c r="W7">
        <f t="shared" si="14"/>
        <v>0</v>
      </c>
      <c r="X7">
        <f t="shared" si="15"/>
        <v>0</v>
      </c>
      <c r="Y7">
        <f t="shared" si="16"/>
        <v>0</v>
      </c>
      <c r="Z7">
        <f t="shared" si="17"/>
        <v>0</v>
      </c>
      <c r="AA7">
        <f t="shared" si="18"/>
        <v>0</v>
      </c>
      <c r="AB7">
        <f t="shared" si="19"/>
        <v>0</v>
      </c>
      <c r="AC7">
        <f t="shared" si="20"/>
        <v>0</v>
      </c>
      <c r="AD7">
        <f t="shared" si="21"/>
        <v>0</v>
      </c>
      <c r="AE7">
        <f t="shared" si="22"/>
        <v>0</v>
      </c>
      <c r="AF7">
        <f t="shared" si="23"/>
        <v>0</v>
      </c>
      <c r="AG7">
        <f t="shared" si="24"/>
        <v>0</v>
      </c>
      <c r="AH7">
        <f t="shared" si="25"/>
        <v>0</v>
      </c>
      <c r="AI7">
        <f t="shared" si="26"/>
        <v>0</v>
      </c>
      <c r="AJ7">
        <f t="shared" si="27"/>
        <v>0</v>
      </c>
      <c r="AK7">
        <f t="shared" si="28"/>
        <v>0</v>
      </c>
      <c r="AL7">
        <f t="shared" si="29"/>
        <v>0</v>
      </c>
      <c r="AM7">
        <f t="shared" si="30"/>
        <v>0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0</v>
      </c>
      <c r="CW7">
        <f t="shared" si="91"/>
        <v>0</v>
      </c>
      <c r="CX7">
        <f t="shared" si="92"/>
        <v>0</v>
      </c>
      <c r="CY7">
        <f t="shared" si="92"/>
        <v>0</v>
      </c>
      <c r="CZ7">
        <f t="shared" si="93"/>
        <v>0</v>
      </c>
      <c r="DA7">
        <f t="shared" si="93"/>
        <v>0</v>
      </c>
    </row>
    <row r="8" spans="1:105" x14ac:dyDescent="0.35">
      <c r="A8" t="str">
        <f>Setup!A24</f>
        <v>Caseload 5</v>
      </c>
      <c r="B8">
        <f>INDEX('Required Capacity (Hide)'!$B$5:$C$19,MATCH('Planning Backing (Hide)'!$A8,'Required Capacity (Hide)'!$A$5:$A$19,0),1)</f>
        <v>0</v>
      </c>
      <c r="C8">
        <f>INDEX('Required Capacity (Hide)'!$B$5:$C$19,MATCH('Planning Backing (Hide)'!$A8,'Required Capacity (Hide)'!$A$5:$A$19,0),2)</f>
        <v>1</v>
      </c>
      <c r="D8">
        <f>IF(Planning!D10="",'Planning Backing (Hide)'!B8,Planning!D10)</f>
        <v>0</v>
      </c>
      <c r="E8">
        <f>IF(Planning!E10="",'Planning Backing (Hide)'!C8,Planning!E10)</f>
        <v>1</v>
      </c>
      <c r="F8">
        <v>1</v>
      </c>
      <c r="G8">
        <v>1</v>
      </c>
      <c r="I8" s="12" t="e" vm="2">
        <f ca="1">'Required Capacity (Hide)'!E8</f>
        <v>#VALUE!</v>
      </c>
      <c r="J8">
        <f t="shared" si="1"/>
        <v>0</v>
      </c>
      <c r="K8">
        <f t="shared" si="2"/>
        <v>0</v>
      </c>
      <c r="L8">
        <f t="shared" si="3"/>
        <v>0</v>
      </c>
      <c r="M8">
        <f t="shared" si="4"/>
        <v>0</v>
      </c>
      <c r="N8">
        <f t="shared" si="5"/>
        <v>0</v>
      </c>
      <c r="O8">
        <f t="shared" si="6"/>
        <v>0</v>
      </c>
      <c r="P8">
        <f t="shared" si="7"/>
        <v>0</v>
      </c>
      <c r="Q8">
        <f t="shared" si="8"/>
        <v>0</v>
      </c>
      <c r="R8">
        <f t="shared" si="9"/>
        <v>0</v>
      </c>
      <c r="S8">
        <f t="shared" si="10"/>
        <v>0</v>
      </c>
      <c r="T8">
        <f t="shared" si="11"/>
        <v>0</v>
      </c>
      <c r="U8">
        <f t="shared" si="12"/>
        <v>0</v>
      </c>
      <c r="V8">
        <f t="shared" si="13"/>
        <v>0</v>
      </c>
      <c r="W8">
        <f t="shared" si="14"/>
        <v>0</v>
      </c>
      <c r="X8">
        <f t="shared" si="15"/>
        <v>0</v>
      </c>
      <c r="Y8">
        <f t="shared" si="16"/>
        <v>0</v>
      </c>
      <c r="Z8">
        <f t="shared" si="17"/>
        <v>0</v>
      </c>
      <c r="AA8">
        <f t="shared" si="18"/>
        <v>0</v>
      </c>
      <c r="AB8">
        <f t="shared" si="19"/>
        <v>0</v>
      </c>
      <c r="AC8">
        <f t="shared" si="20"/>
        <v>0</v>
      </c>
      <c r="AD8">
        <f t="shared" si="21"/>
        <v>0</v>
      </c>
      <c r="AE8">
        <f t="shared" si="22"/>
        <v>0</v>
      </c>
      <c r="AF8">
        <f t="shared" si="23"/>
        <v>0</v>
      </c>
      <c r="AG8">
        <f t="shared" si="24"/>
        <v>0</v>
      </c>
      <c r="AH8">
        <f t="shared" si="25"/>
        <v>0</v>
      </c>
      <c r="AI8">
        <f t="shared" si="26"/>
        <v>0</v>
      </c>
      <c r="AJ8">
        <f t="shared" si="27"/>
        <v>0</v>
      </c>
      <c r="AK8">
        <f t="shared" si="28"/>
        <v>0</v>
      </c>
      <c r="AL8">
        <f t="shared" si="29"/>
        <v>0</v>
      </c>
      <c r="AM8">
        <f t="shared" si="30"/>
        <v>0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0</v>
      </c>
      <c r="CW8">
        <f t="shared" si="91"/>
        <v>0</v>
      </c>
      <c r="CX8">
        <f t="shared" si="92"/>
        <v>0</v>
      </c>
      <c r="CY8">
        <f t="shared" si="92"/>
        <v>0</v>
      </c>
      <c r="CZ8">
        <f t="shared" si="93"/>
        <v>0</v>
      </c>
      <c r="DA8">
        <f t="shared" si="93"/>
        <v>0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 t="e" vm="2">
        <f ca="1">'Required Capacity (Hide)'!E9</f>
        <v>#VALUE!</v>
      </c>
      <c r="J9">
        <f t="shared" si="1"/>
        <v>0</v>
      </c>
      <c r="K9">
        <f t="shared" si="2"/>
        <v>0</v>
      </c>
      <c r="L9">
        <f t="shared" si="3"/>
        <v>0</v>
      </c>
      <c r="M9">
        <f t="shared" si="4"/>
        <v>0</v>
      </c>
      <c r="N9">
        <f t="shared" si="5"/>
        <v>0</v>
      </c>
      <c r="O9">
        <f t="shared" si="6"/>
        <v>0</v>
      </c>
      <c r="P9">
        <f t="shared" si="7"/>
        <v>0</v>
      </c>
      <c r="Q9">
        <f t="shared" si="8"/>
        <v>0</v>
      </c>
      <c r="R9">
        <f t="shared" si="9"/>
        <v>0</v>
      </c>
      <c r="S9">
        <f t="shared" si="10"/>
        <v>0</v>
      </c>
      <c r="T9">
        <f t="shared" si="11"/>
        <v>0</v>
      </c>
      <c r="U9">
        <f t="shared" si="12"/>
        <v>0</v>
      </c>
      <c r="V9">
        <f t="shared" si="13"/>
        <v>0</v>
      </c>
      <c r="W9">
        <f t="shared" si="14"/>
        <v>0</v>
      </c>
      <c r="X9">
        <f t="shared" si="15"/>
        <v>0</v>
      </c>
      <c r="Y9">
        <f t="shared" si="16"/>
        <v>0</v>
      </c>
      <c r="Z9">
        <f t="shared" si="17"/>
        <v>0</v>
      </c>
      <c r="AA9">
        <f t="shared" si="18"/>
        <v>0</v>
      </c>
      <c r="AB9">
        <f t="shared" si="19"/>
        <v>0</v>
      </c>
      <c r="AC9">
        <f t="shared" si="20"/>
        <v>0</v>
      </c>
      <c r="AD9">
        <f t="shared" si="21"/>
        <v>0</v>
      </c>
      <c r="AE9">
        <f t="shared" si="22"/>
        <v>0</v>
      </c>
      <c r="AF9">
        <f t="shared" si="23"/>
        <v>0</v>
      </c>
      <c r="AG9">
        <f t="shared" si="24"/>
        <v>0</v>
      </c>
      <c r="AH9">
        <f t="shared" si="25"/>
        <v>0</v>
      </c>
      <c r="AI9">
        <f t="shared" si="26"/>
        <v>0</v>
      </c>
      <c r="AJ9">
        <f t="shared" si="27"/>
        <v>0</v>
      </c>
      <c r="AK9">
        <f t="shared" si="28"/>
        <v>0</v>
      </c>
      <c r="AL9">
        <f t="shared" si="29"/>
        <v>0</v>
      </c>
      <c r="AM9">
        <f t="shared" si="30"/>
        <v>0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0</v>
      </c>
      <c r="CW9">
        <f t="shared" si="91"/>
        <v>0</v>
      </c>
      <c r="CX9">
        <f t="shared" si="92"/>
        <v>0</v>
      </c>
      <c r="CY9">
        <f t="shared" si="92"/>
        <v>0</v>
      </c>
      <c r="CZ9">
        <f t="shared" si="93"/>
        <v>0</v>
      </c>
      <c r="DA9">
        <f t="shared" si="93"/>
        <v>0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 t="e" vm="2">
        <f ca="1">'Required Capacity (Hide)'!E10</f>
        <v>#VALUE!</v>
      </c>
      <c r="J10">
        <f t="shared" si="1"/>
        <v>0</v>
      </c>
      <c r="K10">
        <f t="shared" si="2"/>
        <v>0</v>
      </c>
      <c r="L10">
        <f t="shared" si="3"/>
        <v>0</v>
      </c>
      <c r="M10">
        <f t="shared" si="4"/>
        <v>0</v>
      </c>
      <c r="N10">
        <f t="shared" si="5"/>
        <v>0</v>
      </c>
      <c r="O10">
        <f t="shared" si="6"/>
        <v>0</v>
      </c>
      <c r="P10">
        <f t="shared" si="7"/>
        <v>0</v>
      </c>
      <c r="Q10">
        <f t="shared" si="8"/>
        <v>0</v>
      </c>
      <c r="R10">
        <f t="shared" si="9"/>
        <v>0</v>
      </c>
      <c r="S10">
        <f t="shared" si="10"/>
        <v>0</v>
      </c>
      <c r="T10">
        <f t="shared" si="11"/>
        <v>0</v>
      </c>
      <c r="U10">
        <f t="shared" si="12"/>
        <v>0</v>
      </c>
      <c r="V10">
        <f t="shared" si="13"/>
        <v>0</v>
      </c>
      <c r="W10">
        <f t="shared" si="14"/>
        <v>0</v>
      </c>
      <c r="X10">
        <f t="shared" si="15"/>
        <v>0</v>
      </c>
      <c r="Y10">
        <f t="shared" si="16"/>
        <v>0</v>
      </c>
      <c r="Z10">
        <f t="shared" si="17"/>
        <v>0</v>
      </c>
      <c r="AA10">
        <f t="shared" si="18"/>
        <v>0</v>
      </c>
      <c r="AB10">
        <f t="shared" si="19"/>
        <v>0</v>
      </c>
      <c r="AC10">
        <f t="shared" si="20"/>
        <v>0</v>
      </c>
      <c r="AD10">
        <f t="shared" si="21"/>
        <v>0</v>
      </c>
      <c r="AE10">
        <f t="shared" si="22"/>
        <v>0</v>
      </c>
      <c r="AF10">
        <f t="shared" si="23"/>
        <v>0</v>
      </c>
      <c r="AG10">
        <f t="shared" si="24"/>
        <v>0</v>
      </c>
      <c r="AH10">
        <f t="shared" si="25"/>
        <v>0</v>
      </c>
      <c r="AI10">
        <f t="shared" si="26"/>
        <v>0</v>
      </c>
      <c r="AJ10">
        <f t="shared" si="27"/>
        <v>0</v>
      </c>
      <c r="AK10">
        <f t="shared" si="28"/>
        <v>0</v>
      </c>
      <c r="AL10">
        <f t="shared" si="29"/>
        <v>0</v>
      </c>
      <c r="AM10">
        <f t="shared" si="30"/>
        <v>0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0</v>
      </c>
      <c r="CW10">
        <f t="shared" si="91"/>
        <v>0</v>
      </c>
      <c r="CX10">
        <f t="shared" si="92"/>
        <v>0</v>
      </c>
      <c r="CY10">
        <f t="shared" si="92"/>
        <v>0</v>
      </c>
      <c r="CZ10">
        <f t="shared" si="93"/>
        <v>0</v>
      </c>
      <c r="DA10">
        <f t="shared" si="93"/>
        <v>0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 t="e" vm="2">
        <f ca="1">'Required Capacity (Hide)'!E11</f>
        <v>#VALUE!</v>
      </c>
      <c r="J11">
        <f t="shared" si="1"/>
        <v>0</v>
      </c>
      <c r="K11">
        <f t="shared" si="2"/>
        <v>0</v>
      </c>
      <c r="L11">
        <f t="shared" si="3"/>
        <v>0</v>
      </c>
      <c r="M11">
        <f t="shared" si="4"/>
        <v>0</v>
      </c>
      <c r="N11">
        <f t="shared" si="5"/>
        <v>0</v>
      </c>
      <c r="O11">
        <f t="shared" si="6"/>
        <v>0</v>
      </c>
      <c r="P11">
        <f t="shared" si="7"/>
        <v>0</v>
      </c>
      <c r="Q11">
        <f t="shared" si="8"/>
        <v>0</v>
      </c>
      <c r="R11">
        <f t="shared" si="9"/>
        <v>0</v>
      </c>
      <c r="S11">
        <f t="shared" si="10"/>
        <v>0</v>
      </c>
      <c r="T11">
        <f t="shared" si="11"/>
        <v>0</v>
      </c>
      <c r="U11">
        <f t="shared" si="12"/>
        <v>0</v>
      </c>
      <c r="V11">
        <f t="shared" si="13"/>
        <v>0</v>
      </c>
      <c r="W11">
        <f t="shared" si="14"/>
        <v>0</v>
      </c>
      <c r="X11">
        <f t="shared" si="15"/>
        <v>0</v>
      </c>
      <c r="Y11">
        <f t="shared" si="16"/>
        <v>0</v>
      </c>
      <c r="Z11">
        <f t="shared" si="17"/>
        <v>0</v>
      </c>
      <c r="AA11">
        <f t="shared" si="18"/>
        <v>0</v>
      </c>
      <c r="AB11">
        <f t="shared" si="19"/>
        <v>0</v>
      </c>
      <c r="AC11">
        <f t="shared" si="20"/>
        <v>0</v>
      </c>
      <c r="AD11">
        <f t="shared" si="21"/>
        <v>0</v>
      </c>
      <c r="AE11">
        <f t="shared" si="22"/>
        <v>0</v>
      </c>
      <c r="AF11">
        <f t="shared" si="23"/>
        <v>0</v>
      </c>
      <c r="AG11">
        <f t="shared" si="24"/>
        <v>0</v>
      </c>
      <c r="AH11">
        <f t="shared" si="25"/>
        <v>0</v>
      </c>
      <c r="AI11">
        <f t="shared" si="26"/>
        <v>0</v>
      </c>
      <c r="AJ11">
        <f t="shared" si="27"/>
        <v>0</v>
      </c>
      <c r="AK11">
        <f t="shared" si="28"/>
        <v>0</v>
      </c>
      <c r="AL11">
        <f t="shared" si="29"/>
        <v>0</v>
      </c>
      <c r="AM11">
        <f t="shared" si="30"/>
        <v>0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0</v>
      </c>
      <c r="CW11">
        <f t="shared" si="91"/>
        <v>0</v>
      </c>
      <c r="CX11">
        <f t="shared" si="92"/>
        <v>0</v>
      </c>
      <c r="CY11">
        <f t="shared" si="92"/>
        <v>0</v>
      </c>
      <c r="CZ11">
        <f t="shared" si="93"/>
        <v>0</v>
      </c>
      <c r="DA11">
        <f t="shared" si="93"/>
        <v>0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 t="e" vm="2">
        <f ca="1">'Required Capacity (Hide)'!E12</f>
        <v>#VALUE!</v>
      </c>
      <c r="J12">
        <f t="shared" si="1"/>
        <v>0</v>
      </c>
      <c r="K12">
        <f t="shared" si="2"/>
        <v>0</v>
      </c>
      <c r="L12">
        <f t="shared" si="3"/>
        <v>0</v>
      </c>
      <c r="M12">
        <f t="shared" si="4"/>
        <v>0</v>
      </c>
      <c r="N12">
        <f t="shared" si="5"/>
        <v>0</v>
      </c>
      <c r="O12">
        <f t="shared" si="6"/>
        <v>0</v>
      </c>
      <c r="P12">
        <f t="shared" si="7"/>
        <v>0</v>
      </c>
      <c r="Q12">
        <f t="shared" si="8"/>
        <v>0</v>
      </c>
      <c r="R12">
        <f t="shared" si="9"/>
        <v>0</v>
      </c>
      <c r="S12">
        <f t="shared" si="10"/>
        <v>0</v>
      </c>
      <c r="T12">
        <f t="shared" si="11"/>
        <v>0</v>
      </c>
      <c r="U12">
        <f t="shared" si="12"/>
        <v>0</v>
      </c>
      <c r="V12">
        <f t="shared" si="13"/>
        <v>0</v>
      </c>
      <c r="W12">
        <f t="shared" si="14"/>
        <v>0</v>
      </c>
      <c r="X12">
        <f t="shared" si="15"/>
        <v>0</v>
      </c>
      <c r="Y12">
        <f t="shared" si="16"/>
        <v>0</v>
      </c>
      <c r="Z12">
        <f t="shared" si="17"/>
        <v>0</v>
      </c>
      <c r="AA12">
        <f t="shared" si="18"/>
        <v>0</v>
      </c>
      <c r="AB12">
        <f t="shared" si="19"/>
        <v>0</v>
      </c>
      <c r="AC12">
        <f t="shared" si="20"/>
        <v>0</v>
      </c>
      <c r="AD12">
        <f t="shared" si="21"/>
        <v>0</v>
      </c>
      <c r="AE12">
        <f t="shared" si="22"/>
        <v>0</v>
      </c>
      <c r="AF12">
        <f t="shared" si="23"/>
        <v>0</v>
      </c>
      <c r="AG12">
        <f t="shared" si="24"/>
        <v>0</v>
      </c>
      <c r="AH12">
        <f t="shared" si="25"/>
        <v>0</v>
      </c>
      <c r="AI12">
        <f t="shared" si="26"/>
        <v>0</v>
      </c>
      <c r="AJ12">
        <f t="shared" si="27"/>
        <v>0</v>
      </c>
      <c r="AK12">
        <f t="shared" si="28"/>
        <v>0</v>
      </c>
      <c r="AL12">
        <f t="shared" si="29"/>
        <v>0</v>
      </c>
      <c r="AM12">
        <f t="shared" si="30"/>
        <v>0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0</v>
      </c>
      <c r="CW12">
        <f t="shared" si="91"/>
        <v>0</v>
      </c>
      <c r="CX12">
        <f t="shared" si="92"/>
        <v>0</v>
      </c>
      <c r="CY12">
        <f t="shared" si="92"/>
        <v>0</v>
      </c>
      <c r="CZ12">
        <f t="shared" si="93"/>
        <v>0</v>
      </c>
      <c r="DA12">
        <f t="shared" si="93"/>
        <v>0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 t="e" vm="2">
        <f ca="1">'Required Capacity (Hide)'!E13</f>
        <v>#VALUE!</v>
      </c>
      <c r="J13">
        <f t="shared" si="1"/>
        <v>0</v>
      </c>
      <c r="K13">
        <f t="shared" si="2"/>
        <v>0</v>
      </c>
      <c r="L13">
        <f t="shared" si="3"/>
        <v>0</v>
      </c>
      <c r="M13">
        <f t="shared" si="4"/>
        <v>0</v>
      </c>
      <c r="N13">
        <f t="shared" si="5"/>
        <v>0</v>
      </c>
      <c r="O13">
        <f t="shared" si="6"/>
        <v>0</v>
      </c>
      <c r="P13">
        <f t="shared" si="7"/>
        <v>0</v>
      </c>
      <c r="Q13">
        <f t="shared" si="8"/>
        <v>0</v>
      </c>
      <c r="R13">
        <f t="shared" si="9"/>
        <v>0</v>
      </c>
      <c r="S13">
        <f t="shared" si="10"/>
        <v>0</v>
      </c>
      <c r="T13">
        <f t="shared" si="11"/>
        <v>0</v>
      </c>
      <c r="U13">
        <f t="shared" si="12"/>
        <v>0</v>
      </c>
      <c r="V13">
        <f t="shared" si="13"/>
        <v>0</v>
      </c>
      <c r="W13">
        <f t="shared" si="14"/>
        <v>0</v>
      </c>
      <c r="X13">
        <f t="shared" si="15"/>
        <v>0</v>
      </c>
      <c r="Y13">
        <f t="shared" si="16"/>
        <v>0</v>
      </c>
      <c r="Z13">
        <f t="shared" si="17"/>
        <v>0</v>
      </c>
      <c r="AA13">
        <f t="shared" si="18"/>
        <v>0</v>
      </c>
      <c r="AB13">
        <f t="shared" si="19"/>
        <v>0</v>
      </c>
      <c r="AC13">
        <f t="shared" si="20"/>
        <v>0</v>
      </c>
      <c r="AD13">
        <f t="shared" si="21"/>
        <v>0</v>
      </c>
      <c r="AE13">
        <f t="shared" si="22"/>
        <v>0</v>
      </c>
      <c r="AF13">
        <f t="shared" si="23"/>
        <v>0</v>
      </c>
      <c r="AG13">
        <f t="shared" si="24"/>
        <v>0</v>
      </c>
      <c r="AH13">
        <f t="shared" si="25"/>
        <v>0</v>
      </c>
      <c r="AI13">
        <f t="shared" si="26"/>
        <v>0</v>
      </c>
      <c r="AJ13">
        <f t="shared" si="27"/>
        <v>0</v>
      </c>
      <c r="AK13">
        <f t="shared" si="28"/>
        <v>0</v>
      </c>
      <c r="AL13">
        <f t="shared" si="29"/>
        <v>0</v>
      </c>
      <c r="AM13">
        <f t="shared" si="30"/>
        <v>0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0</v>
      </c>
      <c r="CW13">
        <f t="shared" si="91"/>
        <v>0</v>
      </c>
      <c r="CX13">
        <f t="shared" si="92"/>
        <v>0</v>
      </c>
      <c r="CY13">
        <f t="shared" si="92"/>
        <v>0</v>
      </c>
      <c r="CZ13">
        <f t="shared" si="93"/>
        <v>0</v>
      </c>
      <c r="DA13">
        <f t="shared" si="93"/>
        <v>0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 t="e" vm="2">
        <f ca="1">'Required Capacity (Hide)'!E14</f>
        <v>#VALUE!</v>
      </c>
      <c r="J14">
        <f t="shared" si="1"/>
        <v>0</v>
      </c>
      <c r="K14">
        <f t="shared" si="2"/>
        <v>0</v>
      </c>
      <c r="L14">
        <f t="shared" si="3"/>
        <v>0</v>
      </c>
      <c r="M14">
        <f t="shared" si="4"/>
        <v>0</v>
      </c>
      <c r="N14">
        <f t="shared" si="5"/>
        <v>0</v>
      </c>
      <c r="O14">
        <f t="shared" si="6"/>
        <v>0</v>
      </c>
      <c r="P14">
        <f t="shared" si="7"/>
        <v>0</v>
      </c>
      <c r="Q14">
        <f t="shared" si="8"/>
        <v>0</v>
      </c>
      <c r="R14">
        <f t="shared" si="9"/>
        <v>0</v>
      </c>
      <c r="S14">
        <f t="shared" si="10"/>
        <v>0</v>
      </c>
      <c r="T14">
        <f t="shared" si="11"/>
        <v>0</v>
      </c>
      <c r="U14">
        <f t="shared" si="12"/>
        <v>0</v>
      </c>
      <c r="V14">
        <f t="shared" si="13"/>
        <v>0</v>
      </c>
      <c r="W14">
        <f t="shared" si="14"/>
        <v>0</v>
      </c>
      <c r="X14">
        <f t="shared" si="15"/>
        <v>0</v>
      </c>
      <c r="Y14">
        <f t="shared" si="16"/>
        <v>0</v>
      </c>
      <c r="Z14">
        <f t="shared" si="17"/>
        <v>0</v>
      </c>
      <c r="AA14">
        <f t="shared" si="18"/>
        <v>0</v>
      </c>
      <c r="AB14">
        <f t="shared" si="19"/>
        <v>0</v>
      </c>
      <c r="AC14">
        <f t="shared" si="20"/>
        <v>0</v>
      </c>
      <c r="AD14">
        <f t="shared" si="21"/>
        <v>0</v>
      </c>
      <c r="AE14">
        <f t="shared" si="22"/>
        <v>0</v>
      </c>
      <c r="AF14">
        <f t="shared" si="23"/>
        <v>0</v>
      </c>
      <c r="AG14">
        <f t="shared" si="24"/>
        <v>0</v>
      </c>
      <c r="AH14">
        <f t="shared" si="25"/>
        <v>0</v>
      </c>
      <c r="AI14">
        <f t="shared" si="26"/>
        <v>0</v>
      </c>
      <c r="AJ14">
        <f t="shared" si="27"/>
        <v>0</v>
      </c>
      <c r="AK14">
        <f t="shared" si="28"/>
        <v>0</v>
      </c>
      <c r="AL14">
        <f t="shared" si="29"/>
        <v>0</v>
      </c>
      <c r="AM14">
        <f t="shared" si="30"/>
        <v>0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0</v>
      </c>
      <c r="CW14">
        <f t="shared" si="91"/>
        <v>0</v>
      </c>
      <c r="CX14">
        <f t="shared" si="92"/>
        <v>0</v>
      </c>
      <c r="CY14">
        <f t="shared" si="92"/>
        <v>0</v>
      </c>
      <c r="CZ14">
        <f t="shared" si="93"/>
        <v>0</v>
      </c>
      <c r="DA14">
        <f t="shared" si="93"/>
        <v>0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 t="e" vm="2">
        <f ca="1">'Required Capacity (Hide)'!E15</f>
        <v>#VALUE!</v>
      </c>
      <c r="J15">
        <f t="shared" si="1"/>
        <v>0</v>
      </c>
      <c r="K15">
        <f t="shared" si="2"/>
        <v>0</v>
      </c>
      <c r="L15">
        <f t="shared" si="3"/>
        <v>0</v>
      </c>
      <c r="M15">
        <f t="shared" si="4"/>
        <v>0</v>
      </c>
      <c r="N15">
        <f t="shared" si="5"/>
        <v>0</v>
      </c>
      <c r="O15">
        <f t="shared" si="6"/>
        <v>0</v>
      </c>
      <c r="P15">
        <f t="shared" si="7"/>
        <v>0</v>
      </c>
      <c r="Q15">
        <f t="shared" si="8"/>
        <v>0</v>
      </c>
      <c r="R15">
        <f t="shared" si="9"/>
        <v>0</v>
      </c>
      <c r="S15">
        <f t="shared" si="10"/>
        <v>0</v>
      </c>
      <c r="T15">
        <f t="shared" si="11"/>
        <v>0</v>
      </c>
      <c r="U15">
        <f t="shared" si="12"/>
        <v>0</v>
      </c>
      <c r="V15">
        <f t="shared" si="13"/>
        <v>0</v>
      </c>
      <c r="W15">
        <f t="shared" si="14"/>
        <v>0</v>
      </c>
      <c r="X15">
        <f t="shared" si="15"/>
        <v>0</v>
      </c>
      <c r="Y15">
        <f t="shared" si="16"/>
        <v>0</v>
      </c>
      <c r="Z15">
        <f t="shared" si="17"/>
        <v>0</v>
      </c>
      <c r="AA15">
        <f t="shared" si="18"/>
        <v>0</v>
      </c>
      <c r="AB15">
        <f t="shared" si="19"/>
        <v>0</v>
      </c>
      <c r="AC15">
        <f t="shared" si="20"/>
        <v>0</v>
      </c>
      <c r="AD15">
        <f t="shared" si="21"/>
        <v>0</v>
      </c>
      <c r="AE15">
        <f t="shared" si="22"/>
        <v>0</v>
      </c>
      <c r="AF15">
        <f t="shared" si="23"/>
        <v>0</v>
      </c>
      <c r="AG15">
        <f t="shared" si="24"/>
        <v>0</v>
      </c>
      <c r="AH15">
        <f t="shared" si="25"/>
        <v>0</v>
      </c>
      <c r="AI15">
        <f t="shared" si="26"/>
        <v>0</v>
      </c>
      <c r="AJ15">
        <f t="shared" si="27"/>
        <v>0</v>
      </c>
      <c r="AK15">
        <f t="shared" si="28"/>
        <v>0</v>
      </c>
      <c r="AL15">
        <f t="shared" si="29"/>
        <v>0</v>
      </c>
      <c r="AM15">
        <f t="shared" si="30"/>
        <v>0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0</v>
      </c>
      <c r="CW15">
        <f t="shared" si="91"/>
        <v>0</v>
      </c>
      <c r="CX15">
        <f t="shared" si="92"/>
        <v>0</v>
      </c>
      <c r="CY15">
        <f t="shared" si="92"/>
        <v>0</v>
      </c>
      <c r="CZ15">
        <f t="shared" si="93"/>
        <v>0</v>
      </c>
      <c r="DA15">
        <f t="shared" si="93"/>
        <v>0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 t="e" vm="2">
        <f ca="1">'Required Capacity (Hide)'!E16</f>
        <v>#VALUE!</v>
      </c>
      <c r="J16">
        <f t="shared" si="1"/>
        <v>0</v>
      </c>
      <c r="K16">
        <f t="shared" si="2"/>
        <v>0</v>
      </c>
      <c r="L16">
        <f t="shared" si="3"/>
        <v>0</v>
      </c>
      <c r="M16">
        <f t="shared" si="4"/>
        <v>0</v>
      </c>
      <c r="N16">
        <f t="shared" si="5"/>
        <v>0</v>
      </c>
      <c r="O16">
        <f t="shared" si="6"/>
        <v>0</v>
      </c>
      <c r="P16">
        <f t="shared" si="7"/>
        <v>0</v>
      </c>
      <c r="Q16">
        <f t="shared" si="8"/>
        <v>0</v>
      </c>
      <c r="R16">
        <f t="shared" si="9"/>
        <v>0</v>
      </c>
      <c r="S16">
        <f t="shared" si="10"/>
        <v>0</v>
      </c>
      <c r="T16">
        <f t="shared" si="11"/>
        <v>0</v>
      </c>
      <c r="U16">
        <f t="shared" si="12"/>
        <v>0</v>
      </c>
      <c r="V16">
        <f t="shared" si="13"/>
        <v>0</v>
      </c>
      <c r="W16">
        <f t="shared" si="14"/>
        <v>0</v>
      </c>
      <c r="X16">
        <f t="shared" si="15"/>
        <v>0</v>
      </c>
      <c r="Y16">
        <f t="shared" si="16"/>
        <v>0</v>
      </c>
      <c r="Z16">
        <f t="shared" si="17"/>
        <v>0</v>
      </c>
      <c r="AA16">
        <f t="shared" si="18"/>
        <v>0</v>
      </c>
      <c r="AB16">
        <f t="shared" si="19"/>
        <v>0</v>
      </c>
      <c r="AC16">
        <f t="shared" si="20"/>
        <v>0</v>
      </c>
      <c r="AD16">
        <f t="shared" si="21"/>
        <v>0</v>
      </c>
      <c r="AE16">
        <f t="shared" si="22"/>
        <v>0</v>
      </c>
      <c r="AF16">
        <f t="shared" si="23"/>
        <v>0</v>
      </c>
      <c r="AG16">
        <f t="shared" si="24"/>
        <v>0</v>
      </c>
      <c r="AH16">
        <f t="shared" si="25"/>
        <v>0</v>
      </c>
      <c r="AI16">
        <f t="shared" si="26"/>
        <v>0</v>
      </c>
      <c r="AJ16">
        <f t="shared" si="27"/>
        <v>0</v>
      </c>
      <c r="AK16">
        <f t="shared" si="28"/>
        <v>0</v>
      </c>
      <c r="AL16">
        <f t="shared" si="29"/>
        <v>0</v>
      </c>
      <c r="AM16">
        <f t="shared" si="30"/>
        <v>0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0</v>
      </c>
      <c r="CW16">
        <f t="shared" si="91"/>
        <v>0</v>
      </c>
      <c r="CX16">
        <f t="shared" si="92"/>
        <v>0</v>
      </c>
      <c r="CY16">
        <f t="shared" si="92"/>
        <v>0</v>
      </c>
      <c r="CZ16">
        <f t="shared" si="93"/>
        <v>0</v>
      </c>
      <c r="DA16">
        <f t="shared" si="93"/>
        <v>0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 t="e" vm="2">
        <f ca="1">'Required Capacity (Hide)'!E17</f>
        <v>#VALUE!</v>
      </c>
      <c r="J17">
        <f t="shared" si="1"/>
        <v>0</v>
      </c>
      <c r="K17">
        <f t="shared" si="2"/>
        <v>0</v>
      </c>
      <c r="L17">
        <f t="shared" si="3"/>
        <v>0</v>
      </c>
      <c r="M17">
        <f t="shared" si="4"/>
        <v>0</v>
      </c>
      <c r="N17">
        <f t="shared" si="5"/>
        <v>0</v>
      </c>
      <c r="O17">
        <f t="shared" si="6"/>
        <v>0</v>
      </c>
      <c r="P17">
        <f t="shared" si="7"/>
        <v>0</v>
      </c>
      <c r="Q17">
        <f t="shared" si="8"/>
        <v>0</v>
      </c>
      <c r="R17">
        <f t="shared" si="9"/>
        <v>0</v>
      </c>
      <c r="S17">
        <f t="shared" si="10"/>
        <v>0</v>
      </c>
      <c r="T17">
        <f t="shared" si="11"/>
        <v>0</v>
      </c>
      <c r="U17">
        <f t="shared" si="12"/>
        <v>0</v>
      </c>
      <c r="V17">
        <f t="shared" si="13"/>
        <v>0</v>
      </c>
      <c r="W17">
        <f t="shared" si="14"/>
        <v>0</v>
      </c>
      <c r="X17">
        <f t="shared" si="15"/>
        <v>0</v>
      </c>
      <c r="Y17">
        <f t="shared" si="16"/>
        <v>0</v>
      </c>
      <c r="Z17">
        <f t="shared" si="17"/>
        <v>0</v>
      </c>
      <c r="AA17">
        <f t="shared" si="18"/>
        <v>0</v>
      </c>
      <c r="AB17">
        <f t="shared" si="19"/>
        <v>0</v>
      </c>
      <c r="AC17">
        <f t="shared" si="20"/>
        <v>0</v>
      </c>
      <c r="AD17">
        <f t="shared" si="21"/>
        <v>0</v>
      </c>
      <c r="AE17">
        <f t="shared" si="22"/>
        <v>0</v>
      </c>
      <c r="AF17">
        <f t="shared" si="23"/>
        <v>0</v>
      </c>
      <c r="AG17">
        <f t="shared" si="24"/>
        <v>0</v>
      </c>
      <c r="AH17">
        <f t="shared" si="25"/>
        <v>0</v>
      </c>
      <c r="AI17">
        <f t="shared" si="26"/>
        <v>0</v>
      </c>
      <c r="AJ17">
        <f t="shared" si="27"/>
        <v>0</v>
      </c>
      <c r="AK17">
        <f t="shared" si="28"/>
        <v>0</v>
      </c>
      <c r="AL17">
        <f t="shared" si="29"/>
        <v>0</v>
      </c>
      <c r="AM17">
        <f t="shared" si="30"/>
        <v>0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0</v>
      </c>
      <c r="CW17">
        <f t="shared" si="91"/>
        <v>0</v>
      </c>
      <c r="CX17">
        <f t="shared" si="92"/>
        <v>0</v>
      </c>
      <c r="CY17">
        <f t="shared" si="92"/>
        <v>0</v>
      </c>
      <c r="CZ17">
        <f t="shared" si="93"/>
        <v>0</v>
      </c>
      <c r="DA17">
        <f t="shared" si="93"/>
        <v>0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 t="e" vm="2">
        <f ca="1">'Required Capacity (Hide)'!E18</f>
        <v>#VALUE!</v>
      </c>
      <c r="J18">
        <f t="shared" si="1"/>
        <v>0</v>
      </c>
      <c r="K18">
        <f t="shared" si="2"/>
        <v>0</v>
      </c>
      <c r="L18">
        <f t="shared" si="3"/>
        <v>0</v>
      </c>
      <c r="M18">
        <f t="shared" si="4"/>
        <v>0</v>
      </c>
      <c r="N18">
        <f t="shared" si="5"/>
        <v>0</v>
      </c>
      <c r="O18">
        <f t="shared" si="6"/>
        <v>0</v>
      </c>
      <c r="P18">
        <f t="shared" si="7"/>
        <v>0</v>
      </c>
      <c r="Q18">
        <f t="shared" si="8"/>
        <v>0</v>
      </c>
      <c r="R18">
        <f t="shared" si="9"/>
        <v>0</v>
      </c>
      <c r="S18">
        <f t="shared" si="10"/>
        <v>0</v>
      </c>
      <c r="T18">
        <f t="shared" si="11"/>
        <v>0</v>
      </c>
      <c r="U18">
        <f t="shared" si="12"/>
        <v>0</v>
      </c>
      <c r="V18">
        <f t="shared" si="13"/>
        <v>0</v>
      </c>
      <c r="W18">
        <f t="shared" si="14"/>
        <v>0</v>
      </c>
      <c r="X18">
        <f t="shared" si="15"/>
        <v>0</v>
      </c>
      <c r="Y18">
        <f t="shared" si="16"/>
        <v>0</v>
      </c>
      <c r="Z18">
        <f t="shared" si="17"/>
        <v>0</v>
      </c>
      <c r="AA18">
        <f t="shared" si="18"/>
        <v>0</v>
      </c>
      <c r="AB18">
        <f t="shared" si="19"/>
        <v>0</v>
      </c>
      <c r="AC18">
        <f t="shared" si="20"/>
        <v>0</v>
      </c>
      <c r="AD18">
        <f t="shared" si="21"/>
        <v>0</v>
      </c>
      <c r="AE18">
        <f t="shared" si="22"/>
        <v>0</v>
      </c>
      <c r="AF18">
        <f t="shared" si="23"/>
        <v>0</v>
      </c>
      <c r="AG18">
        <f t="shared" si="24"/>
        <v>0</v>
      </c>
      <c r="AH18">
        <f t="shared" si="25"/>
        <v>0</v>
      </c>
      <c r="AI18">
        <f t="shared" si="26"/>
        <v>0</v>
      </c>
      <c r="AJ18">
        <f t="shared" si="27"/>
        <v>0</v>
      </c>
      <c r="AK18">
        <f t="shared" si="28"/>
        <v>0</v>
      </c>
      <c r="AL18">
        <f t="shared" si="29"/>
        <v>0</v>
      </c>
      <c r="AM18">
        <f t="shared" si="30"/>
        <v>0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0</v>
      </c>
      <c r="CW18">
        <f t="shared" si="91"/>
        <v>0</v>
      </c>
      <c r="CX18">
        <f t="shared" si="92"/>
        <v>0</v>
      </c>
      <c r="CY18">
        <f t="shared" si="92"/>
        <v>0</v>
      </c>
      <c r="CZ18">
        <f t="shared" si="93"/>
        <v>0</v>
      </c>
      <c r="DA18">
        <f t="shared" si="93"/>
        <v>0</v>
      </c>
    </row>
    <row r="19" spans="1:105" x14ac:dyDescent="0.35">
      <c r="I19" s="12" t="e" vm="2">
        <f ca="1">'Required Capacity (Hide)'!E19</f>
        <v>#VALUE!</v>
      </c>
      <c r="J19">
        <f t="shared" si="1"/>
        <v>0</v>
      </c>
      <c r="K19">
        <f t="shared" si="2"/>
        <v>0</v>
      </c>
      <c r="L19">
        <f t="shared" si="3"/>
        <v>0</v>
      </c>
      <c r="M19">
        <f t="shared" si="4"/>
        <v>0</v>
      </c>
      <c r="N19">
        <f t="shared" si="5"/>
        <v>0</v>
      </c>
      <c r="O19">
        <f t="shared" si="6"/>
        <v>0</v>
      </c>
      <c r="P19">
        <f t="shared" si="7"/>
        <v>0</v>
      </c>
      <c r="Q19">
        <f t="shared" si="8"/>
        <v>0</v>
      </c>
      <c r="R19">
        <f t="shared" si="9"/>
        <v>0</v>
      </c>
      <c r="S19">
        <f t="shared" si="10"/>
        <v>0</v>
      </c>
      <c r="T19">
        <f t="shared" si="11"/>
        <v>0</v>
      </c>
      <c r="U19">
        <f t="shared" si="12"/>
        <v>0</v>
      </c>
      <c r="V19">
        <f t="shared" si="13"/>
        <v>0</v>
      </c>
      <c r="W19">
        <f t="shared" si="14"/>
        <v>0</v>
      </c>
      <c r="X19">
        <f t="shared" si="15"/>
        <v>0</v>
      </c>
      <c r="Y19">
        <f t="shared" si="16"/>
        <v>0</v>
      </c>
      <c r="Z19">
        <f t="shared" si="17"/>
        <v>0</v>
      </c>
      <c r="AA19">
        <f t="shared" si="18"/>
        <v>0</v>
      </c>
      <c r="AB19">
        <f t="shared" si="19"/>
        <v>0</v>
      </c>
      <c r="AC19">
        <f t="shared" si="20"/>
        <v>0</v>
      </c>
      <c r="AD19">
        <f t="shared" si="21"/>
        <v>0</v>
      </c>
      <c r="AE19">
        <f t="shared" si="22"/>
        <v>0</v>
      </c>
      <c r="AF19">
        <f t="shared" si="23"/>
        <v>0</v>
      </c>
      <c r="AG19">
        <f t="shared" si="24"/>
        <v>0</v>
      </c>
      <c r="AH19">
        <f t="shared" si="25"/>
        <v>0</v>
      </c>
      <c r="AI19">
        <f t="shared" si="26"/>
        <v>0</v>
      </c>
      <c r="AJ19">
        <f t="shared" si="27"/>
        <v>0</v>
      </c>
      <c r="AK19">
        <f t="shared" si="28"/>
        <v>0</v>
      </c>
      <c r="AL19">
        <f t="shared" si="29"/>
        <v>0</v>
      </c>
      <c r="AM19">
        <f t="shared" si="30"/>
        <v>0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0</v>
      </c>
      <c r="CW19">
        <f t="shared" si="91"/>
        <v>0</v>
      </c>
      <c r="CX19">
        <f t="shared" si="92"/>
        <v>0</v>
      </c>
      <c r="CY19">
        <f t="shared" si="92"/>
        <v>0</v>
      </c>
      <c r="CZ19">
        <f t="shared" si="93"/>
        <v>0</v>
      </c>
      <c r="DA19">
        <f t="shared" si="93"/>
        <v>0</v>
      </c>
    </row>
    <row r="20" spans="1:105" ht="87" x14ac:dyDescent="0.35">
      <c r="A20" t="s">
        <v>45</v>
      </c>
      <c r="B20" s="71" t="s">
        <v>155</v>
      </c>
      <c r="C20" s="71" t="s">
        <v>156</v>
      </c>
      <c r="D20" s="71" t="s">
        <v>157</v>
      </c>
      <c r="E20" s="71" t="s">
        <v>158</v>
      </c>
      <c r="F20" s="71" t="s">
        <v>159</v>
      </c>
      <c r="G20" s="71" t="s">
        <v>160</v>
      </c>
      <c r="I20" s="12" t="e" vm="2">
        <f ca="1">'Required Capacity (Hide)'!E20</f>
        <v>#VALUE!</v>
      </c>
      <c r="J20">
        <f t="shared" si="1"/>
        <v>0</v>
      </c>
      <c r="K20">
        <f t="shared" si="2"/>
        <v>0</v>
      </c>
      <c r="L20">
        <f t="shared" si="3"/>
        <v>0</v>
      </c>
      <c r="M20">
        <f t="shared" si="4"/>
        <v>0</v>
      </c>
      <c r="N20">
        <f t="shared" si="5"/>
        <v>0</v>
      </c>
      <c r="O20">
        <f t="shared" si="6"/>
        <v>0</v>
      </c>
      <c r="P20">
        <f t="shared" si="7"/>
        <v>0</v>
      </c>
      <c r="Q20">
        <f t="shared" si="8"/>
        <v>0</v>
      </c>
      <c r="R20">
        <f t="shared" si="9"/>
        <v>0</v>
      </c>
      <c r="S20">
        <f t="shared" si="10"/>
        <v>0</v>
      </c>
      <c r="T20">
        <f t="shared" si="11"/>
        <v>0</v>
      </c>
      <c r="U20">
        <f t="shared" si="12"/>
        <v>0</v>
      </c>
      <c r="V20">
        <f t="shared" si="13"/>
        <v>0</v>
      </c>
      <c r="W20">
        <f t="shared" si="14"/>
        <v>0</v>
      </c>
      <c r="X20">
        <f t="shared" si="15"/>
        <v>0</v>
      </c>
      <c r="Y20">
        <f t="shared" si="16"/>
        <v>0</v>
      </c>
      <c r="Z20">
        <f t="shared" si="17"/>
        <v>0</v>
      </c>
      <c r="AA20">
        <f t="shared" si="18"/>
        <v>0</v>
      </c>
      <c r="AB20">
        <f t="shared" si="19"/>
        <v>0</v>
      </c>
      <c r="AC20">
        <f t="shared" si="20"/>
        <v>0</v>
      </c>
      <c r="AD20">
        <f t="shared" si="21"/>
        <v>0</v>
      </c>
      <c r="AE20">
        <f t="shared" si="22"/>
        <v>0</v>
      </c>
      <c r="AF20">
        <f t="shared" si="23"/>
        <v>0</v>
      </c>
      <c r="AG20">
        <f t="shared" si="24"/>
        <v>0</v>
      </c>
      <c r="AH20">
        <f t="shared" si="25"/>
        <v>0</v>
      </c>
      <c r="AI20">
        <f t="shared" si="26"/>
        <v>0</v>
      </c>
      <c r="AJ20">
        <f t="shared" si="27"/>
        <v>0</v>
      </c>
      <c r="AK20">
        <f t="shared" si="28"/>
        <v>0</v>
      </c>
      <c r="AL20">
        <f t="shared" si="29"/>
        <v>0</v>
      </c>
      <c r="AM20">
        <f t="shared" si="30"/>
        <v>0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0</v>
      </c>
      <c r="CW20">
        <f t="shared" si="91"/>
        <v>0</v>
      </c>
      <c r="CX20">
        <f t="shared" si="92"/>
        <v>0</v>
      </c>
      <c r="CY20">
        <f t="shared" si="92"/>
        <v>0</v>
      </c>
      <c r="CZ20">
        <f t="shared" si="93"/>
        <v>0</v>
      </c>
      <c r="DA20">
        <f t="shared" si="93"/>
        <v>0</v>
      </c>
    </row>
    <row r="21" spans="1:105" x14ac:dyDescent="0.35">
      <c r="A21" t="str">
        <f>Setup!A20</f>
        <v>Caseload 1</v>
      </c>
      <c r="B21">
        <f>INDEX($H$100:$H$174,MATCH(A21,$A$100:$A$174,0),1)</f>
        <v>0</v>
      </c>
      <c r="C21">
        <f>INDEX($I$100:$I$174,MATCH(A21,$A$100:$A$174,0),1)</f>
        <v>0</v>
      </c>
      <c r="D21">
        <f>IF(Planning!D25="",'Planning Backing (Hide)'!B21,Planning!D25)</f>
        <v>0</v>
      </c>
      <c r="E21">
        <f>IF(Planning!E25="",'Planning Backing (Hide)'!C21,Planning!E25)</f>
        <v>0</v>
      </c>
      <c r="F21" t="str">
        <f>IFERROR($D$21/$B$21,"")</f>
        <v/>
      </c>
      <c r="G21" t="str">
        <f>IFERROR($E$21/$C$21,"")</f>
        <v/>
      </c>
      <c r="I21" s="12" t="e" vm="2">
        <f ca="1">'Required Capacity (Hide)'!E21</f>
        <v>#VALUE!</v>
      </c>
      <c r="J21">
        <f t="shared" si="1"/>
        <v>0</v>
      </c>
      <c r="K21">
        <f t="shared" si="2"/>
        <v>0</v>
      </c>
      <c r="L21">
        <f t="shared" si="3"/>
        <v>0</v>
      </c>
      <c r="M21">
        <f t="shared" si="4"/>
        <v>0</v>
      </c>
      <c r="N21">
        <f t="shared" si="5"/>
        <v>0</v>
      </c>
      <c r="O21">
        <f t="shared" si="6"/>
        <v>0</v>
      </c>
      <c r="P21">
        <f t="shared" si="7"/>
        <v>0</v>
      </c>
      <c r="Q21">
        <f t="shared" si="8"/>
        <v>0</v>
      </c>
      <c r="R21">
        <f t="shared" si="9"/>
        <v>0</v>
      </c>
      <c r="S21">
        <f t="shared" si="10"/>
        <v>0</v>
      </c>
      <c r="T21">
        <f t="shared" si="11"/>
        <v>0</v>
      </c>
      <c r="U21">
        <f t="shared" si="12"/>
        <v>0</v>
      </c>
      <c r="V21">
        <f t="shared" si="13"/>
        <v>0</v>
      </c>
      <c r="W21">
        <f t="shared" si="14"/>
        <v>0</v>
      </c>
      <c r="X21">
        <f t="shared" si="15"/>
        <v>0</v>
      </c>
      <c r="Y21">
        <f t="shared" si="16"/>
        <v>0</v>
      </c>
      <c r="Z21">
        <f t="shared" si="17"/>
        <v>0</v>
      </c>
      <c r="AA21">
        <f t="shared" si="18"/>
        <v>0</v>
      </c>
      <c r="AB21">
        <f t="shared" si="19"/>
        <v>0</v>
      </c>
      <c r="AC21">
        <f t="shared" si="20"/>
        <v>0</v>
      </c>
      <c r="AD21">
        <f t="shared" si="21"/>
        <v>0</v>
      </c>
      <c r="AE21">
        <f t="shared" si="22"/>
        <v>0</v>
      </c>
      <c r="AF21">
        <f t="shared" si="23"/>
        <v>0</v>
      </c>
      <c r="AG21">
        <f t="shared" si="24"/>
        <v>0</v>
      </c>
      <c r="AH21">
        <f t="shared" si="25"/>
        <v>0</v>
      </c>
      <c r="AI21">
        <f t="shared" si="26"/>
        <v>0</v>
      </c>
      <c r="AJ21">
        <f t="shared" si="27"/>
        <v>0</v>
      </c>
      <c r="AK21">
        <f t="shared" si="28"/>
        <v>0</v>
      </c>
      <c r="AL21">
        <f t="shared" si="29"/>
        <v>0</v>
      </c>
      <c r="AM21">
        <f t="shared" si="30"/>
        <v>0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0</v>
      </c>
      <c r="CW21">
        <f t="shared" si="91"/>
        <v>0</v>
      </c>
      <c r="CX21">
        <f t="shared" si="91"/>
        <v>0</v>
      </c>
      <c r="CY21">
        <f t="shared" si="91"/>
        <v>0</v>
      </c>
      <c r="CZ21">
        <f t="shared" si="93"/>
        <v>0</v>
      </c>
      <c r="DA21">
        <f t="shared" si="93"/>
        <v>0</v>
      </c>
    </row>
    <row r="22" spans="1:105" x14ac:dyDescent="0.35">
      <c r="A22" t="str">
        <f>Setup!A21</f>
        <v>Caseload 2</v>
      </c>
      <c r="B22">
        <f t="shared" ref="B22:B35" si="94">INDEX($H$100:$H$174,MATCH(A22,$A$100:$A$174,0),1)</f>
        <v>0</v>
      </c>
      <c r="C22">
        <f t="shared" ref="C22:C35" si="95">INDEX($I$100:$I$174,MATCH(A22,$A$100:$A$174,0),1)</f>
        <v>0</v>
      </c>
      <c r="D22">
        <f>IF(Planning!D26="",'Planning Backing (Hide)'!B22,Planning!D26)</f>
        <v>0</v>
      </c>
      <c r="E22">
        <f>IF(Planning!E26="",'Planning Backing (Hide)'!C22,Planning!E26)</f>
        <v>0</v>
      </c>
      <c r="F22" t="str">
        <f>IFERROR($D$22/$B$22,"")</f>
        <v/>
      </c>
      <c r="G22" t="str">
        <f>IFERROR($E$22/$C$22,"")</f>
        <v/>
      </c>
      <c r="I22" s="12" t="e" vm="2">
        <f ca="1">'Required Capacity (Hide)'!E22</f>
        <v>#VALUE!</v>
      </c>
      <c r="J22">
        <f t="shared" si="1"/>
        <v>0</v>
      </c>
      <c r="K22">
        <f t="shared" si="2"/>
        <v>0</v>
      </c>
      <c r="L22">
        <f t="shared" si="3"/>
        <v>0</v>
      </c>
      <c r="M22">
        <f t="shared" si="4"/>
        <v>0</v>
      </c>
      <c r="N22">
        <f t="shared" si="5"/>
        <v>0</v>
      </c>
      <c r="O22">
        <f t="shared" si="6"/>
        <v>0</v>
      </c>
      <c r="P22">
        <f t="shared" si="7"/>
        <v>0</v>
      </c>
      <c r="Q22">
        <f t="shared" si="8"/>
        <v>0</v>
      </c>
      <c r="R22">
        <f t="shared" si="9"/>
        <v>0</v>
      </c>
      <c r="S22">
        <f t="shared" si="10"/>
        <v>0</v>
      </c>
      <c r="T22">
        <f t="shared" si="11"/>
        <v>0</v>
      </c>
      <c r="U22">
        <f t="shared" si="12"/>
        <v>0</v>
      </c>
      <c r="V22">
        <f t="shared" si="13"/>
        <v>0</v>
      </c>
      <c r="W22">
        <f t="shared" si="14"/>
        <v>0</v>
      </c>
      <c r="X22">
        <f t="shared" si="15"/>
        <v>0</v>
      </c>
      <c r="Y22">
        <f t="shared" si="16"/>
        <v>0</v>
      </c>
      <c r="Z22">
        <f t="shared" si="17"/>
        <v>0</v>
      </c>
      <c r="AA22">
        <f t="shared" si="18"/>
        <v>0</v>
      </c>
      <c r="AB22">
        <f t="shared" si="19"/>
        <v>0</v>
      </c>
      <c r="AC22">
        <f t="shared" si="20"/>
        <v>0</v>
      </c>
      <c r="AD22">
        <f t="shared" si="21"/>
        <v>0</v>
      </c>
      <c r="AE22">
        <f t="shared" si="22"/>
        <v>0</v>
      </c>
      <c r="AF22">
        <f t="shared" si="23"/>
        <v>0</v>
      </c>
      <c r="AG22">
        <f t="shared" si="24"/>
        <v>0</v>
      </c>
      <c r="AH22">
        <f t="shared" si="25"/>
        <v>0</v>
      </c>
      <c r="AI22">
        <f t="shared" si="26"/>
        <v>0</v>
      </c>
      <c r="AJ22">
        <f t="shared" si="27"/>
        <v>0</v>
      </c>
      <c r="AK22">
        <f t="shared" si="28"/>
        <v>0</v>
      </c>
      <c r="AL22">
        <f t="shared" si="29"/>
        <v>0</v>
      </c>
      <c r="AM22">
        <f t="shared" si="30"/>
        <v>0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0</v>
      </c>
      <c r="CW22">
        <f t="shared" si="91"/>
        <v>0</v>
      </c>
      <c r="CX22">
        <f t="shared" si="91"/>
        <v>0</v>
      </c>
      <c r="CY22">
        <f t="shared" si="91"/>
        <v>0</v>
      </c>
      <c r="CZ22">
        <f t="shared" si="93"/>
        <v>0</v>
      </c>
      <c r="DA22">
        <f t="shared" si="93"/>
        <v>0</v>
      </c>
    </row>
    <row r="23" spans="1:105" x14ac:dyDescent="0.35">
      <c r="A23" t="str">
        <f>Setup!A22</f>
        <v>Caseload 3</v>
      </c>
      <c r="B23">
        <f t="shared" si="94"/>
        <v>0</v>
      </c>
      <c r="C23">
        <f t="shared" si="95"/>
        <v>0</v>
      </c>
      <c r="D23">
        <f>IF(Planning!D27="",'Planning Backing (Hide)'!B23,Planning!D27)</f>
        <v>0</v>
      </c>
      <c r="E23">
        <f>IF(Planning!E27="",'Planning Backing (Hide)'!C23,Planning!E27)</f>
        <v>0</v>
      </c>
      <c r="F23" t="str">
        <f>IFERROR($D$23/$B$23,"")</f>
        <v/>
      </c>
      <c r="G23" t="str">
        <f>IFERROR($E$23/$C$23,"")</f>
        <v/>
      </c>
      <c r="I23" s="12" t="e" vm="2">
        <f ca="1">'Required Capacity (Hide)'!E23</f>
        <v>#VALUE!</v>
      </c>
      <c r="J23">
        <f t="shared" si="1"/>
        <v>0</v>
      </c>
      <c r="K23">
        <f t="shared" si="2"/>
        <v>0</v>
      </c>
      <c r="L23">
        <f t="shared" si="3"/>
        <v>0</v>
      </c>
      <c r="M23">
        <f t="shared" si="4"/>
        <v>0</v>
      </c>
      <c r="N23">
        <f t="shared" si="5"/>
        <v>0</v>
      </c>
      <c r="O23">
        <f t="shared" si="6"/>
        <v>0</v>
      </c>
      <c r="P23">
        <f t="shared" si="7"/>
        <v>0</v>
      </c>
      <c r="Q23">
        <f t="shared" si="8"/>
        <v>0</v>
      </c>
      <c r="R23">
        <f t="shared" si="9"/>
        <v>0</v>
      </c>
      <c r="S23">
        <f t="shared" si="10"/>
        <v>0</v>
      </c>
      <c r="T23">
        <f t="shared" si="11"/>
        <v>0</v>
      </c>
      <c r="U23">
        <f t="shared" si="12"/>
        <v>0</v>
      </c>
      <c r="V23">
        <f t="shared" si="13"/>
        <v>0</v>
      </c>
      <c r="W23">
        <f t="shared" si="14"/>
        <v>0</v>
      </c>
      <c r="X23">
        <f t="shared" si="15"/>
        <v>0</v>
      </c>
      <c r="Y23">
        <f t="shared" si="16"/>
        <v>0</v>
      </c>
      <c r="Z23">
        <f t="shared" si="17"/>
        <v>0</v>
      </c>
      <c r="AA23">
        <f t="shared" si="18"/>
        <v>0</v>
      </c>
      <c r="AB23">
        <f t="shared" si="19"/>
        <v>0</v>
      </c>
      <c r="AC23">
        <f t="shared" si="20"/>
        <v>0</v>
      </c>
      <c r="AD23">
        <f t="shared" si="21"/>
        <v>0</v>
      </c>
      <c r="AE23">
        <f t="shared" si="22"/>
        <v>0</v>
      </c>
      <c r="AF23">
        <f t="shared" si="23"/>
        <v>0</v>
      </c>
      <c r="AG23">
        <f t="shared" si="24"/>
        <v>0</v>
      </c>
      <c r="AH23">
        <f t="shared" si="25"/>
        <v>0</v>
      </c>
      <c r="AI23">
        <f t="shared" si="26"/>
        <v>0</v>
      </c>
      <c r="AJ23">
        <f t="shared" si="27"/>
        <v>0</v>
      </c>
      <c r="AK23">
        <f t="shared" si="28"/>
        <v>0</v>
      </c>
      <c r="AL23">
        <f t="shared" si="29"/>
        <v>0</v>
      </c>
      <c r="AM23">
        <f t="shared" si="30"/>
        <v>0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0</v>
      </c>
      <c r="CW23">
        <f t="shared" si="91"/>
        <v>0</v>
      </c>
      <c r="CX23">
        <f t="shared" si="91"/>
        <v>0</v>
      </c>
      <c r="CY23">
        <f t="shared" si="91"/>
        <v>0</v>
      </c>
      <c r="CZ23">
        <f t="shared" si="93"/>
        <v>0</v>
      </c>
      <c r="DA23">
        <f t="shared" si="93"/>
        <v>0</v>
      </c>
    </row>
    <row r="24" spans="1:105" x14ac:dyDescent="0.35">
      <c r="A24" t="str">
        <f>Setup!A23</f>
        <v>Caseload 4</v>
      </c>
      <c r="B24">
        <f t="shared" si="94"/>
        <v>0</v>
      </c>
      <c r="C24">
        <f t="shared" si="95"/>
        <v>0</v>
      </c>
      <c r="D24">
        <f>IF(Planning!D28="",'Planning Backing (Hide)'!B24,Planning!D28)</f>
        <v>0</v>
      </c>
      <c r="E24">
        <f>IF(Planning!E28="",'Planning Backing (Hide)'!C24,Planning!E28)</f>
        <v>0</v>
      </c>
      <c r="F24" t="str">
        <f>IFERROR($D$24/$B$24,"")</f>
        <v/>
      </c>
      <c r="G24" t="str">
        <f>IFERROR($E$24/$C$24,"")</f>
        <v/>
      </c>
      <c r="I24" s="12" t="e" vm="2">
        <f ca="1">'Required Capacity (Hide)'!E24</f>
        <v>#VALUE!</v>
      </c>
      <c r="J24">
        <f t="shared" si="1"/>
        <v>0</v>
      </c>
      <c r="K24">
        <f t="shared" si="2"/>
        <v>0</v>
      </c>
      <c r="L24">
        <f t="shared" si="3"/>
        <v>0</v>
      </c>
      <c r="M24">
        <f t="shared" si="4"/>
        <v>0</v>
      </c>
      <c r="N24">
        <f t="shared" si="5"/>
        <v>0</v>
      </c>
      <c r="O24">
        <f t="shared" si="6"/>
        <v>0</v>
      </c>
      <c r="P24">
        <f t="shared" si="7"/>
        <v>0</v>
      </c>
      <c r="Q24">
        <f t="shared" si="8"/>
        <v>0</v>
      </c>
      <c r="R24">
        <f t="shared" si="9"/>
        <v>0</v>
      </c>
      <c r="S24">
        <f t="shared" si="10"/>
        <v>0</v>
      </c>
      <c r="T24">
        <f t="shared" si="11"/>
        <v>0</v>
      </c>
      <c r="U24">
        <f t="shared" si="12"/>
        <v>0</v>
      </c>
      <c r="V24">
        <f t="shared" si="13"/>
        <v>0</v>
      </c>
      <c r="W24">
        <f t="shared" si="14"/>
        <v>0</v>
      </c>
      <c r="X24">
        <f t="shared" si="15"/>
        <v>0</v>
      </c>
      <c r="Y24">
        <f t="shared" si="16"/>
        <v>0</v>
      </c>
      <c r="Z24">
        <f t="shared" si="17"/>
        <v>0</v>
      </c>
      <c r="AA24">
        <f t="shared" si="18"/>
        <v>0</v>
      </c>
      <c r="AB24">
        <f t="shared" si="19"/>
        <v>0</v>
      </c>
      <c r="AC24">
        <f t="shared" si="20"/>
        <v>0</v>
      </c>
      <c r="AD24">
        <f t="shared" si="21"/>
        <v>0</v>
      </c>
      <c r="AE24">
        <f t="shared" si="22"/>
        <v>0</v>
      </c>
      <c r="AF24">
        <f t="shared" si="23"/>
        <v>0</v>
      </c>
      <c r="AG24">
        <f t="shared" si="24"/>
        <v>0</v>
      </c>
      <c r="AH24">
        <f t="shared" si="25"/>
        <v>0</v>
      </c>
      <c r="AI24">
        <f t="shared" si="26"/>
        <v>0</v>
      </c>
      <c r="AJ24">
        <f t="shared" si="27"/>
        <v>0</v>
      </c>
      <c r="AK24">
        <f t="shared" si="28"/>
        <v>0</v>
      </c>
      <c r="AL24">
        <f t="shared" si="29"/>
        <v>0</v>
      </c>
      <c r="AM24">
        <f t="shared" si="30"/>
        <v>0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0</v>
      </c>
      <c r="CW24">
        <f t="shared" si="91"/>
        <v>0</v>
      </c>
      <c r="CX24">
        <f t="shared" si="91"/>
        <v>0</v>
      </c>
      <c r="CY24">
        <f t="shared" si="91"/>
        <v>0</v>
      </c>
      <c r="CZ24">
        <f t="shared" si="93"/>
        <v>0</v>
      </c>
      <c r="DA24">
        <f t="shared" si="93"/>
        <v>0</v>
      </c>
    </row>
    <row r="25" spans="1:105" x14ac:dyDescent="0.35">
      <c r="A25" t="str">
        <f>Setup!A24</f>
        <v>Caseload 5</v>
      </c>
      <c r="B25">
        <f t="shared" si="94"/>
        <v>0</v>
      </c>
      <c r="C25">
        <f t="shared" si="95"/>
        <v>0</v>
      </c>
      <c r="D25">
        <f>IF(Planning!D29="",'Planning Backing (Hide)'!B25,Planning!D29)</f>
        <v>0</v>
      </c>
      <c r="E25">
        <f>IF(Planning!E29="",'Planning Backing (Hide)'!C25,Planning!E29)</f>
        <v>0</v>
      </c>
      <c r="F25" t="str">
        <f>IFERROR($D$25/$B$25,"")</f>
        <v/>
      </c>
      <c r="G25" t="str">
        <f>IFERROR($E$25/$C$25,"")</f>
        <v/>
      </c>
      <c r="I25" s="12" t="e" vm="2">
        <f ca="1">'Required Capacity (Hide)'!E25</f>
        <v>#VALUE!</v>
      </c>
      <c r="J25">
        <f t="shared" si="1"/>
        <v>0</v>
      </c>
      <c r="K25">
        <f t="shared" si="2"/>
        <v>0</v>
      </c>
      <c r="L25">
        <f t="shared" si="3"/>
        <v>0</v>
      </c>
      <c r="M25">
        <f t="shared" si="4"/>
        <v>0</v>
      </c>
      <c r="N25">
        <f t="shared" si="5"/>
        <v>0</v>
      </c>
      <c r="O25">
        <f t="shared" si="6"/>
        <v>0</v>
      </c>
      <c r="P25">
        <f t="shared" si="7"/>
        <v>0</v>
      </c>
      <c r="Q25">
        <f t="shared" si="8"/>
        <v>0</v>
      </c>
      <c r="R25">
        <f t="shared" si="9"/>
        <v>0</v>
      </c>
      <c r="S25">
        <f t="shared" si="10"/>
        <v>0</v>
      </c>
      <c r="T25">
        <f t="shared" si="11"/>
        <v>0</v>
      </c>
      <c r="U25">
        <f t="shared" si="12"/>
        <v>0</v>
      </c>
      <c r="V25">
        <f t="shared" si="13"/>
        <v>0</v>
      </c>
      <c r="W25">
        <f t="shared" si="14"/>
        <v>0</v>
      </c>
      <c r="X25">
        <f t="shared" si="15"/>
        <v>0</v>
      </c>
      <c r="Y25">
        <f t="shared" si="16"/>
        <v>0</v>
      </c>
      <c r="Z25">
        <f t="shared" si="17"/>
        <v>0</v>
      </c>
      <c r="AA25">
        <f t="shared" si="18"/>
        <v>0</v>
      </c>
      <c r="AB25">
        <f t="shared" si="19"/>
        <v>0</v>
      </c>
      <c r="AC25">
        <f t="shared" si="20"/>
        <v>0</v>
      </c>
      <c r="AD25">
        <f t="shared" si="21"/>
        <v>0</v>
      </c>
      <c r="AE25">
        <f t="shared" si="22"/>
        <v>0</v>
      </c>
      <c r="AF25">
        <f t="shared" si="23"/>
        <v>0</v>
      </c>
      <c r="AG25">
        <f t="shared" si="24"/>
        <v>0</v>
      </c>
      <c r="AH25">
        <f t="shared" si="25"/>
        <v>0</v>
      </c>
      <c r="AI25">
        <f t="shared" si="26"/>
        <v>0</v>
      </c>
      <c r="AJ25">
        <f t="shared" si="27"/>
        <v>0</v>
      </c>
      <c r="AK25">
        <f t="shared" si="28"/>
        <v>0</v>
      </c>
      <c r="AL25">
        <f t="shared" si="29"/>
        <v>0</v>
      </c>
      <c r="AM25">
        <f t="shared" si="30"/>
        <v>0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0</v>
      </c>
      <c r="CW25">
        <f t="shared" si="91"/>
        <v>0</v>
      </c>
      <c r="CX25">
        <f t="shared" si="91"/>
        <v>0</v>
      </c>
      <c r="CY25">
        <f t="shared" si="91"/>
        <v>0</v>
      </c>
      <c r="CZ25">
        <f t="shared" si="93"/>
        <v>0</v>
      </c>
      <c r="DA25">
        <f t="shared" si="93"/>
        <v>0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 t="e" vm="2">
        <f ca="1">'Required Capacity (Hide)'!E26</f>
        <v>#VALUE!</v>
      </c>
      <c r="J26">
        <f t="shared" si="1"/>
        <v>0</v>
      </c>
      <c r="K26">
        <f t="shared" si="2"/>
        <v>0</v>
      </c>
      <c r="L26">
        <f t="shared" si="3"/>
        <v>0</v>
      </c>
      <c r="M26">
        <f t="shared" si="4"/>
        <v>0</v>
      </c>
      <c r="N26">
        <f t="shared" si="5"/>
        <v>0</v>
      </c>
      <c r="O26">
        <f t="shared" si="6"/>
        <v>0</v>
      </c>
      <c r="P26">
        <f t="shared" si="7"/>
        <v>0</v>
      </c>
      <c r="Q26">
        <f t="shared" si="8"/>
        <v>0</v>
      </c>
      <c r="R26">
        <f t="shared" si="9"/>
        <v>0</v>
      </c>
      <c r="S26">
        <f t="shared" si="10"/>
        <v>0</v>
      </c>
      <c r="T26">
        <f t="shared" si="11"/>
        <v>0</v>
      </c>
      <c r="U26">
        <f t="shared" si="12"/>
        <v>0</v>
      </c>
      <c r="V26">
        <f t="shared" si="13"/>
        <v>0</v>
      </c>
      <c r="W26">
        <f t="shared" si="14"/>
        <v>0</v>
      </c>
      <c r="X26">
        <f t="shared" si="15"/>
        <v>0</v>
      </c>
      <c r="Y26">
        <f t="shared" si="16"/>
        <v>0</v>
      </c>
      <c r="Z26">
        <f t="shared" si="17"/>
        <v>0</v>
      </c>
      <c r="AA26">
        <f t="shared" si="18"/>
        <v>0</v>
      </c>
      <c r="AB26">
        <f t="shared" si="19"/>
        <v>0</v>
      </c>
      <c r="AC26">
        <f t="shared" si="20"/>
        <v>0</v>
      </c>
      <c r="AD26">
        <f t="shared" si="21"/>
        <v>0</v>
      </c>
      <c r="AE26">
        <f t="shared" si="22"/>
        <v>0</v>
      </c>
      <c r="AF26">
        <f t="shared" si="23"/>
        <v>0</v>
      </c>
      <c r="AG26">
        <f t="shared" si="24"/>
        <v>0</v>
      </c>
      <c r="AH26">
        <f t="shared" si="25"/>
        <v>0</v>
      </c>
      <c r="AI26">
        <f t="shared" si="26"/>
        <v>0</v>
      </c>
      <c r="AJ26">
        <f t="shared" si="27"/>
        <v>0</v>
      </c>
      <c r="AK26">
        <f t="shared" si="28"/>
        <v>0</v>
      </c>
      <c r="AL26">
        <f t="shared" si="29"/>
        <v>0</v>
      </c>
      <c r="AM26">
        <f t="shared" si="30"/>
        <v>0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0</v>
      </c>
      <c r="CW26">
        <f t="shared" si="91"/>
        <v>0</v>
      </c>
      <c r="CX26">
        <f t="shared" si="91"/>
        <v>0</v>
      </c>
      <c r="CY26">
        <f t="shared" si="91"/>
        <v>0</v>
      </c>
      <c r="CZ26">
        <f t="shared" si="93"/>
        <v>0</v>
      </c>
      <c r="DA26">
        <f t="shared" si="93"/>
        <v>0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 t="e" vm="2">
        <f ca="1">'Required Capacity (Hide)'!E27</f>
        <v>#VALUE!</v>
      </c>
      <c r="J27">
        <f t="shared" si="1"/>
        <v>0</v>
      </c>
      <c r="K27">
        <f t="shared" si="2"/>
        <v>0</v>
      </c>
      <c r="L27">
        <f t="shared" si="3"/>
        <v>0</v>
      </c>
      <c r="M27">
        <f t="shared" si="4"/>
        <v>0</v>
      </c>
      <c r="N27">
        <f t="shared" si="5"/>
        <v>0</v>
      </c>
      <c r="O27">
        <f t="shared" si="6"/>
        <v>0</v>
      </c>
      <c r="P27">
        <f t="shared" si="7"/>
        <v>0</v>
      </c>
      <c r="Q27">
        <f t="shared" si="8"/>
        <v>0</v>
      </c>
      <c r="R27">
        <f t="shared" si="9"/>
        <v>0</v>
      </c>
      <c r="S27">
        <f t="shared" si="10"/>
        <v>0</v>
      </c>
      <c r="T27">
        <f t="shared" si="11"/>
        <v>0</v>
      </c>
      <c r="U27">
        <f t="shared" si="12"/>
        <v>0</v>
      </c>
      <c r="V27">
        <f t="shared" si="13"/>
        <v>0</v>
      </c>
      <c r="W27">
        <f t="shared" si="14"/>
        <v>0</v>
      </c>
      <c r="X27">
        <f t="shared" si="15"/>
        <v>0</v>
      </c>
      <c r="Y27">
        <f t="shared" si="16"/>
        <v>0</v>
      </c>
      <c r="Z27">
        <f t="shared" si="17"/>
        <v>0</v>
      </c>
      <c r="AA27">
        <f t="shared" si="18"/>
        <v>0</v>
      </c>
      <c r="AB27">
        <f t="shared" si="19"/>
        <v>0</v>
      </c>
      <c r="AC27">
        <f t="shared" si="20"/>
        <v>0</v>
      </c>
      <c r="AD27">
        <f t="shared" si="21"/>
        <v>0</v>
      </c>
      <c r="AE27">
        <f t="shared" si="22"/>
        <v>0</v>
      </c>
      <c r="AF27">
        <f t="shared" si="23"/>
        <v>0</v>
      </c>
      <c r="AG27">
        <f t="shared" si="24"/>
        <v>0</v>
      </c>
      <c r="AH27">
        <f t="shared" si="25"/>
        <v>0</v>
      </c>
      <c r="AI27">
        <f t="shared" si="26"/>
        <v>0</v>
      </c>
      <c r="AJ27">
        <f t="shared" si="27"/>
        <v>0</v>
      </c>
      <c r="AK27">
        <f t="shared" si="28"/>
        <v>0</v>
      </c>
      <c r="AL27">
        <f t="shared" si="29"/>
        <v>0</v>
      </c>
      <c r="AM27">
        <f t="shared" si="30"/>
        <v>0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0</v>
      </c>
      <c r="CW27">
        <f t="shared" si="91"/>
        <v>0</v>
      </c>
      <c r="CX27">
        <f t="shared" si="91"/>
        <v>0</v>
      </c>
      <c r="CY27">
        <f t="shared" si="91"/>
        <v>0</v>
      </c>
      <c r="CZ27">
        <f t="shared" si="93"/>
        <v>0</v>
      </c>
      <c r="DA27">
        <f t="shared" si="93"/>
        <v>0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 t="e" vm="2">
        <f ca="1">'Required Capacity (Hide)'!E28</f>
        <v>#VALUE!</v>
      </c>
      <c r="J28">
        <f t="shared" si="1"/>
        <v>0</v>
      </c>
      <c r="K28">
        <f t="shared" si="2"/>
        <v>0</v>
      </c>
      <c r="L28">
        <f t="shared" si="3"/>
        <v>0</v>
      </c>
      <c r="M28">
        <f t="shared" si="4"/>
        <v>0</v>
      </c>
      <c r="N28">
        <f t="shared" si="5"/>
        <v>0</v>
      </c>
      <c r="O28">
        <f t="shared" si="6"/>
        <v>0</v>
      </c>
      <c r="P28">
        <f t="shared" si="7"/>
        <v>0</v>
      </c>
      <c r="Q28">
        <f t="shared" si="8"/>
        <v>0</v>
      </c>
      <c r="R28">
        <f t="shared" si="9"/>
        <v>0</v>
      </c>
      <c r="S28">
        <f t="shared" si="10"/>
        <v>0</v>
      </c>
      <c r="T28">
        <f t="shared" si="11"/>
        <v>0</v>
      </c>
      <c r="U28">
        <f t="shared" si="12"/>
        <v>0</v>
      </c>
      <c r="V28">
        <f t="shared" si="13"/>
        <v>0</v>
      </c>
      <c r="W28">
        <f t="shared" si="14"/>
        <v>0</v>
      </c>
      <c r="X28">
        <f t="shared" si="15"/>
        <v>0</v>
      </c>
      <c r="Y28">
        <f t="shared" si="16"/>
        <v>0</v>
      </c>
      <c r="Z28">
        <f t="shared" si="17"/>
        <v>0</v>
      </c>
      <c r="AA28">
        <f t="shared" si="18"/>
        <v>0</v>
      </c>
      <c r="AB28">
        <f t="shared" si="19"/>
        <v>0</v>
      </c>
      <c r="AC28">
        <f t="shared" si="20"/>
        <v>0</v>
      </c>
      <c r="AD28">
        <f t="shared" si="21"/>
        <v>0</v>
      </c>
      <c r="AE28">
        <f t="shared" si="22"/>
        <v>0</v>
      </c>
      <c r="AF28">
        <f t="shared" si="23"/>
        <v>0</v>
      </c>
      <c r="AG28">
        <f t="shared" si="24"/>
        <v>0</v>
      </c>
      <c r="AH28">
        <f t="shared" si="25"/>
        <v>0</v>
      </c>
      <c r="AI28">
        <f t="shared" si="26"/>
        <v>0</v>
      </c>
      <c r="AJ28">
        <f t="shared" si="27"/>
        <v>0</v>
      </c>
      <c r="AK28">
        <f t="shared" si="28"/>
        <v>0</v>
      </c>
      <c r="AL28">
        <f t="shared" si="29"/>
        <v>0</v>
      </c>
      <c r="AM28">
        <f t="shared" si="30"/>
        <v>0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0</v>
      </c>
      <c r="CW28">
        <f t="shared" si="91"/>
        <v>0</v>
      </c>
      <c r="CX28">
        <f t="shared" si="91"/>
        <v>0</v>
      </c>
      <c r="CY28">
        <f t="shared" si="91"/>
        <v>0</v>
      </c>
      <c r="CZ28">
        <f t="shared" si="93"/>
        <v>0</v>
      </c>
      <c r="DA28">
        <f t="shared" si="93"/>
        <v>0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 t="e" vm="2">
        <f ca="1">'Required Capacity (Hide)'!E29</f>
        <v>#VALUE!</v>
      </c>
      <c r="J29">
        <f t="shared" si="1"/>
        <v>0</v>
      </c>
      <c r="K29">
        <f t="shared" si="2"/>
        <v>0</v>
      </c>
      <c r="L29">
        <f t="shared" si="3"/>
        <v>0</v>
      </c>
      <c r="M29">
        <f t="shared" si="4"/>
        <v>0</v>
      </c>
      <c r="N29">
        <f t="shared" si="5"/>
        <v>0</v>
      </c>
      <c r="O29">
        <f t="shared" si="6"/>
        <v>0</v>
      </c>
      <c r="P29">
        <f t="shared" si="7"/>
        <v>0</v>
      </c>
      <c r="Q29">
        <f t="shared" si="8"/>
        <v>0</v>
      </c>
      <c r="R29">
        <f t="shared" si="9"/>
        <v>0</v>
      </c>
      <c r="S29">
        <f t="shared" si="10"/>
        <v>0</v>
      </c>
      <c r="T29">
        <f t="shared" si="11"/>
        <v>0</v>
      </c>
      <c r="U29">
        <f t="shared" si="12"/>
        <v>0</v>
      </c>
      <c r="V29">
        <f t="shared" si="13"/>
        <v>0</v>
      </c>
      <c r="W29">
        <f t="shared" si="14"/>
        <v>0</v>
      </c>
      <c r="X29">
        <f t="shared" si="15"/>
        <v>0</v>
      </c>
      <c r="Y29">
        <f t="shared" si="16"/>
        <v>0</v>
      </c>
      <c r="Z29">
        <f t="shared" si="17"/>
        <v>0</v>
      </c>
      <c r="AA29">
        <f t="shared" si="18"/>
        <v>0</v>
      </c>
      <c r="AB29">
        <f t="shared" si="19"/>
        <v>0</v>
      </c>
      <c r="AC29">
        <f t="shared" si="20"/>
        <v>0</v>
      </c>
      <c r="AD29">
        <f t="shared" si="21"/>
        <v>0</v>
      </c>
      <c r="AE29">
        <f t="shared" si="22"/>
        <v>0</v>
      </c>
      <c r="AF29">
        <f t="shared" si="23"/>
        <v>0</v>
      </c>
      <c r="AG29">
        <f t="shared" si="24"/>
        <v>0</v>
      </c>
      <c r="AH29">
        <f t="shared" si="25"/>
        <v>0</v>
      </c>
      <c r="AI29">
        <f t="shared" si="26"/>
        <v>0</v>
      </c>
      <c r="AJ29">
        <f t="shared" si="27"/>
        <v>0</v>
      </c>
      <c r="AK29">
        <f t="shared" si="28"/>
        <v>0</v>
      </c>
      <c r="AL29">
        <f t="shared" si="29"/>
        <v>0</v>
      </c>
      <c r="AM29">
        <f t="shared" si="30"/>
        <v>0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0</v>
      </c>
      <c r="CW29">
        <f t="shared" si="91"/>
        <v>0</v>
      </c>
      <c r="CX29">
        <f t="shared" si="91"/>
        <v>0</v>
      </c>
      <c r="CY29">
        <f t="shared" si="91"/>
        <v>0</v>
      </c>
      <c r="CZ29">
        <f t="shared" si="93"/>
        <v>0</v>
      </c>
      <c r="DA29">
        <f t="shared" si="93"/>
        <v>0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 t="e" vm="2">
        <f ca="1">'Required Capacity (Hide)'!E30</f>
        <v>#VALUE!</v>
      </c>
      <c r="J30">
        <f t="shared" si="1"/>
        <v>0</v>
      </c>
      <c r="K30">
        <f t="shared" si="2"/>
        <v>0</v>
      </c>
      <c r="L30">
        <f t="shared" si="3"/>
        <v>0</v>
      </c>
      <c r="M30">
        <f t="shared" si="4"/>
        <v>0</v>
      </c>
      <c r="N30">
        <f t="shared" si="5"/>
        <v>0</v>
      </c>
      <c r="O30">
        <f t="shared" si="6"/>
        <v>0</v>
      </c>
      <c r="P30">
        <f t="shared" si="7"/>
        <v>0</v>
      </c>
      <c r="Q30">
        <f t="shared" si="8"/>
        <v>0</v>
      </c>
      <c r="R30">
        <f t="shared" si="9"/>
        <v>0</v>
      </c>
      <c r="S30">
        <f t="shared" si="10"/>
        <v>0</v>
      </c>
      <c r="T30">
        <f t="shared" si="11"/>
        <v>0</v>
      </c>
      <c r="U30">
        <f t="shared" si="12"/>
        <v>0</v>
      </c>
      <c r="V30">
        <f t="shared" si="13"/>
        <v>0</v>
      </c>
      <c r="W30">
        <f t="shared" si="14"/>
        <v>0</v>
      </c>
      <c r="X30">
        <f t="shared" si="15"/>
        <v>0</v>
      </c>
      <c r="Y30">
        <f t="shared" si="16"/>
        <v>0</v>
      </c>
      <c r="Z30">
        <f t="shared" si="17"/>
        <v>0</v>
      </c>
      <c r="AA30">
        <f t="shared" si="18"/>
        <v>0</v>
      </c>
      <c r="AB30">
        <f t="shared" si="19"/>
        <v>0</v>
      </c>
      <c r="AC30">
        <f t="shared" si="20"/>
        <v>0</v>
      </c>
      <c r="AD30">
        <f t="shared" si="21"/>
        <v>0</v>
      </c>
      <c r="AE30">
        <f t="shared" si="22"/>
        <v>0</v>
      </c>
      <c r="AF30">
        <f t="shared" si="23"/>
        <v>0</v>
      </c>
      <c r="AG30">
        <f t="shared" si="24"/>
        <v>0</v>
      </c>
      <c r="AH30">
        <f t="shared" si="25"/>
        <v>0</v>
      </c>
      <c r="AI30">
        <f t="shared" si="26"/>
        <v>0</v>
      </c>
      <c r="AJ30">
        <f t="shared" si="27"/>
        <v>0</v>
      </c>
      <c r="AK30">
        <f t="shared" si="28"/>
        <v>0</v>
      </c>
      <c r="AL30">
        <f t="shared" si="29"/>
        <v>0</v>
      </c>
      <c r="AM30">
        <f t="shared" si="30"/>
        <v>0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0</v>
      </c>
      <c r="CW30">
        <f t="shared" si="91"/>
        <v>0</v>
      </c>
      <c r="CX30">
        <f t="shared" si="91"/>
        <v>0</v>
      </c>
      <c r="CY30">
        <f t="shared" si="91"/>
        <v>0</v>
      </c>
      <c r="CZ30">
        <f t="shared" si="93"/>
        <v>0</v>
      </c>
      <c r="DA30">
        <f t="shared" si="93"/>
        <v>0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 t="e" vm="2">
        <f ca="1">'Required Capacity (Hide)'!E31</f>
        <v>#VALUE!</v>
      </c>
      <c r="J31">
        <f t="shared" si="1"/>
        <v>0</v>
      </c>
      <c r="K31">
        <f t="shared" si="2"/>
        <v>0</v>
      </c>
      <c r="L31">
        <f t="shared" si="3"/>
        <v>0</v>
      </c>
      <c r="M31">
        <f t="shared" si="4"/>
        <v>0</v>
      </c>
      <c r="N31">
        <f t="shared" si="5"/>
        <v>0</v>
      </c>
      <c r="O31">
        <f t="shared" si="6"/>
        <v>0</v>
      </c>
      <c r="P31">
        <f t="shared" si="7"/>
        <v>0</v>
      </c>
      <c r="Q31">
        <f t="shared" si="8"/>
        <v>0</v>
      </c>
      <c r="R31">
        <f t="shared" si="9"/>
        <v>0</v>
      </c>
      <c r="S31">
        <f t="shared" si="10"/>
        <v>0</v>
      </c>
      <c r="T31">
        <f t="shared" si="11"/>
        <v>0</v>
      </c>
      <c r="U31">
        <f t="shared" si="12"/>
        <v>0</v>
      </c>
      <c r="V31">
        <f t="shared" si="13"/>
        <v>0</v>
      </c>
      <c r="W31">
        <f t="shared" si="14"/>
        <v>0</v>
      </c>
      <c r="X31">
        <f t="shared" si="15"/>
        <v>0</v>
      </c>
      <c r="Y31">
        <f t="shared" si="16"/>
        <v>0</v>
      </c>
      <c r="Z31">
        <f t="shared" si="17"/>
        <v>0</v>
      </c>
      <c r="AA31">
        <f t="shared" si="18"/>
        <v>0</v>
      </c>
      <c r="AB31">
        <f t="shared" si="19"/>
        <v>0</v>
      </c>
      <c r="AC31">
        <f t="shared" si="20"/>
        <v>0</v>
      </c>
      <c r="AD31">
        <f t="shared" si="21"/>
        <v>0</v>
      </c>
      <c r="AE31">
        <f t="shared" si="22"/>
        <v>0</v>
      </c>
      <c r="AF31">
        <f t="shared" si="23"/>
        <v>0</v>
      </c>
      <c r="AG31">
        <f t="shared" si="24"/>
        <v>0</v>
      </c>
      <c r="AH31">
        <f t="shared" si="25"/>
        <v>0</v>
      </c>
      <c r="AI31">
        <f t="shared" si="26"/>
        <v>0</v>
      </c>
      <c r="AJ31">
        <f t="shared" si="27"/>
        <v>0</v>
      </c>
      <c r="AK31">
        <f t="shared" si="28"/>
        <v>0</v>
      </c>
      <c r="AL31">
        <f t="shared" si="29"/>
        <v>0</v>
      </c>
      <c r="AM31">
        <f t="shared" si="30"/>
        <v>0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0</v>
      </c>
      <c r="CW31">
        <f t="shared" si="91"/>
        <v>0</v>
      </c>
      <c r="CX31">
        <f t="shared" si="91"/>
        <v>0</v>
      </c>
      <c r="CY31">
        <f t="shared" si="91"/>
        <v>0</v>
      </c>
      <c r="CZ31">
        <f t="shared" si="93"/>
        <v>0</v>
      </c>
      <c r="DA31">
        <f t="shared" si="93"/>
        <v>0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 t="e" vm="2">
        <f ca="1">'Required Capacity (Hide)'!E32</f>
        <v>#VALUE!</v>
      </c>
      <c r="J32">
        <f t="shared" si="1"/>
        <v>0</v>
      </c>
      <c r="K32">
        <f t="shared" si="2"/>
        <v>0</v>
      </c>
      <c r="L32">
        <f t="shared" si="3"/>
        <v>0</v>
      </c>
      <c r="M32">
        <f t="shared" si="4"/>
        <v>0</v>
      </c>
      <c r="N32">
        <f t="shared" si="5"/>
        <v>0</v>
      </c>
      <c r="O32">
        <f t="shared" si="6"/>
        <v>0</v>
      </c>
      <c r="P32">
        <f t="shared" si="7"/>
        <v>0</v>
      </c>
      <c r="Q32">
        <f t="shared" si="8"/>
        <v>0</v>
      </c>
      <c r="R32">
        <f t="shared" si="9"/>
        <v>0</v>
      </c>
      <c r="S32">
        <f t="shared" si="10"/>
        <v>0</v>
      </c>
      <c r="T32">
        <f t="shared" si="11"/>
        <v>0</v>
      </c>
      <c r="U32">
        <f t="shared" si="12"/>
        <v>0</v>
      </c>
      <c r="V32">
        <f t="shared" si="13"/>
        <v>0</v>
      </c>
      <c r="W32">
        <f t="shared" si="14"/>
        <v>0</v>
      </c>
      <c r="X32">
        <f t="shared" si="15"/>
        <v>0</v>
      </c>
      <c r="Y32">
        <f t="shared" si="16"/>
        <v>0</v>
      </c>
      <c r="Z32">
        <f t="shared" si="17"/>
        <v>0</v>
      </c>
      <c r="AA32">
        <f t="shared" si="18"/>
        <v>0</v>
      </c>
      <c r="AB32">
        <f t="shared" si="19"/>
        <v>0</v>
      </c>
      <c r="AC32">
        <f t="shared" si="20"/>
        <v>0</v>
      </c>
      <c r="AD32">
        <f t="shared" si="21"/>
        <v>0</v>
      </c>
      <c r="AE32">
        <f t="shared" si="22"/>
        <v>0</v>
      </c>
      <c r="AF32">
        <f t="shared" si="23"/>
        <v>0</v>
      </c>
      <c r="AG32">
        <f t="shared" si="24"/>
        <v>0</v>
      </c>
      <c r="AH32">
        <f t="shared" si="25"/>
        <v>0</v>
      </c>
      <c r="AI32">
        <f t="shared" si="26"/>
        <v>0</v>
      </c>
      <c r="AJ32">
        <f t="shared" si="27"/>
        <v>0</v>
      </c>
      <c r="AK32">
        <f t="shared" si="28"/>
        <v>0</v>
      </c>
      <c r="AL32">
        <f t="shared" si="29"/>
        <v>0</v>
      </c>
      <c r="AM32">
        <f t="shared" si="30"/>
        <v>0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0</v>
      </c>
      <c r="CW32">
        <f t="shared" si="91"/>
        <v>0</v>
      </c>
      <c r="CX32">
        <f t="shared" si="91"/>
        <v>0</v>
      </c>
      <c r="CY32">
        <f t="shared" si="91"/>
        <v>0</v>
      </c>
      <c r="CZ32">
        <f t="shared" si="93"/>
        <v>0</v>
      </c>
      <c r="DA32">
        <f t="shared" si="93"/>
        <v>0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 t="e" vm="2">
        <f ca="1">'Required Capacity (Hide)'!E33</f>
        <v>#VALUE!</v>
      </c>
      <c r="J33">
        <f t="shared" si="1"/>
        <v>0</v>
      </c>
      <c r="K33">
        <f t="shared" si="2"/>
        <v>0</v>
      </c>
      <c r="L33">
        <f t="shared" si="3"/>
        <v>0</v>
      </c>
      <c r="M33">
        <f t="shared" si="4"/>
        <v>0</v>
      </c>
      <c r="N33">
        <f t="shared" si="5"/>
        <v>0</v>
      </c>
      <c r="O33">
        <f t="shared" si="6"/>
        <v>0</v>
      </c>
      <c r="P33">
        <f t="shared" si="7"/>
        <v>0</v>
      </c>
      <c r="Q33">
        <f t="shared" si="8"/>
        <v>0</v>
      </c>
      <c r="R33">
        <f t="shared" si="9"/>
        <v>0</v>
      </c>
      <c r="S33">
        <f t="shared" si="10"/>
        <v>0</v>
      </c>
      <c r="T33">
        <f t="shared" si="11"/>
        <v>0</v>
      </c>
      <c r="U33">
        <f t="shared" si="12"/>
        <v>0</v>
      </c>
      <c r="V33">
        <f t="shared" si="13"/>
        <v>0</v>
      </c>
      <c r="W33">
        <f t="shared" si="14"/>
        <v>0</v>
      </c>
      <c r="X33">
        <f t="shared" si="15"/>
        <v>0</v>
      </c>
      <c r="Y33">
        <f t="shared" si="16"/>
        <v>0</v>
      </c>
      <c r="Z33">
        <f t="shared" si="17"/>
        <v>0</v>
      </c>
      <c r="AA33">
        <f t="shared" si="18"/>
        <v>0</v>
      </c>
      <c r="AB33">
        <f t="shared" si="19"/>
        <v>0</v>
      </c>
      <c r="AC33">
        <f t="shared" si="20"/>
        <v>0</v>
      </c>
      <c r="AD33">
        <f t="shared" si="21"/>
        <v>0</v>
      </c>
      <c r="AE33">
        <f t="shared" si="22"/>
        <v>0</v>
      </c>
      <c r="AF33">
        <f t="shared" si="23"/>
        <v>0</v>
      </c>
      <c r="AG33">
        <f t="shared" si="24"/>
        <v>0</v>
      </c>
      <c r="AH33">
        <f t="shared" si="25"/>
        <v>0</v>
      </c>
      <c r="AI33">
        <f t="shared" si="26"/>
        <v>0</v>
      </c>
      <c r="AJ33">
        <f t="shared" si="27"/>
        <v>0</v>
      </c>
      <c r="AK33">
        <f t="shared" si="28"/>
        <v>0</v>
      </c>
      <c r="AL33">
        <f t="shared" si="29"/>
        <v>0</v>
      </c>
      <c r="AM33">
        <f t="shared" si="30"/>
        <v>0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0</v>
      </c>
      <c r="CW33">
        <f t="shared" si="91"/>
        <v>0</v>
      </c>
      <c r="CX33">
        <f t="shared" si="91"/>
        <v>0</v>
      </c>
      <c r="CY33">
        <f t="shared" si="91"/>
        <v>0</v>
      </c>
      <c r="CZ33">
        <f t="shared" si="93"/>
        <v>0</v>
      </c>
      <c r="DA33">
        <f t="shared" si="93"/>
        <v>0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 t="e" vm="2">
        <f ca="1">'Required Capacity (Hide)'!E34</f>
        <v>#VALUE!</v>
      </c>
      <c r="J34">
        <f t="shared" si="1"/>
        <v>0</v>
      </c>
      <c r="K34">
        <f t="shared" si="2"/>
        <v>0</v>
      </c>
      <c r="L34">
        <f t="shared" si="3"/>
        <v>0</v>
      </c>
      <c r="M34">
        <f t="shared" si="4"/>
        <v>0</v>
      </c>
      <c r="N34">
        <f t="shared" si="5"/>
        <v>0</v>
      </c>
      <c r="O34">
        <f t="shared" si="6"/>
        <v>0</v>
      </c>
      <c r="P34">
        <f t="shared" si="7"/>
        <v>0</v>
      </c>
      <c r="Q34">
        <f t="shared" si="8"/>
        <v>0</v>
      </c>
      <c r="R34">
        <f t="shared" si="9"/>
        <v>0</v>
      </c>
      <c r="S34">
        <f t="shared" si="10"/>
        <v>0</v>
      </c>
      <c r="T34">
        <f t="shared" si="11"/>
        <v>0</v>
      </c>
      <c r="U34">
        <f t="shared" si="12"/>
        <v>0</v>
      </c>
      <c r="V34">
        <f t="shared" si="13"/>
        <v>0</v>
      </c>
      <c r="W34">
        <f t="shared" si="14"/>
        <v>0</v>
      </c>
      <c r="X34">
        <f t="shared" si="15"/>
        <v>0</v>
      </c>
      <c r="Y34">
        <f t="shared" si="16"/>
        <v>0</v>
      </c>
      <c r="Z34">
        <f t="shared" si="17"/>
        <v>0</v>
      </c>
      <c r="AA34">
        <f t="shared" si="18"/>
        <v>0</v>
      </c>
      <c r="AB34">
        <f t="shared" si="19"/>
        <v>0</v>
      </c>
      <c r="AC34">
        <f t="shared" si="20"/>
        <v>0</v>
      </c>
      <c r="AD34">
        <f t="shared" si="21"/>
        <v>0</v>
      </c>
      <c r="AE34">
        <f t="shared" si="22"/>
        <v>0</v>
      </c>
      <c r="AF34">
        <f t="shared" si="23"/>
        <v>0</v>
      </c>
      <c r="AG34">
        <f t="shared" si="24"/>
        <v>0</v>
      </c>
      <c r="AH34">
        <f t="shared" si="25"/>
        <v>0</v>
      </c>
      <c r="AI34">
        <f t="shared" si="26"/>
        <v>0</v>
      </c>
      <c r="AJ34">
        <f t="shared" si="27"/>
        <v>0</v>
      </c>
      <c r="AK34">
        <f t="shared" si="28"/>
        <v>0</v>
      </c>
      <c r="AL34">
        <f t="shared" si="29"/>
        <v>0</v>
      </c>
      <c r="AM34">
        <f t="shared" si="30"/>
        <v>0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0</v>
      </c>
      <c r="CW34">
        <f t="shared" si="91"/>
        <v>0</v>
      </c>
      <c r="CX34">
        <f t="shared" si="91"/>
        <v>0</v>
      </c>
      <c r="CY34">
        <f t="shared" si="91"/>
        <v>0</v>
      </c>
      <c r="CZ34">
        <f t="shared" si="93"/>
        <v>0</v>
      </c>
      <c r="DA34">
        <f t="shared" si="93"/>
        <v>0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 t="e" vm="2">
        <f ca="1">'Required Capacity (Hide)'!E35</f>
        <v>#VALUE!</v>
      </c>
      <c r="J35">
        <f t="shared" si="1"/>
        <v>0</v>
      </c>
      <c r="K35">
        <f t="shared" si="2"/>
        <v>0</v>
      </c>
      <c r="L35">
        <f t="shared" si="3"/>
        <v>0</v>
      </c>
      <c r="M35">
        <f t="shared" si="4"/>
        <v>0</v>
      </c>
      <c r="N35">
        <f t="shared" si="5"/>
        <v>0</v>
      </c>
      <c r="O35">
        <f t="shared" si="6"/>
        <v>0</v>
      </c>
      <c r="P35">
        <f t="shared" si="7"/>
        <v>0</v>
      </c>
      <c r="Q35">
        <f t="shared" si="8"/>
        <v>0</v>
      </c>
      <c r="R35">
        <f t="shared" si="9"/>
        <v>0</v>
      </c>
      <c r="S35">
        <f t="shared" si="10"/>
        <v>0</v>
      </c>
      <c r="T35">
        <f t="shared" si="11"/>
        <v>0</v>
      </c>
      <c r="U35">
        <f t="shared" si="12"/>
        <v>0</v>
      </c>
      <c r="V35">
        <f t="shared" si="13"/>
        <v>0</v>
      </c>
      <c r="W35">
        <f t="shared" si="14"/>
        <v>0</v>
      </c>
      <c r="X35">
        <f t="shared" si="15"/>
        <v>0</v>
      </c>
      <c r="Y35">
        <f t="shared" si="16"/>
        <v>0</v>
      </c>
      <c r="Z35">
        <f t="shared" si="17"/>
        <v>0</v>
      </c>
      <c r="AA35">
        <f t="shared" si="18"/>
        <v>0</v>
      </c>
      <c r="AB35">
        <f t="shared" si="19"/>
        <v>0</v>
      </c>
      <c r="AC35">
        <f t="shared" si="20"/>
        <v>0</v>
      </c>
      <c r="AD35">
        <f t="shared" si="21"/>
        <v>0</v>
      </c>
      <c r="AE35">
        <f t="shared" si="22"/>
        <v>0</v>
      </c>
      <c r="AF35">
        <f t="shared" si="23"/>
        <v>0</v>
      </c>
      <c r="AG35">
        <f t="shared" si="24"/>
        <v>0</v>
      </c>
      <c r="AH35">
        <f t="shared" si="25"/>
        <v>0</v>
      </c>
      <c r="AI35">
        <f t="shared" si="26"/>
        <v>0</v>
      </c>
      <c r="AJ35">
        <f t="shared" si="27"/>
        <v>0</v>
      </c>
      <c r="AK35">
        <f t="shared" si="28"/>
        <v>0</v>
      </c>
      <c r="AL35">
        <f t="shared" si="29"/>
        <v>0</v>
      </c>
      <c r="AM35">
        <f t="shared" si="30"/>
        <v>0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0</v>
      </c>
      <c r="CW35">
        <f t="shared" si="91"/>
        <v>0</v>
      </c>
      <c r="CX35">
        <f t="shared" si="91"/>
        <v>0</v>
      </c>
      <c r="CY35">
        <f t="shared" si="91"/>
        <v>0</v>
      </c>
      <c r="CZ35">
        <f t="shared" si="93"/>
        <v>0</v>
      </c>
      <c r="DA35">
        <f t="shared" si="93"/>
        <v>0</v>
      </c>
    </row>
    <row r="36" spans="1:105" x14ac:dyDescent="0.35">
      <c r="I36" s="12" t="e" vm="2">
        <f ca="1">'Required Capacity (Hide)'!E36</f>
        <v>#VALUE!</v>
      </c>
      <c r="J36">
        <f t="shared" si="1"/>
        <v>0</v>
      </c>
      <c r="K36">
        <f t="shared" si="2"/>
        <v>0</v>
      </c>
      <c r="L36">
        <f t="shared" si="3"/>
        <v>0</v>
      </c>
      <c r="M36">
        <f t="shared" si="4"/>
        <v>0</v>
      </c>
      <c r="N36">
        <f t="shared" si="5"/>
        <v>0</v>
      </c>
      <c r="O36">
        <f t="shared" si="6"/>
        <v>0</v>
      </c>
      <c r="P36">
        <f t="shared" si="7"/>
        <v>0</v>
      </c>
      <c r="Q36">
        <f t="shared" si="8"/>
        <v>0</v>
      </c>
      <c r="R36">
        <f t="shared" si="9"/>
        <v>0</v>
      </c>
      <c r="S36">
        <f t="shared" si="10"/>
        <v>0</v>
      </c>
      <c r="T36">
        <f t="shared" si="11"/>
        <v>0</v>
      </c>
      <c r="U36">
        <f t="shared" si="12"/>
        <v>0</v>
      </c>
      <c r="V36">
        <f t="shared" si="13"/>
        <v>0</v>
      </c>
      <c r="W36">
        <f t="shared" si="14"/>
        <v>0</v>
      </c>
      <c r="X36">
        <f t="shared" si="15"/>
        <v>0</v>
      </c>
      <c r="Y36">
        <f t="shared" si="16"/>
        <v>0</v>
      </c>
      <c r="Z36">
        <f t="shared" si="17"/>
        <v>0</v>
      </c>
      <c r="AA36">
        <f t="shared" si="18"/>
        <v>0</v>
      </c>
      <c r="AB36">
        <f t="shared" si="19"/>
        <v>0</v>
      </c>
      <c r="AC36">
        <f t="shared" si="20"/>
        <v>0</v>
      </c>
      <c r="AD36">
        <f t="shared" si="21"/>
        <v>0</v>
      </c>
      <c r="AE36">
        <f t="shared" si="22"/>
        <v>0</v>
      </c>
      <c r="AF36">
        <f t="shared" si="23"/>
        <v>0</v>
      </c>
      <c r="AG36">
        <f t="shared" si="24"/>
        <v>0</v>
      </c>
      <c r="AH36">
        <f t="shared" si="25"/>
        <v>0</v>
      </c>
      <c r="AI36">
        <f t="shared" si="26"/>
        <v>0</v>
      </c>
      <c r="AJ36">
        <f t="shared" si="27"/>
        <v>0</v>
      </c>
      <c r="AK36">
        <f t="shared" si="28"/>
        <v>0</v>
      </c>
      <c r="AL36">
        <f t="shared" si="29"/>
        <v>0</v>
      </c>
      <c r="AM36">
        <f t="shared" si="30"/>
        <v>0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0</v>
      </c>
      <c r="CW36">
        <f t="shared" si="91"/>
        <v>0</v>
      </c>
      <c r="CX36">
        <f t="shared" si="91"/>
        <v>0</v>
      </c>
      <c r="CY36">
        <f t="shared" si="91"/>
        <v>0</v>
      </c>
      <c r="CZ36">
        <f t="shared" si="93"/>
        <v>0</v>
      </c>
      <c r="DA36">
        <f t="shared" si="93"/>
        <v>0</v>
      </c>
    </row>
    <row r="37" spans="1:105" x14ac:dyDescent="0.35">
      <c r="I37" s="12" t="e" vm="2">
        <f ca="1">'Required Capacity (Hide)'!E37</f>
        <v>#VALUE!</v>
      </c>
      <c r="J37">
        <f t="shared" si="1"/>
        <v>0</v>
      </c>
      <c r="K37">
        <f t="shared" si="2"/>
        <v>0</v>
      </c>
      <c r="L37">
        <f t="shared" si="3"/>
        <v>0</v>
      </c>
      <c r="M37">
        <f t="shared" si="4"/>
        <v>0</v>
      </c>
      <c r="N37">
        <f t="shared" si="5"/>
        <v>0</v>
      </c>
      <c r="O37">
        <f t="shared" si="6"/>
        <v>0</v>
      </c>
      <c r="P37">
        <f t="shared" si="7"/>
        <v>0</v>
      </c>
      <c r="Q37">
        <f t="shared" si="8"/>
        <v>0</v>
      </c>
      <c r="R37">
        <f t="shared" si="9"/>
        <v>0</v>
      </c>
      <c r="S37">
        <f t="shared" si="10"/>
        <v>0</v>
      </c>
      <c r="T37">
        <f t="shared" si="11"/>
        <v>0</v>
      </c>
      <c r="U37">
        <f t="shared" si="12"/>
        <v>0</v>
      </c>
      <c r="V37">
        <f t="shared" si="13"/>
        <v>0</v>
      </c>
      <c r="W37">
        <f t="shared" si="14"/>
        <v>0</v>
      </c>
      <c r="X37">
        <f t="shared" si="15"/>
        <v>0</v>
      </c>
      <c r="Y37">
        <f t="shared" si="16"/>
        <v>0</v>
      </c>
      <c r="Z37">
        <f t="shared" si="17"/>
        <v>0</v>
      </c>
      <c r="AA37">
        <f t="shared" si="18"/>
        <v>0</v>
      </c>
      <c r="AB37">
        <f t="shared" si="19"/>
        <v>0</v>
      </c>
      <c r="AC37">
        <f t="shared" si="20"/>
        <v>0</v>
      </c>
      <c r="AD37">
        <f t="shared" si="21"/>
        <v>0</v>
      </c>
      <c r="AE37">
        <f t="shared" si="22"/>
        <v>0</v>
      </c>
      <c r="AF37">
        <f t="shared" si="23"/>
        <v>0</v>
      </c>
      <c r="AG37">
        <f t="shared" si="24"/>
        <v>0</v>
      </c>
      <c r="AH37">
        <f t="shared" si="25"/>
        <v>0</v>
      </c>
      <c r="AI37">
        <f t="shared" si="26"/>
        <v>0</v>
      </c>
      <c r="AJ37">
        <f t="shared" si="27"/>
        <v>0</v>
      </c>
      <c r="AK37">
        <f t="shared" si="28"/>
        <v>0</v>
      </c>
      <c r="AL37">
        <f t="shared" si="29"/>
        <v>0</v>
      </c>
      <c r="AM37">
        <f t="shared" si="30"/>
        <v>0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0</v>
      </c>
      <c r="CW37">
        <f t="shared" si="91"/>
        <v>0</v>
      </c>
      <c r="CX37">
        <f t="shared" si="91"/>
        <v>0</v>
      </c>
      <c r="CY37">
        <f t="shared" si="91"/>
        <v>0</v>
      </c>
      <c r="CZ37">
        <f t="shared" si="93"/>
        <v>0</v>
      </c>
      <c r="DA37">
        <f t="shared" si="93"/>
        <v>0</v>
      </c>
    </row>
    <row r="38" spans="1:105" x14ac:dyDescent="0.35">
      <c r="I38" s="12" t="e" vm="2">
        <f ca="1">'Required Capacity (Hide)'!E38</f>
        <v>#VALUE!</v>
      </c>
      <c r="J38">
        <f t="shared" si="1"/>
        <v>0</v>
      </c>
      <c r="K38">
        <f t="shared" si="2"/>
        <v>0</v>
      </c>
      <c r="L38">
        <f t="shared" si="3"/>
        <v>0</v>
      </c>
      <c r="M38">
        <f t="shared" si="4"/>
        <v>0</v>
      </c>
      <c r="N38">
        <f t="shared" si="5"/>
        <v>0</v>
      </c>
      <c r="O38">
        <f t="shared" si="6"/>
        <v>0</v>
      </c>
      <c r="P38">
        <f t="shared" si="7"/>
        <v>0</v>
      </c>
      <c r="Q38">
        <f t="shared" si="8"/>
        <v>0</v>
      </c>
      <c r="R38">
        <f t="shared" si="9"/>
        <v>0</v>
      </c>
      <c r="S38">
        <f t="shared" si="10"/>
        <v>0</v>
      </c>
      <c r="T38">
        <f t="shared" si="11"/>
        <v>0</v>
      </c>
      <c r="U38">
        <f t="shared" si="12"/>
        <v>0</v>
      </c>
      <c r="V38">
        <f t="shared" si="13"/>
        <v>0</v>
      </c>
      <c r="W38">
        <f t="shared" si="14"/>
        <v>0</v>
      </c>
      <c r="X38">
        <f t="shared" si="15"/>
        <v>0</v>
      </c>
      <c r="Y38">
        <f t="shared" si="16"/>
        <v>0</v>
      </c>
      <c r="Z38">
        <f t="shared" si="17"/>
        <v>0</v>
      </c>
      <c r="AA38">
        <f t="shared" si="18"/>
        <v>0</v>
      </c>
      <c r="AB38">
        <f t="shared" si="19"/>
        <v>0</v>
      </c>
      <c r="AC38">
        <f t="shared" si="20"/>
        <v>0</v>
      </c>
      <c r="AD38">
        <f t="shared" si="21"/>
        <v>0</v>
      </c>
      <c r="AE38">
        <f t="shared" si="22"/>
        <v>0</v>
      </c>
      <c r="AF38">
        <f t="shared" si="23"/>
        <v>0</v>
      </c>
      <c r="AG38">
        <f t="shared" si="24"/>
        <v>0</v>
      </c>
      <c r="AH38">
        <f t="shared" si="25"/>
        <v>0</v>
      </c>
      <c r="AI38">
        <f t="shared" si="26"/>
        <v>0</v>
      </c>
      <c r="AJ38">
        <f t="shared" si="27"/>
        <v>0</v>
      </c>
      <c r="AK38">
        <f t="shared" si="28"/>
        <v>0</v>
      </c>
      <c r="AL38">
        <f t="shared" si="29"/>
        <v>0</v>
      </c>
      <c r="AM38">
        <f t="shared" si="30"/>
        <v>0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0</v>
      </c>
      <c r="CW38">
        <f t="shared" si="91"/>
        <v>0</v>
      </c>
      <c r="CX38">
        <f t="shared" si="91"/>
        <v>0</v>
      </c>
      <c r="CY38">
        <f t="shared" si="91"/>
        <v>0</v>
      </c>
      <c r="CZ38">
        <f t="shared" si="93"/>
        <v>0</v>
      </c>
      <c r="DA38">
        <f t="shared" si="93"/>
        <v>0</v>
      </c>
    </row>
    <row r="39" spans="1:105" x14ac:dyDescent="0.35">
      <c r="I39" s="12" t="e" vm="2">
        <f ca="1">'Required Capacity (Hide)'!E39</f>
        <v>#VALUE!</v>
      </c>
      <c r="J39">
        <f t="shared" si="1"/>
        <v>0</v>
      </c>
      <c r="K39">
        <f t="shared" si="2"/>
        <v>0</v>
      </c>
      <c r="L39">
        <f t="shared" si="3"/>
        <v>0</v>
      </c>
      <c r="M39">
        <f t="shared" si="4"/>
        <v>0</v>
      </c>
      <c r="N39">
        <f t="shared" si="5"/>
        <v>0</v>
      </c>
      <c r="O39">
        <f t="shared" si="6"/>
        <v>0</v>
      </c>
      <c r="P39">
        <f t="shared" si="7"/>
        <v>0</v>
      </c>
      <c r="Q39">
        <f t="shared" si="8"/>
        <v>0</v>
      </c>
      <c r="R39">
        <f t="shared" si="9"/>
        <v>0</v>
      </c>
      <c r="S39">
        <f t="shared" si="10"/>
        <v>0</v>
      </c>
      <c r="T39">
        <f t="shared" si="11"/>
        <v>0</v>
      </c>
      <c r="U39">
        <f t="shared" si="12"/>
        <v>0</v>
      </c>
      <c r="V39">
        <f t="shared" si="13"/>
        <v>0</v>
      </c>
      <c r="W39">
        <f t="shared" si="14"/>
        <v>0</v>
      </c>
      <c r="X39">
        <f t="shared" si="15"/>
        <v>0</v>
      </c>
      <c r="Y39">
        <f t="shared" si="16"/>
        <v>0</v>
      </c>
      <c r="Z39">
        <f t="shared" si="17"/>
        <v>0</v>
      </c>
      <c r="AA39">
        <f t="shared" si="18"/>
        <v>0</v>
      </c>
      <c r="AB39">
        <f t="shared" si="19"/>
        <v>0</v>
      </c>
      <c r="AC39">
        <f t="shared" si="20"/>
        <v>0</v>
      </c>
      <c r="AD39">
        <f t="shared" si="21"/>
        <v>0</v>
      </c>
      <c r="AE39">
        <f t="shared" si="22"/>
        <v>0</v>
      </c>
      <c r="AF39">
        <f t="shared" si="23"/>
        <v>0</v>
      </c>
      <c r="AG39">
        <f t="shared" si="24"/>
        <v>0</v>
      </c>
      <c r="AH39">
        <f t="shared" si="25"/>
        <v>0</v>
      </c>
      <c r="AI39">
        <f t="shared" si="26"/>
        <v>0</v>
      </c>
      <c r="AJ39">
        <f t="shared" si="27"/>
        <v>0</v>
      </c>
      <c r="AK39">
        <f t="shared" si="28"/>
        <v>0</v>
      </c>
      <c r="AL39">
        <f t="shared" si="29"/>
        <v>0</v>
      </c>
      <c r="AM39">
        <f t="shared" si="30"/>
        <v>0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0</v>
      </c>
      <c r="CW39">
        <f t="shared" si="91"/>
        <v>0</v>
      </c>
      <c r="CX39">
        <f t="shared" si="91"/>
        <v>0</v>
      </c>
      <c r="CY39">
        <f t="shared" si="91"/>
        <v>0</v>
      </c>
      <c r="CZ39">
        <f t="shared" si="93"/>
        <v>0</v>
      </c>
      <c r="DA39">
        <f t="shared" si="93"/>
        <v>0</v>
      </c>
    </row>
    <row r="40" spans="1:105" x14ac:dyDescent="0.35">
      <c r="I40" s="12" t="e" vm="2">
        <f ca="1">'Required Capacity (Hide)'!E40</f>
        <v>#VALUE!</v>
      </c>
      <c r="J40">
        <f t="shared" si="1"/>
        <v>0</v>
      </c>
      <c r="K40">
        <f t="shared" si="2"/>
        <v>0</v>
      </c>
      <c r="L40">
        <f t="shared" si="3"/>
        <v>0</v>
      </c>
      <c r="M40">
        <f t="shared" si="4"/>
        <v>0</v>
      </c>
      <c r="N40">
        <f t="shared" si="5"/>
        <v>0</v>
      </c>
      <c r="O40">
        <f t="shared" si="6"/>
        <v>0</v>
      </c>
      <c r="P40">
        <f t="shared" si="7"/>
        <v>0</v>
      </c>
      <c r="Q40">
        <f t="shared" si="8"/>
        <v>0</v>
      </c>
      <c r="R40">
        <f t="shared" si="9"/>
        <v>0</v>
      </c>
      <c r="S40">
        <f t="shared" si="10"/>
        <v>0</v>
      </c>
      <c r="T40">
        <f t="shared" si="11"/>
        <v>0</v>
      </c>
      <c r="U40">
        <f t="shared" si="12"/>
        <v>0</v>
      </c>
      <c r="V40">
        <f t="shared" si="13"/>
        <v>0</v>
      </c>
      <c r="W40">
        <f t="shared" si="14"/>
        <v>0</v>
      </c>
      <c r="X40">
        <f t="shared" si="15"/>
        <v>0</v>
      </c>
      <c r="Y40">
        <f t="shared" si="16"/>
        <v>0</v>
      </c>
      <c r="Z40">
        <f t="shared" si="17"/>
        <v>0</v>
      </c>
      <c r="AA40">
        <f t="shared" si="18"/>
        <v>0</v>
      </c>
      <c r="AB40">
        <f t="shared" si="19"/>
        <v>0</v>
      </c>
      <c r="AC40">
        <f t="shared" si="20"/>
        <v>0</v>
      </c>
      <c r="AD40">
        <f t="shared" si="21"/>
        <v>0</v>
      </c>
      <c r="AE40">
        <f t="shared" si="22"/>
        <v>0</v>
      </c>
      <c r="AF40">
        <f t="shared" si="23"/>
        <v>0</v>
      </c>
      <c r="AG40">
        <f t="shared" si="24"/>
        <v>0</v>
      </c>
      <c r="AH40">
        <f t="shared" si="25"/>
        <v>0</v>
      </c>
      <c r="AI40">
        <f t="shared" si="26"/>
        <v>0</v>
      </c>
      <c r="AJ40">
        <f t="shared" si="27"/>
        <v>0</v>
      </c>
      <c r="AK40">
        <f t="shared" si="28"/>
        <v>0</v>
      </c>
      <c r="AL40">
        <f t="shared" si="29"/>
        <v>0</v>
      </c>
      <c r="AM40">
        <f t="shared" si="30"/>
        <v>0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0</v>
      </c>
      <c r="CW40">
        <f t="shared" si="91"/>
        <v>0</v>
      </c>
      <c r="CX40">
        <f t="shared" si="91"/>
        <v>0</v>
      </c>
      <c r="CY40">
        <f t="shared" si="91"/>
        <v>0</v>
      </c>
      <c r="CZ40">
        <f t="shared" si="93"/>
        <v>0</v>
      </c>
      <c r="DA40">
        <f t="shared" si="93"/>
        <v>0</v>
      </c>
    </row>
    <row r="41" spans="1:105" x14ac:dyDescent="0.35">
      <c r="I41" s="12" t="e" vm="2">
        <f ca="1">'Required Capacity (Hide)'!E41</f>
        <v>#VALUE!</v>
      </c>
      <c r="J41">
        <f t="shared" si="1"/>
        <v>0</v>
      </c>
      <c r="K41">
        <f t="shared" si="2"/>
        <v>0</v>
      </c>
      <c r="L41">
        <f t="shared" si="3"/>
        <v>0</v>
      </c>
      <c r="M41">
        <f t="shared" si="4"/>
        <v>0</v>
      </c>
      <c r="N41">
        <f t="shared" si="5"/>
        <v>0</v>
      </c>
      <c r="O41">
        <f t="shared" si="6"/>
        <v>0</v>
      </c>
      <c r="P41">
        <f t="shared" si="7"/>
        <v>0</v>
      </c>
      <c r="Q41">
        <f t="shared" si="8"/>
        <v>0</v>
      </c>
      <c r="R41">
        <f t="shared" si="9"/>
        <v>0</v>
      </c>
      <c r="S41">
        <f t="shared" si="10"/>
        <v>0</v>
      </c>
      <c r="T41">
        <f t="shared" si="11"/>
        <v>0</v>
      </c>
      <c r="U41">
        <f t="shared" si="12"/>
        <v>0</v>
      </c>
      <c r="V41">
        <f t="shared" si="13"/>
        <v>0</v>
      </c>
      <c r="W41">
        <f t="shared" si="14"/>
        <v>0</v>
      </c>
      <c r="X41">
        <f t="shared" si="15"/>
        <v>0</v>
      </c>
      <c r="Y41">
        <f t="shared" si="16"/>
        <v>0</v>
      </c>
      <c r="Z41">
        <f t="shared" si="17"/>
        <v>0</v>
      </c>
      <c r="AA41">
        <f t="shared" si="18"/>
        <v>0</v>
      </c>
      <c r="AB41">
        <f t="shared" si="19"/>
        <v>0</v>
      </c>
      <c r="AC41">
        <f t="shared" si="20"/>
        <v>0</v>
      </c>
      <c r="AD41">
        <f t="shared" si="21"/>
        <v>0</v>
      </c>
      <c r="AE41">
        <f t="shared" si="22"/>
        <v>0</v>
      </c>
      <c r="AF41">
        <f t="shared" si="23"/>
        <v>0</v>
      </c>
      <c r="AG41">
        <f t="shared" si="24"/>
        <v>0</v>
      </c>
      <c r="AH41">
        <f t="shared" si="25"/>
        <v>0</v>
      </c>
      <c r="AI41">
        <f t="shared" si="26"/>
        <v>0</v>
      </c>
      <c r="AJ41">
        <f t="shared" si="27"/>
        <v>0</v>
      </c>
      <c r="AK41">
        <f t="shared" si="28"/>
        <v>0</v>
      </c>
      <c r="AL41">
        <f t="shared" si="29"/>
        <v>0</v>
      </c>
      <c r="AM41">
        <f t="shared" si="30"/>
        <v>0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0</v>
      </c>
      <c r="CW41">
        <f t="shared" si="91"/>
        <v>0</v>
      </c>
      <c r="CX41">
        <f t="shared" si="91"/>
        <v>0</v>
      </c>
      <c r="CY41">
        <f t="shared" si="91"/>
        <v>0</v>
      </c>
      <c r="CZ41">
        <f t="shared" si="93"/>
        <v>0</v>
      </c>
      <c r="DA41">
        <f t="shared" si="93"/>
        <v>0</v>
      </c>
    </row>
    <row r="42" spans="1:105" x14ac:dyDescent="0.35">
      <c r="I42" s="12" t="e" vm="2">
        <f ca="1">'Required Capacity (Hide)'!E42</f>
        <v>#VALUE!</v>
      </c>
      <c r="J42">
        <f t="shared" si="1"/>
        <v>0</v>
      </c>
      <c r="K42">
        <f t="shared" si="2"/>
        <v>0</v>
      </c>
      <c r="L42">
        <f t="shared" si="3"/>
        <v>0</v>
      </c>
      <c r="M42">
        <f t="shared" si="4"/>
        <v>0</v>
      </c>
      <c r="N42">
        <f t="shared" si="5"/>
        <v>0</v>
      </c>
      <c r="O42">
        <f t="shared" si="6"/>
        <v>0</v>
      </c>
      <c r="P42">
        <f t="shared" si="7"/>
        <v>0</v>
      </c>
      <c r="Q42">
        <f t="shared" si="8"/>
        <v>0</v>
      </c>
      <c r="R42">
        <f t="shared" si="9"/>
        <v>0</v>
      </c>
      <c r="S42">
        <f t="shared" si="10"/>
        <v>0</v>
      </c>
      <c r="T42">
        <f t="shared" si="11"/>
        <v>0</v>
      </c>
      <c r="U42">
        <f t="shared" si="12"/>
        <v>0</v>
      </c>
      <c r="V42">
        <f t="shared" si="13"/>
        <v>0</v>
      </c>
      <c r="W42">
        <f t="shared" si="14"/>
        <v>0</v>
      </c>
      <c r="X42">
        <f t="shared" si="15"/>
        <v>0</v>
      </c>
      <c r="Y42">
        <f t="shared" si="16"/>
        <v>0</v>
      </c>
      <c r="Z42">
        <f t="shared" si="17"/>
        <v>0</v>
      </c>
      <c r="AA42">
        <f t="shared" si="18"/>
        <v>0</v>
      </c>
      <c r="AB42">
        <f t="shared" si="19"/>
        <v>0</v>
      </c>
      <c r="AC42">
        <f t="shared" si="20"/>
        <v>0</v>
      </c>
      <c r="AD42">
        <f t="shared" si="21"/>
        <v>0</v>
      </c>
      <c r="AE42">
        <f t="shared" si="22"/>
        <v>0</v>
      </c>
      <c r="AF42">
        <f t="shared" si="23"/>
        <v>0</v>
      </c>
      <c r="AG42">
        <f t="shared" si="24"/>
        <v>0</v>
      </c>
      <c r="AH42">
        <f t="shared" si="25"/>
        <v>0</v>
      </c>
      <c r="AI42">
        <f t="shared" si="26"/>
        <v>0</v>
      </c>
      <c r="AJ42">
        <f t="shared" si="27"/>
        <v>0</v>
      </c>
      <c r="AK42">
        <f t="shared" si="28"/>
        <v>0</v>
      </c>
      <c r="AL42">
        <f t="shared" si="29"/>
        <v>0</v>
      </c>
      <c r="AM42">
        <f t="shared" si="30"/>
        <v>0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0</v>
      </c>
      <c r="CW42">
        <f t="shared" si="91"/>
        <v>0</v>
      </c>
      <c r="CX42">
        <f t="shared" si="91"/>
        <v>0</v>
      </c>
      <c r="CY42">
        <f t="shared" si="91"/>
        <v>0</v>
      </c>
      <c r="CZ42">
        <f t="shared" si="93"/>
        <v>0</v>
      </c>
      <c r="DA42">
        <f t="shared" si="93"/>
        <v>0</v>
      </c>
    </row>
    <row r="43" spans="1:105" x14ac:dyDescent="0.35">
      <c r="I43" s="12" t="e" vm="2">
        <f ca="1">'Required Capacity (Hide)'!E43</f>
        <v>#VALUE!</v>
      </c>
      <c r="J43">
        <f t="shared" si="1"/>
        <v>0</v>
      </c>
      <c r="K43">
        <f t="shared" si="2"/>
        <v>0</v>
      </c>
      <c r="L43">
        <f t="shared" si="3"/>
        <v>0</v>
      </c>
      <c r="M43">
        <f t="shared" si="4"/>
        <v>0</v>
      </c>
      <c r="N43">
        <f t="shared" si="5"/>
        <v>0</v>
      </c>
      <c r="O43">
        <f t="shared" si="6"/>
        <v>0</v>
      </c>
      <c r="P43">
        <f t="shared" si="7"/>
        <v>0</v>
      </c>
      <c r="Q43">
        <f t="shared" si="8"/>
        <v>0</v>
      </c>
      <c r="R43">
        <f t="shared" si="9"/>
        <v>0</v>
      </c>
      <c r="S43">
        <f t="shared" si="10"/>
        <v>0</v>
      </c>
      <c r="T43">
        <f t="shared" si="11"/>
        <v>0</v>
      </c>
      <c r="U43">
        <f t="shared" si="12"/>
        <v>0</v>
      </c>
      <c r="V43">
        <f t="shared" si="13"/>
        <v>0</v>
      </c>
      <c r="W43">
        <f t="shared" si="14"/>
        <v>0</v>
      </c>
      <c r="X43">
        <f t="shared" si="15"/>
        <v>0</v>
      </c>
      <c r="Y43">
        <f t="shared" si="16"/>
        <v>0</v>
      </c>
      <c r="Z43">
        <f t="shared" si="17"/>
        <v>0</v>
      </c>
      <c r="AA43">
        <f t="shared" si="18"/>
        <v>0</v>
      </c>
      <c r="AB43">
        <f t="shared" si="19"/>
        <v>0</v>
      </c>
      <c r="AC43">
        <f t="shared" si="20"/>
        <v>0</v>
      </c>
      <c r="AD43">
        <f t="shared" si="21"/>
        <v>0</v>
      </c>
      <c r="AE43">
        <f t="shared" si="22"/>
        <v>0</v>
      </c>
      <c r="AF43">
        <f t="shared" si="23"/>
        <v>0</v>
      </c>
      <c r="AG43">
        <f t="shared" si="24"/>
        <v>0</v>
      </c>
      <c r="AH43">
        <f t="shared" si="25"/>
        <v>0</v>
      </c>
      <c r="AI43">
        <f t="shared" si="26"/>
        <v>0</v>
      </c>
      <c r="AJ43">
        <f t="shared" si="27"/>
        <v>0</v>
      </c>
      <c r="AK43">
        <f t="shared" si="28"/>
        <v>0</v>
      </c>
      <c r="AL43">
        <f t="shared" si="29"/>
        <v>0</v>
      </c>
      <c r="AM43">
        <f t="shared" si="30"/>
        <v>0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0</v>
      </c>
      <c r="CW43">
        <f t="shared" si="91"/>
        <v>0</v>
      </c>
      <c r="CX43">
        <f t="shared" si="91"/>
        <v>0</v>
      </c>
      <c r="CY43">
        <f t="shared" si="91"/>
        <v>0</v>
      </c>
      <c r="CZ43">
        <f t="shared" si="93"/>
        <v>0</v>
      </c>
      <c r="DA43">
        <f t="shared" si="93"/>
        <v>0</v>
      </c>
    </row>
    <row r="44" spans="1:105" x14ac:dyDescent="0.35">
      <c r="I44" s="12" t="e" vm="2">
        <f ca="1">'Required Capacity (Hide)'!E44</f>
        <v>#VALUE!</v>
      </c>
      <c r="J44">
        <f t="shared" si="1"/>
        <v>0</v>
      </c>
      <c r="K44">
        <f t="shared" si="2"/>
        <v>0</v>
      </c>
      <c r="L44">
        <f t="shared" si="3"/>
        <v>0</v>
      </c>
      <c r="M44">
        <f t="shared" si="4"/>
        <v>0</v>
      </c>
      <c r="N44">
        <f t="shared" si="5"/>
        <v>0</v>
      </c>
      <c r="O44">
        <f t="shared" si="6"/>
        <v>0</v>
      </c>
      <c r="P44">
        <f t="shared" si="7"/>
        <v>0</v>
      </c>
      <c r="Q44">
        <f t="shared" si="8"/>
        <v>0</v>
      </c>
      <c r="R44">
        <f t="shared" si="9"/>
        <v>0</v>
      </c>
      <c r="S44">
        <f t="shared" si="10"/>
        <v>0</v>
      </c>
      <c r="T44">
        <f t="shared" si="11"/>
        <v>0</v>
      </c>
      <c r="U44">
        <f t="shared" si="12"/>
        <v>0</v>
      </c>
      <c r="V44">
        <f t="shared" si="13"/>
        <v>0</v>
      </c>
      <c r="W44">
        <f t="shared" si="14"/>
        <v>0</v>
      </c>
      <c r="X44">
        <f t="shared" si="15"/>
        <v>0</v>
      </c>
      <c r="Y44">
        <f t="shared" si="16"/>
        <v>0</v>
      </c>
      <c r="Z44">
        <f t="shared" si="17"/>
        <v>0</v>
      </c>
      <c r="AA44">
        <f t="shared" si="18"/>
        <v>0</v>
      </c>
      <c r="AB44">
        <f t="shared" si="19"/>
        <v>0</v>
      </c>
      <c r="AC44">
        <f t="shared" si="20"/>
        <v>0</v>
      </c>
      <c r="AD44">
        <f t="shared" si="21"/>
        <v>0</v>
      </c>
      <c r="AE44">
        <f t="shared" si="22"/>
        <v>0</v>
      </c>
      <c r="AF44">
        <f t="shared" si="23"/>
        <v>0</v>
      </c>
      <c r="AG44">
        <f t="shared" si="24"/>
        <v>0</v>
      </c>
      <c r="AH44">
        <f t="shared" si="25"/>
        <v>0</v>
      </c>
      <c r="AI44">
        <f t="shared" si="26"/>
        <v>0</v>
      </c>
      <c r="AJ44">
        <f t="shared" si="27"/>
        <v>0</v>
      </c>
      <c r="AK44">
        <f t="shared" si="28"/>
        <v>0</v>
      </c>
      <c r="AL44">
        <f t="shared" si="29"/>
        <v>0</v>
      </c>
      <c r="AM44">
        <f t="shared" si="30"/>
        <v>0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0</v>
      </c>
      <c r="CW44">
        <f t="shared" si="91"/>
        <v>0</v>
      </c>
      <c r="CX44">
        <f t="shared" si="91"/>
        <v>0</v>
      </c>
      <c r="CY44">
        <f t="shared" si="91"/>
        <v>0</v>
      </c>
      <c r="CZ44">
        <f t="shared" si="93"/>
        <v>0</v>
      </c>
      <c r="DA44">
        <f t="shared" si="93"/>
        <v>0</v>
      </c>
    </row>
    <row r="45" spans="1:105" x14ac:dyDescent="0.35">
      <c r="I45" s="12" t="e" vm="2">
        <f ca="1">'Required Capacity (Hide)'!E45</f>
        <v>#VALUE!</v>
      </c>
      <c r="J45">
        <f t="shared" si="1"/>
        <v>0</v>
      </c>
      <c r="K45">
        <f t="shared" si="2"/>
        <v>0</v>
      </c>
      <c r="L45">
        <f t="shared" si="3"/>
        <v>0</v>
      </c>
      <c r="M45">
        <f t="shared" si="4"/>
        <v>0</v>
      </c>
      <c r="N45">
        <f t="shared" si="5"/>
        <v>0</v>
      </c>
      <c r="O45">
        <f t="shared" si="6"/>
        <v>0</v>
      </c>
      <c r="P45">
        <f t="shared" si="7"/>
        <v>0</v>
      </c>
      <c r="Q45">
        <f t="shared" si="8"/>
        <v>0</v>
      </c>
      <c r="R45">
        <f t="shared" si="9"/>
        <v>0</v>
      </c>
      <c r="S45">
        <f t="shared" si="10"/>
        <v>0</v>
      </c>
      <c r="T45">
        <f t="shared" si="11"/>
        <v>0</v>
      </c>
      <c r="U45">
        <f t="shared" si="12"/>
        <v>0</v>
      </c>
      <c r="V45">
        <f t="shared" si="13"/>
        <v>0</v>
      </c>
      <c r="W45">
        <f t="shared" si="14"/>
        <v>0</v>
      </c>
      <c r="X45">
        <f t="shared" si="15"/>
        <v>0</v>
      </c>
      <c r="Y45">
        <f t="shared" si="16"/>
        <v>0</v>
      </c>
      <c r="Z45">
        <f t="shared" si="17"/>
        <v>0</v>
      </c>
      <c r="AA45">
        <f t="shared" si="18"/>
        <v>0</v>
      </c>
      <c r="AB45">
        <f t="shared" si="19"/>
        <v>0</v>
      </c>
      <c r="AC45">
        <f t="shared" si="20"/>
        <v>0</v>
      </c>
      <c r="AD45">
        <f t="shared" si="21"/>
        <v>0</v>
      </c>
      <c r="AE45">
        <f t="shared" si="22"/>
        <v>0</v>
      </c>
      <c r="AF45">
        <f t="shared" si="23"/>
        <v>0</v>
      </c>
      <c r="AG45">
        <f t="shared" si="24"/>
        <v>0</v>
      </c>
      <c r="AH45">
        <f t="shared" si="25"/>
        <v>0</v>
      </c>
      <c r="AI45">
        <f t="shared" si="26"/>
        <v>0</v>
      </c>
      <c r="AJ45">
        <f t="shared" si="27"/>
        <v>0</v>
      </c>
      <c r="AK45">
        <f t="shared" si="28"/>
        <v>0</v>
      </c>
      <c r="AL45">
        <f t="shared" si="29"/>
        <v>0</v>
      </c>
      <c r="AM45">
        <f t="shared" si="30"/>
        <v>0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0</v>
      </c>
      <c r="CW45">
        <f t="shared" si="91"/>
        <v>0</v>
      </c>
      <c r="CX45">
        <f t="shared" si="91"/>
        <v>0</v>
      </c>
      <c r="CY45">
        <f t="shared" si="91"/>
        <v>0</v>
      </c>
      <c r="CZ45">
        <f t="shared" si="93"/>
        <v>0</v>
      </c>
      <c r="DA45">
        <f t="shared" si="93"/>
        <v>0</v>
      </c>
    </row>
    <row r="46" spans="1:105" x14ac:dyDescent="0.35">
      <c r="I46" s="12" t="e" vm="2">
        <f ca="1">'Required Capacity (Hide)'!E46</f>
        <v>#VALUE!</v>
      </c>
      <c r="J46">
        <f t="shared" si="1"/>
        <v>0</v>
      </c>
      <c r="K46">
        <f t="shared" si="2"/>
        <v>0</v>
      </c>
      <c r="L46">
        <f t="shared" si="3"/>
        <v>0</v>
      </c>
      <c r="M46">
        <f t="shared" si="4"/>
        <v>0</v>
      </c>
      <c r="N46">
        <f t="shared" si="5"/>
        <v>0</v>
      </c>
      <c r="O46">
        <f t="shared" si="6"/>
        <v>0</v>
      </c>
      <c r="P46">
        <f t="shared" si="7"/>
        <v>0</v>
      </c>
      <c r="Q46">
        <f t="shared" si="8"/>
        <v>0</v>
      </c>
      <c r="R46">
        <f t="shared" si="9"/>
        <v>0</v>
      </c>
      <c r="S46">
        <f t="shared" si="10"/>
        <v>0</v>
      </c>
      <c r="T46">
        <f t="shared" si="11"/>
        <v>0</v>
      </c>
      <c r="U46">
        <f t="shared" si="12"/>
        <v>0</v>
      </c>
      <c r="V46">
        <f t="shared" si="13"/>
        <v>0</v>
      </c>
      <c r="W46">
        <f t="shared" si="14"/>
        <v>0</v>
      </c>
      <c r="X46">
        <f t="shared" si="15"/>
        <v>0</v>
      </c>
      <c r="Y46">
        <f t="shared" si="16"/>
        <v>0</v>
      </c>
      <c r="Z46">
        <f t="shared" si="17"/>
        <v>0</v>
      </c>
      <c r="AA46">
        <f t="shared" si="18"/>
        <v>0</v>
      </c>
      <c r="AB46">
        <f t="shared" si="19"/>
        <v>0</v>
      </c>
      <c r="AC46">
        <f t="shared" si="20"/>
        <v>0</v>
      </c>
      <c r="AD46">
        <f t="shared" si="21"/>
        <v>0</v>
      </c>
      <c r="AE46">
        <f t="shared" si="22"/>
        <v>0</v>
      </c>
      <c r="AF46">
        <f t="shared" si="23"/>
        <v>0</v>
      </c>
      <c r="AG46">
        <f t="shared" si="24"/>
        <v>0</v>
      </c>
      <c r="AH46">
        <f t="shared" si="25"/>
        <v>0</v>
      </c>
      <c r="AI46">
        <f t="shared" si="26"/>
        <v>0</v>
      </c>
      <c r="AJ46">
        <f t="shared" si="27"/>
        <v>0</v>
      </c>
      <c r="AK46">
        <f t="shared" si="28"/>
        <v>0</v>
      </c>
      <c r="AL46">
        <f t="shared" si="29"/>
        <v>0</v>
      </c>
      <c r="AM46">
        <f t="shared" si="30"/>
        <v>0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0</v>
      </c>
      <c r="CW46">
        <f t="shared" si="91"/>
        <v>0</v>
      </c>
      <c r="CX46">
        <f t="shared" si="91"/>
        <v>0</v>
      </c>
      <c r="CY46">
        <f t="shared" si="91"/>
        <v>0</v>
      </c>
      <c r="CZ46">
        <f t="shared" si="93"/>
        <v>0</v>
      </c>
      <c r="DA46">
        <f t="shared" si="93"/>
        <v>0</v>
      </c>
    </row>
    <row r="47" spans="1:105" x14ac:dyDescent="0.35">
      <c r="I47" s="12" t="e" vm="2">
        <f ca="1">'Required Capacity (Hide)'!E47</f>
        <v>#VALUE!</v>
      </c>
      <c r="J47">
        <f t="shared" si="1"/>
        <v>0</v>
      </c>
      <c r="K47">
        <f t="shared" si="2"/>
        <v>0</v>
      </c>
      <c r="L47">
        <f t="shared" si="3"/>
        <v>0</v>
      </c>
      <c r="M47">
        <f t="shared" si="4"/>
        <v>0</v>
      </c>
      <c r="N47">
        <f t="shared" si="5"/>
        <v>0</v>
      </c>
      <c r="O47">
        <f t="shared" si="6"/>
        <v>0</v>
      </c>
      <c r="P47">
        <f t="shared" si="7"/>
        <v>0</v>
      </c>
      <c r="Q47">
        <f t="shared" si="8"/>
        <v>0</v>
      </c>
      <c r="R47">
        <f t="shared" si="9"/>
        <v>0</v>
      </c>
      <c r="S47">
        <f t="shared" si="10"/>
        <v>0</v>
      </c>
      <c r="T47">
        <f t="shared" si="11"/>
        <v>0</v>
      </c>
      <c r="U47">
        <f t="shared" si="12"/>
        <v>0</v>
      </c>
      <c r="V47">
        <f t="shared" si="13"/>
        <v>0</v>
      </c>
      <c r="W47">
        <f t="shared" si="14"/>
        <v>0</v>
      </c>
      <c r="X47">
        <f t="shared" si="15"/>
        <v>0</v>
      </c>
      <c r="Y47">
        <f t="shared" si="16"/>
        <v>0</v>
      </c>
      <c r="Z47">
        <f t="shared" si="17"/>
        <v>0</v>
      </c>
      <c r="AA47">
        <f t="shared" si="18"/>
        <v>0</v>
      </c>
      <c r="AB47">
        <f t="shared" si="19"/>
        <v>0</v>
      </c>
      <c r="AC47">
        <f t="shared" si="20"/>
        <v>0</v>
      </c>
      <c r="AD47">
        <f t="shared" si="21"/>
        <v>0</v>
      </c>
      <c r="AE47">
        <f t="shared" si="22"/>
        <v>0</v>
      </c>
      <c r="AF47">
        <f t="shared" si="23"/>
        <v>0</v>
      </c>
      <c r="AG47">
        <f t="shared" si="24"/>
        <v>0</v>
      </c>
      <c r="AH47">
        <f t="shared" si="25"/>
        <v>0</v>
      </c>
      <c r="AI47">
        <f t="shared" si="26"/>
        <v>0</v>
      </c>
      <c r="AJ47">
        <f t="shared" si="27"/>
        <v>0</v>
      </c>
      <c r="AK47">
        <f t="shared" si="28"/>
        <v>0</v>
      </c>
      <c r="AL47">
        <f t="shared" si="29"/>
        <v>0</v>
      </c>
      <c r="AM47">
        <f t="shared" si="30"/>
        <v>0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0</v>
      </c>
      <c r="CW47">
        <f t="shared" si="91"/>
        <v>0</v>
      </c>
      <c r="CX47">
        <f t="shared" si="91"/>
        <v>0</v>
      </c>
      <c r="CY47">
        <f t="shared" si="91"/>
        <v>0</v>
      </c>
      <c r="CZ47">
        <f t="shared" si="93"/>
        <v>0</v>
      </c>
      <c r="DA47">
        <f t="shared" si="93"/>
        <v>0</v>
      </c>
    </row>
    <row r="48" spans="1:105" x14ac:dyDescent="0.35">
      <c r="I48" s="12" t="e" vm="2">
        <f ca="1">'Required Capacity (Hide)'!E48</f>
        <v>#VALUE!</v>
      </c>
      <c r="J48">
        <f t="shared" si="1"/>
        <v>0</v>
      </c>
      <c r="K48">
        <f t="shared" si="2"/>
        <v>0</v>
      </c>
      <c r="L48">
        <f t="shared" si="3"/>
        <v>0</v>
      </c>
      <c r="M48">
        <f t="shared" si="4"/>
        <v>0</v>
      </c>
      <c r="N48">
        <f t="shared" si="5"/>
        <v>0</v>
      </c>
      <c r="O48">
        <f t="shared" si="6"/>
        <v>0</v>
      </c>
      <c r="P48">
        <f t="shared" si="7"/>
        <v>0</v>
      </c>
      <c r="Q48">
        <f t="shared" si="8"/>
        <v>0</v>
      </c>
      <c r="R48">
        <f t="shared" si="9"/>
        <v>0</v>
      </c>
      <c r="S48">
        <f t="shared" si="10"/>
        <v>0</v>
      </c>
      <c r="T48">
        <f t="shared" si="11"/>
        <v>0</v>
      </c>
      <c r="U48">
        <f t="shared" si="12"/>
        <v>0</v>
      </c>
      <c r="V48">
        <f t="shared" si="13"/>
        <v>0</v>
      </c>
      <c r="W48">
        <f t="shared" si="14"/>
        <v>0</v>
      </c>
      <c r="X48">
        <f t="shared" si="15"/>
        <v>0</v>
      </c>
      <c r="Y48">
        <f t="shared" si="16"/>
        <v>0</v>
      </c>
      <c r="Z48">
        <f t="shared" si="17"/>
        <v>0</v>
      </c>
      <c r="AA48">
        <f t="shared" si="18"/>
        <v>0</v>
      </c>
      <c r="AB48">
        <f t="shared" si="19"/>
        <v>0</v>
      </c>
      <c r="AC48">
        <f t="shared" si="20"/>
        <v>0</v>
      </c>
      <c r="AD48">
        <f t="shared" si="21"/>
        <v>0</v>
      </c>
      <c r="AE48">
        <f t="shared" si="22"/>
        <v>0</v>
      </c>
      <c r="AF48">
        <f t="shared" si="23"/>
        <v>0</v>
      </c>
      <c r="AG48">
        <f t="shared" si="24"/>
        <v>0</v>
      </c>
      <c r="AH48">
        <f t="shared" si="25"/>
        <v>0</v>
      </c>
      <c r="AI48">
        <f t="shared" si="26"/>
        <v>0</v>
      </c>
      <c r="AJ48">
        <f t="shared" si="27"/>
        <v>0</v>
      </c>
      <c r="AK48">
        <f t="shared" si="28"/>
        <v>0</v>
      </c>
      <c r="AL48">
        <f t="shared" si="29"/>
        <v>0</v>
      </c>
      <c r="AM48">
        <f t="shared" si="30"/>
        <v>0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0</v>
      </c>
      <c r="CW48">
        <f t="shared" si="91"/>
        <v>0</v>
      </c>
      <c r="CX48">
        <f t="shared" si="91"/>
        <v>0</v>
      </c>
      <c r="CY48">
        <f t="shared" si="91"/>
        <v>0</v>
      </c>
      <c r="CZ48">
        <f t="shared" si="93"/>
        <v>0</v>
      </c>
      <c r="DA48">
        <f t="shared" si="93"/>
        <v>0</v>
      </c>
    </row>
    <row r="49" spans="8:105" x14ac:dyDescent="0.35">
      <c r="I49" s="12" t="e" vm="2">
        <f ca="1">'Required Capacity (Hide)'!E49</f>
        <v>#VALUE!</v>
      </c>
      <c r="J49">
        <f t="shared" si="1"/>
        <v>0</v>
      </c>
      <c r="K49">
        <f t="shared" si="2"/>
        <v>0</v>
      </c>
      <c r="L49">
        <f t="shared" si="3"/>
        <v>0</v>
      </c>
      <c r="M49">
        <f t="shared" si="4"/>
        <v>0</v>
      </c>
      <c r="N49">
        <f t="shared" si="5"/>
        <v>0</v>
      </c>
      <c r="O49">
        <f t="shared" si="6"/>
        <v>0</v>
      </c>
      <c r="P49">
        <f t="shared" si="7"/>
        <v>0</v>
      </c>
      <c r="Q49">
        <f t="shared" si="8"/>
        <v>0</v>
      </c>
      <c r="R49">
        <f t="shared" si="9"/>
        <v>0</v>
      </c>
      <c r="S49">
        <f t="shared" si="10"/>
        <v>0</v>
      </c>
      <c r="T49">
        <f t="shared" si="11"/>
        <v>0</v>
      </c>
      <c r="U49">
        <f t="shared" si="12"/>
        <v>0</v>
      </c>
      <c r="V49">
        <f t="shared" si="13"/>
        <v>0</v>
      </c>
      <c r="W49">
        <f t="shared" si="14"/>
        <v>0</v>
      </c>
      <c r="X49">
        <f t="shared" si="15"/>
        <v>0</v>
      </c>
      <c r="Y49">
        <f t="shared" si="16"/>
        <v>0</v>
      </c>
      <c r="Z49">
        <f t="shared" si="17"/>
        <v>0</v>
      </c>
      <c r="AA49">
        <f t="shared" si="18"/>
        <v>0</v>
      </c>
      <c r="AB49">
        <f t="shared" si="19"/>
        <v>0</v>
      </c>
      <c r="AC49">
        <f t="shared" si="20"/>
        <v>0</v>
      </c>
      <c r="AD49">
        <f t="shared" si="21"/>
        <v>0</v>
      </c>
      <c r="AE49">
        <f t="shared" si="22"/>
        <v>0</v>
      </c>
      <c r="AF49">
        <f t="shared" si="23"/>
        <v>0</v>
      </c>
      <c r="AG49">
        <f t="shared" si="24"/>
        <v>0</v>
      </c>
      <c r="AH49">
        <f t="shared" si="25"/>
        <v>0</v>
      </c>
      <c r="AI49">
        <f t="shared" si="26"/>
        <v>0</v>
      </c>
      <c r="AJ49">
        <f t="shared" si="27"/>
        <v>0</v>
      </c>
      <c r="AK49">
        <f t="shared" si="28"/>
        <v>0</v>
      </c>
      <c r="AL49">
        <f t="shared" si="29"/>
        <v>0</v>
      </c>
      <c r="AM49">
        <f t="shared" si="30"/>
        <v>0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0</v>
      </c>
      <c r="CW49">
        <f t="shared" si="91"/>
        <v>0</v>
      </c>
      <c r="CX49">
        <f t="shared" si="91"/>
        <v>0</v>
      </c>
      <c r="CY49">
        <f t="shared" si="91"/>
        <v>0</v>
      </c>
      <c r="CZ49">
        <f t="shared" si="93"/>
        <v>0</v>
      </c>
      <c r="DA49">
        <f t="shared" si="93"/>
        <v>0</v>
      </c>
    </row>
    <row r="50" spans="8:105" x14ac:dyDescent="0.35">
      <c r="I50" s="12" t="e" vm="2">
        <f ca="1">'Required Capacity (Hide)'!E50</f>
        <v>#VALUE!</v>
      </c>
      <c r="J50">
        <f t="shared" si="1"/>
        <v>0</v>
      </c>
      <c r="K50">
        <f t="shared" si="2"/>
        <v>0</v>
      </c>
      <c r="L50">
        <f t="shared" si="3"/>
        <v>0</v>
      </c>
      <c r="M50">
        <f t="shared" si="4"/>
        <v>0</v>
      </c>
      <c r="N50">
        <f t="shared" si="5"/>
        <v>0</v>
      </c>
      <c r="O50">
        <f t="shared" si="6"/>
        <v>0</v>
      </c>
      <c r="P50">
        <f t="shared" si="7"/>
        <v>0</v>
      </c>
      <c r="Q50">
        <f t="shared" si="8"/>
        <v>0</v>
      </c>
      <c r="R50">
        <f t="shared" si="9"/>
        <v>0</v>
      </c>
      <c r="S50">
        <f t="shared" si="10"/>
        <v>0</v>
      </c>
      <c r="T50">
        <f t="shared" si="11"/>
        <v>0</v>
      </c>
      <c r="U50">
        <f t="shared" si="12"/>
        <v>0</v>
      </c>
      <c r="V50">
        <f t="shared" si="13"/>
        <v>0</v>
      </c>
      <c r="W50">
        <f t="shared" si="14"/>
        <v>0</v>
      </c>
      <c r="X50">
        <f t="shared" si="15"/>
        <v>0</v>
      </c>
      <c r="Y50">
        <f t="shared" si="16"/>
        <v>0</v>
      </c>
      <c r="Z50">
        <f t="shared" si="17"/>
        <v>0</v>
      </c>
      <c r="AA50">
        <f t="shared" si="18"/>
        <v>0</v>
      </c>
      <c r="AB50">
        <f t="shared" si="19"/>
        <v>0</v>
      </c>
      <c r="AC50">
        <f t="shared" si="20"/>
        <v>0</v>
      </c>
      <c r="AD50">
        <f t="shared" si="21"/>
        <v>0</v>
      </c>
      <c r="AE50">
        <f t="shared" si="22"/>
        <v>0</v>
      </c>
      <c r="AF50">
        <f t="shared" si="23"/>
        <v>0</v>
      </c>
      <c r="AG50">
        <f t="shared" si="24"/>
        <v>0</v>
      </c>
      <c r="AH50">
        <f t="shared" si="25"/>
        <v>0</v>
      </c>
      <c r="AI50">
        <f t="shared" si="26"/>
        <v>0</v>
      </c>
      <c r="AJ50">
        <f t="shared" si="27"/>
        <v>0</v>
      </c>
      <c r="AK50">
        <f t="shared" si="28"/>
        <v>0</v>
      </c>
      <c r="AL50">
        <f t="shared" si="29"/>
        <v>0</v>
      </c>
      <c r="AM50">
        <f t="shared" si="30"/>
        <v>0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0</v>
      </c>
      <c r="CW50">
        <f t="shared" si="91"/>
        <v>0</v>
      </c>
      <c r="CX50">
        <f t="shared" si="91"/>
        <v>0</v>
      </c>
      <c r="CY50">
        <f t="shared" si="91"/>
        <v>0</v>
      </c>
      <c r="CZ50">
        <f t="shared" si="93"/>
        <v>0</v>
      </c>
      <c r="DA50">
        <f t="shared" si="93"/>
        <v>0</v>
      </c>
    </row>
    <row r="51" spans="8:105" x14ac:dyDescent="0.35">
      <c r="I51" s="12" t="e" vm="2">
        <f ca="1">'Required Capacity (Hide)'!E51</f>
        <v>#VALUE!</v>
      </c>
      <c r="J51">
        <f t="shared" si="1"/>
        <v>0</v>
      </c>
      <c r="K51">
        <f t="shared" si="2"/>
        <v>0</v>
      </c>
      <c r="L51">
        <f t="shared" si="3"/>
        <v>0</v>
      </c>
      <c r="M51">
        <f t="shared" si="4"/>
        <v>0</v>
      </c>
      <c r="N51">
        <f t="shared" si="5"/>
        <v>0</v>
      </c>
      <c r="O51">
        <f t="shared" si="6"/>
        <v>0</v>
      </c>
      <c r="P51">
        <f t="shared" si="7"/>
        <v>0</v>
      </c>
      <c r="Q51">
        <f t="shared" si="8"/>
        <v>0</v>
      </c>
      <c r="R51">
        <f t="shared" si="9"/>
        <v>0</v>
      </c>
      <c r="S51">
        <f t="shared" si="10"/>
        <v>0</v>
      </c>
      <c r="T51">
        <f t="shared" si="11"/>
        <v>0</v>
      </c>
      <c r="U51">
        <f t="shared" si="12"/>
        <v>0</v>
      </c>
      <c r="V51">
        <f t="shared" si="13"/>
        <v>0</v>
      </c>
      <c r="W51">
        <f t="shared" si="14"/>
        <v>0</v>
      </c>
      <c r="X51">
        <f t="shared" si="15"/>
        <v>0</v>
      </c>
      <c r="Y51">
        <f t="shared" si="16"/>
        <v>0</v>
      </c>
      <c r="Z51">
        <f t="shared" si="17"/>
        <v>0</v>
      </c>
      <c r="AA51">
        <f t="shared" si="18"/>
        <v>0</v>
      </c>
      <c r="AB51">
        <f t="shared" si="19"/>
        <v>0</v>
      </c>
      <c r="AC51">
        <f t="shared" si="20"/>
        <v>0</v>
      </c>
      <c r="AD51">
        <f t="shared" si="21"/>
        <v>0</v>
      </c>
      <c r="AE51">
        <f t="shared" si="22"/>
        <v>0</v>
      </c>
      <c r="AF51">
        <f t="shared" si="23"/>
        <v>0</v>
      </c>
      <c r="AG51">
        <f t="shared" si="24"/>
        <v>0</v>
      </c>
      <c r="AH51">
        <f t="shared" si="25"/>
        <v>0</v>
      </c>
      <c r="AI51">
        <f t="shared" si="26"/>
        <v>0</v>
      </c>
      <c r="AJ51">
        <f t="shared" si="27"/>
        <v>0</v>
      </c>
      <c r="AK51">
        <f t="shared" si="28"/>
        <v>0</v>
      </c>
      <c r="AL51">
        <f t="shared" si="29"/>
        <v>0</v>
      </c>
      <c r="AM51">
        <f t="shared" si="30"/>
        <v>0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0</v>
      </c>
      <c r="CW51">
        <f t="shared" si="91"/>
        <v>0</v>
      </c>
      <c r="CX51">
        <f t="shared" si="91"/>
        <v>0</v>
      </c>
      <c r="CY51">
        <f t="shared" si="91"/>
        <v>0</v>
      </c>
      <c r="CZ51">
        <f t="shared" si="93"/>
        <v>0</v>
      </c>
      <c r="DA51">
        <f t="shared" si="93"/>
        <v>0</v>
      </c>
    </row>
    <row r="52" spans="8:105" x14ac:dyDescent="0.35">
      <c r="I52" s="12" t="e" vm="2">
        <f ca="1">'Required Capacity (Hide)'!E52</f>
        <v>#VALUE!</v>
      </c>
      <c r="J52">
        <f t="shared" si="1"/>
        <v>0</v>
      </c>
      <c r="K52">
        <f t="shared" si="2"/>
        <v>0</v>
      </c>
      <c r="L52">
        <f t="shared" si="3"/>
        <v>0</v>
      </c>
      <c r="M52">
        <f t="shared" si="4"/>
        <v>0</v>
      </c>
      <c r="N52">
        <f t="shared" si="5"/>
        <v>0</v>
      </c>
      <c r="O52">
        <f t="shared" si="6"/>
        <v>0</v>
      </c>
      <c r="P52">
        <f t="shared" si="7"/>
        <v>0</v>
      </c>
      <c r="Q52">
        <f t="shared" si="8"/>
        <v>0</v>
      </c>
      <c r="R52">
        <f t="shared" si="9"/>
        <v>0</v>
      </c>
      <c r="S52">
        <f t="shared" si="10"/>
        <v>0</v>
      </c>
      <c r="T52">
        <f t="shared" si="11"/>
        <v>0</v>
      </c>
      <c r="U52">
        <f t="shared" si="12"/>
        <v>0</v>
      </c>
      <c r="V52">
        <f t="shared" si="13"/>
        <v>0</v>
      </c>
      <c r="W52">
        <f t="shared" si="14"/>
        <v>0</v>
      </c>
      <c r="X52">
        <f t="shared" si="15"/>
        <v>0</v>
      </c>
      <c r="Y52">
        <f t="shared" si="16"/>
        <v>0</v>
      </c>
      <c r="Z52">
        <f t="shared" si="17"/>
        <v>0</v>
      </c>
      <c r="AA52">
        <f t="shared" si="18"/>
        <v>0</v>
      </c>
      <c r="AB52">
        <f t="shared" si="19"/>
        <v>0</v>
      </c>
      <c r="AC52">
        <f t="shared" si="20"/>
        <v>0</v>
      </c>
      <c r="AD52">
        <f t="shared" si="21"/>
        <v>0</v>
      </c>
      <c r="AE52">
        <f t="shared" si="22"/>
        <v>0</v>
      </c>
      <c r="AF52">
        <f t="shared" si="23"/>
        <v>0</v>
      </c>
      <c r="AG52">
        <f t="shared" si="24"/>
        <v>0</v>
      </c>
      <c r="AH52">
        <f t="shared" si="25"/>
        <v>0</v>
      </c>
      <c r="AI52">
        <f t="shared" si="26"/>
        <v>0</v>
      </c>
      <c r="AJ52">
        <f t="shared" si="27"/>
        <v>0</v>
      </c>
      <c r="AK52">
        <f t="shared" si="28"/>
        <v>0</v>
      </c>
      <c r="AL52">
        <f t="shared" si="29"/>
        <v>0</v>
      </c>
      <c r="AM52">
        <f t="shared" si="30"/>
        <v>0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0</v>
      </c>
      <c r="CW52">
        <f t="shared" si="91"/>
        <v>0</v>
      </c>
      <c r="CX52">
        <f t="shared" si="91"/>
        <v>0</v>
      </c>
      <c r="CY52">
        <f t="shared" si="91"/>
        <v>0</v>
      </c>
      <c r="CZ52">
        <f t="shared" si="93"/>
        <v>0</v>
      </c>
      <c r="DA52">
        <f t="shared" si="93"/>
        <v>0</v>
      </c>
    </row>
    <row r="53" spans="8:105" x14ac:dyDescent="0.35">
      <c r="I53" s="12" t="e" vm="2">
        <f ca="1">'Required Capacity (Hide)'!E53</f>
        <v>#VALUE!</v>
      </c>
      <c r="J53">
        <f t="shared" si="1"/>
        <v>0</v>
      </c>
      <c r="K53">
        <f t="shared" si="2"/>
        <v>0</v>
      </c>
      <c r="L53">
        <f t="shared" si="3"/>
        <v>0</v>
      </c>
      <c r="M53">
        <f t="shared" si="4"/>
        <v>0</v>
      </c>
      <c r="N53">
        <f t="shared" si="5"/>
        <v>0</v>
      </c>
      <c r="O53">
        <f t="shared" si="6"/>
        <v>0</v>
      </c>
      <c r="P53">
        <f t="shared" si="7"/>
        <v>0</v>
      </c>
      <c r="Q53">
        <f t="shared" si="8"/>
        <v>0</v>
      </c>
      <c r="R53">
        <f t="shared" si="9"/>
        <v>0</v>
      </c>
      <c r="S53">
        <f t="shared" si="10"/>
        <v>0</v>
      </c>
      <c r="T53">
        <f t="shared" si="11"/>
        <v>0</v>
      </c>
      <c r="U53">
        <f t="shared" si="12"/>
        <v>0</v>
      </c>
      <c r="V53">
        <f t="shared" si="13"/>
        <v>0</v>
      </c>
      <c r="W53">
        <f t="shared" si="14"/>
        <v>0</v>
      </c>
      <c r="X53">
        <f t="shared" si="15"/>
        <v>0</v>
      </c>
      <c r="Y53">
        <f t="shared" si="16"/>
        <v>0</v>
      </c>
      <c r="Z53">
        <f t="shared" si="17"/>
        <v>0</v>
      </c>
      <c r="AA53">
        <f t="shared" si="18"/>
        <v>0</v>
      </c>
      <c r="AB53">
        <f t="shared" si="19"/>
        <v>0</v>
      </c>
      <c r="AC53">
        <f t="shared" si="20"/>
        <v>0</v>
      </c>
      <c r="AD53">
        <f t="shared" si="21"/>
        <v>0</v>
      </c>
      <c r="AE53">
        <f t="shared" si="22"/>
        <v>0</v>
      </c>
      <c r="AF53">
        <f t="shared" si="23"/>
        <v>0</v>
      </c>
      <c r="AG53">
        <f t="shared" si="24"/>
        <v>0</v>
      </c>
      <c r="AH53">
        <f t="shared" si="25"/>
        <v>0</v>
      </c>
      <c r="AI53">
        <f t="shared" si="26"/>
        <v>0</v>
      </c>
      <c r="AJ53">
        <f t="shared" si="27"/>
        <v>0</v>
      </c>
      <c r="AK53">
        <f t="shared" si="28"/>
        <v>0</v>
      </c>
      <c r="AL53">
        <f t="shared" si="29"/>
        <v>0</v>
      </c>
      <c r="AM53">
        <f t="shared" si="30"/>
        <v>0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0</v>
      </c>
      <c r="CW53">
        <f t="shared" si="91"/>
        <v>0</v>
      </c>
      <c r="CX53">
        <f t="shared" si="91"/>
        <v>0</v>
      </c>
      <c r="CY53">
        <f t="shared" si="91"/>
        <v>0</v>
      </c>
      <c r="CZ53">
        <f t="shared" si="93"/>
        <v>0</v>
      </c>
      <c r="DA53">
        <f t="shared" si="93"/>
        <v>0</v>
      </c>
    </row>
    <row r="54" spans="8:105" x14ac:dyDescent="0.35">
      <c r="I54" s="12" t="e" vm="2">
        <f ca="1">'Required Capacity (Hide)'!E54</f>
        <v>#VALUE!</v>
      </c>
      <c r="J54">
        <f t="shared" si="1"/>
        <v>0</v>
      </c>
      <c r="K54">
        <f t="shared" si="2"/>
        <v>0</v>
      </c>
      <c r="L54">
        <f t="shared" si="3"/>
        <v>0</v>
      </c>
      <c r="M54">
        <f t="shared" si="4"/>
        <v>0</v>
      </c>
      <c r="N54">
        <f t="shared" si="5"/>
        <v>0</v>
      </c>
      <c r="O54">
        <f t="shared" si="6"/>
        <v>0</v>
      </c>
      <c r="P54">
        <f t="shared" si="7"/>
        <v>0</v>
      </c>
      <c r="Q54">
        <f t="shared" si="8"/>
        <v>0</v>
      </c>
      <c r="R54">
        <f t="shared" si="9"/>
        <v>0</v>
      </c>
      <c r="S54">
        <f t="shared" si="10"/>
        <v>0</v>
      </c>
      <c r="T54">
        <f t="shared" si="11"/>
        <v>0</v>
      </c>
      <c r="U54">
        <f t="shared" si="12"/>
        <v>0</v>
      </c>
      <c r="V54">
        <f t="shared" si="13"/>
        <v>0</v>
      </c>
      <c r="W54">
        <f t="shared" si="14"/>
        <v>0</v>
      </c>
      <c r="X54">
        <f t="shared" si="15"/>
        <v>0</v>
      </c>
      <c r="Y54">
        <f t="shared" si="16"/>
        <v>0</v>
      </c>
      <c r="Z54">
        <f t="shared" si="17"/>
        <v>0</v>
      </c>
      <c r="AA54">
        <f t="shared" si="18"/>
        <v>0</v>
      </c>
      <c r="AB54">
        <f t="shared" si="19"/>
        <v>0</v>
      </c>
      <c r="AC54">
        <f t="shared" si="20"/>
        <v>0</v>
      </c>
      <c r="AD54">
        <f t="shared" si="21"/>
        <v>0</v>
      </c>
      <c r="AE54">
        <f t="shared" si="22"/>
        <v>0</v>
      </c>
      <c r="AF54">
        <f t="shared" si="23"/>
        <v>0</v>
      </c>
      <c r="AG54">
        <f t="shared" si="24"/>
        <v>0</v>
      </c>
      <c r="AH54">
        <f t="shared" si="25"/>
        <v>0</v>
      </c>
      <c r="AI54">
        <f t="shared" si="26"/>
        <v>0</v>
      </c>
      <c r="AJ54">
        <f t="shared" si="27"/>
        <v>0</v>
      </c>
      <c r="AK54">
        <f t="shared" si="28"/>
        <v>0</v>
      </c>
      <c r="AL54">
        <f t="shared" si="29"/>
        <v>0</v>
      </c>
      <c r="AM54">
        <f t="shared" si="30"/>
        <v>0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0</v>
      </c>
      <c r="CW54">
        <f t="shared" si="91"/>
        <v>0</v>
      </c>
      <c r="CX54">
        <f t="shared" si="91"/>
        <v>0</v>
      </c>
      <c r="CY54">
        <f t="shared" si="91"/>
        <v>0</v>
      </c>
      <c r="CZ54">
        <f t="shared" si="93"/>
        <v>0</v>
      </c>
      <c r="DA54">
        <f t="shared" si="93"/>
        <v>0</v>
      </c>
    </row>
    <row r="55" spans="8:105" x14ac:dyDescent="0.35">
      <c r="I55" s="12" t="e" vm="2">
        <f ca="1">'Required Capacity (Hide)'!E55</f>
        <v>#VALUE!</v>
      </c>
      <c r="J55">
        <f t="shared" si="1"/>
        <v>0</v>
      </c>
      <c r="K55">
        <f t="shared" si="2"/>
        <v>0</v>
      </c>
      <c r="L55">
        <f t="shared" si="3"/>
        <v>0</v>
      </c>
      <c r="M55">
        <f t="shared" si="4"/>
        <v>0</v>
      </c>
      <c r="N55">
        <f t="shared" si="5"/>
        <v>0</v>
      </c>
      <c r="O55">
        <f t="shared" si="6"/>
        <v>0</v>
      </c>
      <c r="P55">
        <f t="shared" si="7"/>
        <v>0</v>
      </c>
      <c r="Q55">
        <f t="shared" si="8"/>
        <v>0</v>
      </c>
      <c r="R55">
        <f t="shared" si="9"/>
        <v>0</v>
      </c>
      <c r="S55">
        <f t="shared" si="10"/>
        <v>0</v>
      </c>
      <c r="T55">
        <f t="shared" si="11"/>
        <v>0</v>
      </c>
      <c r="U55">
        <f t="shared" si="12"/>
        <v>0</v>
      </c>
      <c r="V55">
        <f t="shared" si="13"/>
        <v>0</v>
      </c>
      <c r="W55">
        <f t="shared" si="14"/>
        <v>0</v>
      </c>
      <c r="X55">
        <f t="shared" si="15"/>
        <v>0</v>
      </c>
      <c r="Y55">
        <f t="shared" si="16"/>
        <v>0</v>
      </c>
      <c r="Z55">
        <f t="shared" si="17"/>
        <v>0</v>
      </c>
      <c r="AA55">
        <f t="shared" si="18"/>
        <v>0</v>
      </c>
      <c r="AB55">
        <f t="shared" si="19"/>
        <v>0</v>
      </c>
      <c r="AC55">
        <f t="shared" si="20"/>
        <v>0</v>
      </c>
      <c r="AD55">
        <f t="shared" si="21"/>
        <v>0</v>
      </c>
      <c r="AE55">
        <f t="shared" si="22"/>
        <v>0</v>
      </c>
      <c r="AF55">
        <f t="shared" si="23"/>
        <v>0</v>
      </c>
      <c r="AG55">
        <f t="shared" si="24"/>
        <v>0</v>
      </c>
      <c r="AH55">
        <f t="shared" si="25"/>
        <v>0</v>
      </c>
      <c r="AI55">
        <f t="shared" si="26"/>
        <v>0</v>
      </c>
      <c r="AJ55">
        <f t="shared" si="27"/>
        <v>0</v>
      </c>
      <c r="AK55">
        <f t="shared" si="28"/>
        <v>0</v>
      </c>
      <c r="AL55">
        <f t="shared" si="29"/>
        <v>0</v>
      </c>
      <c r="AM55">
        <f t="shared" si="30"/>
        <v>0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0</v>
      </c>
      <c r="CW55">
        <f t="shared" si="91"/>
        <v>0</v>
      </c>
      <c r="CX55">
        <f t="shared" si="91"/>
        <v>0</v>
      </c>
      <c r="CY55">
        <f t="shared" si="91"/>
        <v>0</v>
      </c>
      <c r="CZ55">
        <f t="shared" si="93"/>
        <v>0</v>
      </c>
      <c r="DA55">
        <f t="shared" si="93"/>
        <v>0</v>
      </c>
    </row>
    <row r="56" spans="8:105" ht="15" thickBot="1" x14ac:dyDescent="0.4">
      <c r="I56" s="13" t="e" vm="2">
        <f ca="1">'Required Capacity (Hide)'!E56</f>
        <v>#VALUE!</v>
      </c>
      <c r="J56">
        <f t="shared" si="1"/>
        <v>0</v>
      </c>
      <c r="K56">
        <f t="shared" si="2"/>
        <v>0</v>
      </c>
      <c r="L56">
        <f t="shared" si="3"/>
        <v>0</v>
      </c>
      <c r="M56">
        <f t="shared" si="4"/>
        <v>0</v>
      </c>
      <c r="N56">
        <f t="shared" si="5"/>
        <v>0</v>
      </c>
      <c r="O56">
        <f t="shared" si="6"/>
        <v>0</v>
      </c>
      <c r="P56">
        <f t="shared" si="7"/>
        <v>0</v>
      </c>
      <c r="Q56">
        <f t="shared" si="8"/>
        <v>0</v>
      </c>
      <c r="R56">
        <f t="shared" si="9"/>
        <v>0</v>
      </c>
      <c r="S56">
        <f t="shared" si="10"/>
        <v>0</v>
      </c>
      <c r="T56">
        <f t="shared" si="11"/>
        <v>0</v>
      </c>
      <c r="U56">
        <f t="shared" si="12"/>
        <v>0</v>
      </c>
      <c r="V56">
        <f t="shared" si="13"/>
        <v>0</v>
      </c>
      <c r="W56">
        <f t="shared" si="14"/>
        <v>0</v>
      </c>
      <c r="X56">
        <f t="shared" si="15"/>
        <v>0</v>
      </c>
      <c r="Y56">
        <f t="shared" si="16"/>
        <v>0</v>
      </c>
      <c r="Z56">
        <f t="shared" si="17"/>
        <v>0</v>
      </c>
      <c r="AA56">
        <f t="shared" si="18"/>
        <v>0</v>
      </c>
      <c r="AB56">
        <f t="shared" si="19"/>
        <v>0</v>
      </c>
      <c r="AC56">
        <f t="shared" si="20"/>
        <v>0</v>
      </c>
      <c r="AD56">
        <f t="shared" si="21"/>
        <v>0</v>
      </c>
      <c r="AE56">
        <f t="shared" si="22"/>
        <v>0</v>
      </c>
      <c r="AF56">
        <f t="shared" si="23"/>
        <v>0</v>
      </c>
      <c r="AG56">
        <f t="shared" si="24"/>
        <v>0</v>
      </c>
      <c r="AH56">
        <f t="shared" si="25"/>
        <v>0</v>
      </c>
      <c r="AI56">
        <f t="shared" si="26"/>
        <v>0</v>
      </c>
      <c r="AJ56">
        <f t="shared" si="27"/>
        <v>0</v>
      </c>
      <c r="AK56">
        <f t="shared" si="28"/>
        <v>0</v>
      </c>
      <c r="AL56">
        <f t="shared" si="29"/>
        <v>0</v>
      </c>
      <c r="AM56">
        <f t="shared" si="30"/>
        <v>0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0</v>
      </c>
      <c r="CW56">
        <f t="shared" si="91"/>
        <v>0</v>
      </c>
      <c r="CX56">
        <f t="shared" si="91"/>
        <v>0</v>
      </c>
      <c r="CY56">
        <f t="shared" si="91"/>
        <v>0</v>
      </c>
      <c r="CZ56">
        <f t="shared" si="93"/>
        <v>0</v>
      </c>
      <c r="DA56">
        <f t="shared" si="93"/>
        <v>0</v>
      </c>
    </row>
    <row r="58" spans="8:105" x14ac:dyDescent="0.35">
      <c r="H58" t="s">
        <v>126</v>
      </c>
      <c r="I58" s="14"/>
      <c r="J58" s="5"/>
      <c r="K58" s="14" t="s">
        <v>44</v>
      </c>
      <c r="L58" s="5"/>
      <c r="M58" s="14" t="s">
        <v>44</v>
      </c>
      <c r="N58" s="5"/>
      <c r="O58" s="14" t="s">
        <v>44</v>
      </c>
      <c r="P58" s="5"/>
      <c r="Q58" s="14" t="s">
        <v>44</v>
      </c>
      <c r="R58" s="5"/>
      <c r="S58" s="14" t="s">
        <v>44</v>
      </c>
      <c r="T58" s="5"/>
      <c r="U58" s="14" t="s">
        <v>44</v>
      </c>
      <c r="V58" s="5"/>
      <c r="W58" s="14" t="s">
        <v>44</v>
      </c>
      <c r="X58" s="5"/>
      <c r="Y58" s="14" t="s">
        <v>44</v>
      </c>
      <c r="Z58" s="5"/>
      <c r="AA58" s="14" t="s">
        <v>44</v>
      </c>
      <c r="AB58" s="5"/>
      <c r="AC58" s="14" t="s">
        <v>44</v>
      </c>
      <c r="AD58" s="5"/>
      <c r="AE58" s="14" t="s">
        <v>44</v>
      </c>
      <c r="AF58" s="5"/>
      <c r="AG58" s="14" t="s">
        <v>44</v>
      </c>
      <c r="AH58" s="5"/>
      <c r="AI58" s="14" t="s">
        <v>44</v>
      </c>
      <c r="AJ58" s="5"/>
      <c r="AK58" s="14" t="s">
        <v>44</v>
      </c>
      <c r="AL58" s="5"/>
      <c r="AM58" s="14" t="s">
        <v>44</v>
      </c>
      <c r="AN58" s="5"/>
      <c r="AO58" s="14" t="s">
        <v>44</v>
      </c>
      <c r="AP58" s="5"/>
      <c r="AQ58" s="14" t="s">
        <v>44</v>
      </c>
      <c r="AR58" s="5"/>
      <c r="AS58" s="14" t="s">
        <v>44</v>
      </c>
      <c r="AT58" s="5"/>
      <c r="AU58" s="14" t="s">
        <v>44</v>
      </c>
      <c r="AV58" s="5"/>
      <c r="AW58" s="14" t="s">
        <v>44</v>
      </c>
      <c r="AX58" s="5"/>
      <c r="AY58" s="14" t="s">
        <v>44</v>
      </c>
      <c r="AZ58" s="5"/>
      <c r="BA58" s="14" t="s">
        <v>44</v>
      </c>
      <c r="BB58" s="5"/>
      <c r="BC58" s="14" t="s">
        <v>44</v>
      </c>
      <c r="BD58" s="5"/>
      <c r="BE58" s="14" t="s">
        <v>44</v>
      </c>
      <c r="BF58" s="5"/>
      <c r="BG58" s="14" t="s">
        <v>44</v>
      </c>
      <c r="BH58" s="5"/>
      <c r="BI58" s="14" t="s">
        <v>44</v>
      </c>
      <c r="BJ58" s="5"/>
      <c r="BK58" s="14" t="s">
        <v>44</v>
      </c>
      <c r="BL58" s="5"/>
      <c r="BM58" s="14" t="s">
        <v>44</v>
      </c>
      <c r="BN58" s="5"/>
      <c r="BO58" s="14" t="s">
        <v>44</v>
      </c>
      <c r="BP58" s="5"/>
      <c r="BQ58" s="14" t="s">
        <v>44</v>
      </c>
      <c r="BR58" s="5"/>
      <c r="BS58" s="14" t="s">
        <v>44</v>
      </c>
      <c r="BT58" s="5"/>
      <c r="BU58" s="14" t="s">
        <v>44</v>
      </c>
      <c r="BV58" s="5"/>
      <c r="BW58" s="14" t="s">
        <v>44</v>
      </c>
      <c r="BX58" s="5"/>
      <c r="BY58" s="14" t="s">
        <v>44</v>
      </c>
      <c r="BZ58" s="5"/>
      <c r="CA58" s="14" t="s">
        <v>44</v>
      </c>
      <c r="CB58" s="5"/>
      <c r="CC58" s="14" t="s">
        <v>44</v>
      </c>
      <c r="CD58" s="5"/>
      <c r="CE58" s="14" t="s">
        <v>44</v>
      </c>
      <c r="CF58" s="5"/>
      <c r="CG58" s="14" t="s">
        <v>44</v>
      </c>
      <c r="CH58" s="5"/>
      <c r="CI58" s="14" t="s">
        <v>44</v>
      </c>
      <c r="CJ58" s="5"/>
      <c r="CK58" s="14" t="s">
        <v>44</v>
      </c>
      <c r="CL58" s="5"/>
      <c r="CM58" s="14" t="s">
        <v>44</v>
      </c>
      <c r="CN58" s="5"/>
      <c r="CO58" s="14" t="s">
        <v>44</v>
      </c>
      <c r="CP58" s="5"/>
      <c r="CQ58" s="14" t="s">
        <v>44</v>
      </c>
      <c r="CR58" s="5"/>
      <c r="CS58" s="14" t="s">
        <v>44</v>
      </c>
      <c r="CT58" s="5"/>
      <c r="CU58" s="14" t="s">
        <v>44</v>
      </c>
    </row>
    <row r="59" spans="8:105" x14ac:dyDescent="0.35">
      <c r="I59" s="14" t="s">
        <v>127</v>
      </c>
      <c r="J59" s="5">
        <f>AVERAGE(J5:J56)</f>
        <v>0</v>
      </c>
      <c r="K59" s="5">
        <f>AVERAGE(K5:K56)-J59</f>
        <v>0</v>
      </c>
      <c r="L59" s="5">
        <f t="shared" ref="L59" si="96">AVERAGE(L5:L56)</f>
        <v>0</v>
      </c>
      <c r="M59" s="5">
        <f t="shared" ref="M59" si="97">AVERAGE(M5:M56)-L59</f>
        <v>0</v>
      </c>
      <c r="N59" s="5">
        <f t="shared" ref="N59" si="98">AVERAGE(N5:N56)</f>
        <v>0</v>
      </c>
      <c r="O59" s="5">
        <f t="shared" ref="O59" si="99">AVERAGE(O5:O56)-N59</f>
        <v>0</v>
      </c>
      <c r="P59" s="5">
        <f t="shared" ref="P59" si="100">AVERAGE(P5:P56)</f>
        <v>0</v>
      </c>
      <c r="Q59" s="5">
        <f t="shared" ref="Q59" si="101">AVERAGE(Q5:Q56)-P59</f>
        <v>0</v>
      </c>
      <c r="R59" s="5">
        <f t="shared" ref="R59" si="102">AVERAGE(R5:R56)</f>
        <v>0</v>
      </c>
      <c r="S59" s="5">
        <f t="shared" ref="S59" si="103">AVERAGE(S5:S56)-R59</f>
        <v>0</v>
      </c>
      <c r="T59" s="5">
        <f t="shared" ref="T59" si="104">AVERAGE(T5:T56)</f>
        <v>0</v>
      </c>
      <c r="U59" s="5">
        <f t="shared" ref="U59" si="105">AVERAGE(U5:U56)-T59</f>
        <v>0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0</v>
      </c>
      <c r="Y59" s="5">
        <f t="shared" ref="Y59" si="109">AVERAGE(Y5:Y56)-X59</f>
        <v>0</v>
      </c>
      <c r="Z59" s="5">
        <f t="shared" ref="Z59" si="110">AVERAGE(Z5:Z56)</f>
        <v>0</v>
      </c>
      <c r="AA59" s="5">
        <f t="shared" ref="AA59" si="111">AVERAGE(AA5:AA56)-Z59</f>
        <v>0</v>
      </c>
      <c r="AB59" s="5">
        <f t="shared" ref="AB59" si="112">AVERAGE(AB5:AB56)</f>
        <v>0</v>
      </c>
      <c r="AC59" s="5">
        <f t="shared" ref="AC59" si="113">AVERAGE(AC5:AC56)-AB59</f>
        <v>0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0</v>
      </c>
      <c r="AG59" s="5">
        <f t="shared" ref="AG59" si="117">AVERAGE(AG5:AG56)-AF59</f>
        <v>0</v>
      </c>
      <c r="AH59" s="5">
        <f t="shared" ref="AH59" si="118">AVERAGE(AH5:AH56)</f>
        <v>0</v>
      </c>
      <c r="AI59" s="5">
        <f t="shared" ref="AI59" si="119">AVERAGE(AI5:AI56)-AH59</f>
        <v>0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0</v>
      </c>
      <c r="AM59" s="5">
        <f t="shared" ref="AM59" si="123">AVERAGE(AM5:AM56)-AL59</f>
        <v>0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128</v>
      </c>
      <c r="I62" s="14"/>
      <c r="J62" s="5" t="s">
        <v>60</v>
      </c>
      <c r="K62" s="5" t="s">
        <v>44</v>
      </c>
    </row>
    <row r="63" spans="8:105" x14ac:dyDescent="0.35">
      <c r="I63" s="14" t="str">
        <f>'Data Validation (Hide)'!B2</f>
        <v>Caseload 1</v>
      </c>
      <c r="J63" s="5" cm="1">
        <f t="array" ref="J63">INDEX($J$59:$DA$60,1,MATCH(1,($I63=$J$1:$CU$1)*($J$62=$J$4:$CU$4)*(Planning!$M$2=$J$2:$CU$2),0))</f>
        <v>0</v>
      </c>
      <c r="K63" s="5" cm="1">
        <f t="array" ref="K63">INDEX($J$59:$DA$60,1,MATCH(1,($I63=$J$1:$CU$1)*($K$62=$J$58:$CU$58)*(Planning!$M$2=$J$2:$CU$2),0))</f>
        <v>0</v>
      </c>
    </row>
    <row r="64" spans="8:105" x14ac:dyDescent="0.35">
      <c r="I64" s="14" t="str">
        <f>'Data Validation (Hide)'!B3</f>
        <v>Caseload 2</v>
      </c>
      <c r="J64" s="5" cm="1">
        <f t="array" ref="J64">INDEX($J$59:$DA$60,1,MATCH(1,($I64=$J$1:$CU$1)*($J$62=$J$4:$CU$4)*(Planning!$M$2=$J$2:$CU$2),0))</f>
        <v>0</v>
      </c>
      <c r="K64" s="5" cm="1">
        <f t="array" ref="K64">INDEX($J$59:$DA$60,1,MATCH(1,($I64=$J$1:$CU$1)*($K$62=$J$58:$CU$58)*(Planning!$M$2=$J$2:$CU$2),0))</f>
        <v>0</v>
      </c>
    </row>
    <row r="65" spans="1:11" x14ac:dyDescent="0.35">
      <c r="I65" s="14" t="str">
        <f>'Data Validation (Hide)'!B4</f>
        <v>Caseload 3</v>
      </c>
      <c r="J65" s="5" cm="1">
        <f t="array" ref="J65">INDEX($J$59:$DA$60,1,MATCH(1,($I65=$J$1:$CU$1)*($J$62=$J$4:$CU$4)*(Planning!$M$2=$J$2:$CU$2),0))</f>
        <v>0</v>
      </c>
      <c r="K65" s="5" cm="1">
        <f t="array" ref="K65">INDEX($J$59:$DA$60,1,MATCH(1,($I65=$J$1:$CU$1)*($K$62=$J$58:$CU$58)*(Planning!$M$2=$J$2:$CU$2),0))</f>
        <v>0</v>
      </c>
    </row>
    <row r="66" spans="1:11" x14ac:dyDescent="0.35">
      <c r="I66" s="14" t="str">
        <f>'Data Validation (Hide)'!B5</f>
        <v>Caseload 4</v>
      </c>
      <c r="J66" s="5" cm="1">
        <f t="array" ref="J66">INDEX($J$59:$DA$60,1,MATCH(1,($I66=$J$1:$CU$1)*($J$62=$J$4:$CU$4)*(Planning!$M$2=$J$2:$CU$2),0))</f>
        <v>0</v>
      </c>
      <c r="K66" s="5" cm="1">
        <f t="array" ref="K66">INDEX($J$59:$DA$60,1,MATCH(1,($I66=$J$1:$CU$1)*($K$62=$J$58:$CU$58)*(Planning!$M$2=$J$2:$CU$2),0))</f>
        <v>0</v>
      </c>
    </row>
    <row r="67" spans="1:11" x14ac:dyDescent="0.35">
      <c r="I67" s="14" t="str">
        <f>'Data Validation (Hide)'!B6</f>
        <v>Caseload 5</v>
      </c>
      <c r="J67" s="5" cm="1">
        <f t="array" ref="J67">INDEX($J$59:$DA$60,1,MATCH(1,($I67=$J$1:$CU$1)*($J$62=$J$4:$CU$4)*(Planning!$M$2=$J$2:$CU$2),0))</f>
        <v>0</v>
      </c>
      <c r="K67" s="5" cm="1">
        <f t="array" ref="K67">INDEX($J$59:$DA$60,1,MATCH(1,($I67=$J$1:$CU$1)*($K$62=$J$58:$CU$58)*(Planning!$M$2=$J$2:$CU$2),0))</f>
        <v>0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108</v>
      </c>
      <c r="I79" s="14"/>
    </row>
    <row r="80" spans="1:11" x14ac:dyDescent="0.35">
      <c r="I80" s="14"/>
    </row>
    <row r="81" spans="1:6" x14ac:dyDescent="0.35">
      <c r="A81" t="s">
        <v>45</v>
      </c>
      <c r="B81" t="s">
        <v>152</v>
      </c>
      <c r="C81" t="s">
        <v>153</v>
      </c>
      <c r="D81" t="s">
        <v>53</v>
      </c>
      <c r="E81" t="s">
        <v>51</v>
      </c>
      <c r="F81" t="s">
        <v>64</v>
      </c>
    </row>
    <row r="82" spans="1:6" x14ac:dyDescent="0.35">
      <c r="A82" t="str">
        <f>Setup!A20</f>
        <v>Caseload 1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0</v>
      </c>
      <c r="D82">
        <f>IF(Planning!D63="",'Planning Backing (Hide)'!B82,Planning!D63)</f>
        <v>0</v>
      </c>
      <c r="E82">
        <f>IF(Planning!E63="",'Planning Backing (Hide)'!C82,Planning!E63)</f>
        <v>0</v>
      </c>
      <c r="F82">
        <f>SUM(D82:E82)</f>
        <v>0</v>
      </c>
    </row>
    <row r="83" spans="1:6" x14ac:dyDescent="0.35">
      <c r="A83" t="str">
        <f>Setup!A21</f>
        <v>Caseload 2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0</v>
      </c>
      <c r="D83">
        <f>IF(Planning!D64="",'Planning Backing (Hide)'!B83,Planning!D64)</f>
        <v>0</v>
      </c>
      <c r="E83">
        <f>IF(Planning!E64="",'Planning Backing (Hide)'!C83,Planning!E64)</f>
        <v>0</v>
      </c>
      <c r="F83">
        <f t="shared" ref="F83:F96" si="184">SUM(D83:E83)</f>
        <v>0</v>
      </c>
    </row>
    <row r="84" spans="1:6" x14ac:dyDescent="0.35">
      <c r="A84" t="str">
        <f>Setup!A22</f>
        <v>Caseload 3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0</v>
      </c>
      <c r="D84">
        <f>IF(Planning!D65="",'Planning Backing (Hide)'!B84,Planning!D65)</f>
        <v>0</v>
      </c>
      <c r="E84">
        <f>IF(Planning!E65="",'Planning Backing (Hide)'!C84,Planning!E65)</f>
        <v>0</v>
      </c>
      <c r="F84">
        <f t="shared" si="184"/>
        <v>0</v>
      </c>
    </row>
    <row r="85" spans="1:6" x14ac:dyDescent="0.35">
      <c r="A85" t="str">
        <f>Setup!A23</f>
        <v>Caseload 4</v>
      </c>
      <c r="B85">
        <f>INDEX('Capacity Backing (Hide)'!$H$261:$J$275,MATCH(A85,'Capacity Backing (Hide)'!$A$261:$A$275,0),1)</f>
        <v>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0</v>
      </c>
      <c r="E85">
        <f>IF(Planning!E66="",'Planning Backing (Hide)'!C85,Planning!E66)</f>
        <v>0</v>
      </c>
      <c r="F85">
        <f t="shared" si="184"/>
        <v>0</v>
      </c>
    </row>
    <row r="86" spans="1:6" x14ac:dyDescent="0.35">
      <c r="A86" t="str">
        <f>Setup!A24</f>
        <v>Caseload 5</v>
      </c>
      <c r="B86">
        <f>INDEX('Capacity Backing (Hide)'!$H$261:$J$275,MATCH(A86,'Capacity Backing (Hide)'!$A$261:$A$275,0),1)</f>
        <v>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0</v>
      </c>
      <c r="E86">
        <f>IF(Planning!E67="",'Planning Backing (Hide)'!C86,Planning!E67)</f>
        <v>0</v>
      </c>
      <c r="F86">
        <f t="shared" si="184"/>
        <v>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57</v>
      </c>
    </row>
    <row r="100" spans="1:9" x14ac:dyDescent="0.35">
      <c r="A100" t="str">
        <f>Service!B4</f>
        <v>Caseload 1</v>
      </c>
      <c r="B100">
        <f>Service!C4</f>
        <v>0</v>
      </c>
      <c r="C100">
        <f>Service!D4</f>
        <v>0</v>
      </c>
      <c r="D100" cm="1">
        <f t="array" ref="D100">IFERROR(INDEX(Planning!$D$44:$D$58,MATCH(1,(Planning!$A$44:$A$58='Planning Backing (Hide)'!A100)*(Planning!$B$44:$B$58='Planning Backing (Hide)'!B100),0),1),Service!E4)</f>
        <v>0</v>
      </c>
      <c r="E100">
        <f>Service!F4</f>
        <v>0</v>
      </c>
      <c r="F100" t="e">
        <f>Service!G4</f>
        <v>#N/A</v>
      </c>
      <c r="G100" t="e">
        <f>C100/D100*F100</f>
        <v>#DIV/0!</v>
      </c>
      <c r="H100">
        <f>SUMIF(INDEX($D$100:$D$174,ROW(A1),0):INDEX($D$100:$D$174,ROUNDUP(ROW(A1)/5,0)*5,1),1,INDEX($G$100:$G$174,ROW(A1),0):INDEX($G$100:$G$174,ROUNDUP(ROW(A1)/5,0)*5,1))</f>
        <v>0</v>
      </c>
      <c r="I100">
        <f>SUMIF(INDEX($D$100:$D$174,ROW(A1),0):INDEX($D$100:$D$174,ROUNDUP(ROW(A1)/5,0)*5,1),"&gt;"&amp;1,INDEX($G$100:$G$174,ROW(A1),0):INDEX($G$100:$G$174,ROUNDUP(ROW(A1)/5,0)*5,1))</f>
        <v>0</v>
      </c>
    </row>
    <row r="101" spans="1:9" x14ac:dyDescent="0.35">
      <c r="A101" t="str">
        <f>Service!B5</f>
        <v>Caseload 1</v>
      </c>
      <c r="B101">
        <f>Service!C5</f>
        <v>0</v>
      </c>
      <c r="C101">
        <f>Service!D5</f>
        <v>0</v>
      </c>
      <c r="D101" cm="1">
        <f t="array" ref="D101">IFERROR(INDEX(Planning!$D$44:$D$58,MATCH(1,(Planning!$A$44:$A$58='Planning Backing (Hide)'!A101)*(Planning!$B$44:$B$58='Planning Backing (Hide)'!B101),0),1),Service!E5)</f>
        <v>0</v>
      </c>
      <c r="E101">
        <f>Service!F5</f>
        <v>0</v>
      </c>
      <c r="F101" t="e">
        <f>Service!G5</f>
        <v>#N/A</v>
      </c>
      <c r="G101" t="e">
        <f t="shared" ref="G101:G164" si="185">C101/D101*F101</f>
        <v>#DIV/0!</v>
      </c>
      <c r="H101">
        <f>SUMIF(INDEX($D$100:$D$174,ROW(A2),0):INDEX($D$100:$D$174,ROUNDUP(ROW(A2)/5,0)*5,1),1,INDEX($G$100:$G$174,ROW(A2),0):INDEX($G$100:$G$174,ROUNDUP(ROW(A2)/5,0)*5,1))</f>
        <v>0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Caseload 1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Caseload 1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Caseload 1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Caseload 2</v>
      </c>
      <c r="B105">
        <f>Service!C9</f>
        <v>0</v>
      </c>
      <c r="C105">
        <f>Service!D9</f>
        <v>0</v>
      </c>
      <c r="D105" cm="1">
        <f t="array" ref="D105">IFERROR(INDEX(Planning!$D$44:$D$58,MATCH(1,(Planning!$A$44:$A$58='Planning Backing (Hide)'!A105)*(Planning!$B$44:$B$58='Planning Backing (Hide)'!B105),0),1),Service!E9)</f>
        <v>0</v>
      </c>
      <c r="E105">
        <f>Service!F9</f>
        <v>0</v>
      </c>
      <c r="F105" t="e">
        <f>Service!G9</f>
        <v>#N/A</v>
      </c>
      <c r="G105" t="e">
        <f t="shared" si="185"/>
        <v>#DIV/0!</v>
      </c>
      <c r="H105">
        <f>SUMIF(INDEX($D$100:$D$174,ROW(A6),0):INDEX($D$100:$D$174,ROUNDUP(ROW(A6)/5,0)*5,1),1,INDEX($G$100:$G$174,ROW(A6),0):INDEX($G$100:$G$174,ROUNDUP(ROW(A6)/5,0)*5,1))</f>
        <v>0</v>
      </c>
      <c r="I105">
        <f>SUMIF(INDEX($D$100:$D$174,ROW(A6),0):INDEX($D$100:$D$174,ROUNDUP(ROW(A6)/5,0)*5,1),"&gt;"&amp;1,INDEX($G$100:$G$174,ROW(A6),0):INDEX($G$100:$G$174,ROUNDUP(ROW(A6)/5,0)*5,1))</f>
        <v>0</v>
      </c>
    </row>
    <row r="106" spans="1:9" x14ac:dyDescent="0.35">
      <c r="A106" t="str">
        <f>Service!B10</f>
        <v>Caseload 2</v>
      </c>
      <c r="B106">
        <f>Service!C10</f>
        <v>0</v>
      </c>
      <c r="C106">
        <f>Service!D10</f>
        <v>0</v>
      </c>
      <c r="D106" cm="1">
        <f t="array" ref="D106">IFERROR(INDEX(Planning!$D$44:$D$58,MATCH(1,(Planning!$A$44:$A$58='Planning Backing (Hide)'!A106)*(Planning!$B$44:$B$58='Planning Backing (Hide)'!B106),0),1),Service!E10)</f>
        <v>0</v>
      </c>
      <c r="E106">
        <f>Service!F10</f>
        <v>0</v>
      </c>
      <c r="F106" t="e">
        <f>Service!G10</f>
        <v>#N/A</v>
      </c>
      <c r="G106" t="e">
        <f t="shared" si="185"/>
        <v>#DIV/0!</v>
      </c>
      <c r="H106">
        <f>SUMIF(INDEX($D$100:$D$174,ROW(A7),0):INDEX($D$100:$D$174,ROUNDUP(ROW(A7)/5,0)*5,1),1,INDEX($G$100:$G$174,ROW(A7),0):INDEX($G$100:$G$174,ROUNDUP(ROW(A7)/5,0)*5,1))</f>
        <v>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Caseload 2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Caseload 2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Caseload 2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Caseload 3</v>
      </c>
      <c r="B110">
        <f>Service!C14</f>
        <v>0</v>
      </c>
      <c r="C110">
        <f>Service!D14</f>
        <v>0</v>
      </c>
      <c r="D110" cm="1">
        <f t="array" ref="D110">IFERROR(INDEX(Planning!$D$44:$D$58,MATCH(1,(Planning!$A$44:$A$58='Planning Backing (Hide)'!A110)*(Planning!$B$44:$B$58='Planning Backing (Hide)'!B110),0),1),Service!E14)</f>
        <v>0</v>
      </c>
      <c r="E110">
        <f>Service!F14</f>
        <v>0</v>
      </c>
      <c r="F110" t="e">
        <f>Service!G14</f>
        <v>#N/A</v>
      </c>
      <c r="G110" t="e">
        <f t="shared" si="185"/>
        <v>#DIV/0!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0</v>
      </c>
    </row>
    <row r="111" spans="1:9" x14ac:dyDescent="0.35">
      <c r="A111" t="str">
        <f>Service!B15</f>
        <v>Caseload 3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Caseload 3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Caseload 3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Caseload 3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Caseload 4</v>
      </c>
      <c r="B115">
        <f>Service!C19</f>
        <v>0</v>
      </c>
      <c r="C115">
        <f>Service!D19</f>
        <v>0</v>
      </c>
      <c r="D115" cm="1">
        <f t="array" ref="D115">IFERROR(INDEX(Planning!$D$44:$D$58,MATCH(1,(Planning!$A$44:$A$58='Planning Backing (Hide)'!A115)*(Planning!$B$44:$B$58='Planning Backing (Hide)'!B115),0),1),Service!E19)</f>
        <v>0</v>
      </c>
      <c r="E115">
        <f>Service!F19</f>
        <v>0</v>
      </c>
      <c r="F115" t="e">
        <f>Service!G19</f>
        <v>#N/A</v>
      </c>
      <c r="G115" t="e">
        <f t="shared" si="185"/>
        <v>#DIV/0!</v>
      </c>
      <c r="H115">
        <f>SUMIF(INDEX($D$100:$D$174,ROW(A16),0):INDEX($D$100:$D$174,ROUNDUP(ROW(A16)/5,0)*5,1),1,INDEX($G$100:$G$174,ROW(A16),0):INDEX($G$100:$G$174,ROUNDUP(ROW(A16)/5,0)*5,1))</f>
        <v>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Caseload 4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Caseload 4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Caseload 4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Caseload 4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Caseload 5</v>
      </c>
      <c r="B120">
        <f>Service!C24</f>
        <v>0</v>
      </c>
      <c r="C120">
        <f>Service!D24</f>
        <v>0</v>
      </c>
      <c r="D120" cm="1">
        <f t="array" ref="D120">IFERROR(INDEX(Planning!$D$44:$D$58,MATCH(1,(Planning!$A$44:$A$58='Planning Backing (Hide)'!A120)*(Planning!$B$44:$B$58='Planning Backing (Hide)'!B120),0),1),Service!E24)</f>
        <v>0</v>
      </c>
      <c r="E120">
        <f>Service!F24</f>
        <v>0</v>
      </c>
      <c r="F120" t="e">
        <f>Service!G24</f>
        <v>#N/A</v>
      </c>
      <c r="G120" t="e">
        <f t="shared" si="185"/>
        <v>#DIV/0!</v>
      </c>
      <c r="H120">
        <f>SUMIF(INDEX($D$100:$D$174,ROW(A21),0):INDEX($D$100:$D$174,ROUNDUP(ROW(A21)/5,0)*5,1),1,INDEX($G$100:$G$174,ROW(A21),0):INDEX($G$100:$G$174,ROUNDUP(ROW(A21)/5,0)*5,1))</f>
        <v>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Caseload 5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Caseload 5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Caseload 5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Caseload 5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Caseload 6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Caseload 6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Caseload 6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Caseload 6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Caseload 6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2020-12-11T16:57:25Z</dcterms:modified>
</cp:coreProperties>
</file>